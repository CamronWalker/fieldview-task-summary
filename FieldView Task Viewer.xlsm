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1.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B5C17686-7792-4F73-9213-4AA42D13E500}" xr6:coauthVersionLast="47" xr6:coauthVersionMax="47" xr10:uidLastSave="{00000000-0000-0000-0000-000000000000}"/>
  <bookViews>
    <workbookView xWindow="-23136" yWindow="-96" windowWidth="23232" windowHeight="12552" xr2:uid="{791B15CC-68B2-4D54-B53E-4FED7E26F6F4}"/>
  </bookViews>
  <sheets>
    <sheet name="Home" sheetId="2" r:id="rId1"/>
    <sheet name="Task_Summary" sheetId="4" r:id="rId2"/>
    <sheet name="Settings" sheetId="1" r:id="rId3"/>
    <sheet name="Tables" sheetId="5" r:id="rId4"/>
    <sheet name="Tasks_Import" sheetId="3" r:id="rId5"/>
    <sheet name="TS_2022-10-07" sheetId="6" r:id="rId6"/>
    <sheet name="TS_2023-01-11" sheetId="8" r:id="rId7"/>
  </sheets>
  <functionGroups builtInGroupCount="19"/>
  <definedNames>
    <definedName name="_xlpm.inTower" hidden="1" xlm="1">#NAME?</definedName>
    <definedName name="_xlpm.leftValue" hidden="1" xlm="1">#NAME?</definedName>
    <definedName name="_xlpm.typeResult" hidden="1" xlm="1">#NAME?</definedName>
    <definedName name="Dev_Mode">Settings!$C$3</definedName>
    <definedName name="Edit_URL">Settings!$C$5</definedName>
    <definedName name="ExternalData_1" localSheetId="4" hidden="1">Tasks_Import!$A$1:$Q$700</definedName>
    <definedName name="Logging">Settings!$C$4</definedName>
    <definedName name="_xlnm.Print_Area" localSheetId="0">Home!$A$1:$K$47</definedName>
    <definedName name="_xlnm.Print_Area" localSheetId="1">Task_Summary_Table[#All]</definedName>
    <definedName name="Project_Name">Settings!$C$6</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01" i="4" l="1"/>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B701" i="4" a="1"/>
  <c r="B701" i="4" s="1"/>
  <c r="B702" i="4" a="1"/>
  <c r="B702" i="4" s="1"/>
  <c r="B703" i="4" a="1"/>
  <c r="B703" i="4" s="1"/>
  <c r="B704" i="4" a="1"/>
  <c r="B704" i="4" s="1"/>
  <c r="B705" i="4" a="1"/>
  <c r="B705" i="4" s="1"/>
  <c r="B706" i="4" a="1"/>
  <c r="B706" i="4" s="1"/>
  <c r="B707" i="4" a="1"/>
  <c r="B707" i="4" s="1"/>
  <c r="B708" i="4" a="1"/>
  <c r="B708" i="4" s="1"/>
  <c r="B709" i="4" a="1"/>
  <c r="B709" i="4" s="1"/>
  <c r="B710" i="4" a="1"/>
  <c r="B710" i="4" s="1"/>
  <c r="B711" i="4" a="1"/>
  <c r="B711" i="4" s="1"/>
  <c r="B712" i="4" a="1"/>
  <c r="B712" i="4" s="1"/>
  <c r="B713" i="4" a="1"/>
  <c r="B713" i="4" s="1"/>
  <c r="B714" i="4" a="1"/>
  <c r="B714" i="4" s="1"/>
  <c r="B715" i="4" a="1"/>
  <c r="B715" i="4" s="1"/>
  <c r="B716" i="4" a="1"/>
  <c r="B716" i="4" s="1"/>
  <c r="B717" i="4" a="1"/>
  <c r="B717" i="4"/>
  <c r="B718" i="4" a="1"/>
  <c r="B718" i="4" s="1"/>
  <c r="B719" i="4" a="1"/>
  <c r="B719" i="4" s="1"/>
  <c r="B720" i="4" a="1"/>
  <c r="B720" i="4" s="1"/>
  <c r="B721" i="4" a="1"/>
  <c r="B721" i="4" s="1"/>
  <c r="B722" i="4" a="1"/>
  <c r="B722" i="4" s="1"/>
  <c r="B723" i="4" a="1"/>
  <c r="B723" i="4" s="1"/>
  <c r="B724" i="4" a="1"/>
  <c r="B724" i="4" s="1"/>
  <c r="B725" i="4" a="1"/>
  <c r="B725" i="4" s="1"/>
  <c r="B726" i="4" a="1"/>
  <c r="B726" i="4" s="1"/>
  <c r="B727" i="4" a="1"/>
  <c r="B727" i="4" s="1"/>
  <c r="B728" i="4" a="1"/>
  <c r="B728" i="4" s="1"/>
  <c r="B729" i="4" a="1"/>
  <c r="B729" i="4"/>
  <c r="B730" i="4" a="1"/>
  <c r="B730" i="4"/>
  <c r="B731" i="4" a="1"/>
  <c r="B731" i="4" s="1"/>
  <c r="B732" i="4" a="1"/>
  <c r="B732" i="4" s="1"/>
  <c r="B733" i="4" a="1"/>
  <c r="B733" i="4" s="1"/>
  <c r="B734" i="4" a="1"/>
  <c r="B734" i="4" s="1"/>
  <c r="B735" i="4" a="1"/>
  <c r="B735" i="4" s="1"/>
  <c r="B736" i="4" a="1"/>
  <c r="B736" i="4" s="1"/>
  <c r="B737" i="4" a="1"/>
  <c r="B737" i="4" s="1"/>
  <c r="B738" i="4" a="1"/>
  <c r="B738" i="4" s="1"/>
  <c r="B739" i="4" a="1"/>
  <c r="B739" i="4" s="1"/>
  <c r="B740" i="4" a="1"/>
  <c r="B740" i="4" s="1"/>
  <c r="B741" i="4" a="1"/>
  <c r="B741" i="4" s="1"/>
  <c r="B742" i="4" a="1"/>
  <c r="B742" i="4" s="1"/>
  <c r="B743" i="4" a="1"/>
  <c r="B743" i="4" s="1"/>
  <c r="B744" i="4" a="1"/>
  <c r="B744" i="4" s="1"/>
  <c r="B745" i="4" a="1"/>
  <c r="B745" i="4" s="1"/>
  <c r="B746" i="4" a="1"/>
  <c r="B746" i="4" s="1"/>
  <c r="B747" i="4" a="1"/>
  <c r="B747" i="4"/>
  <c r="B748" i="4" a="1"/>
  <c r="B748" i="4" s="1"/>
  <c r="B749" i="4" a="1"/>
  <c r="B749" i="4" s="1"/>
  <c r="B750" i="4" a="1"/>
  <c r="B750" i="4" s="1"/>
  <c r="B751" i="4" a="1"/>
  <c r="B751" i="4" s="1"/>
  <c r="B752" i="4" a="1"/>
  <c r="B752" i="4" s="1"/>
  <c r="B753" i="4" a="1"/>
  <c r="B753" i="4" s="1"/>
  <c r="B754" i="4" a="1"/>
  <c r="B754" i="4" s="1"/>
  <c r="B755" i="4" a="1"/>
  <c r="B755" i="4" s="1"/>
  <c r="B756" i="4" a="1"/>
  <c r="B756" i="4" s="1"/>
  <c r="B757" i="4" a="1"/>
  <c r="B757" i="4" s="1"/>
  <c r="B758" i="4" a="1"/>
  <c r="B758" i="4" s="1"/>
  <c r="B759" i="4" a="1"/>
  <c r="B759" i="4" s="1"/>
  <c r="B760" i="4" a="1"/>
  <c r="B760" i="4" s="1"/>
  <c r="B761" i="4" a="1"/>
  <c r="B761" i="4" s="1"/>
  <c r="B762" i="4" a="1"/>
  <c r="B762" i="4" s="1"/>
  <c r="B763" i="4" a="1"/>
  <c r="B763" i="4" s="1"/>
  <c r="B764" i="4" a="1"/>
  <c r="B764" i="4" s="1"/>
  <c r="B765" i="4" a="1"/>
  <c r="B765" i="4" s="1"/>
  <c r="B766" i="4" a="1"/>
  <c r="B766" i="4" s="1"/>
  <c r="B767" i="4" a="1"/>
  <c r="B767" i="4" s="1"/>
  <c r="B768" i="4" a="1"/>
  <c r="B768" i="4" s="1"/>
  <c r="B769" i="4" a="1"/>
  <c r="B769" i="4" s="1"/>
  <c r="B770" i="4" a="1"/>
  <c r="B770" i="4" s="1"/>
  <c r="B771" i="4" a="1"/>
  <c r="B771" i="4" s="1"/>
  <c r="B772" i="4" a="1"/>
  <c r="B772" i="4" s="1"/>
  <c r="B773" i="4" a="1"/>
  <c r="B773" i="4" s="1"/>
  <c r="B774" i="4" a="1"/>
  <c r="B774" i="4" s="1"/>
  <c r="B775" i="4" a="1"/>
  <c r="B775" i="4" s="1"/>
  <c r="B776" i="4" a="1"/>
  <c r="B776" i="4" s="1"/>
  <c r="B777" i="4" a="1"/>
  <c r="B777" i="4" s="1"/>
  <c r="B778" i="4" a="1"/>
  <c r="B778" i="4" s="1"/>
  <c r="B779" i="4" a="1"/>
  <c r="B779" i="4" s="1"/>
  <c r="B780" i="4" a="1"/>
  <c r="B780" i="4" s="1"/>
  <c r="B781" i="4" a="1"/>
  <c r="B781" i="4" s="1"/>
  <c r="B782" i="4" a="1"/>
  <c r="B782" i="4" s="1"/>
  <c r="B783" i="4" a="1"/>
  <c r="B783" i="4" s="1"/>
  <c r="B784" i="4" a="1"/>
  <c r="B784" i="4" s="1"/>
  <c r="B785" i="4" a="1"/>
  <c r="B785" i="4" s="1"/>
  <c r="B786" i="4" a="1"/>
  <c r="B786" i="4" s="1"/>
  <c r="B787" i="4" a="1"/>
  <c r="B787" i="4" s="1"/>
  <c r="B788" i="4" a="1"/>
  <c r="B788" i="4" s="1"/>
  <c r="B789" i="4" a="1"/>
  <c r="B789" i="4"/>
  <c r="B790" i="4" a="1"/>
  <c r="B790" i="4" s="1"/>
  <c r="B791" i="4" a="1"/>
  <c r="B791" i="4" s="1"/>
  <c r="B792" i="4" a="1"/>
  <c r="B792" i="4" s="1"/>
  <c r="B793" i="4" a="1"/>
  <c r="B793" i="4" s="1"/>
  <c r="B794" i="4" a="1"/>
  <c r="B794" i="4" s="1"/>
  <c r="B795" i="4" a="1"/>
  <c r="B795" i="4" s="1"/>
  <c r="B796" i="4" a="1"/>
  <c r="B796" i="4" s="1"/>
  <c r="B797" i="4" a="1"/>
  <c r="B797" i="4" s="1"/>
  <c r="B798" i="4" a="1"/>
  <c r="B798" i="4" s="1"/>
  <c r="B799" i="4" a="1"/>
  <c r="B799" i="4" s="1"/>
  <c r="B800" i="4" a="1"/>
  <c r="B800" i="4" s="1"/>
  <c r="B801" i="4" a="1"/>
  <c r="B801" i="4" s="1"/>
  <c r="B802" i="4" a="1"/>
  <c r="B802" i="4" s="1"/>
  <c r="B803" i="4" a="1"/>
  <c r="B803" i="4" s="1"/>
  <c r="B804" i="4" a="1"/>
  <c r="B804" i="4" s="1"/>
  <c r="B805" i="4" a="1"/>
  <c r="B805" i="4" s="1"/>
  <c r="B806" i="4" a="1"/>
  <c r="B806" i="4" s="1"/>
  <c r="B807" i="4" a="1"/>
  <c r="B807" i="4" s="1"/>
  <c r="B808" i="4" a="1"/>
  <c r="B808" i="4" s="1"/>
  <c r="B809" i="4" a="1"/>
  <c r="B809" i="4" s="1"/>
  <c r="B810" i="4" a="1"/>
  <c r="B810" i="4" s="1"/>
  <c r="B811" i="4" a="1"/>
  <c r="B811" i="4" s="1"/>
  <c r="B812" i="4" a="1"/>
  <c r="B812" i="4" s="1"/>
  <c r="B813" i="4" a="1"/>
  <c r="B813" i="4" s="1"/>
  <c r="B814" i="4" a="1"/>
  <c r="B814" i="4" s="1"/>
  <c r="B815" i="4" a="1"/>
  <c r="B815" i="4" s="1"/>
  <c r="B816" i="4" a="1"/>
  <c r="B816" i="4" s="1"/>
  <c r="B817" i="4" a="1"/>
  <c r="B817" i="4" s="1"/>
  <c r="B818" i="4" a="1"/>
  <c r="B818" i="4" s="1"/>
  <c r="B819" i="4" a="1"/>
  <c r="B819" i="4" s="1"/>
  <c r="B820" i="4" a="1"/>
  <c r="B820" i="4" s="1"/>
  <c r="B821" i="4" a="1"/>
  <c r="B821" i="4" s="1"/>
  <c r="B822" i="4" a="1"/>
  <c r="B822" i="4" s="1"/>
  <c r="B823" i="4" a="1"/>
  <c r="B823" i="4" s="1"/>
  <c r="B824" i="4" a="1"/>
  <c r="B824" i="4" s="1"/>
  <c r="B825" i="4" a="1"/>
  <c r="B825" i="4" s="1"/>
  <c r="B826" i="4" a="1"/>
  <c r="B826" i="4" s="1"/>
  <c r="B827" i="4" a="1"/>
  <c r="B827" i="4" s="1"/>
  <c r="B828" i="4" a="1"/>
  <c r="B828" i="4" s="1"/>
  <c r="B829" i="4" a="1"/>
  <c r="B829" i="4" s="1"/>
  <c r="B830" i="4" a="1"/>
  <c r="B830" i="4" s="1"/>
  <c r="B831" i="4" a="1"/>
  <c r="B831" i="4" s="1"/>
  <c r="B832" i="4" a="1"/>
  <c r="B832" i="4" s="1"/>
  <c r="B833" i="4" a="1"/>
  <c r="B833" i="4" s="1"/>
  <c r="B834" i="4" a="1"/>
  <c r="B834" i="4" s="1"/>
  <c r="B835" i="4" a="1"/>
  <c r="B835" i="4" s="1"/>
  <c r="B836" i="4" a="1"/>
  <c r="B836" i="4" s="1"/>
  <c r="B837" i="4" a="1"/>
  <c r="B837" i="4" s="1"/>
  <c r="B838" i="4" a="1"/>
  <c r="B838" i="4" s="1"/>
  <c r="B839" i="4" a="1"/>
  <c r="B839" i="4" s="1"/>
  <c r="B840" i="4" a="1"/>
  <c r="B840" i="4" s="1"/>
  <c r="B841" i="4" a="1"/>
  <c r="B841" i="4" s="1"/>
  <c r="B842" i="4" a="1"/>
  <c r="B842" i="4" s="1"/>
  <c r="B843" i="4" a="1"/>
  <c r="B843" i="4" s="1"/>
  <c r="B844" i="4" a="1"/>
  <c r="B844" i="4" s="1"/>
  <c r="B845" i="4" a="1"/>
  <c r="B845" i="4" s="1"/>
  <c r="B846" i="4" a="1"/>
  <c r="B846" i="4" s="1"/>
  <c r="B847" i="4" a="1"/>
  <c r="B847" i="4" s="1"/>
  <c r="B848" i="4" a="1"/>
  <c r="B848" i="4" s="1"/>
  <c r="B849" i="4" a="1"/>
  <c r="B849" i="4" s="1"/>
  <c r="B850" i="4" a="1"/>
  <c r="B850" i="4" s="1"/>
  <c r="B851" i="4" a="1"/>
  <c r="B851" i="4" s="1"/>
  <c r="B852" i="4" a="1"/>
  <c r="B852" i="4" s="1"/>
  <c r="B853" i="4" a="1"/>
  <c r="B853" i="4" s="1"/>
  <c r="B854" i="4" a="1"/>
  <c r="B854" i="4" s="1"/>
  <c r="B855" i="4" a="1"/>
  <c r="B855" i="4" s="1"/>
  <c r="B856" i="4" a="1"/>
  <c r="B856" i="4" s="1"/>
  <c r="B857" i="4" a="1"/>
  <c r="B857" i="4" s="1"/>
  <c r="B858" i="4" a="1"/>
  <c r="B858" i="4" s="1"/>
  <c r="B859" i="4" a="1"/>
  <c r="B859" i="4" s="1"/>
  <c r="B860" i="4" a="1"/>
  <c r="B860" i="4" s="1"/>
  <c r="B861" i="4" a="1"/>
  <c r="B861" i="4" s="1"/>
  <c r="B862" i="4" a="1"/>
  <c r="B862" i="4" s="1"/>
  <c r="B863" i="4" a="1"/>
  <c r="B863" i="4" s="1"/>
  <c r="B864" i="4" a="1"/>
  <c r="B864" i="4" s="1"/>
  <c r="B865" i="4" a="1"/>
  <c r="B865" i="4" s="1"/>
  <c r="B866" i="4" a="1"/>
  <c r="B866" i="4" s="1"/>
  <c r="B867" i="4" a="1"/>
  <c r="B867" i="4" s="1"/>
  <c r="B868" i="4" a="1"/>
  <c r="B868" i="4" s="1"/>
  <c r="B869" i="4" a="1"/>
  <c r="B869" i="4" s="1"/>
  <c r="B870" i="4" a="1"/>
  <c r="B870" i="4" s="1"/>
  <c r="B871" i="4" a="1"/>
  <c r="B871" i="4" s="1"/>
  <c r="B872" i="4" a="1"/>
  <c r="B872" i="4" s="1"/>
  <c r="B873" i="4" a="1"/>
  <c r="B873" i="4" s="1"/>
  <c r="B874" i="4" a="1"/>
  <c r="B874" i="4" s="1"/>
  <c r="B875" i="4" a="1"/>
  <c r="B875" i="4" s="1"/>
  <c r="B876" i="4" a="1"/>
  <c r="B876" i="4" s="1"/>
  <c r="B877" i="4" a="1"/>
  <c r="B877" i="4" s="1"/>
  <c r="B878" i="4" a="1"/>
  <c r="B878" i="4" s="1"/>
  <c r="B879" i="4" a="1"/>
  <c r="B879" i="4" s="1"/>
  <c r="B880" i="4" a="1"/>
  <c r="B880" i="4" s="1"/>
  <c r="B881" i="4" a="1"/>
  <c r="B881" i="4" s="1"/>
  <c r="B882" i="4" a="1"/>
  <c r="B882" i="4" s="1"/>
  <c r="B883" i="4" a="1"/>
  <c r="B883" i="4" s="1"/>
  <c r="B884" i="4" a="1"/>
  <c r="B884" i="4" s="1"/>
  <c r="B885" i="4" a="1"/>
  <c r="B885" i="4" s="1"/>
  <c r="B886" i="4" a="1"/>
  <c r="B886" i="4" s="1"/>
  <c r="B887" i="4" a="1"/>
  <c r="B887" i="4" s="1"/>
  <c r="B888" i="4" a="1"/>
  <c r="B888" i="4" s="1"/>
  <c r="B889" i="4" a="1"/>
  <c r="B889" i="4" s="1"/>
  <c r="B890" i="4" a="1"/>
  <c r="B890" i="4" s="1"/>
  <c r="B891" i="4" a="1"/>
  <c r="B891" i="4" s="1"/>
  <c r="B892" i="4" a="1"/>
  <c r="B892" i="4" s="1"/>
  <c r="B893" i="4" a="1"/>
  <c r="B893" i="4" s="1"/>
  <c r="B894" i="4" a="1"/>
  <c r="B894" i="4" s="1"/>
  <c r="B895" i="4" a="1"/>
  <c r="B895" i="4" s="1"/>
  <c r="B896" i="4" a="1"/>
  <c r="B896" i="4" s="1"/>
  <c r="B897" i="4" a="1"/>
  <c r="B897" i="4" s="1"/>
  <c r="B898" i="4" a="1"/>
  <c r="B898" i="4" s="1"/>
  <c r="B899" i="4" a="1"/>
  <c r="B899" i="4" s="1"/>
  <c r="B900" i="4" a="1"/>
  <c r="B900" i="4" s="1"/>
  <c r="B901" i="4" a="1"/>
  <c r="B901" i="4" s="1"/>
  <c r="B902" i="4" a="1"/>
  <c r="B902" i="4" s="1"/>
  <c r="B903" i="4" a="1"/>
  <c r="B903" i="4" s="1"/>
  <c r="B904" i="4" a="1"/>
  <c r="B904" i="4" s="1"/>
  <c r="B905" i="4" a="1"/>
  <c r="B905" i="4" s="1"/>
  <c r="B906" i="4" a="1"/>
  <c r="B906" i="4" s="1"/>
  <c r="B907" i="4" a="1"/>
  <c r="B907" i="4" s="1"/>
  <c r="B908" i="4" a="1"/>
  <c r="B908" i="4" s="1"/>
  <c r="B909" i="4" a="1"/>
  <c r="B909" i="4" s="1"/>
  <c r="B910" i="4" a="1"/>
  <c r="B910" i="4" s="1"/>
  <c r="B911" i="4" a="1"/>
  <c r="B911" i="4" s="1"/>
  <c r="B912" i="4" a="1"/>
  <c r="B912" i="4" s="1"/>
  <c r="B913" i="4" a="1"/>
  <c r="B913" i="4" s="1"/>
  <c r="B914" i="4" a="1"/>
  <c r="B914" i="4" s="1"/>
  <c r="B915" i="4" a="1"/>
  <c r="B915" i="4" s="1"/>
  <c r="B916" i="4" a="1"/>
  <c r="B916" i="4" s="1"/>
  <c r="B917" i="4" a="1"/>
  <c r="B917" i="4" s="1"/>
  <c r="B918" i="4" a="1"/>
  <c r="B918" i="4" s="1"/>
  <c r="B919" i="4" a="1"/>
  <c r="B919" i="4" s="1"/>
  <c r="B920" i="4" a="1"/>
  <c r="B920" i="4" s="1"/>
  <c r="B921" i="4" a="1"/>
  <c r="B921" i="4" s="1"/>
  <c r="B922" i="4" a="1"/>
  <c r="B922" i="4" s="1"/>
  <c r="B923" i="4" a="1"/>
  <c r="B923" i="4" s="1"/>
  <c r="B924" i="4" a="1"/>
  <c r="B924" i="4" s="1"/>
  <c r="B925" i="4" a="1"/>
  <c r="B925" i="4" s="1"/>
  <c r="B926" i="4" a="1"/>
  <c r="B926" i="4" s="1"/>
  <c r="B927" i="4" a="1"/>
  <c r="B927" i="4" s="1"/>
  <c r="B928" i="4" a="1"/>
  <c r="B928" i="4" s="1"/>
  <c r="B929" i="4" a="1"/>
  <c r="B929" i="4" s="1"/>
  <c r="B930" i="4" a="1"/>
  <c r="B930" i="4" s="1"/>
  <c r="B931" i="4" a="1"/>
  <c r="B931" i="4" s="1"/>
  <c r="B932" i="4" a="1"/>
  <c r="B932" i="4" s="1"/>
  <c r="B933" i="4" a="1"/>
  <c r="B933" i="4" s="1"/>
  <c r="B934" i="4" a="1"/>
  <c r="B934" i="4" s="1"/>
  <c r="B935" i="4" a="1"/>
  <c r="B935" i="4" s="1"/>
  <c r="B936" i="4" a="1"/>
  <c r="B936" i="4" s="1"/>
  <c r="B937" i="4" a="1"/>
  <c r="B937" i="4" s="1"/>
  <c r="B938" i="4" a="1"/>
  <c r="B938" i="4" s="1"/>
  <c r="B939" i="4" a="1"/>
  <c r="B939" i="4"/>
  <c r="B940" i="4" a="1"/>
  <c r="B940" i="4" s="1"/>
  <c r="B941" i="4" a="1"/>
  <c r="B941" i="4" s="1"/>
  <c r="B942" i="4" a="1"/>
  <c r="B942" i="4" s="1"/>
  <c r="B943" i="4" a="1"/>
  <c r="B943" i="4" s="1"/>
  <c r="B944" i="4" a="1"/>
  <c r="B944" i="4" s="1"/>
  <c r="B945" i="4" a="1"/>
  <c r="B945" i="4" s="1"/>
  <c r="B946" i="4" a="1"/>
  <c r="B946" i="4" s="1"/>
  <c r="B947" i="4" a="1"/>
  <c r="B947" i="4" s="1"/>
  <c r="B948" i="4" a="1"/>
  <c r="B948" i="4" s="1"/>
  <c r="B949" i="4" a="1"/>
  <c r="B949" i="4" s="1"/>
  <c r="B950" i="4" a="1"/>
  <c r="B950" i="4" s="1"/>
  <c r="B951" i="4" a="1"/>
  <c r="B951" i="4" s="1"/>
  <c r="B952" i="4" a="1"/>
  <c r="B952" i="4" s="1"/>
  <c r="B953" i="4" a="1"/>
  <c r="B953" i="4" s="1"/>
  <c r="B954" i="4" a="1"/>
  <c r="B954" i="4" s="1"/>
  <c r="B955" i="4" a="1"/>
  <c r="B955" i="4" s="1"/>
  <c r="B956" i="4" a="1"/>
  <c r="B956" i="4" s="1"/>
  <c r="B957" i="4" a="1"/>
  <c r="B957" i="4" s="1"/>
  <c r="B958" i="4" a="1"/>
  <c r="B958" i="4" s="1"/>
  <c r="B959" i="4" a="1"/>
  <c r="B959" i="4" s="1"/>
  <c r="B960" i="4" a="1"/>
  <c r="B960" i="4" s="1"/>
  <c r="B961" i="4" a="1"/>
  <c r="B961" i="4" s="1"/>
  <c r="B962" i="4" a="1"/>
  <c r="B962" i="4" s="1"/>
  <c r="B963" i="4" a="1"/>
  <c r="B963" i="4" s="1"/>
  <c r="B964" i="4" a="1"/>
  <c r="B964" i="4" s="1"/>
  <c r="B965" i="4" a="1"/>
  <c r="B965" i="4" s="1"/>
  <c r="B966" i="4" a="1"/>
  <c r="B966" i="4" s="1"/>
  <c r="B967" i="4" a="1"/>
  <c r="B967" i="4" s="1"/>
  <c r="B968" i="4" a="1"/>
  <c r="B968" i="4" s="1"/>
  <c r="B969" i="4" a="1"/>
  <c r="B969" i="4" s="1"/>
  <c r="B970" i="4" a="1"/>
  <c r="B970" i="4" s="1"/>
  <c r="B971" i="4" a="1"/>
  <c r="B971" i="4" s="1"/>
  <c r="B972" i="4" a="1"/>
  <c r="B972" i="4" s="1"/>
  <c r="B973" i="4" a="1"/>
  <c r="B973" i="4" s="1"/>
  <c r="B974" i="4" a="1"/>
  <c r="B974" i="4" s="1"/>
  <c r="B975" i="4" a="1"/>
  <c r="B975" i="4" s="1"/>
  <c r="B976" i="4" a="1"/>
  <c r="B976" i="4" s="1"/>
  <c r="B977" i="4" a="1"/>
  <c r="B977" i="4" s="1"/>
  <c r="B978" i="4" a="1"/>
  <c r="B978" i="4" s="1"/>
  <c r="B979" i="4" a="1"/>
  <c r="B979" i="4" s="1"/>
  <c r="B980" i="4" a="1"/>
  <c r="B980" i="4" s="1"/>
  <c r="B981" i="4" a="1"/>
  <c r="B981" i="4" s="1"/>
  <c r="B982" i="4" a="1"/>
  <c r="B982" i="4" s="1"/>
  <c r="B983" i="4" a="1"/>
  <c r="B983" i="4" s="1"/>
  <c r="B984" i="4" a="1"/>
  <c r="B984" i="4" s="1"/>
  <c r="B985" i="4" a="1"/>
  <c r="B985" i="4" s="1"/>
  <c r="B986" i="4" a="1"/>
  <c r="B986" i="4" s="1"/>
  <c r="B987" i="4" a="1"/>
  <c r="B987" i="4" s="1"/>
  <c r="B988" i="4" a="1"/>
  <c r="B988" i="4" s="1"/>
  <c r="B989" i="4" a="1"/>
  <c r="B989" i="4" s="1"/>
  <c r="B990" i="4" a="1"/>
  <c r="B990" i="4" s="1"/>
  <c r="B991" i="4" a="1"/>
  <c r="B991" i="4" s="1"/>
  <c r="B992" i="4" a="1"/>
  <c r="B992" i="4" s="1"/>
  <c r="B993" i="4" a="1"/>
  <c r="B993" i="4" s="1"/>
  <c r="B994" i="4" a="1"/>
  <c r="B994" i="4" s="1"/>
  <c r="B995" i="4" a="1"/>
  <c r="B995" i="4" s="1"/>
  <c r="B996" i="4" a="1"/>
  <c r="B996" i="4" s="1"/>
  <c r="B997" i="4" a="1"/>
  <c r="B997" i="4" s="1"/>
  <c r="B998" i="4" a="1"/>
  <c r="B998" i="4" s="1"/>
  <c r="B999" i="4" a="1"/>
  <c r="B999" i="4" s="1"/>
  <c r="B1000" i="4" a="1"/>
  <c r="B1000" i="4" s="1"/>
  <c r="B1001" i="4" a="1"/>
  <c r="B1001" i="4" s="1"/>
  <c r="B1002" i="4" a="1"/>
  <c r="B1002" i="4" s="1"/>
  <c r="B1003" i="4" a="1"/>
  <c r="B1003" i="4" s="1"/>
  <c r="B1004" i="4" a="1"/>
  <c r="B1004" i="4" s="1"/>
  <c r="B1005" i="4" a="1"/>
  <c r="B1005" i="4" s="1"/>
  <c r="B1006" i="4" a="1"/>
  <c r="B1006" i="4" s="1"/>
  <c r="B1007" i="4" a="1"/>
  <c r="B1007" i="4" s="1"/>
  <c r="B1008" i="4" a="1"/>
  <c r="B1008" i="4" s="1"/>
  <c r="B1009" i="4" a="1"/>
  <c r="B1009" i="4" s="1"/>
  <c r="B1010" i="4" a="1"/>
  <c r="B1010" i="4" s="1"/>
  <c r="B1011" i="4" a="1"/>
  <c r="B1011" i="4" s="1"/>
  <c r="B1012" i="4" a="1"/>
  <c r="B1012" i="4" s="1"/>
  <c r="B1013" i="4" a="1"/>
  <c r="B1013" i="4" s="1"/>
  <c r="B1014" i="4" a="1"/>
  <c r="B1014" i="4" s="1"/>
  <c r="B1015" i="4" a="1"/>
  <c r="B1015" i="4" s="1"/>
  <c r="B1016" i="4" a="1"/>
  <c r="B1016" i="4" s="1"/>
  <c r="B1017" i="4" a="1"/>
  <c r="B1017" i="4" s="1"/>
  <c r="B1018" i="4" a="1"/>
  <c r="B1018" i="4" s="1"/>
  <c r="B1019" i="4" a="1"/>
  <c r="B1019" i="4" s="1"/>
  <c r="B1020" i="4" a="1"/>
  <c r="B1020" i="4" s="1"/>
  <c r="B1021" i="4" a="1"/>
  <c r="B1021" i="4" s="1"/>
  <c r="B1022" i="4" a="1"/>
  <c r="B1022" i="4" s="1"/>
  <c r="B1023" i="4" a="1"/>
  <c r="B1023" i="4"/>
  <c r="B1024" i="4" a="1"/>
  <c r="B1024" i="4" s="1"/>
  <c r="B1025" i="4" a="1"/>
  <c r="B1025" i="4" s="1"/>
  <c r="B1026" i="4" a="1"/>
  <c r="B1026" i="4" s="1"/>
  <c r="B1027" i="4" a="1"/>
  <c r="B1027" i="4" s="1"/>
  <c r="B1028" i="4" a="1"/>
  <c r="B1028" i="4" s="1"/>
  <c r="B1029" i="4" a="1"/>
  <c r="B1029" i="4" s="1"/>
  <c r="B1030" i="4" a="1"/>
  <c r="B1030" i="4" s="1"/>
  <c r="B1031" i="4" a="1"/>
  <c r="B1031" i="4" s="1"/>
  <c r="B1032" i="4" a="1"/>
  <c r="B1032" i="4" s="1"/>
  <c r="B1033" i="4" a="1"/>
  <c r="B1033" i="4" s="1"/>
  <c r="B1034" i="4" a="1"/>
  <c r="B1034" i="4" s="1"/>
  <c r="B1035" i="4" a="1"/>
  <c r="B1035" i="4" s="1"/>
  <c r="B1036" i="4" a="1"/>
  <c r="B1036" i="4" s="1"/>
  <c r="B1037" i="4" a="1"/>
  <c r="B1037" i="4" s="1"/>
  <c r="B1038" i="4" a="1"/>
  <c r="B1038" i="4" s="1"/>
  <c r="B1039" i="4" a="1"/>
  <c r="B1039" i="4" s="1"/>
  <c r="B1040" i="4" a="1"/>
  <c r="B1040" i="4" s="1"/>
  <c r="B1041" i="4" a="1"/>
  <c r="B1041" i="4" s="1"/>
  <c r="B1042" i="4" a="1"/>
  <c r="B1042" i="4" s="1"/>
  <c r="B1043" i="4" a="1"/>
  <c r="B1043" i="4" s="1"/>
  <c r="B1044" i="4" a="1"/>
  <c r="B1044" i="4" s="1"/>
  <c r="B1045" i="4" a="1"/>
  <c r="B1045" i="4" s="1"/>
  <c r="B1046" i="4" a="1"/>
  <c r="B1046" i="4" s="1"/>
  <c r="B1047" i="4" a="1"/>
  <c r="B1047" i="4" s="1"/>
  <c r="B1048" i="4" a="1"/>
  <c r="B1048" i="4" s="1"/>
  <c r="B1049" i="4" a="1"/>
  <c r="B1049" i="4" s="1"/>
  <c r="B1050" i="4" a="1"/>
  <c r="B1050" i="4" s="1"/>
  <c r="B1051" i="4" a="1"/>
  <c r="B1051" i="4" s="1"/>
  <c r="B1052" i="4" a="1"/>
  <c r="B1052" i="4" s="1"/>
  <c r="B1053" i="4" a="1"/>
  <c r="B1053" i="4" s="1"/>
  <c r="B1054" i="4" a="1"/>
  <c r="B1054" i="4" s="1"/>
  <c r="B1055" i="4" a="1"/>
  <c r="B1055" i="4" s="1"/>
  <c r="B1056" i="4" a="1"/>
  <c r="B1056" i="4" s="1"/>
  <c r="B1057" i="4" a="1"/>
  <c r="B1057" i="4" s="1"/>
  <c r="B1058" i="4" a="1"/>
  <c r="B1058" i="4" s="1"/>
  <c r="B1059" i="4" a="1"/>
  <c r="B1059" i="4" s="1"/>
  <c r="B1060" i="4" a="1"/>
  <c r="B1060" i="4" s="1"/>
  <c r="B1061" i="4" a="1"/>
  <c r="B1061" i="4" s="1"/>
  <c r="B1062" i="4" a="1"/>
  <c r="B1062" i="4" s="1"/>
  <c r="B1063" i="4" a="1"/>
  <c r="B1063" i="4" s="1"/>
  <c r="B1064" i="4" a="1"/>
  <c r="B1064" i="4" s="1"/>
  <c r="B1065" i="4" a="1"/>
  <c r="B1065" i="4" s="1"/>
  <c r="B1066" i="4" a="1"/>
  <c r="B1066" i="4" s="1"/>
  <c r="B1067" i="4" a="1"/>
  <c r="B1067" i="4" s="1"/>
  <c r="B1068" i="4" a="1"/>
  <c r="B1068" i="4" s="1"/>
  <c r="B1069" i="4" a="1"/>
  <c r="B1069" i="4" s="1"/>
  <c r="B1070" i="4" a="1"/>
  <c r="B1070" i="4" s="1"/>
  <c r="B1071" i="4" a="1"/>
  <c r="B1071" i="4" s="1"/>
  <c r="B1072" i="4" a="1"/>
  <c r="B1072" i="4" s="1"/>
  <c r="B1073" i="4" a="1"/>
  <c r="B1073" i="4" s="1"/>
  <c r="B1074" i="4" a="1"/>
  <c r="B1074" i="4" s="1"/>
  <c r="B1075" i="4" a="1"/>
  <c r="B1075" i="4" s="1"/>
  <c r="B1076" i="4" a="1"/>
  <c r="B1076" i="4" s="1"/>
  <c r="B1077" i="4" a="1"/>
  <c r="B1077" i="4" s="1"/>
  <c r="B1078" i="4" a="1"/>
  <c r="B1078" i="4" s="1"/>
  <c r="B1079" i="4" a="1"/>
  <c r="B1079" i="4" s="1"/>
  <c r="B1080" i="4" a="1"/>
  <c r="B1080" i="4" s="1"/>
  <c r="B1081" i="4" a="1"/>
  <c r="B1081" i="4" s="1"/>
  <c r="B1082" i="4" a="1"/>
  <c r="B1082" i="4" s="1"/>
  <c r="B1083" i="4" a="1"/>
  <c r="B1083" i="4" s="1"/>
  <c r="B1084" i="4" a="1"/>
  <c r="B1084" i="4" s="1"/>
  <c r="B1085" i="4" a="1"/>
  <c r="B1085" i="4" s="1"/>
  <c r="B1086" i="4" a="1"/>
  <c r="B1086" i="4" s="1"/>
  <c r="B1087" i="4" a="1"/>
  <c r="B1087" i="4" s="1"/>
  <c r="B1088" i="4" a="1"/>
  <c r="B1088" i="4" s="1"/>
  <c r="B1089" i="4" a="1"/>
  <c r="B1089" i="4" s="1"/>
  <c r="B1090" i="4" a="1"/>
  <c r="B1090" i="4" s="1"/>
  <c r="B1091" i="4" a="1"/>
  <c r="B1091" i="4" s="1"/>
  <c r="B1092" i="4" a="1"/>
  <c r="B1092" i="4" s="1"/>
  <c r="B1093" i="4" a="1"/>
  <c r="B1093" i="4" s="1"/>
  <c r="B1094" i="4" a="1"/>
  <c r="B1094" i="4" s="1"/>
  <c r="B1095" i="4" a="1"/>
  <c r="B1095" i="4" s="1"/>
  <c r="B1096" i="4" a="1"/>
  <c r="B1096" i="4" s="1"/>
  <c r="B1097" i="4" a="1"/>
  <c r="B1097" i="4" s="1"/>
  <c r="B1098" i="4" a="1"/>
  <c r="B1098" i="4" s="1"/>
  <c r="B1099" i="4" a="1"/>
  <c r="B1099" i="4" s="1"/>
  <c r="B1100" i="4" a="1"/>
  <c r="B1100" i="4" s="1"/>
  <c r="B1101" i="4" a="1"/>
  <c r="B1101" i="4" s="1"/>
  <c r="B1102" i="4" a="1"/>
  <c r="B1102" i="4" s="1"/>
  <c r="B1103" i="4" a="1"/>
  <c r="B1103" i="4" s="1"/>
  <c r="B1104" i="4" a="1"/>
  <c r="B1104" i="4" s="1"/>
  <c r="B1105" i="4" a="1"/>
  <c r="B1105" i="4" s="1"/>
  <c r="B1106" i="4" a="1"/>
  <c r="B1106" i="4" s="1"/>
  <c r="B1107" i="4" a="1"/>
  <c r="B1107" i="4" s="1"/>
  <c r="B1108" i="4" a="1"/>
  <c r="B1108" i="4" s="1"/>
  <c r="B1109" i="4" a="1"/>
  <c r="B1109" i="4" s="1"/>
  <c r="B1110" i="4" a="1"/>
  <c r="B1110" i="4" s="1"/>
  <c r="B1111" i="4" a="1"/>
  <c r="B1111" i="4" s="1"/>
  <c r="B1112" i="4" a="1"/>
  <c r="B1112" i="4" s="1"/>
  <c r="B1113" i="4" a="1"/>
  <c r="B1113" i="4" s="1"/>
  <c r="B1114" i="4" a="1"/>
  <c r="B1114" i="4" s="1"/>
  <c r="B1115" i="4" a="1"/>
  <c r="B1115" i="4" s="1"/>
  <c r="B1116" i="4" a="1"/>
  <c r="B1116" i="4" s="1"/>
  <c r="B1117" i="4" a="1"/>
  <c r="B1117" i="4" s="1"/>
  <c r="B1118" i="4" a="1"/>
  <c r="B1118" i="4" s="1"/>
  <c r="B1119" i="4" a="1"/>
  <c r="B1119" i="4"/>
  <c r="B1120" i="4" a="1"/>
  <c r="B1120" i="4" s="1"/>
  <c r="B1121" i="4" a="1"/>
  <c r="B1121" i="4" s="1"/>
  <c r="B1122" i="4" a="1"/>
  <c r="B1122" i="4" s="1"/>
  <c r="B1123" i="4" a="1"/>
  <c r="B1123" i="4" s="1"/>
  <c r="B1124" i="4" a="1"/>
  <c r="B1124" i="4" s="1"/>
  <c r="B1125" i="4" a="1"/>
  <c r="B1125" i="4" s="1"/>
  <c r="B1126" i="4" a="1"/>
  <c r="B1126" i="4" s="1"/>
  <c r="B1127" i="4" a="1"/>
  <c r="B1127" i="4" s="1"/>
  <c r="B1128" i="4" a="1"/>
  <c r="B1128" i="4" s="1"/>
  <c r="B1129" i="4" a="1"/>
  <c r="B1129" i="4" s="1"/>
  <c r="B1130" i="4" a="1"/>
  <c r="B1130" i="4" s="1"/>
  <c r="B1131" i="4" a="1"/>
  <c r="B1131" i="4" s="1"/>
  <c r="B1132" i="4" a="1"/>
  <c r="B1132" i="4" s="1"/>
  <c r="B1133" i="4" a="1"/>
  <c r="B1133" i="4" s="1"/>
  <c r="B1134" i="4" a="1"/>
  <c r="B1134" i="4" s="1"/>
  <c r="B1135" i="4" a="1"/>
  <c r="B1135" i="4" s="1"/>
  <c r="B1136" i="4" a="1"/>
  <c r="B1136" i="4" s="1"/>
  <c r="B1137" i="4" a="1"/>
  <c r="B1137" i="4" s="1"/>
  <c r="B1138" i="4" a="1"/>
  <c r="B1138" i="4" s="1"/>
  <c r="B1139" i="4" a="1"/>
  <c r="B1139" i="4" s="1"/>
  <c r="B1140" i="4" a="1"/>
  <c r="B1140" i="4" s="1"/>
  <c r="B1141" i="4" a="1"/>
  <c r="B1141" i="4" s="1"/>
  <c r="B1142" i="4" a="1"/>
  <c r="B1142" i="4" s="1"/>
  <c r="B1143" i="4" a="1"/>
  <c r="B1143" i="4" s="1"/>
  <c r="B1144" i="4" a="1"/>
  <c r="B1144" i="4" s="1"/>
  <c r="B1145" i="4" a="1"/>
  <c r="B1145" i="4" s="1"/>
  <c r="B1146" i="4" a="1"/>
  <c r="B1146" i="4" s="1"/>
  <c r="B1147" i="4" a="1"/>
  <c r="B1147" i="4" s="1"/>
  <c r="B1148" i="4" a="1"/>
  <c r="B1148" i="4" s="1"/>
  <c r="B1149" i="4" a="1"/>
  <c r="B1149" i="4" s="1"/>
  <c r="B1150" i="4" a="1"/>
  <c r="B1150" i="4" s="1"/>
  <c r="B1151" i="4" a="1"/>
  <c r="B1151" i="4" s="1"/>
  <c r="B1152" i="4" a="1"/>
  <c r="B1152" i="4" s="1"/>
  <c r="B1153" i="4" a="1"/>
  <c r="B1153" i="4" s="1"/>
  <c r="B1154" i="4" a="1"/>
  <c r="B1154" i="4" s="1"/>
  <c r="B1155" i="4" a="1"/>
  <c r="B1155" i="4" s="1"/>
  <c r="B1156" i="4" a="1"/>
  <c r="B1156" i="4" s="1"/>
  <c r="B1157" i="4" a="1"/>
  <c r="B1157" i="4" s="1"/>
  <c r="B1158" i="4" a="1"/>
  <c r="B1158" i="4" s="1"/>
  <c r="B1159" i="4" a="1"/>
  <c r="B1159" i="4" s="1"/>
  <c r="B1160" i="4" a="1"/>
  <c r="B1160" i="4" s="1"/>
  <c r="B1161" i="4" a="1"/>
  <c r="B1161" i="4" s="1"/>
  <c r="B1162" i="4" a="1"/>
  <c r="B1162" i="4" s="1"/>
  <c r="B1163" i="4" a="1"/>
  <c r="B1163" i="4" s="1"/>
  <c r="B1164" i="4" a="1"/>
  <c r="B1164" i="4" s="1"/>
  <c r="B1165" i="4" a="1"/>
  <c r="B1165" i="4" s="1"/>
  <c r="B1166" i="4" a="1"/>
  <c r="B1166" i="4" s="1"/>
  <c r="B1167" i="4" a="1"/>
  <c r="B1167" i="4" s="1"/>
  <c r="B1168" i="4" a="1"/>
  <c r="B1168" i="4" s="1"/>
  <c r="B1169" i="4" a="1"/>
  <c r="B1169" i="4" s="1"/>
  <c r="B1170" i="4" a="1"/>
  <c r="B1170" i="4" s="1"/>
  <c r="B1171" i="4" a="1"/>
  <c r="B1171" i="4" s="1"/>
  <c r="B1172" i="4" a="1"/>
  <c r="B1172" i="4" s="1"/>
  <c r="B1173" i="4" a="1"/>
  <c r="B1173" i="4" s="1"/>
  <c r="B1174" i="4" a="1"/>
  <c r="B1174" i="4" s="1"/>
  <c r="B1175" i="4" a="1"/>
  <c r="B1175" i="4" s="1"/>
  <c r="B1176" i="4" a="1"/>
  <c r="B1176" i="4" s="1"/>
  <c r="B1177" i="4" a="1"/>
  <c r="B1177" i="4" s="1"/>
  <c r="B1178" i="4" a="1"/>
  <c r="B1178" i="4" s="1"/>
  <c r="B1179" i="4" a="1"/>
  <c r="B1179" i="4" s="1"/>
  <c r="B1180" i="4" a="1"/>
  <c r="B1180" i="4" s="1"/>
  <c r="B1181" i="4" a="1"/>
  <c r="B1181" i="4" s="1"/>
  <c r="B1182" i="4" a="1"/>
  <c r="B1182" i="4" s="1"/>
  <c r="B1183" i="4" a="1"/>
  <c r="B1183" i="4" s="1"/>
  <c r="B1184" i="4" a="1"/>
  <c r="B1184" i="4" s="1"/>
  <c r="B1185" i="4" a="1"/>
  <c r="B1185" i="4" s="1"/>
  <c r="B1186" i="4" a="1"/>
  <c r="B1186" i="4" s="1"/>
  <c r="B1187" i="4" a="1"/>
  <c r="B1187" i="4" s="1"/>
  <c r="B1188" i="4" a="1"/>
  <c r="B1188" i="4" s="1"/>
  <c r="B1189" i="4" a="1"/>
  <c r="B1189" i="4" s="1"/>
  <c r="B1190" i="4" a="1"/>
  <c r="B1190" i="4" s="1"/>
  <c r="B1191" i="4" a="1"/>
  <c r="B1191" i="4" s="1"/>
  <c r="B1192" i="4" a="1"/>
  <c r="B1192" i="4" s="1"/>
  <c r="B1193" i="4" a="1"/>
  <c r="B1193" i="4" s="1"/>
  <c r="B1194" i="4" a="1"/>
  <c r="B1194" i="4" s="1"/>
  <c r="B1195" i="4" a="1"/>
  <c r="B1195" i="4" s="1"/>
  <c r="B1196" i="4" a="1"/>
  <c r="B1196" i="4" s="1"/>
  <c r="B1197" i="4" a="1"/>
  <c r="B1197" i="4" s="1"/>
  <c r="B1198" i="4" a="1"/>
  <c r="B1198" i="4" s="1"/>
  <c r="B1199" i="4" a="1"/>
  <c r="B1199" i="4" s="1"/>
  <c r="B1200" i="4" a="1"/>
  <c r="B1200" i="4" s="1"/>
  <c r="B1201" i="4" a="1"/>
  <c r="B1201" i="4" s="1"/>
  <c r="B1202" i="4" a="1"/>
  <c r="B1202" i="4" s="1"/>
  <c r="B1203" i="4" a="1"/>
  <c r="B1203" i="4" s="1"/>
  <c r="B1204" i="4" a="1"/>
  <c r="B1204" i="4" s="1"/>
  <c r="B1205" i="4" a="1"/>
  <c r="B1205" i="4" s="1"/>
  <c r="B1206" i="4" a="1"/>
  <c r="B1206" i="4" s="1"/>
  <c r="B1207" i="4" a="1"/>
  <c r="B1207" i="4" s="1"/>
  <c r="B1208" i="4" a="1"/>
  <c r="B1208" i="4" s="1"/>
  <c r="B1209" i="4" a="1"/>
  <c r="B1209" i="4" s="1"/>
  <c r="B1210" i="4" a="1"/>
  <c r="B1210" i="4" s="1"/>
  <c r="B1211" i="4" a="1"/>
  <c r="B1211" i="4" s="1"/>
  <c r="B1212" i="4" a="1"/>
  <c r="B1212" i="4" s="1"/>
  <c r="B1213" i="4" a="1"/>
  <c r="B1213" i="4" s="1"/>
  <c r="B1214" i="4" a="1"/>
  <c r="B1214" i="4" s="1"/>
  <c r="B1215" i="4" a="1"/>
  <c r="B1215" i="4" s="1"/>
  <c r="B1216" i="4" a="1"/>
  <c r="B1216" i="4" s="1"/>
  <c r="B1217" i="4" a="1"/>
  <c r="B1217" i="4" s="1"/>
  <c r="B1218" i="4" a="1"/>
  <c r="B1218" i="4" s="1"/>
  <c r="B1219" i="4" a="1"/>
  <c r="B1219" i="4" s="1"/>
  <c r="B1220" i="4" a="1"/>
  <c r="B1220" i="4" s="1"/>
  <c r="B1221" i="4" a="1"/>
  <c r="B1221" i="4" s="1"/>
  <c r="B1222" i="4" a="1"/>
  <c r="B1222" i="4" s="1"/>
  <c r="B1223" i="4" a="1"/>
  <c r="B1223" i="4" s="1"/>
  <c r="B1224" i="4" a="1"/>
  <c r="B1224" i="4" s="1"/>
  <c r="B1225" i="4" a="1"/>
  <c r="B1225" i="4" s="1"/>
  <c r="B1226" i="4" a="1"/>
  <c r="B1226" i="4" s="1"/>
  <c r="B1227" i="4" a="1"/>
  <c r="B1227" i="4" s="1"/>
  <c r="B1228" i="4" a="1"/>
  <c r="B1228" i="4" s="1"/>
  <c r="B1229" i="4" a="1"/>
  <c r="B1229" i="4" s="1"/>
  <c r="B1230" i="4" a="1"/>
  <c r="B1230" i="4" s="1"/>
  <c r="B1231" i="4" a="1"/>
  <c r="B1231" i="4" s="1"/>
  <c r="B1232" i="4" a="1"/>
  <c r="B1232" i="4" s="1"/>
  <c r="B1233" i="4" a="1"/>
  <c r="B1233" i="4" s="1"/>
  <c r="B1234" i="4" a="1"/>
  <c r="B1234" i="4" s="1"/>
  <c r="B1235" i="4" a="1"/>
  <c r="B1235" i="4" s="1"/>
  <c r="B1236" i="4" a="1"/>
  <c r="B1236" i="4" s="1"/>
  <c r="B1237" i="4" a="1"/>
  <c r="B1237" i="4" s="1"/>
  <c r="B1238" i="4" a="1"/>
  <c r="B1238" i="4" s="1"/>
  <c r="B1239" i="4" a="1"/>
  <c r="B1239" i="4" s="1"/>
  <c r="B1240" i="4" a="1"/>
  <c r="B1240" i="4" s="1"/>
  <c r="B1241" i="4" a="1"/>
  <c r="B1241" i="4" s="1"/>
  <c r="B1242" i="4" a="1"/>
  <c r="B1242" i="4" s="1"/>
  <c r="B1243" i="4" a="1"/>
  <c r="B1243" i="4" s="1"/>
  <c r="B1244" i="4" a="1"/>
  <c r="B1244" i="4" s="1"/>
  <c r="B1245" i="4" a="1"/>
  <c r="B1245" i="4" s="1"/>
  <c r="B1246" i="4" a="1"/>
  <c r="B1246" i="4" s="1"/>
  <c r="B1247" i="4" a="1"/>
  <c r="B1247" i="4" s="1"/>
  <c r="B1248" i="4" a="1"/>
  <c r="B1248" i="4" s="1"/>
  <c r="B1249" i="4" a="1"/>
  <c r="B1249" i="4" s="1"/>
  <c r="B1250" i="4" a="1"/>
  <c r="B1250" i="4" s="1"/>
  <c r="B1251" i="4" a="1"/>
  <c r="B1251" i="4" s="1"/>
  <c r="B1252" i="4" a="1"/>
  <c r="B1252" i="4" s="1"/>
  <c r="B1253" i="4" a="1"/>
  <c r="B1253" i="4" s="1"/>
  <c r="B1254" i="4" a="1"/>
  <c r="B1254" i="4" s="1"/>
  <c r="B1255" i="4" a="1"/>
  <c r="B1255" i="4" s="1"/>
  <c r="B1256" i="4" a="1"/>
  <c r="B1256" i="4" s="1"/>
  <c r="B1257" i="4" a="1"/>
  <c r="B1257" i="4" s="1"/>
  <c r="B1258" i="4" a="1"/>
  <c r="B1258" i="4" s="1"/>
  <c r="B1259" i="4" a="1"/>
  <c r="B1259" i="4" s="1"/>
  <c r="B1260" i="4" a="1"/>
  <c r="B1260" i="4" s="1"/>
  <c r="B1261" i="4" a="1"/>
  <c r="B1261" i="4" s="1"/>
  <c r="B1262" i="4" a="1"/>
  <c r="B1262" i="4"/>
  <c r="B1263" i="4" a="1"/>
  <c r="B1263" i="4" s="1"/>
  <c r="B1264" i="4" a="1"/>
  <c r="B1264" i="4" s="1"/>
  <c r="B1265" i="4" a="1"/>
  <c r="B1265" i="4" s="1"/>
  <c r="B1266" i="4" a="1"/>
  <c r="B1266" i="4" s="1"/>
  <c r="B1267" i="4" a="1"/>
  <c r="B1267" i="4" s="1"/>
  <c r="B1268" i="4" a="1"/>
  <c r="B1268" i="4" s="1"/>
  <c r="B1269" i="4" a="1"/>
  <c r="B1269" i="4" s="1"/>
  <c r="B1270" i="4" a="1"/>
  <c r="B1270" i="4" s="1"/>
  <c r="B1271" i="4" a="1"/>
  <c r="B1271" i="4" s="1"/>
  <c r="B1272" i="4" a="1"/>
  <c r="B1272" i="4" s="1"/>
  <c r="B1273" i="4" a="1"/>
  <c r="B1273" i="4" s="1"/>
  <c r="B1274" i="4" a="1"/>
  <c r="B1274" i="4" s="1"/>
  <c r="B1275" i="4" a="1"/>
  <c r="B1275" i="4" s="1"/>
  <c r="B1276" i="4" a="1"/>
  <c r="B1276" i="4" s="1"/>
  <c r="B1277" i="4" a="1"/>
  <c r="B1277" i="4" s="1"/>
  <c r="B1278" i="4" a="1"/>
  <c r="B1278" i="4" s="1"/>
  <c r="B1279" i="4" a="1"/>
  <c r="B1279" i="4" s="1"/>
  <c r="B1280" i="4" a="1"/>
  <c r="B1280" i="4" s="1"/>
  <c r="B1281" i="4" a="1"/>
  <c r="B1281" i="4" s="1"/>
  <c r="B1282" i="4" a="1"/>
  <c r="B1282" i="4" s="1"/>
  <c r="B1283" i="4" a="1"/>
  <c r="B1283" i="4" s="1"/>
  <c r="B1284" i="4" a="1"/>
  <c r="B1284" i="4" s="1"/>
  <c r="B1285" i="4" a="1"/>
  <c r="B1285" i="4" s="1"/>
  <c r="B1286" i="4" a="1"/>
  <c r="B1286" i="4" s="1"/>
  <c r="B1287" i="4" a="1"/>
  <c r="B1287" i="4" s="1"/>
  <c r="B1288" i="4" a="1"/>
  <c r="B1288" i="4" s="1"/>
  <c r="B1289" i="4" a="1"/>
  <c r="B1289" i="4" s="1"/>
  <c r="B1290" i="4" a="1"/>
  <c r="B1290" i="4" s="1"/>
  <c r="B1291" i="4" a="1"/>
  <c r="B1291" i="4" s="1"/>
  <c r="B1292" i="4" a="1"/>
  <c r="B1292" i="4" s="1"/>
  <c r="B1293" i="4" a="1"/>
  <c r="B1293" i="4" s="1"/>
  <c r="B1294" i="4" a="1"/>
  <c r="B1294" i="4" s="1"/>
  <c r="B1295" i="4" a="1"/>
  <c r="B1295" i="4" s="1"/>
  <c r="B1296" i="4" a="1"/>
  <c r="B1296" i="4" s="1"/>
  <c r="B1297" i="4" a="1"/>
  <c r="B1297" i="4" s="1"/>
  <c r="B1298" i="4" a="1"/>
  <c r="B1298" i="4" s="1"/>
  <c r="B1299" i="4" a="1"/>
  <c r="B1299" i="4" s="1"/>
  <c r="B1300" i="4" a="1"/>
  <c r="B1300" i="4" s="1"/>
  <c r="B1301" i="4" a="1"/>
  <c r="B1301" i="4" s="1"/>
  <c r="B1302" i="4" a="1"/>
  <c r="B1302" i="4" s="1"/>
  <c r="B1303" i="4" a="1"/>
  <c r="B1303" i="4" s="1"/>
  <c r="B1304" i="4" a="1"/>
  <c r="B1304" i="4" s="1"/>
  <c r="B1305" i="4" a="1"/>
  <c r="B1305" i="4" s="1"/>
  <c r="B1306" i="4" a="1"/>
  <c r="B1306" i="4" s="1"/>
  <c r="B1307" i="4" a="1"/>
  <c r="B1307" i="4" s="1"/>
  <c r="B1308" i="4" a="1"/>
  <c r="B1308" i="4" s="1"/>
  <c r="B1309" i="4" a="1"/>
  <c r="B1309" i="4" s="1"/>
  <c r="B1310" i="4" a="1"/>
  <c r="B1310" i="4" s="1"/>
  <c r="B1311" i="4" a="1"/>
  <c r="B1311" i="4" s="1"/>
  <c r="B1312" i="4" a="1"/>
  <c r="B1312" i="4" s="1"/>
  <c r="B1313" i="4" a="1"/>
  <c r="B1313" i="4" s="1"/>
  <c r="B1314" i="4" a="1"/>
  <c r="B1314" i="4" s="1"/>
  <c r="B1315" i="4" a="1"/>
  <c r="B1315" i="4" s="1"/>
  <c r="B1316" i="4" a="1"/>
  <c r="B1316" i="4" s="1"/>
  <c r="B1317" i="4" a="1"/>
  <c r="B1317" i="4" s="1"/>
  <c r="B1318" i="4" a="1"/>
  <c r="B1318" i="4" s="1"/>
  <c r="B1319" i="4" a="1"/>
  <c r="B1319" i="4" s="1"/>
  <c r="B1320" i="4" a="1"/>
  <c r="B1320" i="4" s="1"/>
  <c r="B1321" i="4" a="1"/>
  <c r="B1321" i="4" s="1"/>
  <c r="B1322" i="4" a="1"/>
  <c r="B1322" i="4" s="1"/>
  <c r="B1323" i="4" a="1"/>
  <c r="B1323" i="4" s="1"/>
  <c r="B1324" i="4" a="1"/>
  <c r="B1324" i="4" s="1"/>
  <c r="B1325" i="4" a="1"/>
  <c r="B1325" i="4" s="1"/>
  <c r="B1326" i="4" a="1"/>
  <c r="B1326" i="4" s="1"/>
  <c r="B1327" i="4" a="1"/>
  <c r="B1327" i="4" s="1"/>
  <c r="B1328" i="4" a="1"/>
  <c r="B1328" i="4" s="1"/>
  <c r="B1329" i="4" a="1"/>
  <c r="B1329" i="4" s="1"/>
  <c r="B1330" i="4" a="1"/>
  <c r="B1330" i="4" s="1"/>
  <c r="B1331" i="4" a="1"/>
  <c r="B1331" i="4" s="1"/>
  <c r="B1332" i="4" a="1"/>
  <c r="B1332" i="4" s="1"/>
  <c r="B1333" i="4" a="1"/>
  <c r="B1333" i="4" s="1"/>
  <c r="B1334" i="4" a="1"/>
  <c r="B1334" i="4" s="1"/>
  <c r="B1335" i="4" a="1"/>
  <c r="B1335" i="4" s="1"/>
  <c r="B1336" i="4" a="1"/>
  <c r="B1336" i="4" s="1"/>
  <c r="B1337" i="4" a="1"/>
  <c r="B1337" i="4" s="1"/>
  <c r="B1338" i="4" a="1"/>
  <c r="B1338" i="4" s="1"/>
  <c r="B1339" i="4" a="1"/>
  <c r="B1339" i="4" s="1"/>
  <c r="B1340" i="4" a="1"/>
  <c r="B1340" i="4" s="1"/>
  <c r="B1341" i="4" a="1"/>
  <c r="B1341" i="4" s="1"/>
  <c r="B1342" i="4" a="1"/>
  <c r="B1342" i="4" s="1"/>
  <c r="B1343" i="4" a="1"/>
  <c r="B1343" i="4" s="1"/>
  <c r="B1344" i="4" a="1"/>
  <c r="B1344" i="4" s="1"/>
  <c r="B1345" i="4" a="1"/>
  <c r="B1345" i="4" s="1"/>
  <c r="B1346" i="4" a="1"/>
  <c r="B1346" i="4" s="1"/>
  <c r="B1347" i="4" a="1"/>
  <c r="B1347" i="4" s="1"/>
  <c r="B1348" i="4" a="1"/>
  <c r="B1348" i="4" s="1"/>
  <c r="B1349" i="4" a="1"/>
  <c r="B1349" i="4" s="1"/>
  <c r="B1350" i="4" a="1"/>
  <c r="B1350" i="4" s="1"/>
  <c r="B1351" i="4" a="1"/>
  <c r="B1351" i="4" s="1"/>
  <c r="B1352" i="4" a="1"/>
  <c r="B1352" i="4" s="1"/>
  <c r="B1353" i="4" a="1"/>
  <c r="B1353" i="4" s="1"/>
  <c r="B1354" i="4" a="1"/>
  <c r="B1354" i="4" s="1"/>
  <c r="B1355" i="4" a="1"/>
  <c r="B1355" i="4" s="1"/>
  <c r="B1356" i="4" a="1"/>
  <c r="B1356" i="4" s="1"/>
  <c r="B1357" i="4" a="1"/>
  <c r="B1357" i="4" s="1"/>
  <c r="B1358" i="4" a="1"/>
  <c r="B1358" i="4"/>
  <c r="B1359" i="4" a="1"/>
  <c r="B1359" i="4" s="1"/>
  <c r="C701" i="4" a="1"/>
  <c r="C701" i="4" s="1"/>
  <c r="C702" i="4" a="1"/>
  <c r="C702" i="4" s="1"/>
  <c r="C703" i="4" a="1"/>
  <c r="C703" i="4" s="1"/>
  <c r="C704" i="4" a="1"/>
  <c r="C704" i="4" s="1"/>
  <c r="C705" i="4" a="1"/>
  <c r="C705" i="4" s="1"/>
  <c r="C706" i="4" a="1"/>
  <c r="C706" i="4" s="1"/>
  <c r="C707" i="4" a="1"/>
  <c r="C707" i="4" s="1"/>
  <c r="C708" i="4" a="1"/>
  <c r="C708" i="4" s="1"/>
  <c r="C709" i="4" a="1"/>
  <c r="C709" i="4" s="1"/>
  <c r="C710" i="4" a="1"/>
  <c r="C710" i="4" s="1"/>
  <c r="C711" i="4" a="1"/>
  <c r="C711" i="4" s="1"/>
  <c r="C712" i="4" a="1"/>
  <c r="C712" i="4" s="1"/>
  <c r="C713" i="4" a="1"/>
  <c r="C713" i="4" s="1"/>
  <c r="C714" i="4" a="1"/>
  <c r="C714" i="4" s="1"/>
  <c r="C715" i="4" a="1"/>
  <c r="C715" i="4" s="1"/>
  <c r="C716" i="4" a="1"/>
  <c r="C716" i="4" s="1"/>
  <c r="C717" i="4" a="1"/>
  <c r="C717" i="4" s="1"/>
  <c r="C718" i="4" a="1"/>
  <c r="C718" i="4" s="1"/>
  <c r="C719" i="4" a="1"/>
  <c r="C719" i="4" s="1"/>
  <c r="C720" i="4" a="1"/>
  <c r="C720" i="4" s="1"/>
  <c r="C721" i="4" a="1"/>
  <c r="C721" i="4" s="1"/>
  <c r="C722" i="4" a="1"/>
  <c r="C722" i="4" s="1"/>
  <c r="C723" i="4" a="1"/>
  <c r="C723" i="4" s="1"/>
  <c r="C724" i="4" a="1"/>
  <c r="C724" i="4" s="1"/>
  <c r="C725" i="4" a="1"/>
  <c r="C725" i="4" s="1"/>
  <c r="C726" i="4" a="1"/>
  <c r="C726" i="4" s="1"/>
  <c r="C727" i="4" a="1"/>
  <c r="C727" i="4" s="1"/>
  <c r="C728" i="4" a="1"/>
  <c r="C728" i="4" s="1"/>
  <c r="C729" i="4" a="1"/>
  <c r="C729" i="4" s="1"/>
  <c r="C730" i="4" a="1"/>
  <c r="C730" i="4" s="1"/>
  <c r="C731" i="4" a="1"/>
  <c r="C731" i="4" s="1"/>
  <c r="C732" i="4" a="1"/>
  <c r="C732" i="4" s="1"/>
  <c r="C733" i="4" a="1"/>
  <c r="C733" i="4" s="1"/>
  <c r="C734" i="4" a="1"/>
  <c r="C734" i="4" s="1"/>
  <c r="C735" i="4" a="1"/>
  <c r="C735" i="4" s="1"/>
  <c r="C736" i="4" a="1"/>
  <c r="C736" i="4" s="1"/>
  <c r="C737" i="4" a="1"/>
  <c r="C737" i="4" s="1"/>
  <c r="C738" i="4" a="1"/>
  <c r="C738" i="4" s="1"/>
  <c r="C739" i="4" a="1"/>
  <c r="C739" i="4" s="1"/>
  <c r="C740" i="4" a="1"/>
  <c r="C740" i="4" s="1"/>
  <c r="C741" i="4" a="1"/>
  <c r="C741" i="4" s="1"/>
  <c r="C742" i="4" a="1"/>
  <c r="C742" i="4" s="1"/>
  <c r="C743" i="4" a="1"/>
  <c r="C743" i="4" s="1"/>
  <c r="C744" i="4" a="1"/>
  <c r="C744" i="4" s="1"/>
  <c r="C745" i="4" a="1"/>
  <c r="C745" i="4" s="1"/>
  <c r="C746" i="4" a="1"/>
  <c r="C746" i="4" s="1"/>
  <c r="C747" i="4" a="1"/>
  <c r="C747" i="4"/>
  <c r="C748" i="4" a="1"/>
  <c r="C748" i="4" s="1"/>
  <c r="C749" i="4" a="1"/>
  <c r="C749" i="4" s="1"/>
  <c r="C750" i="4" a="1"/>
  <c r="C750" i="4" s="1"/>
  <c r="C751" i="4" a="1"/>
  <c r="C751" i="4" s="1"/>
  <c r="C752" i="4" a="1"/>
  <c r="C752" i="4" s="1"/>
  <c r="C753" i="4" a="1"/>
  <c r="C753" i="4" s="1"/>
  <c r="C754" i="4" a="1"/>
  <c r="C754" i="4" s="1"/>
  <c r="C755" i="4" a="1"/>
  <c r="C755" i="4" s="1"/>
  <c r="C756" i="4" a="1"/>
  <c r="C756" i="4" s="1"/>
  <c r="C757" i="4" a="1"/>
  <c r="C757" i="4" s="1"/>
  <c r="C758" i="4" a="1"/>
  <c r="C758" i="4" s="1"/>
  <c r="C759" i="4" a="1"/>
  <c r="C759" i="4" s="1"/>
  <c r="C760" i="4" a="1"/>
  <c r="C760" i="4" s="1"/>
  <c r="C761" i="4" a="1"/>
  <c r="C761" i="4" s="1"/>
  <c r="C762" i="4" a="1"/>
  <c r="C762" i="4" s="1"/>
  <c r="C763" i="4" a="1"/>
  <c r="C763" i="4" s="1"/>
  <c r="C764" i="4" a="1"/>
  <c r="C764" i="4" s="1"/>
  <c r="C765" i="4" a="1"/>
  <c r="C765" i="4" s="1"/>
  <c r="C766" i="4" a="1"/>
  <c r="C766" i="4" s="1"/>
  <c r="C767" i="4" a="1"/>
  <c r="C767" i="4" s="1"/>
  <c r="C768" i="4" a="1"/>
  <c r="C768" i="4" s="1"/>
  <c r="C769" i="4" a="1"/>
  <c r="C769" i="4" s="1"/>
  <c r="C770" i="4" a="1"/>
  <c r="C770" i="4" s="1"/>
  <c r="C771" i="4" a="1"/>
  <c r="C771" i="4" s="1"/>
  <c r="C772" i="4" a="1"/>
  <c r="C772" i="4" s="1"/>
  <c r="C773" i="4" a="1"/>
  <c r="C773" i="4" s="1"/>
  <c r="C774" i="4" a="1"/>
  <c r="C774" i="4" s="1"/>
  <c r="C775" i="4" a="1"/>
  <c r="C775" i="4" s="1"/>
  <c r="C776" i="4" a="1"/>
  <c r="C776" i="4" s="1"/>
  <c r="C777" i="4" a="1"/>
  <c r="C777" i="4" s="1"/>
  <c r="C778" i="4" a="1"/>
  <c r="C778" i="4" s="1"/>
  <c r="C779" i="4" a="1"/>
  <c r="C779" i="4" s="1"/>
  <c r="C780" i="4" a="1"/>
  <c r="C780" i="4"/>
  <c r="C781" i="4" a="1"/>
  <c r="C781" i="4" s="1"/>
  <c r="C782" i="4" a="1"/>
  <c r="C782" i="4" s="1"/>
  <c r="C783" i="4" a="1"/>
  <c r="C783" i="4" s="1"/>
  <c r="C784" i="4" a="1"/>
  <c r="C784" i="4" s="1"/>
  <c r="C785" i="4" a="1"/>
  <c r="C785" i="4" s="1"/>
  <c r="C786" i="4" a="1"/>
  <c r="C786" i="4" s="1"/>
  <c r="C787" i="4" a="1"/>
  <c r="C787" i="4" s="1"/>
  <c r="C788" i="4" a="1"/>
  <c r="C788" i="4" s="1"/>
  <c r="C789" i="4" a="1"/>
  <c r="C789" i="4"/>
  <c r="C790" i="4" a="1"/>
  <c r="C790" i="4" s="1"/>
  <c r="C791" i="4" a="1"/>
  <c r="C791" i="4" s="1"/>
  <c r="C792" i="4" a="1"/>
  <c r="C792" i="4" s="1"/>
  <c r="C793" i="4" a="1"/>
  <c r="C793" i="4" s="1"/>
  <c r="C794" i="4" a="1"/>
  <c r="C794" i="4" s="1"/>
  <c r="C795" i="4" a="1"/>
  <c r="C795" i="4" s="1"/>
  <c r="C796" i="4" a="1"/>
  <c r="C796" i="4" s="1"/>
  <c r="C797" i="4" a="1"/>
  <c r="C797" i="4" s="1"/>
  <c r="C798" i="4" a="1"/>
  <c r="C798" i="4" s="1"/>
  <c r="C799" i="4" a="1"/>
  <c r="C799" i="4" s="1"/>
  <c r="C800" i="4" a="1"/>
  <c r="C800" i="4" s="1"/>
  <c r="C801" i="4" a="1"/>
  <c r="C801" i="4"/>
  <c r="C802" i="4" a="1"/>
  <c r="C802" i="4" s="1"/>
  <c r="C803" i="4" a="1"/>
  <c r="C803" i="4" s="1"/>
  <c r="C804" i="4" a="1"/>
  <c r="C804" i="4" s="1"/>
  <c r="C805" i="4" a="1"/>
  <c r="C805" i="4" s="1"/>
  <c r="C806" i="4" a="1"/>
  <c r="C806" i="4" s="1"/>
  <c r="C807" i="4" a="1"/>
  <c r="C807" i="4" s="1"/>
  <c r="C808" i="4" a="1"/>
  <c r="C808" i="4" s="1"/>
  <c r="C809" i="4" a="1"/>
  <c r="C809" i="4" s="1"/>
  <c r="C810" i="4" a="1"/>
  <c r="C810" i="4" s="1"/>
  <c r="C811" i="4" a="1"/>
  <c r="C811" i="4" s="1"/>
  <c r="C812" i="4" a="1"/>
  <c r="C812" i="4" s="1"/>
  <c r="C813" i="4" a="1"/>
  <c r="C813" i="4" s="1"/>
  <c r="C814" i="4" a="1"/>
  <c r="C814" i="4" s="1"/>
  <c r="C815" i="4" a="1"/>
  <c r="C815" i="4" s="1"/>
  <c r="C816" i="4" a="1"/>
  <c r="C816" i="4" s="1"/>
  <c r="C817" i="4" a="1"/>
  <c r="C817" i="4" s="1"/>
  <c r="C818" i="4" a="1"/>
  <c r="C818" i="4" s="1"/>
  <c r="C819" i="4" a="1"/>
  <c r="C819" i="4" s="1"/>
  <c r="C820" i="4" a="1"/>
  <c r="C820" i="4" s="1"/>
  <c r="C821" i="4" a="1"/>
  <c r="C821" i="4" s="1"/>
  <c r="C822" i="4" a="1"/>
  <c r="C822" i="4" s="1"/>
  <c r="C823" i="4" a="1"/>
  <c r="C823" i="4" s="1"/>
  <c r="C824" i="4" a="1"/>
  <c r="C824" i="4" s="1"/>
  <c r="C825" i="4" a="1"/>
  <c r="C825" i="4"/>
  <c r="C826" i="4" a="1"/>
  <c r="C826" i="4" s="1"/>
  <c r="C827" i="4" a="1"/>
  <c r="C827" i="4" s="1"/>
  <c r="C828" i="4" a="1"/>
  <c r="C828" i="4" s="1"/>
  <c r="C829" i="4" a="1"/>
  <c r="C829" i="4" s="1"/>
  <c r="C830" i="4" a="1"/>
  <c r="C830" i="4" s="1"/>
  <c r="C831" i="4" a="1"/>
  <c r="C831" i="4" s="1"/>
  <c r="C832" i="4" a="1"/>
  <c r="C832" i="4" s="1"/>
  <c r="C833" i="4" a="1"/>
  <c r="C833" i="4" s="1"/>
  <c r="C834" i="4" a="1"/>
  <c r="C834" i="4" s="1"/>
  <c r="C835" i="4" a="1"/>
  <c r="C835" i="4" s="1"/>
  <c r="C836" i="4" a="1"/>
  <c r="C836" i="4" s="1"/>
  <c r="C837" i="4" a="1"/>
  <c r="C837" i="4" s="1"/>
  <c r="C838" i="4" a="1"/>
  <c r="C838" i="4" s="1"/>
  <c r="C839" i="4" a="1"/>
  <c r="C839" i="4"/>
  <c r="C840" i="4" a="1"/>
  <c r="C840" i="4" s="1"/>
  <c r="C841" i="4" a="1"/>
  <c r="C841" i="4" s="1"/>
  <c r="C842" i="4" a="1"/>
  <c r="C842" i="4" s="1"/>
  <c r="C843" i="4" a="1"/>
  <c r="C843" i="4" s="1"/>
  <c r="C844" i="4" a="1"/>
  <c r="C844" i="4"/>
  <c r="C845" i="4" a="1"/>
  <c r="C845" i="4" s="1"/>
  <c r="C846" i="4" a="1"/>
  <c r="C846" i="4" s="1"/>
  <c r="C847" i="4" a="1"/>
  <c r="C847" i="4" s="1"/>
  <c r="C848" i="4" a="1"/>
  <c r="C848" i="4" s="1"/>
  <c r="C849" i="4" a="1"/>
  <c r="C849" i="4" s="1"/>
  <c r="C850" i="4" a="1"/>
  <c r="C850" i="4" s="1"/>
  <c r="C851" i="4" a="1"/>
  <c r="C851" i="4" s="1"/>
  <c r="C852" i="4" a="1"/>
  <c r="C852" i="4" s="1"/>
  <c r="C853" i="4" a="1"/>
  <c r="C853" i="4" s="1"/>
  <c r="C854" i="4" a="1"/>
  <c r="C854" i="4" s="1"/>
  <c r="C855" i="4" a="1"/>
  <c r="C855" i="4" s="1"/>
  <c r="C856" i="4" a="1"/>
  <c r="C856" i="4" s="1"/>
  <c r="C857" i="4" a="1"/>
  <c r="C857" i="4" s="1"/>
  <c r="C858" i="4" a="1"/>
  <c r="C858" i="4" s="1"/>
  <c r="C859" i="4" a="1"/>
  <c r="C859" i="4" s="1"/>
  <c r="C860" i="4" a="1"/>
  <c r="C860" i="4" s="1"/>
  <c r="C861" i="4" a="1"/>
  <c r="C861" i="4"/>
  <c r="C862" i="4" a="1"/>
  <c r="C862" i="4" s="1"/>
  <c r="C863" i="4" a="1"/>
  <c r="C863" i="4" s="1"/>
  <c r="C864" i="4" a="1"/>
  <c r="C864" i="4" s="1"/>
  <c r="C865" i="4" a="1"/>
  <c r="C865" i="4" s="1"/>
  <c r="C866" i="4" a="1"/>
  <c r="C866" i="4" s="1"/>
  <c r="C867" i="4" a="1"/>
  <c r="C867" i="4" s="1"/>
  <c r="C868" i="4" a="1"/>
  <c r="C868" i="4" s="1"/>
  <c r="C869" i="4" a="1"/>
  <c r="C869" i="4" s="1"/>
  <c r="C870" i="4" a="1"/>
  <c r="C870" i="4" s="1"/>
  <c r="C871" i="4" a="1"/>
  <c r="C871" i="4" s="1"/>
  <c r="C872" i="4" a="1"/>
  <c r="C872" i="4" s="1"/>
  <c r="C873" i="4" a="1"/>
  <c r="C873" i="4" s="1"/>
  <c r="C874" i="4" a="1"/>
  <c r="C874" i="4" s="1"/>
  <c r="C875" i="4" a="1"/>
  <c r="C875" i="4" s="1"/>
  <c r="C876" i="4" a="1"/>
  <c r="C876" i="4" s="1"/>
  <c r="C877" i="4" a="1"/>
  <c r="C877" i="4" s="1"/>
  <c r="C878" i="4" a="1"/>
  <c r="C878" i="4" s="1"/>
  <c r="C879" i="4" a="1"/>
  <c r="C879" i="4" s="1"/>
  <c r="C880" i="4" a="1"/>
  <c r="C880" i="4" s="1"/>
  <c r="C881" i="4" a="1"/>
  <c r="C881" i="4" s="1"/>
  <c r="C882" i="4" a="1"/>
  <c r="C882" i="4" s="1"/>
  <c r="C883" i="4" a="1"/>
  <c r="C883" i="4" s="1"/>
  <c r="C884" i="4" a="1"/>
  <c r="C884" i="4" s="1"/>
  <c r="C885" i="4" a="1"/>
  <c r="C885" i="4" s="1"/>
  <c r="C886" i="4" a="1"/>
  <c r="C886" i="4" s="1"/>
  <c r="C887" i="4" a="1"/>
  <c r="C887" i="4" s="1"/>
  <c r="C888" i="4" a="1"/>
  <c r="C888" i="4"/>
  <c r="C889" i="4" a="1"/>
  <c r="C889" i="4" s="1"/>
  <c r="C890" i="4" a="1"/>
  <c r="C890" i="4" s="1"/>
  <c r="C891" i="4" a="1"/>
  <c r="C891" i="4" s="1"/>
  <c r="C892" i="4" a="1"/>
  <c r="C892" i="4" s="1"/>
  <c r="C893" i="4" a="1"/>
  <c r="C893" i="4" s="1"/>
  <c r="C894" i="4" a="1"/>
  <c r="C894" i="4" s="1"/>
  <c r="C895" i="4" a="1"/>
  <c r="C895" i="4" s="1"/>
  <c r="C896" i="4" a="1"/>
  <c r="C896" i="4" s="1"/>
  <c r="C897" i="4" a="1"/>
  <c r="C897" i="4" s="1"/>
  <c r="C898" i="4" a="1"/>
  <c r="C898" i="4" s="1"/>
  <c r="C899" i="4" a="1"/>
  <c r="C899" i="4" s="1"/>
  <c r="C900" i="4" a="1"/>
  <c r="C900" i="4" s="1"/>
  <c r="C901" i="4" a="1"/>
  <c r="C901" i="4" s="1"/>
  <c r="C902" i="4" a="1"/>
  <c r="C902" i="4" s="1"/>
  <c r="C903" i="4" a="1"/>
  <c r="C903" i="4" s="1"/>
  <c r="C904" i="4" a="1"/>
  <c r="C904" i="4" s="1"/>
  <c r="C905" i="4" a="1"/>
  <c r="C905" i="4" s="1"/>
  <c r="C906" i="4" a="1"/>
  <c r="C906" i="4" s="1"/>
  <c r="C907" i="4" a="1"/>
  <c r="C907" i="4" s="1"/>
  <c r="C908" i="4" a="1"/>
  <c r="C908" i="4" s="1"/>
  <c r="C909" i="4" a="1"/>
  <c r="C909" i="4" s="1"/>
  <c r="C910" i="4" a="1"/>
  <c r="C910" i="4" s="1"/>
  <c r="C911" i="4" a="1"/>
  <c r="C911" i="4" s="1"/>
  <c r="C912" i="4" a="1"/>
  <c r="C912" i="4" s="1"/>
  <c r="C913" i="4" a="1"/>
  <c r="C913" i="4" s="1"/>
  <c r="C914" i="4" a="1"/>
  <c r="C914" i="4" s="1"/>
  <c r="C915" i="4" a="1"/>
  <c r="C915" i="4" s="1"/>
  <c r="C916" i="4" a="1"/>
  <c r="C916" i="4" s="1"/>
  <c r="C917" i="4" a="1"/>
  <c r="C917" i="4" s="1"/>
  <c r="C918" i="4" a="1"/>
  <c r="C918" i="4" s="1"/>
  <c r="C919" i="4" a="1"/>
  <c r="C919" i="4" s="1"/>
  <c r="C920" i="4" a="1"/>
  <c r="C920" i="4" s="1"/>
  <c r="C921" i="4" a="1"/>
  <c r="C921" i="4" s="1"/>
  <c r="C922" i="4" a="1"/>
  <c r="C922" i="4" s="1"/>
  <c r="C923" i="4" a="1"/>
  <c r="C923" i="4" s="1"/>
  <c r="C924" i="4" a="1"/>
  <c r="C924" i="4" s="1"/>
  <c r="C925" i="4" a="1"/>
  <c r="C925" i="4" s="1"/>
  <c r="C926" i="4" a="1"/>
  <c r="C926" i="4" s="1"/>
  <c r="C927" i="4" a="1"/>
  <c r="C927" i="4" s="1"/>
  <c r="C928" i="4" a="1"/>
  <c r="C928" i="4" s="1"/>
  <c r="C929" i="4" a="1"/>
  <c r="C929" i="4" s="1"/>
  <c r="C930" i="4" a="1"/>
  <c r="C930" i="4" s="1"/>
  <c r="C931" i="4" a="1"/>
  <c r="C931" i="4" s="1"/>
  <c r="C932" i="4" a="1"/>
  <c r="C932" i="4" s="1"/>
  <c r="C933" i="4" a="1"/>
  <c r="C933" i="4" s="1"/>
  <c r="C934" i="4" a="1"/>
  <c r="C934" i="4" s="1"/>
  <c r="C935" i="4" a="1"/>
  <c r="C935" i="4" s="1"/>
  <c r="C936" i="4" a="1"/>
  <c r="C936" i="4" s="1"/>
  <c r="C937" i="4" a="1"/>
  <c r="C937" i="4" s="1"/>
  <c r="C938" i="4" a="1"/>
  <c r="C938" i="4" s="1"/>
  <c r="C939" i="4" a="1"/>
  <c r="C939" i="4" s="1"/>
  <c r="C940" i="4" a="1"/>
  <c r="C940" i="4" s="1"/>
  <c r="C941" i="4" a="1"/>
  <c r="C941" i="4" s="1"/>
  <c r="C942" i="4" a="1"/>
  <c r="C942" i="4" s="1"/>
  <c r="C943" i="4" a="1"/>
  <c r="C943" i="4" s="1"/>
  <c r="C944" i="4" a="1"/>
  <c r="C944" i="4" s="1"/>
  <c r="C945" i="4" a="1"/>
  <c r="C945" i="4" s="1"/>
  <c r="C946" i="4" a="1"/>
  <c r="C946" i="4" s="1"/>
  <c r="C947" i="4" a="1"/>
  <c r="C947" i="4" s="1"/>
  <c r="C948" i="4" a="1"/>
  <c r="C948" i="4" s="1"/>
  <c r="C949" i="4" a="1"/>
  <c r="C949" i="4" s="1"/>
  <c r="C950" i="4" a="1"/>
  <c r="C950" i="4" s="1"/>
  <c r="C951" i="4" a="1"/>
  <c r="C951" i="4" s="1"/>
  <c r="C952" i="4" a="1"/>
  <c r="C952" i="4" s="1"/>
  <c r="C953" i="4" a="1"/>
  <c r="C953" i="4" s="1"/>
  <c r="C954" i="4" a="1"/>
  <c r="C954" i="4" s="1"/>
  <c r="C955" i="4" a="1"/>
  <c r="C955" i="4" s="1"/>
  <c r="C956" i="4" a="1"/>
  <c r="C956" i="4" s="1"/>
  <c r="C957" i="4" a="1"/>
  <c r="C957" i="4" s="1"/>
  <c r="C958" i="4" a="1"/>
  <c r="C958" i="4" s="1"/>
  <c r="C959" i="4" a="1"/>
  <c r="C959" i="4" s="1"/>
  <c r="C960" i="4" a="1"/>
  <c r="C960" i="4" s="1"/>
  <c r="C961" i="4" a="1"/>
  <c r="C961" i="4" s="1"/>
  <c r="C962" i="4" a="1"/>
  <c r="C962" i="4" s="1"/>
  <c r="C963" i="4" a="1"/>
  <c r="C963" i="4" s="1"/>
  <c r="C964" i="4" a="1"/>
  <c r="C964" i="4" s="1"/>
  <c r="C965" i="4" a="1"/>
  <c r="C965" i="4" s="1"/>
  <c r="C966" i="4" a="1"/>
  <c r="C966" i="4" s="1"/>
  <c r="C967" i="4" a="1"/>
  <c r="C967" i="4" s="1"/>
  <c r="C968" i="4" a="1"/>
  <c r="C968" i="4" s="1"/>
  <c r="C969" i="4" a="1"/>
  <c r="C969" i="4" s="1"/>
  <c r="C970" i="4" a="1"/>
  <c r="C970" i="4" s="1"/>
  <c r="C971" i="4" a="1"/>
  <c r="C971" i="4" s="1"/>
  <c r="C972" i="4" a="1"/>
  <c r="C972" i="4" s="1"/>
  <c r="C973" i="4" a="1"/>
  <c r="C973" i="4" s="1"/>
  <c r="C974" i="4" a="1"/>
  <c r="C974" i="4" s="1"/>
  <c r="C975" i="4" a="1"/>
  <c r="C975" i="4" s="1"/>
  <c r="C976" i="4" a="1"/>
  <c r="C976" i="4" s="1"/>
  <c r="C977" i="4" a="1"/>
  <c r="C977" i="4" s="1"/>
  <c r="C978" i="4" a="1"/>
  <c r="C978" i="4" s="1"/>
  <c r="C979" i="4" a="1"/>
  <c r="C979" i="4" s="1"/>
  <c r="C980" i="4" a="1"/>
  <c r="C980" i="4" s="1"/>
  <c r="C981" i="4" a="1"/>
  <c r="C981" i="4" s="1"/>
  <c r="C982" i="4" a="1"/>
  <c r="C982" i="4" s="1"/>
  <c r="C983" i="4" a="1"/>
  <c r="C983" i="4" s="1"/>
  <c r="C984" i="4" a="1"/>
  <c r="C984" i="4" s="1"/>
  <c r="C985" i="4" a="1"/>
  <c r="C985" i="4" s="1"/>
  <c r="C986" i="4" a="1"/>
  <c r="C986" i="4" s="1"/>
  <c r="C987" i="4" a="1"/>
  <c r="C987" i="4" s="1"/>
  <c r="C988" i="4" a="1"/>
  <c r="C988" i="4" s="1"/>
  <c r="C989" i="4" a="1"/>
  <c r="C989" i="4" s="1"/>
  <c r="C990" i="4" a="1"/>
  <c r="C990" i="4" s="1"/>
  <c r="C991" i="4" a="1"/>
  <c r="C991" i="4" s="1"/>
  <c r="C992" i="4" a="1"/>
  <c r="C992" i="4" s="1"/>
  <c r="C993" i="4" a="1"/>
  <c r="C993" i="4" s="1"/>
  <c r="C994" i="4" a="1"/>
  <c r="C994" i="4" s="1"/>
  <c r="C995" i="4" a="1"/>
  <c r="C995" i="4" s="1"/>
  <c r="C996" i="4" a="1"/>
  <c r="C996" i="4" s="1"/>
  <c r="C997" i="4" a="1"/>
  <c r="C997" i="4" s="1"/>
  <c r="C998" i="4" a="1"/>
  <c r="C998" i="4" s="1"/>
  <c r="C999" i="4" a="1"/>
  <c r="C999" i="4" s="1"/>
  <c r="C1000" i="4" a="1"/>
  <c r="C1000" i="4" s="1"/>
  <c r="C1001" i="4" a="1"/>
  <c r="C1001" i="4" s="1"/>
  <c r="C1002" i="4" a="1"/>
  <c r="C1002" i="4" s="1"/>
  <c r="C1003" i="4" a="1"/>
  <c r="C1003" i="4" s="1"/>
  <c r="C1004" i="4" a="1"/>
  <c r="C1004" i="4" s="1"/>
  <c r="C1005" i="4" a="1"/>
  <c r="C1005" i="4" s="1"/>
  <c r="C1006" i="4" a="1"/>
  <c r="C1006" i="4" s="1"/>
  <c r="C1007" i="4" a="1"/>
  <c r="C1007" i="4" s="1"/>
  <c r="C1008" i="4" a="1"/>
  <c r="C1008" i="4" s="1"/>
  <c r="C1009" i="4" a="1"/>
  <c r="C1009" i="4" s="1"/>
  <c r="C1010" i="4" a="1"/>
  <c r="C1010" i="4" s="1"/>
  <c r="C1011" i="4" a="1"/>
  <c r="C1011" i="4" s="1"/>
  <c r="C1012" i="4" a="1"/>
  <c r="C1012" i="4" s="1"/>
  <c r="C1013" i="4" a="1"/>
  <c r="C1013" i="4" s="1"/>
  <c r="C1014" i="4" a="1"/>
  <c r="C1014" i="4" s="1"/>
  <c r="C1015" i="4" a="1"/>
  <c r="C1015" i="4" s="1"/>
  <c r="C1016" i="4" a="1"/>
  <c r="C1016" i="4" s="1"/>
  <c r="C1017" i="4" a="1"/>
  <c r="C1017" i="4" s="1"/>
  <c r="C1018" i="4" a="1"/>
  <c r="C1018" i="4" s="1"/>
  <c r="C1019" i="4" a="1"/>
  <c r="C1019" i="4" s="1"/>
  <c r="C1020" i="4" a="1"/>
  <c r="C1020" i="4" s="1"/>
  <c r="C1021" i="4" a="1"/>
  <c r="C1021" i="4" s="1"/>
  <c r="C1022" i="4" a="1"/>
  <c r="C1022" i="4" s="1"/>
  <c r="C1023" i="4" a="1"/>
  <c r="C1023" i="4" s="1"/>
  <c r="C1024" i="4" a="1"/>
  <c r="C1024" i="4" s="1"/>
  <c r="C1025" i="4" a="1"/>
  <c r="C1025" i="4" s="1"/>
  <c r="C1026" i="4" a="1"/>
  <c r="C1026" i="4" s="1"/>
  <c r="C1027" i="4" a="1"/>
  <c r="C1027" i="4" s="1"/>
  <c r="C1028" i="4" a="1"/>
  <c r="C1028" i="4" s="1"/>
  <c r="C1029" i="4" a="1"/>
  <c r="C1029" i="4"/>
  <c r="C1030" i="4" a="1"/>
  <c r="C1030" i="4" s="1"/>
  <c r="C1031" i="4" a="1"/>
  <c r="C1031" i="4" s="1"/>
  <c r="C1032" i="4" a="1"/>
  <c r="C1032" i="4" s="1"/>
  <c r="C1033" i="4" a="1"/>
  <c r="C1033" i="4" s="1"/>
  <c r="C1034" i="4" a="1"/>
  <c r="C1034" i="4" s="1"/>
  <c r="C1035" i="4" a="1"/>
  <c r="C1035" i="4" s="1"/>
  <c r="C1036" i="4" a="1"/>
  <c r="C1036" i="4" s="1"/>
  <c r="C1037" i="4" a="1"/>
  <c r="C1037" i="4"/>
  <c r="C1038" i="4" a="1"/>
  <c r="C1038" i="4" s="1"/>
  <c r="C1039" i="4" a="1"/>
  <c r="C1039" i="4" s="1"/>
  <c r="C1040" i="4" a="1"/>
  <c r="C1040" i="4" s="1"/>
  <c r="C1041" i="4" a="1"/>
  <c r="C1041" i="4"/>
  <c r="C1042" i="4" a="1"/>
  <c r="C1042" i="4"/>
  <c r="C1043" i="4" a="1"/>
  <c r="C1043" i="4" s="1"/>
  <c r="C1044" i="4" a="1"/>
  <c r="C1044" i="4" s="1"/>
  <c r="C1045" i="4" a="1"/>
  <c r="C1045" i="4" s="1"/>
  <c r="C1046" i="4" a="1"/>
  <c r="C1046" i="4" s="1"/>
  <c r="C1047" i="4" a="1"/>
  <c r="C1047" i="4" s="1"/>
  <c r="C1048" i="4" a="1"/>
  <c r="C1048" i="4" s="1"/>
  <c r="C1049" i="4" a="1"/>
  <c r="C1049" i="4" s="1"/>
  <c r="C1050" i="4" a="1"/>
  <c r="C1050" i="4" s="1"/>
  <c r="C1051" i="4" a="1"/>
  <c r="C1051" i="4" s="1"/>
  <c r="C1052" i="4" a="1"/>
  <c r="C1052" i="4"/>
  <c r="C1053" i="4" a="1"/>
  <c r="C1053" i="4" s="1"/>
  <c r="C1054" i="4" a="1"/>
  <c r="C1054" i="4" s="1"/>
  <c r="C1055" i="4" a="1"/>
  <c r="C1055" i="4" s="1"/>
  <c r="C1056" i="4" a="1"/>
  <c r="C1056" i="4" s="1"/>
  <c r="C1057" i="4" a="1"/>
  <c r="C1057" i="4"/>
  <c r="C1058" i="4" a="1"/>
  <c r="C1058" i="4" s="1"/>
  <c r="C1059" i="4" a="1"/>
  <c r="C1059" i="4" s="1"/>
  <c r="C1060" i="4" a="1"/>
  <c r="C1060" i="4" s="1"/>
  <c r="C1061" i="4" a="1"/>
  <c r="C1061" i="4" s="1"/>
  <c r="C1062" i="4" a="1"/>
  <c r="C1062" i="4" s="1"/>
  <c r="C1063" i="4" a="1"/>
  <c r="C1063" i="4" s="1"/>
  <c r="C1064" i="4" a="1"/>
  <c r="C1064" i="4" s="1"/>
  <c r="C1065" i="4" a="1"/>
  <c r="C1065" i="4"/>
  <c r="C1066" i="4" a="1"/>
  <c r="C1066" i="4" s="1"/>
  <c r="C1067" i="4" a="1"/>
  <c r="C1067" i="4" s="1"/>
  <c r="C1068" i="4" a="1"/>
  <c r="C1068" i="4" s="1"/>
  <c r="C1069" i="4" a="1"/>
  <c r="C1069" i="4" s="1"/>
  <c r="C1070" i="4" a="1"/>
  <c r="C1070" i="4" s="1"/>
  <c r="C1071" i="4" a="1"/>
  <c r="C1071" i="4" s="1"/>
  <c r="C1072" i="4" a="1"/>
  <c r="C1072" i="4"/>
  <c r="C1073" i="4" a="1"/>
  <c r="C1073" i="4" s="1"/>
  <c r="C1074" i="4" a="1"/>
  <c r="C1074" i="4" s="1"/>
  <c r="C1075" i="4" a="1"/>
  <c r="C1075" i="4" s="1"/>
  <c r="C1076" i="4" a="1"/>
  <c r="C1076" i="4" s="1"/>
  <c r="C1077" i="4" a="1"/>
  <c r="C1077" i="4"/>
  <c r="C1078" i="4" a="1"/>
  <c r="C1078" i="4" s="1"/>
  <c r="C1079" i="4" a="1"/>
  <c r="C1079" i="4" s="1"/>
  <c r="C1080" i="4" a="1"/>
  <c r="C1080" i="4" s="1"/>
  <c r="C1081" i="4" a="1"/>
  <c r="C1081" i="4" s="1"/>
  <c r="C1082" i="4" a="1"/>
  <c r="C1082" i="4" s="1"/>
  <c r="C1083" i="4" a="1"/>
  <c r="C1083" i="4" s="1"/>
  <c r="C1084" i="4" a="1"/>
  <c r="C1084" i="4" s="1"/>
  <c r="C1085" i="4" a="1"/>
  <c r="C1085" i="4" s="1"/>
  <c r="C1086" i="4" a="1"/>
  <c r="C1086" i="4" s="1"/>
  <c r="C1087" i="4" a="1"/>
  <c r="C1087" i="4" s="1"/>
  <c r="C1088" i="4" a="1"/>
  <c r="C1088" i="4" s="1"/>
  <c r="C1089" i="4" a="1"/>
  <c r="C1089" i="4"/>
  <c r="C1090" i="4" a="1"/>
  <c r="C1090" i="4" s="1"/>
  <c r="C1091" i="4" a="1"/>
  <c r="C1091" i="4" s="1"/>
  <c r="C1092" i="4" a="1"/>
  <c r="C1092" i="4" s="1"/>
  <c r="C1093" i="4" a="1"/>
  <c r="C1093" i="4" s="1"/>
  <c r="C1094" i="4" a="1"/>
  <c r="C1094" i="4" s="1"/>
  <c r="C1095" i="4" a="1"/>
  <c r="C1095" i="4" s="1"/>
  <c r="C1096" i="4" a="1"/>
  <c r="C1096" i="4" s="1"/>
  <c r="C1097" i="4" a="1"/>
  <c r="C1097" i="4"/>
  <c r="C1098" i="4" a="1"/>
  <c r="C1098" i="4" s="1"/>
  <c r="C1099" i="4" a="1"/>
  <c r="C1099" i="4" s="1"/>
  <c r="C1100" i="4" a="1"/>
  <c r="C1100" i="4" s="1"/>
  <c r="C1101" i="4" a="1"/>
  <c r="C1101" i="4" s="1"/>
  <c r="C1102" i="4" a="1"/>
  <c r="C1102" i="4" s="1"/>
  <c r="C1103" i="4" a="1"/>
  <c r="C1103" i="4" s="1"/>
  <c r="C1104" i="4" a="1"/>
  <c r="C1104" i="4" s="1"/>
  <c r="C1105" i="4" a="1"/>
  <c r="C1105" i="4" s="1"/>
  <c r="C1106" i="4" a="1"/>
  <c r="C1106" i="4" s="1"/>
  <c r="C1107" i="4" a="1"/>
  <c r="C1107" i="4" s="1"/>
  <c r="C1108" i="4" a="1"/>
  <c r="C1108" i="4" s="1"/>
  <c r="C1109" i="4" a="1"/>
  <c r="C1109" i="4" s="1"/>
  <c r="C1110" i="4" a="1"/>
  <c r="C1110" i="4" s="1"/>
  <c r="C1111" i="4" a="1"/>
  <c r="C1111" i="4" s="1"/>
  <c r="C1112" i="4" a="1"/>
  <c r="C1112" i="4" s="1"/>
  <c r="C1113" i="4" a="1"/>
  <c r="C1113" i="4" s="1"/>
  <c r="C1114" i="4" a="1"/>
  <c r="C1114" i="4" s="1"/>
  <c r="C1115" i="4" a="1"/>
  <c r="C1115" i="4" s="1"/>
  <c r="C1116" i="4" a="1"/>
  <c r="C1116" i="4" s="1"/>
  <c r="C1117" i="4" a="1"/>
  <c r="C1117" i="4" s="1"/>
  <c r="C1118" i="4" a="1"/>
  <c r="C1118" i="4" s="1"/>
  <c r="C1119" i="4" a="1"/>
  <c r="C1119" i="4"/>
  <c r="C1120" i="4" a="1"/>
  <c r="C1120" i="4" s="1"/>
  <c r="C1121" i="4" a="1"/>
  <c r="C1121" i="4" s="1"/>
  <c r="C1122" i="4" a="1"/>
  <c r="C1122" i="4" s="1"/>
  <c r="C1123" i="4" a="1"/>
  <c r="C1123" i="4" s="1"/>
  <c r="C1124" i="4" a="1"/>
  <c r="C1124" i="4" s="1"/>
  <c r="C1125" i="4" a="1"/>
  <c r="C1125" i="4" s="1"/>
  <c r="C1126" i="4" a="1"/>
  <c r="C1126" i="4" s="1"/>
  <c r="C1127" i="4" a="1"/>
  <c r="C1127" i="4" s="1"/>
  <c r="C1128" i="4" a="1"/>
  <c r="C1128" i="4" s="1"/>
  <c r="C1129" i="4" a="1"/>
  <c r="C1129" i="4" s="1"/>
  <c r="C1130" i="4" a="1"/>
  <c r="C1130" i="4" s="1"/>
  <c r="C1131" i="4" a="1"/>
  <c r="C1131" i="4" s="1"/>
  <c r="C1132" i="4" a="1"/>
  <c r="C1132" i="4" s="1"/>
  <c r="C1133" i="4" a="1"/>
  <c r="C1133" i="4" s="1"/>
  <c r="C1134" i="4" a="1"/>
  <c r="C1134" i="4" s="1"/>
  <c r="C1135" i="4" a="1"/>
  <c r="C1135" i="4" s="1"/>
  <c r="C1136" i="4" a="1"/>
  <c r="C1136" i="4" s="1"/>
  <c r="C1137" i="4" a="1"/>
  <c r="C1137" i="4" s="1"/>
  <c r="C1138" i="4" a="1"/>
  <c r="C1138" i="4" s="1"/>
  <c r="C1139" i="4" a="1"/>
  <c r="C1139" i="4" s="1"/>
  <c r="C1140" i="4" a="1"/>
  <c r="C1140" i="4" s="1"/>
  <c r="C1141" i="4" a="1"/>
  <c r="C1141" i="4" s="1"/>
  <c r="C1142" i="4" a="1"/>
  <c r="C1142" i="4"/>
  <c r="C1143" i="4" a="1"/>
  <c r="C1143" i="4"/>
  <c r="C1144" i="4" a="1"/>
  <c r="C1144" i="4" s="1"/>
  <c r="C1145" i="4" a="1"/>
  <c r="C1145" i="4" s="1"/>
  <c r="C1146" i="4" a="1"/>
  <c r="C1146" i="4" s="1"/>
  <c r="C1147" i="4" a="1"/>
  <c r="C1147" i="4" s="1"/>
  <c r="C1148" i="4" a="1"/>
  <c r="C1148" i="4" s="1"/>
  <c r="C1149" i="4" a="1"/>
  <c r="C1149" i="4" s="1"/>
  <c r="C1150" i="4" a="1"/>
  <c r="C1150" i="4" s="1"/>
  <c r="C1151" i="4" a="1"/>
  <c r="C1151" i="4" s="1"/>
  <c r="C1152" i="4" a="1"/>
  <c r="C1152" i="4" s="1"/>
  <c r="C1153" i="4" a="1"/>
  <c r="C1153" i="4" s="1"/>
  <c r="C1154" i="4" a="1"/>
  <c r="C1154" i="4" s="1"/>
  <c r="C1155" i="4" a="1"/>
  <c r="C1155" i="4" s="1"/>
  <c r="C1156" i="4" a="1"/>
  <c r="C1156" i="4" s="1"/>
  <c r="C1157" i="4" a="1"/>
  <c r="C1157" i="4" s="1"/>
  <c r="C1158" i="4" a="1"/>
  <c r="C1158" i="4" s="1"/>
  <c r="C1159" i="4" a="1"/>
  <c r="C1159" i="4" s="1"/>
  <c r="C1160" i="4" a="1"/>
  <c r="C1160" i="4" s="1"/>
  <c r="C1161" i="4" a="1"/>
  <c r="C1161" i="4" s="1"/>
  <c r="C1162" i="4" a="1"/>
  <c r="C1162" i="4" s="1"/>
  <c r="C1163" i="4" a="1"/>
  <c r="C1163" i="4" s="1"/>
  <c r="C1164" i="4" a="1"/>
  <c r="C1164" i="4" s="1"/>
  <c r="C1165" i="4" a="1"/>
  <c r="C1165" i="4" s="1"/>
  <c r="C1166" i="4" a="1"/>
  <c r="C1166" i="4"/>
  <c r="C1167" i="4" a="1"/>
  <c r="C1167" i="4"/>
  <c r="C1168" i="4" a="1"/>
  <c r="C1168" i="4" s="1"/>
  <c r="C1169" i="4" a="1"/>
  <c r="C1169" i="4" s="1"/>
  <c r="C1170" i="4" a="1"/>
  <c r="C1170" i="4" s="1"/>
  <c r="C1171" i="4" a="1"/>
  <c r="C1171" i="4" s="1"/>
  <c r="C1172" i="4" a="1"/>
  <c r="C1172" i="4" s="1"/>
  <c r="C1173" i="4" a="1"/>
  <c r="C1173" i="4" s="1"/>
  <c r="C1174" i="4" a="1"/>
  <c r="C1174" i="4" s="1"/>
  <c r="C1175" i="4" a="1"/>
  <c r="C1175" i="4" s="1"/>
  <c r="C1176" i="4" a="1"/>
  <c r="C1176" i="4" s="1"/>
  <c r="C1177" i="4" a="1"/>
  <c r="C1177" i="4" s="1"/>
  <c r="C1178" i="4" a="1"/>
  <c r="C1178" i="4" s="1"/>
  <c r="C1179" i="4" a="1"/>
  <c r="C1179" i="4" s="1"/>
  <c r="C1180" i="4" a="1"/>
  <c r="C1180" i="4" s="1"/>
  <c r="C1181" i="4" a="1"/>
  <c r="C1181" i="4" s="1"/>
  <c r="C1182" i="4" a="1"/>
  <c r="C1182" i="4" s="1"/>
  <c r="C1183" i="4" a="1"/>
  <c r="C1183" i="4" s="1"/>
  <c r="C1184" i="4" a="1"/>
  <c r="C1184" i="4" s="1"/>
  <c r="C1185" i="4" a="1"/>
  <c r="C1185" i="4" s="1"/>
  <c r="C1186" i="4" a="1"/>
  <c r="C1186" i="4" s="1"/>
  <c r="C1187" i="4" a="1"/>
  <c r="C1187" i="4" s="1"/>
  <c r="C1188" i="4" a="1"/>
  <c r="C1188" i="4" s="1"/>
  <c r="C1189" i="4" a="1"/>
  <c r="C1189" i="4" s="1"/>
  <c r="C1190" i="4" a="1"/>
  <c r="C1190" i="4"/>
  <c r="C1191" i="4" a="1"/>
  <c r="C1191" i="4"/>
  <c r="C1192" i="4" a="1"/>
  <c r="C1192" i="4" s="1"/>
  <c r="C1193" i="4" a="1"/>
  <c r="C1193" i="4" s="1"/>
  <c r="C1194" i="4" a="1"/>
  <c r="C1194" i="4" s="1"/>
  <c r="C1195" i="4" a="1"/>
  <c r="C1195" i="4" s="1"/>
  <c r="C1196" i="4" a="1"/>
  <c r="C1196" i="4"/>
  <c r="C1197" i="4" a="1"/>
  <c r="C1197" i="4" s="1"/>
  <c r="C1198" i="4" a="1"/>
  <c r="C1198" i="4" s="1"/>
  <c r="C1199" i="4" a="1"/>
  <c r="C1199" i="4"/>
  <c r="C1200" i="4" a="1"/>
  <c r="C1200" i="4" s="1"/>
  <c r="C1201" i="4" a="1"/>
  <c r="C1201" i="4" s="1"/>
  <c r="C1202" i="4" a="1"/>
  <c r="C1202" i="4"/>
  <c r="C1203" i="4" a="1"/>
  <c r="C1203" i="4" s="1"/>
  <c r="C1204" i="4" a="1"/>
  <c r="C1204" i="4" s="1"/>
  <c r="C1205" i="4" a="1"/>
  <c r="C1205" i="4" s="1"/>
  <c r="C1206" i="4" a="1"/>
  <c r="C1206" i="4" s="1"/>
  <c r="C1207" i="4" a="1"/>
  <c r="C1207" i="4" s="1"/>
  <c r="C1208" i="4" a="1"/>
  <c r="C1208" i="4" s="1"/>
  <c r="C1209" i="4" a="1"/>
  <c r="C1209" i="4" s="1"/>
  <c r="C1210" i="4" a="1"/>
  <c r="C1210" i="4" s="1"/>
  <c r="C1211" i="4" a="1"/>
  <c r="C1211" i="4" s="1"/>
  <c r="C1212" i="4" a="1"/>
  <c r="C1212" i="4" s="1"/>
  <c r="C1213" i="4" a="1"/>
  <c r="C1213" i="4" s="1"/>
  <c r="C1214" i="4" a="1"/>
  <c r="C1214" i="4" s="1"/>
  <c r="C1215" i="4" a="1"/>
  <c r="C1215" i="4" s="1"/>
  <c r="C1216" i="4" a="1"/>
  <c r="C1216" i="4" s="1"/>
  <c r="C1217" i="4" a="1"/>
  <c r="C1217" i="4" s="1"/>
  <c r="C1218" i="4" a="1"/>
  <c r="C1218" i="4" s="1"/>
  <c r="C1219" i="4" a="1"/>
  <c r="C1219" i="4" s="1"/>
  <c r="C1220" i="4" a="1"/>
  <c r="C1220" i="4" s="1"/>
  <c r="C1221" i="4" a="1"/>
  <c r="C1221" i="4" s="1"/>
  <c r="C1222" i="4" a="1"/>
  <c r="C1222" i="4" s="1"/>
  <c r="C1223" i="4" a="1"/>
  <c r="C1223" i="4"/>
  <c r="C1224" i="4" a="1"/>
  <c r="C1224" i="4" s="1"/>
  <c r="C1225" i="4" a="1"/>
  <c r="C1225" i="4" s="1"/>
  <c r="C1226" i="4" a="1"/>
  <c r="C1226" i="4"/>
  <c r="C1227" i="4" a="1"/>
  <c r="C1227" i="4" s="1"/>
  <c r="C1228" i="4" a="1"/>
  <c r="C1228" i="4" s="1"/>
  <c r="C1229" i="4" a="1"/>
  <c r="C1229" i="4" s="1"/>
  <c r="C1230" i="4" a="1"/>
  <c r="C1230" i="4" s="1"/>
  <c r="C1231" i="4" a="1"/>
  <c r="C1231" i="4" s="1"/>
  <c r="C1232" i="4" a="1"/>
  <c r="C1232" i="4" s="1"/>
  <c r="C1233" i="4" a="1"/>
  <c r="C1233" i="4" s="1"/>
  <c r="C1234" i="4" a="1"/>
  <c r="C1234" i="4" s="1"/>
  <c r="C1235" i="4" a="1"/>
  <c r="C1235" i="4" s="1"/>
  <c r="C1236" i="4" a="1"/>
  <c r="C1236" i="4" s="1"/>
  <c r="C1237" i="4" a="1"/>
  <c r="C1237" i="4" s="1"/>
  <c r="C1238" i="4" a="1"/>
  <c r="C1238" i="4" s="1"/>
  <c r="C1239" i="4" a="1"/>
  <c r="C1239" i="4" s="1"/>
  <c r="C1240" i="4" a="1"/>
  <c r="C1240" i="4" s="1"/>
  <c r="C1241" i="4" a="1"/>
  <c r="C1241" i="4" s="1"/>
  <c r="C1242" i="4" a="1"/>
  <c r="C1242" i="4" s="1"/>
  <c r="C1243" i="4" a="1"/>
  <c r="C1243" i="4" s="1"/>
  <c r="C1244" i="4" a="1"/>
  <c r="C1244" i="4" s="1"/>
  <c r="C1245" i="4" a="1"/>
  <c r="C1245" i="4" s="1"/>
  <c r="C1246" i="4" a="1"/>
  <c r="C1246" i="4" s="1"/>
  <c r="C1247" i="4" a="1"/>
  <c r="C1247" i="4" s="1"/>
  <c r="C1248" i="4" a="1"/>
  <c r="C1248" i="4" s="1"/>
  <c r="C1249" i="4" a="1"/>
  <c r="C1249" i="4" s="1"/>
  <c r="C1250" i="4" a="1"/>
  <c r="C1250" i="4" s="1"/>
  <c r="C1251" i="4" a="1"/>
  <c r="C1251" i="4" s="1"/>
  <c r="C1252" i="4" a="1"/>
  <c r="C1252" i="4" s="1"/>
  <c r="C1253" i="4" a="1"/>
  <c r="C1253" i="4" s="1"/>
  <c r="C1254" i="4" a="1"/>
  <c r="C1254" i="4" s="1"/>
  <c r="C1255" i="4" a="1"/>
  <c r="C1255" i="4" s="1"/>
  <c r="C1256" i="4" a="1"/>
  <c r="C1256" i="4" s="1"/>
  <c r="C1257" i="4" a="1"/>
  <c r="C1257" i="4" s="1"/>
  <c r="C1258" i="4" a="1"/>
  <c r="C1258" i="4" s="1"/>
  <c r="C1259" i="4" a="1"/>
  <c r="C1259" i="4" s="1"/>
  <c r="C1260" i="4" a="1"/>
  <c r="C1260" i="4" s="1"/>
  <c r="C1261" i="4" a="1"/>
  <c r="C1261" i="4" s="1"/>
  <c r="C1262" i="4" a="1"/>
  <c r="C1262" i="4" s="1"/>
  <c r="C1263" i="4" a="1"/>
  <c r="C1263" i="4" s="1"/>
  <c r="C1264" i="4" a="1"/>
  <c r="C1264" i="4" s="1"/>
  <c r="C1265" i="4" a="1"/>
  <c r="C1265" i="4" s="1"/>
  <c r="C1266" i="4" a="1"/>
  <c r="C1266" i="4" s="1"/>
  <c r="C1267" i="4" a="1"/>
  <c r="C1267" i="4" s="1"/>
  <c r="C1268" i="4" a="1"/>
  <c r="C1268" i="4" s="1"/>
  <c r="C1269" i="4" a="1"/>
  <c r="C1269" i="4" s="1"/>
  <c r="C1270" i="4" a="1"/>
  <c r="C1270" i="4" s="1"/>
  <c r="C1271" i="4" a="1"/>
  <c r="C1271" i="4" s="1"/>
  <c r="C1272" i="4" a="1"/>
  <c r="C1272" i="4" s="1"/>
  <c r="C1273" i="4" a="1"/>
  <c r="C1273" i="4" s="1"/>
  <c r="C1274" i="4" a="1"/>
  <c r="C1274" i="4" s="1"/>
  <c r="C1275" i="4" a="1"/>
  <c r="C1275" i="4" s="1"/>
  <c r="C1276" i="4" a="1"/>
  <c r="C1276" i="4" s="1"/>
  <c r="C1277" i="4" a="1"/>
  <c r="C1277" i="4" s="1"/>
  <c r="C1278" i="4" a="1"/>
  <c r="C1278" i="4" s="1"/>
  <c r="C1279" i="4" a="1"/>
  <c r="C1279" i="4" s="1"/>
  <c r="C1280" i="4" a="1"/>
  <c r="C1280" i="4" s="1"/>
  <c r="C1281" i="4" a="1"/>
  <c r="C1281" i="4" s="1"/>
  <c r="C1282" i="4" a="1"/>
  <c r="C1282" i="4" s="1"/>
  <c r="C1283" i="4" a="1"/>
  <c r="C1283" i="4" s="1"/>
  <c r="C1284" i="4" a="1"/>
  <c r="C1284" i="4" s="1"/>
  <c r="C1285" i="4" a="1"/>
  <c r="C1285" i="4" s="1"/>
  <c r="C1286" i="4" a="1"/>
  <c r="C1286" i="4" s="1"/>
  <c r="C1287" i="4" a="1"/>
  <c r="C1287" i="4" s="1"/>
  <c r="C1288" i="4" a="1"/>
  <c r="C1288" i="4" s="1"/>
  <c r="C1289" i="4" a="1"/>
  <c r="C1289" i="4" s="1"/>
  <c r="C1290" i="4" a="1"/>
  <c r="C1290" i="4" s="1"/>
  <c r="C1291" i="4" a="1"/>
  <c r="C1291" i="4" s="1"/>
  <c r="C1292" i="4" a="1"/>
  <c r="C1292" i="4" s="1"/>
  <c r="C1293" i="4" a="1"/>
  <c r="C1293" i="4" s="1"/>
  <c r="C1294" i="4" a="1"/>
  <c r="C1294" i="4" s="1"/>
  <c r="C1295" i="4" a="1"/>
  <c r="C1295" i="4"/>
  <c r="C1296" i="4" a="1"/>
  <c r="C1296" i="4" s="1"/>
  <c r="C1297" i="4" a="1"/>
  <c r="C1297" i="4" s="1"/>
  <c r="C1298" i="4" a="1"/>
  <c r="C1298" i="4" s="1"/>
  <c r="C1299" i="4" a="1"/>
  <c r="C1299" i="4" s="1"/>
  <c r="C1300" i="4" a="1"/>
  <c r="C1300" i="4" s="1"/>
  <c r="C1301" i="4" a="1"/>
  <c r="C1301" i="4" s="1"/>
  <c r="C1302" i="4" a="1"/>
  <c r="C1302" i="4" s="1"/>
  <c r="C1303" i="4" a="1"/>
  <c r="C1303" i="4" s="1"/>
  <c r="C1304" i="4" a="1"/>
  <c r="C1304" i="4" s="1"/>
  <c r="C1305" i="4" a="1"/>
  <c r="C1305" i="4" s="1"/>
  <c r="C1306" i="4" a="1"/>
  <c r="C1306" i="4" s="1"/>
  <c r="C1307" i="4" a="1"/>
  <c r="C1307" i="4"/>
  <c r="C1308" i="4" a="1"/>
  <c r="C1308" i="4" s="1"/>
  <c r="C1309" i="4" a="1"/>
  <c r="C1309" i="4" s="1"/>
  <c r="C1310" i="4" a="1"/>
  <c r="C1310" i="4" s="1"/>
  <c r="C1311" i="4" a="1"/>
  <c r="C1311" i="4" s="1"/>
  <c r="C1312" i="4" a="1"/>
  <c r="C1312" i="4" s="1"/>
  <c r="C1313" i="4" a="1"/>
  <c r="C1313" i="4" s="1"/>
  <c r="C1314" i="4" a="1"/>
  <c r="C1314" i="4" s="1"/>
  <c r="C1315" i="4" a="1"/>
  <c r="C1315" i="4" s="1"/>
  <c r="C1316" i="4" a="1"/>
  <c r="C1316" i="4" s="1"/>
  <c r="C1317" i="4" a="1"/>
  <c r="C1317" i="4" s="1"/>
  <c r="C1318" i="4" a="1"/>
  <c r="C1318" i="4" s="1"/>
  <c r="C1319" i="4" a="1"/>
  <c r="C1319" i="4" s="1"/>
  <c r="C1320" i="4" a="1"/>
  <c r="C1320" i="4" s="1"/>
  <c r="C1321" i="4" a="1"/>
  <c r="C1321" i="4" s="1"/>
  <c r="C1322" i="4" a="1"/>
  <c r="C1322" i="4" s="1"/>
  <c r="C1323" i="4" a="1"/>
  <c r="C1323" i="4" s="1"/>
  <c r="C1324" i="4" a="1"/>
  <c r="C1324" i="4" s="1"/>
  <c r="C1325" i="4" a="1"/>
  <c r="C1325" i="4" s="1"/>
  <c r="C1326" i="4" a="1"/>
  <c r="C1326" i="4" s="1"/>
  <c r="C1327" i="4" a="1"/>
  <c r="C1327" i="4" s="1"/>
  <c r="C1328" i="4" a="1"/>
  <c r="C1328" i="4" s="1"/>
  <c r="C1329" i="4" a="1"/>
  <c r="C1329" i="4" s="1"/>
  <c r="C1330" i="4" a="1"/>
  <c r="C1330" i="4" s="1"/>
  <c r="C1331" i="4" a="1"/>
  <c r="C1331" i="4"/>
  <c r="C1332" i="4" a="1"/>
  <c r="C1332" i="4" s="1"/>
  <c r="C1333" i="4" a="1"/>
  <c r="C1333" i="4" s="1"/>
  <c r="C1334" i="4" a="1"/>
  <c r="C1334" i="4" s="1"/>
  <c r="C1335" i="4" a="1"/>
  <c r="C1335" i="4" s="1"/>
  <c r="C1336" i="4" a="1"/>
  <c r="C1336" i="4" s="1"/>
  <c r="C1337" i="4" a="1"/>
  <c r="C1337" i="4" s="1"/>
  <c r="C1338" i="4" a="1"/>
  <c r="C1338" i="4" s="1"/>
  <c r="C1339" i="4" a="1"/>
  <c r="C1339" i="4" s="1"/>
  <c r="C1340" i="4" a="1"/>
  <c r="C1340" i="4" s="1"/>
  <c r="C1341" i="4" a="1"/>
  <c r="C1341" i="4" s="1"/>
  <c r="C1342" i="4" a="1"/>
  <c r="C1342" i="4" s="1"/>
  <c r="C1343" i="4" a="1"/>
  <c r="C1343" i="4" s="1"/>
  <c r="C1344" i="4" a="1"/>
  <c r="C1344" i="4" s="1"/>
  <c r="C1345" i="4" a="1"/>
  <c r="C1345" i="4" s="1"/>
  <c r="C1346" i="4" a="1"/>
  <c r="C1346" i="4" s="1"/>
  <c r="C1347" i="4" a="1"/>
  <c r="C1347" i="4" s="1"/>
  <c r="C1348" i="4" a="1"/>
  <c r="C1348" i="4" s="1"/>
  <c r="C1349" i="4" a="1"/>
  <c r="C1349" i="4" s="1"/>
  <c r="C1350" i="4" a="1"/>
  <c r="C1350" i="4" s="1"/>
  <c r="C1351" i="4" a="1"/>
  <c r="C1351" i="4" s="1"/>
  <c r="C1352" i="4" a="1"/>
  <c r="C1352" i="4" s="1"/>
  <c r="C1353" i="4" a="1"/>
  <c r="C1353" i="4" s="1"/>
  <c r="C1354" i="4" a="1"/>
  <c r="C1354" i="4" s="1"/>
  <c r="C1355" i="4" a="1"/>
  <c r="C1355" i="4" s="1"/>
  <c r="C1356" i="4" a="1"/>
  <c r="C1356" i="4" s="1"/>
  <c r="C1357" i="4" a="1"/>
  <c r="C1357" i="4" s="1"/>
  <c r="C1358" i="4" a="1"/>
  <c r="C1358" i="4" s="1"/>
  <c r="C1359" i="4" a="1"/>
  <c r="C1359" i="4" s="1"/>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E752" i="4" a="1"/>
  <c r="E752" i="4" s="1"/>
  <c r="E938" i="4" a="1"/>
  <c r="E938" i="4" s="1"/>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2"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G701" i="4"/>
  <c r="E701" i="4" s="1" a="1"/>
  <c r="E701" i="4" s="1"/>
  <c r="G702" i="4"/>
  <c r="E702" i="4" s="1" a="1"/>
  <c r="E702" i="4" s="1"/>
  <c r="G703" i="4"/>
  <c r="E703" i="4" s="1" a="1"/>
  <c r="E703" i="4" s="1"/>
  <c r="G704" i="4"/>
  <c r="E704" i="4" s="1" a="1"/>
  <c r="E704" i="4" s="1"/>
  <c r="G705" i="4"/>
  <c r="E705" i="4" s="1" a="1"/>
  <c r="E705" i="4" s="1"/>
  <c r="G706" i="4"/>
  <c r="E706" i="4" s="1" a="1"/>
  <c r="E706" i="4" s="1"/>
  <c r="G707" i="4"/>
  <c r="E707" i="4" s="1" a="1"/>
  <c r="E707" i="4" s="1"/>
  <c r="G708" i="4"/>
  <c r="E708" i="4" s="1" a="1"/>
  <c r="E708" i="4" s="1"/>
  <c r="G709" i="4"/>
  <c r="E709" i="4" s="1" a="1"/>
  <c r="E709" i="4" s="1"/>
  <c r="G710" i="4"/>
  <c r="E710" i="4" s="1" a="1"/>
  <c r="E710" i="4" s="1"/>
  <c r="G711" i="4"/>
  <c r="E711" i="4" s="1" a="1"/>
  <c r="E711" i="4" s="1"/>
  <c r="G712" i="4"/>
  <c r="E712" i="4" s="1" a="1"/>
  <c r="E712" i="4" s="1"/>
  <c r="G713" i="4"/>
  <c r="E713" i="4" s="1" a="1"/>
  <c r="E713" i="4" s="1"/>
  <c r="G714" i="4"/>
  <c r="E714" i="4" s="1" a="1"/>
  <c r="E714" i="4" s="1"/>
  <c r="G715" i="4"/>
  <c r="E715" i="4" s="1" a="1"/>
  <c r="E715" i="4" s="1"/>
  <c r="G716" i="4"/>
  <c r="E716" i="4" s="1" a="1"/>
  <c r="E716" i="4" s="1"/>
  <c r="G717" i="4"/>
  <c r="E717" i="4" s="1" a="1"/>
  <c r="E717" i="4" s="1"/>
  <c r="G718" i="4"/>
  <c r="E718" i="4" s="1" a="1"/>
  <c r="E718" i="4" s="1"/>
  <c r="G719" i="4"/>
  <c r="E719" i="4" s="1" a="1"/>
  <c r="E719" i="4" s="1"/>
  <c r="G720" i="4"/>
  <c r="E720" i="4" s="1" a="1"/>
  <c r="E720" i="4" s="1"/>
  <c r="G721" i="4"/>
  <c r="E721" i="4" s="1" a="1"/>
  <c r="E721" i="4" s="1"/>
  <c r="G722" i="4"/>
  <c r="E722" i="4" s="1" a="1"/>
  <c r="E722" i="4" s="1"/>
  <c r="G723" i="4"/>
  <c r="E723" i="4" s="1" a="1"/>
  <c r="E723" i="4" s="1"/>
  <c r="G724" i="4"/>
  <c r="E724" i="4" s="1" a="1"/>
  <c r="E724" i="4" s="1"/>
  <c r="G725" i="4"/>
  <c r="E725" i="4" s="1" a="1"/>
  <c r="E725" i="4" s="1"/>
  <c r="G726" i="4"/>
  <c r="E726" i="4" s="1" a="1"/>
  <c r="E726" i="4" s="1"/>
  <c r="G727" i="4"/>
  <c r="E727" i="4" s="1" a="1"/>
  <c r="E727" i="4" s="1"/>
  <c r="G728" i="4"/>
  <c r="E728" i="4" s="1" a="1"/>
  <c r="E728" i="4" s="1"/>
  <c r="G729" i="4"/>
  <c r="E729" i="4" s="1" a="1"/>
  <c r="E729" i="4" s="1"/>
  <c r="G730" i="4"/>
  <c r="E730" i="4" s="1" a="1"/>
  <c r="E730" i="4" s="1"/>
  <c r="G731" i="4"/>
  <c r="E731" i="4" s="1" a="1"/>
  <c r="E731" i="4" s="1"/>
  <c r="G732" i="4"/>
  <c r="E732" i="4" s="1" a="1"/>
  <c r="E732" i="4" s="1"/>
  <c r="G733" i="4"/>
  <c r="E733" i="4" s="1" a="1"/>
  <c r="E733" i="4" s="1"/>
  <c r="G734" i="4"/>
  <c r="E734" i="4" s="1" a="1"/>
  <c r="E734" i="4" s="1"/>
  <c r="G735" i="4"/>
  <c r="E735" i="4" s="1" a="1"/>
  <c r="E735" i="4" s="1"/>
  <c r="G736" i="4"/>
  <c r="E736" i="4" s="1" a="1"/>
  <c r="E736" i="4" s="1"/>
  <c r="G737" i="4"/>
  <c r="E737" i="4" s="1" a="1"/>
  <c r="E737" i="4" s="1"/>
  <c r="G738" i="4"/>
  <c r="E738" i="4" s="1" a="1"/>
  <c r="E738" i="4" s="1"/>
  <c r="G739" i="4"/>
  <c r="E739" i="4" s="1" a="1"/>
  <c r="E739" i="4" s="1"/>
  <c r="G740" i="4"/>
  <c r="E740" i="4" s="1" a="1"/>
  <c r="E740" i="4" s="1"/>
  <c r="G741" i="4"/>
  <c r="E741" i="4" s="1" a="1"/>
  <c r="E741" i="4" s="1"/>
  <c r="G742" i="4"/>
  <c r="E742" i="4" s="1" a="1"/>
  <c r="E742" i="4" s="1"/>
  <c r="G743" i="4"/>
  <c r="E743" i="4" s="1" a="1"/>
  <c r="E743" i="4" s="1"/>
  <c r="G744" i="4"/>
  <c r="E744" i="4" s="1" a="1"/>
  <c r="E744" i="4" s="1"/>
  <c r="G745" i="4"/>
  <c r="E745" i="4" s="1" a="1"/>
  <c r="E745" i="4" s="1"/>
  <c r="G746" i="4"/>
  <c r="E746" i="4" s="1" a="1"/>
  <c r="E746" i="4" s="1"/>
  <c r="G747" i="4"/>
  <c r="E747" i="4" s="1" a="1"/>
  <c r="E747" i="4" s="1"/>
  <c r="G748" i="4"/>
  <c r="E748" i="4" s="1" a="1"/>
  <c r="E748" i="4" s="1"/>
  <c r="G749" i="4"/>
  <c r="E749" i="4" s="1" a="1"/>
  <c r="E749" i="4" s="1"/>
  <c r="G750" i="4"/>
  <c r="E750" i="4" s="1" a="1"/>
  <c r="E750" i="4" s="1"/>
  <c r="G751" i="4"/>
  <c r="E751" i="4" s="1" a="1"/>
  <c r="E751" i="4" s="1"/>
  <c r="G752" i="4"/>
  <c r="G753" i="4"/>
  <c r="E753" i="4" s="1" a="1"/>
  <c r="E753" i="4" s="1"/>
  <c r="G754" i="4"/>
  <c r="E754" i="4" s="1" a="1"/>
  <c r="E754" i="4" s="1"/>
  <c r="G755" i="4"/>
  <c r="E755" i="4" s="1" a="1"/>
  <c r="E755" i="4" s="1"/>
  <c r="G756" i="4"/>
  <c r="E756" i="4" s="1" a="1"/>
  <c r="E756" i="4" s="1"/>
  <c r="G757" i="4"/>
  <c r="E757" i="4" s="1" a="1"/>
  <c r="E757" i="4" s="1"/>
  <c r="G758" i="4"/>
  <c r="E758" i="4" s="1" a="1"/>
  <c r="E758" i="4" s="1"/>
  <c r="G759" i="4"/>
  <c r="E759" i="4" s="1" a="1"/>
  <c r="E759" i="4" s="1"/>
  <c r="G760" i="4"/>
  <c r="E760" i="4" s="1" a="1"/>
  <c r="E760" i="4" s="1"/>
  <c r="G761" i="4"/>
  <c r="E761" i="4" s="1" a="1"/>
  <c r="E761" i="4" s="1"/>
  <c r="G762" i="4"/>
  <c r="E762" i="4" s="1" a="1"/>
  <c r="E762" i="4" s="1"/>
  <c r="G763" i="4"/>
  <c r="E763" i="4" s="1" a="1"/>
  <c r="E763" i="4" s="1"/>
  <c r="G764" i="4"/>
  <c r="E764" i="4" s="1" a="1"/>
  <c r="E764" i="4" s="1"/>
  <c r="G765" i="4"/>
  <c r="E765" i="4" s="1" a="1"/>
  <c r="E765" i="4" s="1"/>
  <c r="G766" i="4"/>
  <c r="E766" i="4" s="1" a="1"/>
  <c r="E766" i="4" s="1"/>
  <c r="G767" i="4"/>
  <c r="E767" i="4" s="1" a="1"/>
  <c r="E767" i="4" s="1"/>
  <c r="G768" i="4"/>
  <c r="E768" i="4" s="1" a="1"/>
  <c r="E768" i="4" s="1"/>
  <c r="G769" i="4"/>
  <c r="E769" i="4" s="1" a="1"/>
  <c r="E769" i="4" s="1"/>
  <c r="G770" i="4"/>
  <c r="E770" i="4" s="1" a="1"/>
  <c r="E770" i="4" s="1"/>
  <c r="G771" i="4"/>
  <c r="E771" i="4" s="1" a="1"/>
  <c r="E771" i="4" s="1"/>
  <c r="G772" i="4"/>
  <c r="E772" i="4" s="1" a="1"/>
  <c r="E772" i="4" s="1"/>
  <c r="G773" i="4"/>
  <c r="E773" i="4" s="1" a="1"/>
  <c r="E773" i="4" s="1"/>
  <c r="G774" i="4"/>
  <c r="E774" i="4" s="1" a="1"/>
  <c r="E774" i="4" s="1"/>
  <c r="G775" i="4"/>
  <c r="E775" i="4" s="1" a="1"/>
  <c r="E775" i="4" s="1"/>
  <c r="G776" i="4"/>
  <c r="E776" i="4" s="1" a="1"/>
  <c r="E776" i="4" s="1"/>
  <c r="G777" i="4"/>
  <c r="E777" i="4" s="1" a="1"/>
  <c r="E777" i="4" s="1"/>
  <c r="G778" i="4"/>
  <c r="E778" i="4" s="1" a="1"/>
  <c r="E778" i="4" s="1"/>
  <c r="G779" i="4"/>
  <c r="E779" i="4" s="1" a="1"/>
  <c r="E779" i="4" s="1"/>
  <c r="G780" i="4"/>
  <c r="E780" i="4" s="1" a="1"/>
  <c r="E780" i="4" s="1"/>
  <c r="G781" i="4"/>
  <c r="E781" i="4" s="1" a="1"/>
  <c r="E781" i="4" s="1"/>
  <c r="G782" i="4"/>
  <c r="E782" i="4" s="1" a="1"/>
  <c r="E782" i="4" s="1"/>
  <c r="G783" i="4"/>
  <c r="E783" i="4" s="1" a="1"/>
  <c r="E783" i="4" s="1"/>
  <c r="G784" i="4"/>
  <c r="E784" i="4" s="1" a="1"/>
  <c r="E784" i="4" s="1"/>
  <c r="G785" i="4"/>
  <c r="E785" i="4" s="1" a="1"/>
  <c r="E785" i="4" s="1"/>
  <c r="G786" i="4"/>
  <c r="E786" i="4" s="1" a="1"/>
  <c r="E786" i="4" s="1"/>
  <c r="G787" i="4"/>
  <c r="E787" i="4" s="1" a="1"/>
  <c r="E787" i="4" s="1"/>
  <c r="G788" i="4"/>
  <c r="E788" i="4" s="1" a="1"/>
  <c r="E788" i="4" s="1"/>
  <c r="G789" i="4"/>
  <c r="E789" i="4" s="1" a="1"/>
  <c r="E789" i="4" s="1"/>
  <c r="G790" i="4"/>
  <c r="E790" i="4" s="1" a="1"/>
  <c r="E790" i="4" s="1"/>
  <c r="G791" i="4"/>
  <c r="E791" i="4" s="1" a="1"/>
  <c r="E791" i="4" s="1"/>
  <c r="G792" i="4"/>
  <c r="E792" i="4" s="1" a="1"/>
  <c r="E792" i="4" s="1"/>
  <c r="G793" i="4"/>
  <c r="E793" i="4" s="1" a="1"/>
  <c r="E793" i="4" s="1"/>
  <c r="G794" i="4"/>
  <c r="E794" i="4" s="1" a="1"/>
  <c r="E794" i="4" s="1"/>
  <c r="G795" i="4"/>
  <c r="E795" i="4" s="1" a="1"/>
  <c r="E795" i="4" s="1"/>
  <c r="G796" i="4"/>
  <c r="E796" i="4" s="1" a="1"/>
  <c r="E796" i="4" s="1"/>
  <c r="G797" i="4"/>
  <c r="E797" i="4" s="1" a="1"/>
  <c r="E797" i="4" s="1"/>
  <c r="G798" i="4"/>
  <c r="E798" i="4" s="1" a="1"/>
  <c r="E798" i="4" s="1"/>
  <c r="G799" i="4"/>
  <c r="E799" i="4" s="1" a="1"/>
  <c r="E799" i="4" s="1"/>
  <c r="G800" i="4"/>
  <c r="E800" i="4" s="1" a="1"/>
  <c r="E800" i="4" s="1"/>
  <c r="G801" i="4"/>
  <c r="E801" i="4" s="1" a="1"/>
  <c r="E801" i="4" s="1"/>
  <c r="G802" i="4"/>
  <c r="E802" i="4" s="1" a="1"/>
  <c r="E802" i="4" s="1"/>
  <c r="G803" i="4"/>
  <c r="E803" i="4" s="1" a="1"/>
  <c r="E803" i="4" s="1"/>
  <c r="G804" i="4"/>
  <c r="E804" i="4" s="1" a="1"/>
  <c r="E804" i="4" s="1"/>
  <c r="G805" i="4"/>
  <c r="E805" i="4" s="1" a="1"/>
  <c r="E805" i="4" s="1"/>
  <c r="G806" i="4"/>
  <c r="E806" i="4" s="1" a="1"/>
  <c r="E806" i="4" s="1"/>
  <c r="G807" i="4"/>
  <c r="E807" i="4" s="1" a="1"/>
  <c r="E807" i="4" s="1"/>
  <c r="G808" i="4"/>
  <c r="E808" i="4" s="1" a="1"/>
  <c r="E808" i="4" s="1"/>
  <c r="G809" i="4"/>
  <c r="E809" i="4" s="1" a="1"/>
  <c r="E809" i="4" s="1"/>
  <c r="G810" i="4"/>
  <c r="E810" i="4" s="1" a="1"/>
  <c r="E810" i="4" s="1"/>
  <c r="G811" i="4"/>
  <c r="E811" i="4" s="1" a="1"/>
  <c r="E811" i="4" s="1"/>
  <c r="G812" i="4"/>
  <c r="E812" i="4" s="1" a="1"/>
  <c r="E812" i="4" s="1"/>
  <c r="G813" i="4"/>
  <c r="E813" i="4" s="1" a="1"/>
  <c r="E813" i="4" s="1"/>
  <c r="G814" i="4"/>
  <c r="E814" i="4" s="1" a="1"/>
  <c r="E814" i="4" s="1"/>
  <c r="G815" i="4"/>
  <c r="E815" i="4" s="1" a="1"/>
  <c r="E815" i="4" s="1"/>
  <c r="G816" i="4"/>
  <c r="E816" i="4" s="1" a="1"/>
  <c r="E816" i="4" s="1"/>
  <c r="G817" i="4"/>
  <c r="E817" i="4" s="1" a="1"/>
  <c r="E817" i="4" s="1"/>
  <c r="G818" i="4"/>
  <c r="E818" i="4" s="1" a="1"/>
  <c r="E818" i="4" s="1"/>
  <c r="G819" i="4"/>
  <c r="E819" i="4" s="1" a="1"/>
  <c r="E819" i="4" s="1"/>
  <c r="G820" i="4"/>
  <c r="E820" i="4" s="1" a="1"/>
  <c r="E820" i="4" s="1"/>
  <c r="G821" i="4"/>
  <c r="E821" i="4" s="1" a="1"/>
  <c r="E821" i="4" s="1"/>
  <c r="G822" i="4"/>
  <c r="E822" i="4" s="1" a="1"/>
  <c r="E822" i="4" s="1"/>
  <c r="G823" i="4"/>
  <c r="E823" i="4" s="1" a="1"/>
  <c r="E823" i="4" s="1"/>
  <c r="G824" i="4"/>
  <c r="E824" i="4" s="1" a="1"/>
  <c r="E824" i="4" s="1"/>
  <c r="G825" i="4"/>
  <c r="E825" i="4" s="1" a="1"/>
  <c r="E825" i="4" s="1"/>
  <c r="G826" i="4"/>
  <c r="E826" i="4" s="1" a="1"/>
  <c r="E826" i="4" s="1"/>
  <c r="G827" i="4"/>
  <c r="E827" i="4" s="1" a="1"/>
  <c r="E827" i="4" s="1"/>
  <c r="G828" i="4"/>
  <c r="E828" i="4" s="1" a="1"/>
  <c r="E828" i="4" s="1"/>
  <c r="G829" i="4"/>
  <c r="E829" i="4" s="1" a="1"/>
  <c r="E829" i="4" s="1"/>
  <c r="G830" i="4"/>
  <c r="E830" i="4" s="1" a="1"/>
  <c r="E830" i="4" s="1"/>
  <c r="G831" i="4"/>
  <c r="E831" i="4" s="1" a="1"/>
  <c r="E831" i="4" s="1"/>
  <c r="G832" i="4"/>
  <c r="E832" i="4" s="1" a="1"/>
  <c r="E832" i="4" s="1"/>
  <c r="G833" i="4"/>
  <c r="E833" i="4" s="1" a="1"/>
  <c r="E833" i="4" s="1"/>
  <c r="G834" i="4"/>
  <c r="E834" i="4" s="1" a="1"/>
  <c r="E834" i="4" s="1"/>
  <c r="G835" i="4"/>
  <c r="E835" i="4" s="1" a="1"/>
  <c r="E835" i="4" s="1"/>
  <c r="G836" i="4"/>
  <c r="E836" i="4" s="1" a="1"/>
  <c r="E836" i="4" s="1"/>
  <c r="G837" i="4"/>
  <c r="E837" i="4" s="1" a="1"/>
  <c r="E837" i="4" s="1"/>
  <c r="G838" i="4"/>
  <c r="E838" i="4" s="1" a="1"/>
  <c r="E838" i="4" s="1"/>
  <c r="G839" i="4"/>
  <c r="E839" i="4" s="1" a="1"/>
  <c r="E839" i="4" s="1"/>
  <c r="G840" i="4"/>
  <c r="E840" i="4" s="1" a="1"/>
  <c r="E840" i="4" s="1"/>
  <c r="G841" i="4"/>
  <c r="E841" i="4" s="1" a="1"/>
  <c r="E841" i="4" s="1"/>
  <c r="G842" i="4"/>
  <c r="E842" i="4" s="1" a="1"/>
  <c r="E842" i="4" s="1"/>
  <c r="G843" i="4"/>
  <c r="E843" i="4" s="1" a="1"/>
  <c r="E843" i="4" s="1"/>
  <c r="G844" i="4"/>
  <c r="E844" i="4" s="1" a="1"/>
  <c r="E844" i="4" s="1"/>
  <c r="G845" i="4"/>
  <c r="E845" i="4" s="1" a="1"/>
  <c r="E845" i="4" s="1"/>
  <c r="G846" i="4"/>
  <c r="E846" i="4" s="1" a="1"/>
  <c r="E846" i="4" s="1"/>
  <c r="G847" i="4"/>
  <c r="E847" i="4" s="1" a="1"/>
  <c r="E847" i="4" s="1"/>
  <c r="G848" i="4"/>
  <c r="E848" i="4" s="1" a="1"/>
  <c r="E848" i="4" s="1"/>
  <c r="G849" i="4"/>
  <c r="E849" i="4" s="1" a="1"/>
  <c r="E849" i="4" s="1"/>
  <c r="G850" i="4"/>
  <c r="E850" i="4" s="1" a="1"/>
  <c r="E850" i="4" s="1"/>
  <c r="G851" i="4"/>
  <c r="E851" i="4" s="1" a="1"/>
  <c r="E851" i="4" s="1"/>
  <c r="G852" i="4"/>
  <c r="E852" i="4" s="1" a="1"/>
  <c r="E852" i="4" s="1"/>
  <c r="G853" i="4"/>
  <c r="E853" i="4" s="1" a="1"/>
  <c r="E853" i="4" s="1"/>
  <c r="G854" i="4"/>
  <c r="E854" i="4" s="1" a="1"/>
  <c r="E854" i="4" s="1"/>
  <c r="G855" i="4"/>
  <c r="E855" i="4" s="1" a="1"/>
  <c r="E855" i="4" s="1"/>
  <c r="G856" i="4"/>
  <c r="E856" i="4" s="1" a="1"/>
  <c r="E856" i="4" s="1"/>
  <c r="G857" i="4"/>
  <c r="E857" i="4" s="1" a="1"/>
  <c r="E857" i="4" s="1"/>
  <c r="G858" i="4"/>
  <c r="E858" i="4" s="1" a="1"/>
  <c r="E858" i="4" s="1"/>
  <c r="G859" i="4"/>
  <c r="E859" i="4" s="1" a="1"/>
  <c r="E859" i="4" s="1"/>
  <c r="G860" i="4"/>
  <c r="E860" i="4" s="1" a="1"/>
  <c r="E860" i="4" s="1"/>
  <c r="G861" i="4"/>
  <c r="E861" i="4" s="1" a="1"/>
  <c r="E861" i="4" s="1"/>
  <c r="G862" i="4"/>
  <c r="E862" i="4" s="1" a="1"/>
  <c r="E862" i="4" s="1"/>
  <c r="G863" i="4"/>
  <c r="E863" i="4" s="1" a="1"/>
  <c r="E863" i="4" s="1"/>
  <c r="G864" i="4"/>
  <c r="E864" i="4" s="1" a="1"/>
  <c r="E864" i="4" s="1"/>
  <c r="G865" i="4"/>
  <c r="E865" i="4" s="1" a="1"/>
  <c r="E865" i="4" s="1"/>
  <c r="G866" i="4"/>
  <c r="E866" i="4" s="1" a="1"/>
  <c r="E866" i="4" s="1"/>
  <c r="G867" i="4"/>
  <c r="E867" i="4" s="1" a="1"/>
  <c r="E867" i="4" s="1"/>
  <c r="G868" i="4"/>
  <c r="E868" i="4" s="1" a="1"/>
  <c r="E868" i="4" s="1"/>
  <c r="G869" i="4"/>
  <c r="E869" i="4" s="1" a="1"/>
  <c r="E869" i="4" s="1"/>
  <c r="G870" i="4"/>
  <c r="E870" i="4" s="1" a="1"/>
  <c r="E870" i="4" s="1"/>
  <c r="G871" i="4"/>
  <c r="E871" i="4" s="1" a="1"/>
  <c r="E871" i="4" s="1"/>
  <c r="G872" i="4"/>
  <c r="E872" i="4" s="1" a="1"/>
  <c r="E872" i="4" s="1"/>
  <c r="G873" i="4"/>
  <c r="E873" i="4" s="1" a="1"/>
  <c r="E873" i="4" s="1"/>
  <c r="G874" i="4"/>
  <c r="E874" i="4" s="1" a="1"/>
  <c r="E874" i="4" s="1"/>
  <c r="G875" i="4"/>
  <c r="E875" i="4" s="1" a="1"/>
  <c r="E875" i="4" s="1"/>
  <c r="G876" i="4"/>
  <c r="E876" i="4" s="1" a="1"/>
  <c r="E876" i="4" s="1"/>
  <c r="G877" i="4"/>
  <c r="E877" i="4" s="1" a="1"/>
  <c r="E877" i="4" s="1"/>
  <c r="G878" i="4"/>
  <c r="E878" i="4" s="1" a="1"/>
  <c r="E878" i="4" s="1"/>
  <c r="G879" i="4"/>
  <c r="E879" i="4" s="1" a="1"/>
  <c r="E879" i="4" s="1"/>
  <c r="G880" i="4"/>
  <c r="E880" i="4" s="1" a="1"/>
  <c r="E880" i="4" s="1"/>
  <c r="G881" i="4"/>
  <c r="E881" i="4" s="1" a="1"/>
  <c r="E881" i="4" s="1"/>
  <c r="G882" i="4"/>
  <c r="E882" i="4" s="1" a="1"/>
  <c r="E882" i="4" s="1"/>
  <c r="G883" i="4"/>
  <c r="E883" i="4" s="1" a="1"/>
  <c r="E883" i="4" s="1"/>
  <c r="G884" i="4"/>
  <c r="E884" i="4" s="1" a="1"/>
  <c r="E884" i="4" s="1"/>
  <c r="G885" i="4"/>
  <c r="E885" i="4" s="1" a="1"/>
  <c r="E885" i="4" s="1"/>
  <c r="G886" i="4"/>
  <c r="E886" i="4" s="1" a="1"/>
  <c r="E886" i="4" s="1"/>
  <c r="G887" i="4"/>
  <c r="E887" i="4" s="1" a="1"/>
  <c r="E887" i="4" s="1"/>
  <c r="G888" i="4"/>
  <c r="E888" i="4" s="1" a="1"/>
  <c r="E888" i="4" s="1"/>
  <c r="G889" i="4"/>
  <c r="E889" i="4" s="1" a="1"/>
  <c r="E889" i="4" s="1"/>
  <c r="G890" i="4"/>
  <c r="E890" i="4" s="1" a="1"/>
  <c r="E890" i="4" s="1"/>
  <c r="G891" i="4"/>
  <c r="E891" i="4" s="1" a="1"/>
  <c r="E891" i="4" s="1"/>
  <c r="G892" i="4"/>
  <c r="E892" i="4" s="1" a="1"/>
  <c r="E892" i="4" s="1"/>
  <c r="G893" i="4"/>
  <c r="E893" i="4" s="1" a="1"/>
  <c r="E893" i="4" s="1"/>
  <c r="G894" i="4"/>
  <c r="E894" i="4" s="1" a="1"/>
  <c r="E894" i="4" s="1"/>
  <c r="G895" i="4"/>
  <c r="E895" i="4" s="1" a="1"/>
  <c r="E895" i="4" s="1"/>
  <c r="G896" i="4"/>
  <c r="E896" i="4" s="1" a="1"/>
  <c r="E896" i="4" s="1"/>
  <c r="G897" i="4"/>
  <c r="E897" i="4" s="1" a="1"/>
  <c r="E897" i="4" s="1"/>
  <c r="G898" i="4"/>
  <c r="E898" i="4" s="1" a="1"/>
  <c r="E898" i="4" s="1"/>
  <c r="G899" i="4"/>
  <c r="E899" i="4" s="1" a="1"/>
  <c r="E899" i="4" s="1"/>
  <c r="G900" i="4"/>
  <c r="E900" i="4" s="1" a="1"/>
  <c r="E900" i="4" s="1"/>
  <c r="G901" i="4"/>
  <c r="E901" i="4" s="1" a="1"/>
  <c r="E901" i="4" s="1"/>
  <c r="G902" i="4"/>
  <c r="E902" i="4" s="1" a="1"/>
  <c r="E902" i="4" s="1"/>
  <c r="G903" i="4"/>
  <c r="E903" i="4" s="1" a="1"/>
  <c r="E903" i="4" s="1"/>
  <c r="G904" i="4"/>
  <c r="E904" i="4" s="1" a="1"/>
  <c r="E904" i="4" s="1"/>
  <c r="G905" i="4"/>
  <c r="E905" i="4" s="1" a="1"/>
  <c r="E905" i="4" s="1"/>
  <c r="G906" i="4"/>
  <c r="E906" i="4" s="1" a="1"/>
  <c r="E906" i="4" s="1"/>
  <c r="G907" i="4"/>
  <c r="E907" i="4" s="1" a="1"/>
  <c r="E907" i="4" s="1"/>
  <c r="G908" i="4"/>
  <c r="E908" i="4" s="1" a="1"/>
  <c r="E908" i="4" s="1"/>
  <c r="G909" i="4"/>
  <c r="E909" i="4" s="1" a="1"/>
  <c r="E909" i="4" s="1"/>
  <c r="G910" i="4"/>
  <c r="E910" i="4" s="1" a="1"/>
  <c r="E910" i="4" s="1"/>
  <c r="G911" i="4"/>
  <c r="E911" i="4" s="1" a="1"/>
  <c r="E911" i="4" s="1"/>
  <c r="G912" i="4"/>
  <c r="E912" i="4" s="1" a="1"/>
  <c r="E912" i="4" s="1"/>
  <c r="G913" i="4"/>
  <c r="E913" i="4" s="1" a="1"/>
  <c r="E913" i="4" s="1"/>
  <c r="G914" i="4"/>
  <c r="E914" i="4" s="1" a="1"/>
  <c r="E914" i="4" s="1"/>
  <c r="G915" i="4"/>
  <c r="E915" i="4" s="1" a="1"/>
  <c r="E915" i="4" s="1"/>
  <c r="G916" i="4"/>
  <c r="E916" i="4" s="1" a="1"/>
  <c r="E916" i="4" s="1"/>
  <c r="G917" i="4"/>
  <c r="E917" i="4" s="1" a="1"/>
  <c r="E917" i="4" s="1"/>
  <c r="G918" i="4"/>
  <c r="E918" i="4" s="1" a="1"/>
  <c r="E918" i="4" s="1"/>
  <c r="G919" i="4"/>
  <c r="E919" i="4" s="1" a="1"/>
  <c r="E919" i="4" s="1"/>
  <c r="G920" i="4"/>
  <c r="E920" i="4" s="1" a="1"/>
  <c r="E920" i="4" s="1"/>
  <c r="G921" i="4"/>
  <c r="E921" i="4" s="1" a="1"/>
  <c r="E921" i="4" s="1"/>
  <c r="G922" i="4"/>
  <c r="E922" i="4" s="1" a="1"/>
  <c r="E922" i="4" s="1"/>
  <c r="G923" i="4"/>
  <c r="E923" i="4" s="1" a="1"/>
  <c r="E923" i="4" s="1"/>
  <c r="G924" i="4"/>
  <c r="E924" i="4" s="1" a="1"/>
  <c r="E924" i="4" s="1"/>
  <c r="G925" i="4"/>
  <c r="E925" i="4" s="1" a="1"/>
  <c r="E925" i="4" s="1"/>
  <c r="G926" i="4"/>
  <c r="E926" i="4" s="1" a="1"/>
  <c r="E926" i="4" s="1"/>
  <c r="G927" i="4"/>
  <c r="E927" i="4" s="1" a="1"/>
  <c r="E927" i="4" s="1"/>
  <c r="G928" i="4"/>
  <c r="E928" i="4" s="1" a="1"/>
  <c r="E928" i="4" s="1"/>
  <c r="G929" i="4"/>
  <c r="E929" i="4" s="1" a="1"/>
  <c r="E929" i="4" s="1"/>
  <c r="G930" i="4"/>
  <c r="E930" i="4" s="1" a="1"/>
  <c r="E930" i="4" s="1"/>
  <c r="G931" i="4"/>
  <c r="E931" i="4" s="1" a="1"/>
  <c r="E931" i="4" s="1"/>
  <c r="G932" i="4"/>
  <c r="E932" i="4" s="1" a="1"/>
  <c r="E932" i="4" s="1"/>
  <c r="G933" i="4"/>
  <c r="E933" i="4" s="1" a="1"/>
  <c r="E933" i="4" s="1"/>
  <c r="G934" i="4"/>
  <c r="E934" i="4" s="1" a="1"/>
  <c r="E934" i="4" s="1"/>
  <c r="G935" i="4"/>
  <c r="E935" i="4" s="1" a="1"/>
  <c r="E935" i="4" s="1"/>
  <c r="G936" i="4"/>
  <c r="E936" i="4" s="1" a="1"/>
  <c r="E936" i="4" s="1"/>
  <c r="G937" i="4"/>
  <c r="E937" i="4" s="1" a="1"/>
  <c r="E937" i="4" s="1"/>
  <c r="G938" i="4"/>
  <c r="G939" i="4"/>
  <c r="E939" i="4" s="1" a="1"/>
  <c r="E939" i="4" s="1"/>
  <c r="G940" i="4"/>
  <c r="E940" i="4" s="1" a="1"/>
  <c r="E940" i="4" s="1"/>
  <c r="G941" i="4"/>
  <c r="E941" i="4" s="1" a="1"/>
  <c r="E941" i="4" s="1"/>
  <c r="G942" i="4"/>
  <c r="E942" i="4" s="1" a="1"/>
  <c r="E942" i="4" s="1"/>
  <c r="G943" i="4"/>
  <c r="E943" i="4" s="1" a="1"/>
  <c r="E943" i="4" s="1"/>
  <c r="G944" i="4"/>
  <c r="E944" i="4" s="1" a="1"/>
  <c r="E944" i="4" s="1"/>
  <c r="G945" i="4"/>
  <c r="E945" i="4" s="1" a="1"/>
  <c r="E945" i="4" s="1"/>
  <c r="G946" i="4"/>
  <c r="E946" i="4" s="1" a="1"/>
  <c r="E946" i="4" s="1"/>
  <c r="G947" i="4"/>
  <c r="E947" i="4" s="1" a="1"/>
  <c r="E947" i="4" s="1"/>
  <c r="G948" i="4"/>
  <c r="E948" i="4" s="1" a="1"/>
  <c r="E948" i="4" s="1"/>
  <c r="G949" i="4"/>
  <c r="E949" i="4" s="1" a="1"/>
  <c r="E949" i="4" s="1"/>
  <c r="G950" i="4"/>
  <c r="E950" i="4" s="1" a="1"/>
  <c r="E950" i="4" s="1"/>
  <c r="G951" i="4"/>
  <c r="E951" i="4" s="1" a="1"/>
  <c r="E951" i="4" s="1"/>
  <c r="G952" i="4"/>
  <c r="E952" i="4" s="1" a="1"/>
  <c r="E952" i="4" s="1"/>
  <c r="G953" i="4"/>
  <c r="E953" i="4" s="1" a="1"/>
  <c r="E953" i="4" s="1"/>
  <c r="G954" i="4"/>
  <c r="E954" i="4" s="1" a="1"/>
  <c r="E954" i="4" s="1"/>
  <c r="G955" i="4"/>
  <c r="E955" i="4" s="1" a="1"/>
  <c r="E955" i="4" s="1"/>
  <c r="G956" i="4"/>
  <c r="E956" i="4" s="1" a="1"/>
  <c r="E956" i="4" s="1"/>
  <c r="G957" i="4"/>
  <c r="E957" i="4" s="1" a="1"/>
  <c r="E957" i="4" s="1"/>
  <c r="G958" i="4"/>
  <c r="E958" i="4" s="1" a="1"/>
  <c r="E958" i="4" s="1"/>
  <c r="G959" i="4"/>
  <c r="E959" i="4" s="1" a="1"/>
  <c r="E959" i="4" s="1"/>
  <c r="G960" i="4"/>
  <c r="E960" i="4" s="1" a="1"/>
  <c r="E960" i="4" s="1"/>
  <c r="G961" i="4"/>
  <c r="E961" i="4" s="1" a="1"/>
  <c r="E961" i="4" s="1"/>
  <c r="G962" i="4"/>
  <c r="E962" i="4" s="1" a="1"/>
  <c r="E962" i="4" s="1"/>
  <c r="G963" i="4"/>
  <c r="E963" i="4" s="1" a="1"/>
  <c r="E963" i="4" s="1"/>
  <c r="G964" i="4"/>
  <c r="E964" i="4" s="1" a="1"/>
  <c r="E964" i="4" s="1"/>
  <c r="G965" i="4"/>
  <c r="E965" i="4" s="1" a="1"/>
  <c r="E965" i="4" s="1"/>
  <c r="G966" i="4"/>
  <c r="E966" i="4" s="1" a="1"/>
  <c r="E966" i="4" s="1"/>
  <c r="G967" i="4"/>
  <c r="E967" i="4" s="1" a="1"/>
  <c r="E967" i="4" s="1"/>
  <c r="G968" i="4"/>
  <c r="E968" i="4" s="1" a="1"/>
  <c r="E968" i="4" s="1"/>
  <c r="G969" i="4"/>
  <c r="E969" i="4" s="1" a="1"/>
  <c r="E969" i="4" s="1"/>
  <c r="G970" i="4"/>
  <c r="E970" i="4" s="1" a="1"/>
  <c r="E970" i="4" s="1"/>
  <c r="G971" i="4"/>
  <c r="E971" i="4" s="1" a="1"/>
  <c r="E971" i="4" s="1"/>
  <c r="G972" i="4"/>
  <c r="E972" i="4" s="1" a="1"/>
  <c r="E972" i="4" s="1"/>
  <c r="G973" i="4"/>
  <c r="E973" i="4" s="1" a="1"/>
  <c r="E973" i="4" s="1"/>
  <c r="G974" i="4"/>
  <c r="E974" i="4" s="1" a="1"/>
  <c r="E974" i="4" s="1"/>
  <c r="G975" i="4"/>
  <c r="E975" i="4" s="1" a="1"/>
  <c r="E975" i="4" s="1"/>
  <c r="G976" i="4"/>
  <c r="E976" i="4" s="1" a="1"/>
  <c r="E976" i="4" s="1"/>
  <c r="G977" i="4"/>
  <c r="E977" i="4" s="1" a="1"/>
  <c r="E977" i="4" s="1"/>
  <c r="G978" i="4"/>
  <c r="E978" i="4" s="1" a="1"/>
  <c r="E978" i="4" s="1"/>
  <c r="G979" i="4"/>
  <c r="E979" i="4" s="1" a="1"/>
  <c r="E979" i="4" s="1"/>
  <c r="G980" i="4"/>
  <c r="E980" i="4" s="1" a="1"/>
  <c r="E980" i="4" s="1"/>
  <c r="G981" i="4"/>
  <c r="E981" i="4" s="1" a="1"/>
  <c r="E981" i="4" s="1"/>
  <c r="G982" i="4"/>
  <c r="E982" i="4" s="1" a="1"/>
  <c r="E982" i="4" s="1"/>
  <c r="G983" i="4"/>
  <c r="E983" i="4" s="1" a="1"/>
  <c r="E983" i="4" s="1"/>
  <c r="G984" i="4"/>
  <c r="E984" i="4" s="1" a="1"/>
  <c r="E984" i="4" s="1"/>
  <c r="G985" i="4"/>
  <c r="E985" i="4" s="1" a="1"/>
  <c r="E985" i="4" s="1"/>
  <c r="G986" i="4"/>
  <c r="E986" i="4" s="1" a="1"/>
  <c r="E986" i="4" s="1"/>
  <c r="G987" i="4"/>
  <c r="E987" i="4" s="1" a="1"/>
  <c r="E987" i="4" s="1"/>
  <c r="G988" i="4"/>
  <c r="E988" i="4" s="1" a="1"/>
  <c r="E988" i="4" s="1"/>
  <c r="G989" i="4"/>
  <c r="E989" i="4" s="1" a="1"/>
  <c r="E989" i="4" s="1"/>
  <c r="G990" i="4"/>
  <c r="E990" i="4" s="1" a="1"/>
  <c r="E990" i="4" s="1"/>
  <c r="G991" i="4"/>
  <c r="E991" i="4" s="1" a="1"/>
  <c r="E991" i="4" s="1"/>
  <c r="G992" i="4"/>
  <c r="E992" i="4" s="1" a="1"/>
  <c r="E992" i="4" s="1"/>
  <c r="G993" i="4"/>
  <c r="E993" i="4" s="1" a="1"/>
  <c r="E993" i="4" s="1"/>
  <c r="G994" i="4"/>
  <c r="E994" i="4" s="1" a="1"/>
  <c r="E994" i="4" s="1"/>
  <c r="G995" i="4"/>
  <c r="E995" i="4" s="1" a="1"/>
  <c r="E995" i="4" s="1"/>
  <c r="G996" i="4"/>
  <c r="E996" i="4" s="1" a="1"/>
  <c r="E996" i="4" s="1"/>
  <c r="G997" i="4"/>
  <c r="E997" i="4" s="1" a="1"/>
  <c r="E997" i="4" s="1"/>
  <c r="G998" i="4"/>
  <c r="E998" i="4" s="1" a="1"/>
  <c r="E998" i="4" s="1"/>
  <c r="G999" i="4"/>
  <c r="E999" i="4" s="1" a="1"/>
  <c r="E999" i="4" s="1"/>
  <c r="G1000" i="4"/>
  <c r="E1000" i="4" s="1" a="1"/>
  <c r="E1000" i="4" s="1"/>
  <c r="G1001" i="4"/>
  <c r="E1001" i="4" s="1" a="1"/>
  <c r="E1001" i="4" s="1"/>
  <c r="G1002" i="4"/>
  <c r="E1002" i="4" s="1" a="1"/>
  <c r="E1002" i="4" s="1"/>
  <c r="G1003" i="4"/>
  <c r="E1003" i="4" s="1" a="1"/>
  <c r="E1003" i="4" s="1"/>
  <c r="G1004" i="4"/>
  <c r="E1004" i="4" s="1" a="1"/>
  <c r="E1004" i="4" s="1"/>
  <c r="G1005" i="4"/>
  <c r="E1005" i="4" s="1" a="1"/>
  <c r="E1005" i="4" s="1"/>
  <c r="G1006" i="4"/>
  <c r="E1006" i="4" s="1" a="1"/>
  <c r="E1006" i="4" s="1"/>
  <c r="G1007" i="4"/>
  <c r="E1007" i="4" s="1" a="1"/>
  <c r="E1007" i="4" s="1"/>
  <c r="G1008" i="4"/>
  <c r="E1008" i="4" s="1" a="1"/>
  <c r="E1008" i="4" s="1"/>
  <c r="G1009" i="4"/>
  <c r="E1009" i="4" s="1" a="1"/>
  <c r="E1009" i="4" s="1"/>
  <c r="G1010" i="4"/>
  <c r="E1010" i="4" s="1" a="1"/>
  <c r="E1010" i="4" s="1"/>
  <c r="G1011" i="4"/>
  <c r="E1011" i="4" s="1" a="1"/>
  <c r="E1011" i="4" s="1"/>
  <c r="G1012" i="4"/>
  <c r="E1012" i="4" s="1" a="1"/>
  <c r="E1012" i="4" s="1"/>
  <c r="G1013" i="4"/>
  <c r="E1013" i="4" s="1" a="1"/>
  <c r="E1013" i="4" s="1"/>
  <c r="G1014" i="4"/>
  <c r="E1014" i="4" s="1" a="1"/>
  <c r="E1014" i="4" s="1"/>
  <c r="G1015" i="4"/>
  <c r="E1015" i="4" s="1" a="1"/>
  <c r="E1015" i="4" s="1"/>
  <c r="G1016" i="4"/>
  <c r="E1016" i="4" s="1" a="1"/>
  <c r="E1016" i="4" s="1"/>
  <c r="G1017" i="4"/>
  <c r="E1017" i="4" s="1" a="1"/>
  <c r="E1017" i="4" s="1"/>
  <c r="G1018" i="4"/>
  <c r="E1018" i="4" s="1" a="1"/>
  <c r="E1018" i="4" s="1"/>
  <c r="G1019" i="4"/>
  <c r="E1019" i="4" s="1" a="1"/>
  <c r="E1019" i="4" s="1"/>
  <c r="G1020" i="4"/>
  <c r="E1020" i="4" s="1" a="1"/>
  <c r="E1020" i="4" s="1"/>
  <c r="G1021" i="4"/>
  <c r="E1021" i="4" s="1" a="1"/>
  <c r="E1021" i="4" s="1"/>
  <c r="G1022" i="4"/>
  <c r="E1022" i="4" s="1" a="1"/>
  <c r="E1022" i="4" s="1"/>
  <c r="G1023" i="4"/>
  <c r="E1023" i="4" s="1" a="1"/>
  <c r="E1023" i="4" s="1"/>
  <c r="G1024" i="4"/>
  <c r="E1024" i="4" s="1" a="1"/>
  <c r="E1024" i="4" s="1"/>
  <c r="G1025" i="4"/>
  <c r="E1025" i="4" s="1" a="1"/>
  <c r="E1025" i="4" s="1"/>
  <c r="G1026" i="4"/>
  <c r="E1026" i="4" s="1" a="1"/>
  <c r="E1026" i="4" s="1"/>
  <c r="G1027" i="4"/>
  <c r="E1027" i="4" s="1" a="1"/>
  <c r="E1027" i="4" s="1"/>
  <c r="G1028" i="4"/>
  <c r="E1028" i="4" s="1" a="1"/>
  <c r="E1028" i="4" s="1"/>
  <c r="G1029" i="4"/>
  <c r="E1029" i="4" s="1" a="1"/>
  <c r="E1029" i="4" s="1"/>
  <c r="G1030" i="4"/>
  <c r="E1030" i="4" s="1" a="1"/>
  <c r="E1030" i="4" s="1"/>
  <c r="G1031" i="4"/>
  <c r="E1031" i="4" s="1" a="1"/>
  <c r="E1031" i="4" s="1"/>
  <c r="G1032" i="4"/>
  <c r="E1032" i="4" s="1" a="1"/>
  <c r="E1032" i="4" s="1"/>
  <c r="G1033" i="4"/>
  <c r="E1033" i="4" s="1" a="1"/>
  <c r="E1033" i="4" s="1"/>
  <c r="G1034" i="4"/>
  <c r="E1034" i="4" s="1" a="1"/>
  <c r="E1034" i="4" s="1"/>
  <c r="G1035" i="4"/>
  <c r="E1035" i="4" s="1" a="1"/>
  <c r="E1035" i="4" s="1"/>
  <c r="G1036" i="4"/>
  <c r="E1036" i="4" s="1" a="1"/>
  <c r="E1036" i="4" s="1"/>
  <c r="G1037" i="4"/>
  <c r="E1037" i="4" s="1" a="1"/>
  <c r="E1037" i="4" s="1"/>
  <c r="G1038" i="4"/>
  <c r="E1038" i="4" s="1" a="1"/>
  <c r="E1038" i="4" s="1"/>
  <c r="G1039" i="4"/>
  <c r="E1039" i="4" s="1" a="1"/>
  <c r="E1039" i="4" s="1"/>
  <c r="G1040" i="4"/>
  <c r="E1040" i="4" s="1" a="1"/>
  <c r="E1040" i="4" s="1"/>
  <c r="G1041" i="4"/>
  <c r="E1041" i="4" s="1" a="1"/>
  <c r="E1041" i="4" s="1"/>
  <c r="G1042" i="4"/>
  <c r="E1042" i="4" s="1" a="1"/>
  <c r="E1042" i="4" s="1"/>
  <c r="G1043" i="4"/>
  <c r="E1043" i="4" s="1" a="1"/>
  <c r="E1043" i="4" s="1"/>
  <c r="G1044" i="4"/>
  <c r="E1044" i="4" s="1" a="1"/>
  <c r="E1044" i="4" s="1"/>
  <c r="G1045" i="4"/>
  <c r="E1045" i="4" s="1" a="1"/>
  <c r="E1045" i="4" s="1"/>
  <c r="G1046" i="4"/>
  <c r="E1046" i="4" s="1" a="1"/>
  <c r="E1046" i="4" s="1"/>
  <c r="G1047" i="4"/>
  <c r="E1047" i="4" s="1" a="1"/>
  <c r="E1047" i="4" s="1"/>
  <c r="G1048" i="4"/>
  <c r="E1048" i="4" s="1" a="1"/>
  <c r="E1048" i="4" s="1"/>
  <c r="G1049" i="4"/>
  <c r="E1049" i="4" s="1" a="1"/>
  <c r="E1049" i="4" s="1"/>
  <c r="G1050" i="4"/>
  <c r="E1050" i="4" s="1" a="1"/>
  <c r="E1050" i="4" s="1"/>
  <c r="G1051" i="4"/>
  <c r="E1051" i="4" s="1" a="1"/>
  <c r="E1051" i="4" s="1"/>
  <c r="G1052" i="4"/>
  <c r="E1052" i="4" s="1" a="1"/>
  <c r="E1052" i="4" s="1"/>
  <c r="G1053" i="4"/>
  <c r="E1053" i="4" s="1" a="1"/>
  <c r="E1053" i="4" s="1"/>
  <c r="G1054" i="4"/>
  <c r="E1054" i="4" s="1" a="1"/>
  <c r="E1054" i="4" s="1"/>
  <c r="G1055" i="4"/>
  <c r="E1055" i="4" s="1" a="1"/>
  <c r="E1055" i="4" s="1"/>
  <c r="G1056" i="4"/>
  <c r="E1056" i="4" s="1" a="1"/>
  <c r="E1056" i="4" s="1"/>
  <c r="G1057" i="4"/>
  <c r="E1057" i="4" s="1" a="1"/>
  <c r="E1057" i="4" s="1"/>
  <c r="G1058" i="4"/>
  <c r="E1058" i="4" s="1" a="1"/>
  <c r="E1058" i="4" s="1"/>
  <c r="G1059" i="4"/>
  <c r="E1059" i="4" s="1" a="1"/>
  <c r="E1059" i="4" s="1"/>
  <c r="G1060" i="4"/>
  <c r="E1060" i="4" s="1" a="1"/>
  <c r="E1060" i="4" s="1"/>
  <c r="G1061" i="4"/>
  <c r="E1061" i="4" s="1" a="1"/>
  <c r="E1061" i="4" s="1"/>
  <c r="G1062" i="4"/>
  <c r="E1062" i="4" s="1" a="1"/>
  <c r="E1062" i="4" s="1"/>
  <c r="G1063" i="4"/>
  <c r="E1063" i="4" s="1" a="1"/>
  <c r="E1063" i="4" s="1"/>
  <c r="G1064" i="4"/>
  <c r="E1064" i="4" s="1" a="1"/>
  <c r="E1064" i="4" s="1"/>
  <c r="G1065" i="4"/>
  <c r="E1065" i="4" s="1" a="1"/>
  <c r="E1065" i="4" s="1"/>
  <c r="G1066" i="4"/>
  <c r="E1066" i="4" s="1" a="1"/>
  <c r="E1066" i="4" s="1"/>
  <c r="G1067" i="4"/>
  <c r="E1067" i="4" s="1" a="1"/>
  <c r="E1067" i="4" s="1"/>
  <c r="G1068" i="4"/>
  <c r="E1068" i="4" s="1" a="1"/>
  <c r="E1068" i="4" s="1"/>
  <c r="G1069" i="4"/>
  <c r="E1069" i="4" s="1" a="1"/>
  <c r="E1069" i="4" s="1"/>
  <c r="G1070" i="4"/>
  <c r="E1070" i="4" s="1" a="1"/>
  <c r="E1070" i="4" s="1"/>
  <c r="G1071" i="4"/>
  <c r="E1071" i="4" s="1" a="1"/>
  <c r="E1071" i="4" s="1"/>
  <c r="G1072" i="4"/>
  <c r="E1072" i="4" s="1" a="1"/>
  <c r="E1072" i="4" s="1"/>
  <c r="G1073" i="4"/>
  <c r="E1073" i="4" s="1" a="1"/>
  <c r="E1073" i="4" s="1"/>
  <c r="G1074" i="4"/>
  <c r="E1074" i="4" s="1" a="1"/>
  <c r="E1074" i="4" s="1"/>
  <c r="G1075" i="4"/>
  <c r="E1075" i="4" s="1" a="1"/>
  <c r="E1075" i="4" s="1"/>
  <c r="G1076" i="4"/>
  <c r="E1076" i="4" s="1" a="1"/>
  <c r="E1076" i="4" s="1"/>
  <c r="G1077" i="4"/>
  <c r="E1077" i="4" s="1" a="1"/>
  <c r="E1077" i="4" s="1"/>
  <c r="G1078" i="4"/>
  <c r="E1078" i="4" s="1" a="1"/>
  <c r="E1078" i="4" s="1"/>
  <c r="G1079" i="4"/>
  <c r="E1079" i="4" s="1" a="1"/>
  <c r="E1079" i="4" s="1"/>
  <c r="G1080" i="4"/>
  <c r="E1080" i="4" s="1" a="1"/>
  <c r="E1080" i="4" s="1"/>
  <c r="G1081" i="4"/>
  <c r="E1081" i="4" s="1" a="1"/>
  <c r="E1081" i="4" s="1"/>
  <c r="G1082" i="4"/>
  <c r="E1082" i="4" s="1" a="1"/>
  <c r="E1082" i="4" s="1"/>
  <c r="G1083" i="4"/>
  <c r="E1083" i="4" s="1" a="1"/>
  <c r="E1083" i="4" s="1"/>
  <c r="G1084" i="4"/>
  <c r="E1084" i="4" s="1" a="1"/>
  <c r="E1084" i="4" s="1"/>
  <c r="G1085" i="4"/>
  <c r="E1085" i="4" s="1" a="1"/>
  <c r="E1085" i="4" s="1"/>
  <c r="G1086" i="4"/>
  <c r="E1086" i="4" s="1" a="1"/>
  <c r="E1086" i="4" s="1"/>
  <c r="G1087" i="4"/>
  <c r="E1087" i="4" s="1" a="1"/>
  <c r="E1087" i="4" s="1"/>
  <c r="G1088" i="4"/>
  <c r="E1088" i="4" s="1" a="1"/>
  <c r="E1088" i="4" s="1"/>
  <c r="G1089" i="4"/>
  <c r="E1089" i="4" s="1" a="1"/>
  <c r="E1089" i="4" s="1"/>
  <c r="G1090" i="4"/>
  <c r="E1090" i="4" s="1" a="1"/>
  <c r="E1090" i="4" s="1"/>
  <c r="G1091" i="4"/>
  <c r="E1091" i="4" s="1" a="1"/>
  <c r="E1091" i="4" s="1"/>
  <c r="G1092" i="4"/>
  <c r="E1092" i="4" s="1" a="1"/>
  <c r="E1092" i="4" s="1"/>
  <c r="G1093" i="4"/>
  <c r="E1093" i="4" s="1" a="1"/>
  <c r="E1093" i="4" s="1"/>
  <c r="G1094" i="4"/>
  <c r="E1094" i="4" s="1" a="1"/>
  <c r="E1094" i="4" s="1"/>
  <c r="G1095" i="4"/>
  <c r="E1095" i="4" s="1" a="1"/>
  <c r="E1095" i="4" s="1"/>
  <c r="G1096" i="4"/>
  <c r="E1096" i="4" s="1" a="1"/>
  <c r="E1096" i="4" s="1"/>
  <c r="G1097" i="4"/>
  <c r="E1097" i="4" s="1" a="1"/>
  <c r="E1097" i="4" s="1"/>
  <c r="G1098" i="4"/>
  <c r="E1098" i="4" s="1" a="1"/>
  <c r="E1098" i="4" s="1"/>
  <c r="G1099" i="4"/>
  <c r="E1099" i="4" s="1" a="1"/>
  <c r="E1099" i="4" s="1"/>
  <c r="G1100" i="4"/>
  <c r="E1100" i="4" s="1" a="1"/>
  <c r="E1100" i="4" s="1"/>
  <c r="G1101" i="4"/>
  <c r="E1101" i="4" s="1" a="1"/>
  <c r="E1101" i="4" s="1"/>
  <c r="G1102" i="4"/>
  <c r="E1102" i="4" s="1" a="1"/>
  <c r="E1102" i="4" s="1"/>
  <c r="G1103" i="4"/>
  <c r="E1103" i="4" s="1" a="1"/>
  <c r="E1103" i="4" s="1"/>
  <c r="G1104" i="4"/>
  <c r="E1104" i="4" s="1" a="1"/>
  <c r="E1104" i="4" s="1"/>
  <c r="G1105" i="4"/>
  <c r="E1105" i="4" s="1" a="1"/>
  <c r="E1105" i="4" s="1"/>
  <c r="G1106" i="4"/>
  <c r="E1106" i="4" s="1" a="1"/>
  <c r="E1106" i="4" s="1"/>
  <c r="G1107" i="4"/>
  <c r="E1107" i="4" s="1" a="1"/>
  <c r="E1107" i="4" s="1"/>
  <c r="G1108" i="4"/>
  <c r="E1108" i="4" s="1" a="1"/>
  <c r="E1108" i="4" s="1"/>
  <c r="G1109" i="4"/>
  <c r="E1109" i="4" s="1" a="1"/>
  <c r="E1109" i="4" s="1"/>
  <c r="G1110" i="4"/>
  <c r="E1110" i="4" s="1" a="1"/>
  <c r="E1110" i="4" s="1"/>
  <c r="G1111" i="4"/>
  <c r="E1111" i="4" s="1" a="1"/>
  <c r="E1111" i="4" s="1"/>
  <c r="G1112" i="4"/>
  <c r="E1112" i="4" s="1" a="1"/>
  <c r="E1112" i="4" s="1"/>
  <c r="G1113" i="4"/>
  <c r="E1113" i="4" s="1" a="1"/>
  <c r="E1113" i="4" s="1"/>
  <c r="G1114" i="4"/>
  <c r="E1114" i="4" s="1" a="1"/>
  <c r="E1114" i="4" s="1"/>
  <c r="G1115" i="4"/>
  <c r="E1115" i="4" s="1" a="1"/>
  <c r="E1115" i="4" s="1"/>
  <c r="G1116" i="4"/>
  <c r="E1116" i="4" s="1" a="1"/>
  <c r="E1116" i="4" s="1"/>
  <c r="G1117" i="4"/>
  <c r="E1117" i="4" s="1" a="1"/>
  <c r="E1117" i="4" s="1"/>
  <c r="G1118" i="4"/>
  <c r="E1118" i="4" s="1" a="1"/>
  <c r="E1118" i="4" s="1"/>
  <c r="G1119" i="4"/>
  <c r="E1119" i="4" s="1" a="1"/>
  <c r="E1119" i="4" s="1"/>
  <c r="G1120" i="4"/>
  <c r="E1120" i="4" s="1" a="1"/>
  <c r="E1120" i="4" s="1"/>
  <c r="G1121" i="4"/>
  <c r="E1121" i="4" s="1" a="1"/>
  <c r="E1121" i="4" s="1"/>
  <c r="G1122" i="4"/>
  <c r="E1122" i="4" s="1" a="1"/>
  <c r="E1122" i="4" s="1"/>
  <c r="G1123" i="4"/>
  <c r="E1123" i="4" s="1" a="1"/>
  <c r="E1123" i="4" s="1"/>
  <c r="G1124" i="4"/>
  <c r="E1124" i="4" s="1" a="1"/>
  <c r="E1124" i="4" s="1"/>
  <c r="G1125" i="4"/>
  <c r="E1125" i="4" s="1" a="1"/>
  <c r="E1125" i="4" s="1"/>
  <c r="G1126" i="4"/>
  <c r="E1126" i="4" s="1" a="1"/>
  <c r="E1126" i="4" s="1"/>
  <c r="G1127" i="4"/>
  <c r="E1127" i="4" s="1" a="1"/>
  <c r="E1127" i="4" s="1"/>
  <c r="G1128" i="4"/>
  <c r="E1128" i="4" s="1" a="1"/>
  <c r="E1128" i="4" s="1"/>
  <c r="G1129" i="4"/>
  <c r="E1129" i="4" s="1" a="1"/>
  <c r="E1129" i="4" s="1"/>
  <c r="G1130" i="4"/>
  <c r="E1130" i="4" s="1" a="1"/>
  <c r="E1130" i="4" s="1"/>
  <c r="G1131" i="4"/>
  <c r="E1131" i="4" s="1" a="1"/>
  <c r="E1131" i="4" s="1"/>
  <c r="G1132" i="4"/>
  <c r="E1132" i="4" s="1" a="1"/>
  <c r="E1132" i="4" s="1"/>
  <c r="G1133" i="4"/>
  <c r="E1133" i="4" s="1" a="1"/>
  <c r="E1133" i="4" s="1"/>
  <c r="G1134" i="4"/>
  <c r="E1134" i="4" s="1" a="1"/>
  <c r="E1134" i="4" s="1"/>
  <c r="G1135" i="4"/>
  <c r="E1135" i="4" s="1" a="1"/>
  <c r="E1135" i="4" s="1"/>
  <c r="G1136" i="4"/>
  <c r="E1136" i="4" s="1" a="1"/>
  <c r="E1136" i="4" s="1"/>
  <c r="G1137" i="4"/>
  <c r="E1137" i="4" s="1" a="1"/>
  <c r="E1137" i="4" s="1"/>
  <c r="G1138" i="4"/>
  <c r="E1138" i="4" s="1" a="1"/>
  <c r="E1138" i="4" s="1"/>
  <c r="G1139" i="4"/>
  <c r="E1139" i="4" s="1" a="1"/>
  <c r="E1139" i="4" s="1"/>
  <c r="G1140" i="4"/>
  <c r="E1140" i="4" s="1" a="1"/>
  <c r="E1140" i="4" s="1"/>
  <c r="G1141" i="4"/>
  <c r="E1141" i="4" s="1" a="1"/>
  <c r="E1141" i="4" s="1"/>
  <c r="G1142" i="4"/>
  <c r="E1142" i="4" s="1" a="1"/>
  <c r="E1142" i="4" s="1"/>
  <c r="G1143" i="4"/>
  <c r="E1143" i="4" s="1" a="1"/>
  <c r="E1143" i="4" s="1"/>
  <c r="G1144" i="4"/>
  <c r="E1144" i="4" s="1" a="1"/>
  <c r="E1144" i="4" s="1"/>
  <c r="G1145" i="4"/>
  <c r="E1145" i="4" s="1" a="1"/>
  <c r="E1145" i="4" s="1"/>
  <c r="G1146" i="4"/>
  <c r="E1146" i="4" s="1" a="1"/>
  <c r="E1146" i="4" s="1"/>
  <c r="G1147" i="4"/>
  <c r="E1147" i="4" s="1" a="1"/>
  <c r="E1147" i="4" s="1"/>
  <c r="G1148" i="4"/>
  <c r="E1148" i="4" s="1" a="1"/>
  <c r="E1148" i="4" s="1"/>
  <c r="G1149" i="4"/>
  <c r="E1149" i="4" s="1" a="1"/>
  <c r="E1149" i="4" s="1"/>
  <c r="G1150" i="4"/>
  <c r="E1150" i="4" s="1" a="1"/>
  <c r="E1150" i="4" s="1"/>
  <c r="G1151" i="4"/>
  <c r="E1151" i="4" s="1" a="1"/>
  <c r="E1151" i="4" s="1"/>
  <c r="G1152" i="4"/>
  <c r="E1152" i="4" s="1" a="1"/>
  <c r="E1152" i="4" s="1"/>
  <c r="G1153" i="4"/>
  <c r="E1153" i="4" s="1" a="1"/>
  <c r="E1153" i="4" s="1"/>
  <c r="G1154" i="4"/>
  <c r="E1154" i="4" s="1" a="1"/>
  <c r="E1154" i="4" s="1"/>
  <c r="G1155" i="4"/>
  <c r="E1155" i="4" s="1" a="1"/>
  <c r="E1155" i="4" s="1"/>
  <c r="G1156" i="4"/>
  <c r="E1156" i="4" s="1" a="1"/>
  <c r="E1156" i="4" s="1"/>
  <c r="G1157" i="4"/>
  <c r="E1157" i="4" s="1" a="1"/>
  <c r="E1157" i="4" s="1"/>
  <c r="G1158" i="4"/>
  <c r="E1158" i="4" s="1" a="1"/>
  <c r="E1158" i="4" s="1"/>
  <c r="G1159" i="4"/>
  <c r="E1159" i="4" s="1" a="1"/>
  <c r="E1159" i="4" s="1"/>
  <c r="G1160" i="4"/>
  <c r="E1160" i="4" s="1" a="1"/>
  <c r="E1160" i="4" s="1"/>
  <c r="G1161" i="4"/>
  <c r="E1161" i="4" s="1" a="1"/>
  <c r="E1161" i="4" s="1"/>
  <c r="G1162" i="4"/>
  <c r="E1162" i="4" s="1" a="1"/>
  <c r="E1162" i="4" s="1"/>
  <c r="G1163" i="4"/>
  <c r="E1163" i="4" s="1" a="1"/>
  <c r="E1163" i="4" s="1"/>
  <c r="G1164" i="4"/>
  <c r="E1164" i="4" s="1" a="1"/>
  <c r="E1164" i="4" s="1"/>
  <c r="G1165" i="4"/>
  <c r="E1165" i="4" s="1" a="1"/>
  <c r="E1165" i="4" s="1"/>
  <c r="G1166" i="4"/>
  <c r="E1166" i="4" s="1" a="1"/>
  <c r="E1166" i="4" s="1"/>
  <c r="G1167" i="4"/>
  <c r="E1167" i="4" s="1" a="1"/>
  <c r="E1167" i="4" s="1"/>
  <c r="G1168" i="4"/>
  <c r="E1168" i="4" s="1" a="1"/>
  <c r="E1168" i="4" s="1"/>
  <c r="G1169" i="4"/>
  <c r="E1169" i="4" s="1" a="1"/>
  <c r="E1169" i="4" s="1"/>
  <c r="G1170" i="4"/>
  <c r="E1170" i="4" s="1" a="1"/>
  <c r="E1170" i="4" s="1"/>
  <c r="G1171" i="4"/>
  <c r="E1171" i="4" s="1" a="1"/>
  <c r="E1171" i="4" s="1"/>
  <c r="G1172" i="4"/>
  <c r="E1172" i="4" s="1" a="1"/>
  <c r="E1172" i="4" s="1"/>
  <c r="G1173" i="4"/>
  <c r="E1173" i="4" s="1" a="1"/>
  <c r="E1173" i="4" s="1"/>
  <c r="G1174" i="4"/>
  <c r="E1174" i="4" s="1" a="1"/>
  <c r="E1174" i="4" s="1"/>
  <c r="G1175" i="4"/>
  <c r="E1175" i="4" s="1" a="1"/>
  <c r="E1175" i="4" s="1"/>
  <c r="G1176" i="4"/>
  <c r="E1176" i="4" s="1" a="1"/>
  <c r="E1176" i="4" s="1"/>
  <c r="G1177" i="4"/>
  <c r="E1177" i="4" s="1" a="1"/>
  <c r="E1177" i="4" s="1"/>
  <c r="G1178" i="4"/>
  <c r="E1178" i="4" s="1" a="1"/>
  <c r="E1178" i="4" s="1"/>
  <c r="G1179" i="4"/>
  <c r="E1179" i="4" s="1" a="1"/>
  <c r="E1179" i="4" s="1"/>
  <c r="G1180" i="4"/>
  <c r="E1180" i="4" s="1" a="1"/>
  <c r="E1180" i="4" s="1"/>
  <c r="G1181" i="4"/>
  <c r="E1181" i="4" s="1" a="1"/>
  <c r="E1181" i="4" s="1"/>
  <c r="G1182" i="4"/>
  <c r="E1182" i="4" s="1" a="1"/>
  <c r="E1182" i="4" s="1"/>
  <c r="G1183" i="4"/>
  <c r="E1183" i="4" s="1" a="1"/>
  <c r="E1183" i="4" s="1"/>
  <c r="G1184" i="4"/>
  <c r="E1184" i="4" s="1" a="1"/>
  <c r="E1184" i="4" s="1"/>
  <c r="G1185" i="4"/>
  <c r="E1185" i="4" s="1" a="1"/>
  <c r="E1185" i="4" s="1"/>
  <c r="G1186" i="4"/>
  <c r="E1186" i="4" s="1" a="1"/>
  <c r="E1186" i="4" s="1"/>
  <c r="G1187" i="4"/>
  <c r="E1187" i="4" s="1" a="1"/>
  <c r="E1187" i="4" s="1"/>
  <c r="G1188" i="4"/>
  <c r="E1188" i="4" s="1" a="1"/>
  <c r="E1188" i="4" s="1"/>
  <c r="G1189" i="4"/>
  <c r="E1189" i="4" s="1" a="1"/>
  <c r="E1189" i="4" s="1"/>
  <c r="G1190" i="4"/>
  <c r="E1190" i="4" s="1" a="1"/>
  <c r="E1190" i="4" s="1"/>
  <c r="G1191" i="4"/>
  <c r="E1191" i="4" s="1" a="1"/>
  <c r="E1191" i="4" s="1"/>
  <c r="G1192" i="4"/>
  <c r="E1192" i="4" s="1" a="1"/>
  <c r="E1192" i="4" s="1"/>
  <c r="G1193" i="4"/>
  <c r="E1193" i="4" s="1" a="1"/>
  <c r="E1193" i="4" s="1"/>
  <c r="G1194" i="4"/>
  <c r="E1194" i="4" s="1" a="1"/>
  <c r="E1194" i="4" s="1"/>
  <c r="G1195" i="4"/>
  <c r="E1195" i="4" s="1" a="1"/>
  <c r="E1195" i="4" s="1"/>
  <c r="G1196" i="4"/>
  <c r="E1196" i="4" s="1" a="1"/>
  <c r="E1196" i="4" s="1"/>
  <c r="G1197" i="4"/>
  <c r="E1197" i="4" s="1" a="1"/>
  <c r="E1197" i="4" s="1"/>
  <c r="G1198" i="4"/>
  <c r="E1198" i="4" s="1" a="1"/>
  <c r="E1198" i="4" s="1"/>
  <c r="G1199" i="4"/>
  <c r="E1199" i="4" s="1" a="1"/>
  <c r="E1199" i="4" s="1"/>
  <c r="G1200" i="4"/>
  <c r="E1200" i="4" s="1" a="1"/>
  <c r="E1200" i="4" s="1"/>
  <c r="G1201" i="4"/>
  <c r="E1201" i="4" s="1" a="1"/>
  <c r="E1201" i="4" s="1"/>
  <c r="G1202" i="4"/>
  <c r="E1202" i="4" s="1" a="1"/>
  <c r="E1202" i="4" s="1"/>
  <c r="G1203" i="4"/>
  <c r="E1203" i="4" s="1" a="1"/>
  <c r="E1203" i="4" s="1"/>
  <c r="G1204" i="4"/>
  <c r="E1204" i="4" s="1" a="1"/>
  <c r="E1204" i="4" s="1"/>
  <c r="G1205" i="4"/>
  <c r="E1205" i="4" s="1" a="1"/>
  <c r="E1205" i="4" s="1"/>
  <c r="G1206" i="4"/>
  <c r="E1206" i="4" s="1" a="1"/>
  <c r="E1206" i="4" s="1"/>
  <c r="G1207" i="4"/>
  <c r="E1207" i="4" s="1" a="1"/>
  <c r="E1207" i="4" s="1"/>
  <c r="G1208" i="4"/>
  <c r="E1208" i="4" s="1" a="1"/>
  <c r="E1208" i="4" s="1"/>
  <c r="G1209" i="4"/>
  <c r="E1209" i="4" s="1" a="1"/>
  <c r="E1209" i="4" s="1"/>
  <c r="G1210" i="4"/>
  <c r="E1210" i="4" s="1" a="1"/>
  <c r="E1210" i="4" s="1"/>
  <c r="G1211" i="4"/>
  <c r="E1211" i="4" s="1" a="1"/>
  <c r="E1211" i="4" s="1"/>
  <c r="G1212" i="4"/>
  <c r="E1212" i="4" s="1" a="1"/>
  <c r="E1212" i="4" s="1"/>
  <c r="G1213" i="4"/>
  <c r="E1213" i="4" s="1" a="1"/>
  <c r="E1213" i="4" s="1"/>
  <c r="G1214" i="4"/>
  <c r="E1214" i="4" s="1" a="1"/>
  <c r="E1214" i="4" s="1"/>
  <c r="G1215" i="4"/>
  <c r="E1215" i="4" s="1" a="1"/>
  <c r="E1215" i="4" s="1"/>
  <c r="G1216" i="4"/>
  <c r="E1216" i="4" s="1" a="1"/>
  <c r="E1216" i="4" s="1"/>
  <c r="G1217" i="4"/>
  <c r="E1217" i="4" s="1" a="1"/>
  <c r="E1217" i="4" s="1"/>
  <c r="G1218" i="4"/>
  <c r="E1218" i="4" s="1" a="1"/>
  <c r="E1218" i="4" s="1"/>
  <c r="G1219" i="4"/>
  <c r="E1219" i="4" s="1" a="1"/>
  <c r="E1219" i="4" s="1"/>
  <c r="G1220" i="4"/>
  <c r="E1220" i="4" s="1" a="1"/>
  <c r="E1220" i="4" s="1"/>
  <c r="G1221" i="4"/>
  <c r="E1221" i="4" s="1" a="1"/>
  <c r="E1221" i="4" s="1"/>
  <c r="G1222" i="4"/>
  <c r="E1222" i="4" s="1" a="1"/>
  <c r="E1222" i="4" s="1"/>
  <c r="G1223" i="4"/>
  <c r="E1223" i="4" s="1" a="1"/>
  <c r="E1223" i="4" s="1"/>
  <c r="G1224" i="4"/>
  <c r="E1224" i="4" s="1" a="1"/>
  <c r="E1224" i="4" s="1"/>
  <c r="G1225" i="4"/>
  <c r="E1225" i="4" s="1" a="1"/>
  <c r="E1225" i="4" s="1"/>
  <c r="G1226" i="4"/>
  <c r="E1226" i="4" s="1" a="1"/>
  <c r="E1226" i="4" s="1"/>
  <c r="G1227" i="4"/>
  <c r="E1227" i="4" s="1" a="1"/>
  <c r="E1227" i="4" s="1"/>
  <c r="G1228" i="4"/>
  <c r="E1228" i="4" s="1" a="1"/>
  <c r="E1228" i="4" s="1"/>
  <c r="G1229" i="4"/>
  <c r="E1229" i="4" s="1" a="1"/>
  <c r="E1229" i="4" s="1"/>
  <c r="G1230" i="4"/>
  <c r="E1230" i="4" s="1" a="1"/>
  <c r="E1230" i="4" s="1"/>
  <c r="G1231" i="4"/>
  <c r="E1231" i="4" s="1" a="1"/>
  <c r="E1231" i="4" s="1"/>
  <c r="G1232" i="4"/>
  <c r="E1232" i="4" s="1" a="1"/>
  <c r="E1232" i="4" s="1"/>
  <c r="G1233" i="4"/>
  <c r="E1233" i="4" s="1" a="1"/>
  <c r="E1233" i="4" s="1"/>
  <c r="G1234" i="4"/>
  <c r="E1234" i="4" s="1" a="1"/>
  <c r="E1234" i="4" s="1"/>
  <c r="G1235" i="4"/>
  <c r="E1235" i="4" s="1" a="1"/>
  <c r="E1235" i="4" s="1"/>
  <c r="G1236" i="4"/>
  <c r="E1236" i="4" s="1" a="1"/>
  <c r="E1236" i="4" s="1"/>
  <c r="G1237" i="4"/>
  <c r="E1237" i="4" s="1" a="1"/>
  <c r="E1237" i="4" s="1"/>
  <c r="G1238" i="4"/>
  <c r="E1238" i="4" s="1" a="1"/>
  <c r="E1238" i="4" s="1"/>
  <c r="G1239" i="4"/>
  <c r="E1239" i="4" s="1" a="1"/>
  <c r="E1239" i="4" s="1"/>
  <c r="G1240" i="4"/>
  <c r="E1240" i="4" s="1" a="1"/>
  <c r="E1240" i="4" s="1"/>
  <c r="G1241" i="4"/>
  <c r="E1241" i="4" s="1" a="1"/>
  <c r="E1241" i="4" s="1"/>
  <c r="G1242" i="4"/>
  <c r="E1242" i="4" s="1" a="1"/>
  <c r="E1242" i="4" s="1"/>
  <c r="G1243" i="4"/>
  <c r="E1243" i="4" s="1" a="1"/>
  <c r="E1243" i="4" s="1"/>
  <c r="G1244" i="4"/>
  <c r="E1244" i="4" s="1" a="1"/>
  <c r="E1244" i="4" s="1"/>
  <c r="G1245" i="4"/>
  <c r="E1245" i="4" s="1" a="1"/>
  <c r="E1245" i="4" s="1"/>
  <c r="G1246" i="4"/>
  <c r="E1246" i="4" s="1" a="1"/>
  <c r="E1246" i="4" s="1"/>
  <c r="G1247" i="4"/>
  <c r="E1247" i="4" s="1" a="1"/>
  <c r="E1247" i="4" s="1"/>
  <c r="G1248" i="4"/>
  <c r="E1248" i="4" s="1" a="1"/>
  <c r="E1248" i="4" s="1"/>
  <c r="G1249" i="4"/>
  <c r="E1249" i="4" s="1" a="1"/>
  <c r="E1249" i="4" s="1"/>
  <c r="G1250" i="4"/>
  <c r="E1250" i="4" s="1" a="1"/>
  <c r="E1250" i="4" s="1"/>
  <c r="G1251" i="4"/>
  <c r="E1251" i="4" s="1" a="1"/>
  <c r="E1251" i="4" s="1"/>
  <c r="G1252" i="4"/>
  <c r="E1252" i="4" s="1" a="1"/>
  <c r="E1252" i="4" s="1"/>
  <c r="G1253" i="4"/>
  <c r="E1253" i="4" s="1" a="1"/>
  <c r="E1253" i="4" s="1"/>
  <c r="G1254" i="4"/>
  <c r="E1254" i="4" s="1" a="1"/>
  <c r="E1254" i="4" s="1"/>
  <c r="G1255" i="4"/>
  <c r="E1255" i="4" s="1" a="1"/>
  <c r="E1255" i="4" s="1"/>
  <c r="G1256" i="4"/>
  <c r="E1256" i="4" s="1" a="1"/>
  <c r="E1256" i="4" s="1"/>
  <c r="G1257" i="4"/>
  <c r="E1257" i="4" s="1" a="1"/>
  <c r="E1257" i="4" s="1"/>
  <c r="G1258" i="4"/>
  <c r="E1258" i="4" s="1" a="1"/>
  <c r="E1258" i="4" s="1"/>
  <c r="G1259" i="4"/>
  <c r="E1259" i="4" s="1" a="1"/>
  <c r="E1259" i="4" s="1"/>
  <c r="G1260" i="4"/>
  <c r="E1260" i="4" s="1" a="1"/>
  <c r="E1260" i="4" s="1"/>
  <c r="G1261" i="4"/>
  <c r="E1261" i="4" s="1" a="1"/>
  <c r="E1261" i="4" s="1"/>
  <c r="G1262" i="4"/>
  <c r="E1262" i="4" s="1" a="1"/>
  <c r="E1262" i="4" s="1"/>
  <c r="G1263" i="4"/>
  <c r="E1263" i="4" s="1" a="1"/>
  <c r="E1263" i="4" s="1"/>
  <c r="G1264" i="4"/>
  <c r="E1264" i="4" s="1" a="1"/>
  <c r="E1264" i="4" s="1"/>
  <c r="G1265" i="4"/>
  <c r="E1265" i="4" s="1" a="1"/>
  <c r="E1265" i="4" s="1"/>
  <c r="G1266" i="4"/>
  <c r="E1266" i="4" s="1" a="1"/>
  <c r="E1266" i="4" s="1"/>
  <c r="G1267" i="4"/>
  <c r="E1267" i="4" s="1" a="1"/>
  <c r="E1267" i="4" s="1"/>
  <c r="G1268" i="4"/>
  <c r="E1268" i="4" s="1" a="1"/>
  <c r="E1268" i="4" s="1"/>
  <c r="G1269" i="4"/>
  <c r="E1269" i="4" s="1" a="1"/>
  <c r="E1269" i="4" s="1"/>
  <c r="G1270" i="4"/>
  <c r="E1270" i="4" s="1" a="1"/>
  <c r="E1270" i="4" s="1"/>
  <c r="G1271" i="4"/>
  <c r="E1271" i="4" s="1" a="1"/>
  <c r="E1271" i="4" s="1"/>
  <c r="G1272" i="4"/>
  <c r="E1272" i="4" s="1" a="1"/>
  <c r="E1272" i="4" s="1"/>
  <c r="G1273" i="4"/>
  <c r="E1273" i="4" s="1" a="1"/>
  <c r="E1273" i="4" s="1"/>
  <c r="G1274" i="4"/>
  <c r="E1274" i="4" s="1" a="1"/>
  <c r="E1274" i="4" s="1"/>
  <c r="G1275" i="4"/>
  <c r="E1275" i="4" s="1" a="1"/>
  <c r="E1275" i="4" s="1"/>
  <c r="G1276" i="4"/>
  <c r="E1276" i="4" s="1" a="1"/>
  <c r="E1276" i="4" s="1"/>
  <c r="G1277" i="4"/>
  <c r="E1277" i="4" s="1" a="1"/>
  <c r="E1277" i="4" s="1"/>
  <c r="G1278" i="4"/>
  <c r="E1278" i="4" s="1" a="1"/>
  <c r="E1278" i="4" s="1"/>
  <c r="G1279" i="4"/>
  <c r="E1279" i="4" s="1" a="1"/>
  <c r="E1279" i="4" s="1"/>
  <c r="G1280" i="4"/>
  <c r="E1280" i="4" s="1" a="1"/>
  <c r="E1280" i="4" s="1"/>
  <c r="G1281" i="4"/>
  <c r="E1281" i="4" s="1" a="1"/>
  <c r="E1281" i="4" s="1"/>
  <c r="G1282" i="4"/>
  <c r="E1282" i="4" s="1" a="1"/>
  <c r="E1282" i="4" s="1"/>
  <c r="G1283" i="4"/>
  <c r="E1283" i="4" s="1" a="1"/>
  <c r="E1283" i="4" s="1"/>
  <c r="G1284" i="4"/>
  <c r="E1284" i="4" s="1" a="1"/>
  <c r="E1284" i="4" s="1"/>
  <c r="G1285" i="4"/>
  <c r="E1285" i="4" s="1" a="1"/>
  <c r="E1285" i="4" s="1"/>
  <c r="G1286" i="4"/>
  <c r="E1286" i="4" s="1" a="1"/>
  <c r="E1286" i="4" s="1"/>
  <c r="G1287" i="4"/>
  <c r="E1287" i="4" s="1" a="1"/>
  <c r="E1287" i="4" s="1"/>
  <c r="G1288" i="4"/>
  <c r="E1288" i="4" s="1" a="1"/>
  <c r="E1288" i="4" s="1"/>
  <c r="G1289" i="4"/>
  <c r="E1289" i="4" s="1" a="1"/>
  <c r="E1289" i="4" s="1"/>
  <c r="G1290" i="4"/>
  <c r="E1290" i="4" s="1" a="1"/>
  <c r="E1290" i="4" s="1"/>
  <c r="G1291" i="4"/>
  <c r="E1291" i="4" s="1" a="1"/>
  <c r="E1291" i="4" s="1"/>
  <c r="G1292" i="4"/>
  <c r="E1292" i="4" s="1" a="1"/>
  <c r="E1292" i="4" s="1"/>
  <c r="G1293" i="4"/>
  <c r="E1293" i="4" s="1" a="1"/>
  <c r="E1293" i="4" s="1"/>
  <c r="G1294" i="4"/>
  <c r="E1294" i="4" s="1" a="1"/>
  <c r="E1294" i="4" s="1"/>
  <c r="G1295" i="4"/>
  <c r="E1295" i="4" s="1" a="1"/>
  <c r="E1295" i="4" s="1"/>
  <c r="G1296" i="4"/>
  <c r="E1296" i="4" s="1" a="1"/>
  <c r="E1296" i="4" s="1"/>
  <c r="G1297" i="4"/>
  <c r="E1297" i="4" s="1" a="1"/>
  <c r="E1297" i="4" s="1"/>
  <c r="G1298" i="4"/>
  <c r="E1298" i="4" s="1" a="1"/>
  <c r="E1298" i="4" s="1"/>
  <c r="G1299" i="4"/>
  <c r="E1299" i="4" s="1" a="1"/>
  <c r="E1299" i="4" s="1"/>
  <c r="G1300" i="4"/>
  <c r="E1300" i="4" s="1" a="1"/>
  <c r="E1300" i="4" s="1"/>
  <c r="G1301" i="4"/>
  <c r="E1301" i="4" s="1" a="1"/>
  <c r="E1301" i="4" s="1"/>
  <c r="G1302" i="4"/>
  <c r="E1302" i="4" s="1" a="1"/>
  <c r="E1302" i="4" s="1"/>
  <c r="G1303" i="4"/>
  <c r="E1303" i="4" s="1" a="1"/>
  <c r="E1303" i="4" s="1"/>
  <c r="G1304" i="4"/>
  <c r="E1304" i="4" s="1" a="1"/>
  <c r="E1304" i="4" s="1"/>
  <c r="G1305" i="4"/>
  <c r="E1305" i="4" s="1" a="1"/>
  <c r="E1305" i="4" s="1"/>
  <c r="G1306" i="4"/>
  <c r="E1306" i="4" s="1" a="1"/>
  <c r="E1306" i="4" s="1"/>
  <c r="G1307" i="4"/>
  <c r="E1307" i="4" s="1" a="1"/>
  <c r="E1307" i="4" s="1"/>
  <c r="G1308" i="4"/>
  <c r="E1308" i="4" s="1" a="1"/>
  <c r="E1308" i="4" s="1"/>
  <c r="G1309" i="4"/>
  <c r="E1309" i="4" s="1" a="1"/>
  <c r="E1309" i="4" s="1"/>
  <c r="G1310" i="4"/>
  <c r="E1310" i="4" s="1" a="1"/>
  <c r="E1310" i="4" s="1"/>
  <c r="G1311" i="4"/>
  <c r="E1311" i="4" s="1" a="1"/>
  <c r="E1311" i="4" s="1"/>
  <c r="G1312" i="4"/>
  <c r="E1312" i="4" s="1" a="1"/>
  <c r="E1312" i="4" s="1"/>
  <c r="G1313" i="4"/>
  <c r="E1313" i="4" s="1" a="1"/>
  <c r="E1313" i="4" s="1"/>
  <c r="G1314" i="4"/>
  <c r="E1314" i="4" s="1" a="1"/>
  <c r="E1314" i="4" s="1"/>
  <c r="G1315" i="4"/>
  <c r="E1315" i="4" s="1" a="1"/>
  <c r="E1315" i="4" s="1"/>
  <c r="G1316" i="4"/>
  <c r="E1316" i="4" s="1" a="1"/>
  <c r="E1316" i="4" s="1"/>
  <c r="G1317" i="4"/>
  <c r="E1317" i="4" s="1" a="1"/>
  <c r="E1317" i="4" s="1"/>
  <c r="G1318" i="4"/>
  <c r="E1318" i="4" s="1" a="1"/>
  <c r="E1318" i="4" s="1"/>
  <c r="G1319" i="4"/>
  <c r="E1319" i="4" s="1" a="1"/>
  <c r="E1319" i="4" s="1"/>
  <c r="G1320" i="4"/>
  <c r="E1320" i="4" s="1" a="1"/>
  <c r="E1320" i="4" s="1"/>
  <c r="G1321" i="4"/>
  <c r="E1321" i="4" s="1" a="1"/>
  <c r="E1321" i="4" s="1"/>
  <c r="G1322" i="4"/>
  <c r="E1322" i="4" s="1" a="1"/>
  <c r="E1322" i="4" s="1"/>
  <c r="G1323" i="4"/>
  <c r="E1323" i="4" s="1" a="1"/>
  <c r="E1323" i="4" s="1"/>
  <c r="G1324" i="4"/>
  <c r="E1324" i="4" s="1" a="1"/>
  <c r="E1324" i="4" s="1"/>
  <c r="G1325" i="4"/>
  <c r="E1325" i="4" s="1" a="1"/>
  <c r="E1325" i="4" s="1"/>
  <c r="G1326" i="4"/>
  <c r="E1326" i="4" s="1" a="1"/>
  <c r="E1326" i="4" s="1"/>
  <c r="G1327" i="4"/>
  <c r="E1327" i="4" s="1" a="1"/>
  <c r="E1327" i="4" s="1"/>
  <c r="G1328" i="4"/>
  <c r="E1328" i="4" s="1" a="1"/>
  <c r="E1328" i="4" s="1"/>
  <c r="G1329" i="4"/>
  <c r="E1329" i="4" s="1" a="1"/>
  <c r="E1329" i="4" s="1"/>
  <c r="G1330" i="4"/>
  <c r="E1330" i="4" s="1" a="1"/>
  <c r="E1330" i="4" s="1"/>
  <c r="G1331" i="4"/>
  <c r="E1331" i="4" s="1" a="1"/>
  <c r="E1331" i="4" s="1"/>
  <c r="G1332" i="4"/>
  <c r="E1332" i="4" s="1" a="1"/>
  <c r="E1332" i="4" s="1"/>
  <c r="G1333" i="4"/>
  <c r="E1333" i="4" s="1" a="1"/>
  <c r="E1333" i="4" s="1"/>
  <c r="G1334" i="4"/>
  <c r="E1334" i="4" s="1" a="1"/>
  <c r="E1334" i="4" s="1"/>
  <c r="G1335" i="4"/>
  <c r="E1335" i="4" s="1" a="1"/>
  <c r="E1335" i="4" s="1"/>
  <c r="G1336" i="4"/>
  <c r="E1336" i="4" s="1" a="1"/>
  <c r="E1336" i="4" s="1"/>
  <c r="G1337" i="4"/>
  <c r="E1337" i="4" s="1" a="1"/>
  <c r="E1337" i="4" s="1"/>
  <c r="G1338" i="4"/>
  <c r="E1338" i="4" s="1" a="1"/>
  <c r="E1338" i="4" s="1"/>
  <c r="G1339" i="4"/>
  <c r="E1339" i="4" s="1" a="1"/>
  <c r="E1339" i="4" s="1"/>
  <c r="G1340" i="4"/>
  <c r="E1340" i="4" s="1" a="1"/>
  <c r="E1340" i="4" s="1"/>
  <c r="G1341" i="4"/>
  <c r="E1341" i="4" s="1" a="1"/>
  <c r="E1341" i="4" s="1"/>
  <c r="G1342" i="4"/>
  <c r="E1342" i="4" s="1" a="1"/>
  <c r="E1342" i="4" s="1"/>
  <c r="G1343" i="4"/>
  <c r="E1343" i="4" s="1" a="1"/>
  <c r="E1343" i="4" s="1"/>
  <c r="G1344" i="4"/>
  <c r="E1344" i="4" s="1" a="1"/>
  <c r="E1344" i="4" s="1"/>
  <c r="G1345" i="4"/>
  <c r="E1345" i="4" s="1" a="1"/>
  <c r="E1345" i="4" s="1"/>
  <c r="G1346" i="4"/>
  <c r="E1346" i="4" s="1" a="1"/>
  <c r="E1346" i="4" s="1"/>
  <c r="G1347" i="4"/>
  <c r="E1347" i="4" s="1" a="1"/>
  <c r="E1347" i="4" s="1"/>
  <c r="G1348" i="4"/>
  <c r="E1348" i="4" s="1" a="1"/>
  <c r="E1348" i="4" s="1"/>
  <c r="G1349" i="4"/>
  <c r="E1349" i="4" s="1" a="1"/>
  <c r="E1349" i="4" s="1"/>
  <c r="G1350" i="4"/>
  <c r="E1350" i="4" s="1" a="1"/>
  <c r="E1350" i="4" s="1"/>
  <c r="G1351" i="4"/>
  <c r="E1351" i="4" s="1" a="1"/>
  <c r="E1351" i="4" s="1"/>
  <c r="G1352" i="4"/>
  <c r="E1352" i="4" s="1" a="1"/>
  <c r="E1352" i="4" s="1"/>
  <c r="G1353" i="4"/>
  <c r="E1353" i="4" s="1" a="1"/>
  <c r="E1353" i="4" s="1"/>
  <c r="G1354" i="4"/>
  <c r="E1354" i="4" s="1" a="1"/>
  <c r="E1354" i="4" s="1"/>
  <c r="G1355" i="4"/>
  <c r="E1355" i="4" s="1" a="1"/>
  <c r="E1355" i="4" s="1"/>
  <c r="G1356" i="4"/>
  <c r="E1356" i="4" s="1" a="1"/>
  <c r="E1356" i="4" s="1"/>
  <c r="G1357" i="4"/>
  <c r="E1357" i="4" s="1" a="1"/>
  <c r="E1357" i="4" s="1"/>
  <c r="G1358" i="4"/>
  <c r="E1358" i="4" s="1" a="1"/>
  <c r="E1358" i="4" s="1"/>
  <c r="G1359" i="4"/>
  <c r="E1359" i="4" s="1" a="1"/>
  <c r="E1359" i="4" s="1"/>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B439" i="4" a="1"/>
  <c r="B439" i="4" s="1"/>
  <c r="B440" i="4" a="1"/>
  <c r="B440" i="4" s="1"/>
  <c r="B441" i="4" a="1"/>
  <c r="B441" i="4" s="1"/>
  <c r="B442" i="4" a="1"/>
  <c r="B442" i="4" s="1"/>
  <c r="B443" i="4" a="1"/>
  <c r="B443" i="4"/>
  <c r="B444" i="4" a="1"/>
  <c r="B444" i="4" s="1"/>
  <c r="B445" i="4" a="1"/>
  <c r="B445" i="4" s="1"/>
  <c r="B446" i="4" a="1"/>
  <c r="B446" i="4" s="1"/>
  <c r="B447" i="4" a="1"/>
  <c r="B447" i="4" s="1"/>
  <c r="B448" i="4" a="1"/>
  <c r="B448" i="4" s="1"/>
  <c r="B449" i="4" a="1"/>
  <c r="B449" i="4" s="1"/>
  <c r="B450" i="4" a="1"/>
  <c r="B450" i="4" s="1"/>
  <c r="B451" i="4" a="1"/>
  <c r="B451" i="4" s="1"/>
  <c r="B452" i="4" a="1"/>
  <c r="B452" i="4" s="1"/>
  <c r="B453" i="4" a="1"/>
  <c r="B453" i="4" s="1"/>
  <c r="B454" i="4" a="1"/>
  <c r="B454" i="4" s="1"/>
  <c r="B455" i="4" a="1"/>
  <c r="B455" i="4" s="1"/>
  <c r="B456" i="4" a="1"/>
  <c r="B456" i="4" s="1"/>
  <c r="B457" i="4" a="1"/>
  <c r="B457" i="4" s="1"/>
  <c r="B458" i="4" a="1"/>
  <c r="B458" i="4" s="1"/>
  <c r="B459" i="4" a="1"/>
  <c r="B459" i="4" s="1"/>
  <c r="B460" i="4" a="1"/>
  <c r="B460" i="4" s="1"/>
  <c r="B461" i="4" a="1"/>
  <c r="B461" i="4" s="1"/>
  <c r="B462" i="4" a="1"/>
  <c r="B462" i="4" s="1"/>
  <c r="B463" i="4" a="1"/>
  <c r="B463" i="4" s="1"/>
  <c r="B464" i="4" a="1"/>
  <c r="B464" i="4" s="1"/>
  <c r="B465" i="4" a="1"/>
  <c r="B465" i="4" s="1"/>
  <c r="B466" i="4" a="1"/>
  <c r="B466" i="4" s="1"/>
  <c r="B467" i="4" a="1"/>
  <c r="B467" i="4" s="1"/>
  <c r="B468" i="4" a="1"/>
  <c r="B468" i="4" s="1"/>
  <c r="B469" i="4" a="1"/>
  <c r="B469" i="4" s="1"/>
  <c r="B470" i="4" a="1"/>
  <c r="B470" i="4" s="1"/>
  <c r="B471" i="4" a="1"/>
  <c r="B471" i="4" s="1"/>
  <c r="B472" i="4" a="1"/>
  <c r="B472" i="4"/>
  <c r="B473" i="4" a="1"/>
  <c r="B473" i="4" s="1"/>
  <c r="B474" i="4" a="1"/>
  <c r="B474" i="4"/>
  <c r="B475" i="4" a="1"/>
  <c r="B475" i="4" s="1"/>
  <c r="B476" i="4" a="1"/>
  <c r="B476" i="4" s="1"/>
  <c r="B477" i="4" a="1"/>
  <c r="B477" i="4" s="1"/>
  <c r="B478" i="4" a="1"/>
  <c r="B478" i="4" s="1"/>
  <c r="B479" i="4" a="1"/>
  <c r="B479" i="4" s="1"/>
  <c r="B480" i="4" a="1"/>
  <c r="B480" i="4" s="1"/>
  <c r="B481" i="4" a="1"/>
  <c r="B481" i="4" s="1"/>
  <c r="B482" i="4" a="1"/>
  <c r="B482" i="4" s="1"/>
  <c r="B483" i="4" a="1"/>
  <c r="B483" i="4" s="1"/>
  <c r="B484" i="4" a="1"/>
  <c r="B484" i="4" s="1"/>
  <c r="B485" i="4" a="1"/>
  <c r="B485" i="4" s="1"/>
  <c r="B486" i="4" a="1"/>
  <c r="B486" i="4" s="1"/>
  <c r="B487" i="4" a="1"/>
  <c r="B487" i="4" s="1"/>
  <c r="B488" i="4" a="1"/>
  <c r="B488" i="4" s="1"/>
  <c r="B489" i="4" a="1"/>
  <c r="B489" i="4" s="1"/>
  <c r="B490" i="4" a="1"/>
  <c r="B490" i="4" s="1"/>
  <c r="B491" i="4" a="1"/>
  <c r="B491" i="4" s="1"/>
  <c r="B492" i="4" a="1"/>
  <c r="B492" i="4" s="1"/>
  <c r="B493" i="4" a="1"/>
  <c r="B493" i="4" s="1"/>
  <c r="B494" i="4" a="1"/>
  <c r="B494" i="4" s="1"/>
  <c r="B495" i="4" a="1"/>
  <c r="B495" i="4" s="1"/>
  <c r="B496" i="4" a="1"/>
  <c r="B496" i="4" s="1"/>
  <c r="B497" i="4" a="1"/>
  <c r="B497" i="4" s="1"/>
  <c r="B498" i="4" a="1"/>
  <c r="B498" i="4" s="1"/>
  <c r="B499" i="4" a="1"/>
  <c r="B499" i="4" s="1"/>
  <c r="B500" i="4" a="1"/>
  <c r="B500" i="4" s="1"/>
  <c r="B501" i="4" a="1"/>
  <c r="B501" i="4" s="1"/>
  <c r="B502" i="4" a="1"/>
  <c r="B502" i="4" s="1"/>
  <c r="B503" i="4" a="1"/>
  <c r="B503" i="4" s="1"/>
  <c r="B504" i="4" a="1"/>
  <c r="B504" i="4" s="1"/>
  <c r="B505" i="4" a="1"/>
  <c r="B505" i="4" s="1"/>
  <c r="B506" i="4" a="1"/>
  <c r="B506" i="4" s="1"/>
  <c r="B507" i="4" a="1"/>
  <c r="B507" i="4" s="1"/>
  <c r="B508" i="4" a="1"/>
  <c r="B508" i="4" s="1"/>
  <c r="B509" i="4" a="1"/>
  <c r="B509" i="4" s="1"/>
  <c r="B510" i="4" a="1"/>
  <c r="B510" i="4" s="1"/>
  <c r="B511" i="4" a="1"/>
  <c r="B511" i="4" s="1"/>
  <c r="B512" i="4" a="1"/>
  <c r="B512" i="4" s="1"/>
  <c r="B513" i="4" a="1"/>
  <c r="B513" i="4" s="1"/>
  <c r="B514" i="4" a="1"/>
  <c r="B514" i="4" s="1"/>
  <c r="B515" i="4" a="1"/>
  <c r="B515" i="4" s="1"/>
  <c r="B516" i="4" a="1"/>
  <c r="B516" i="4" s="1"/>
  <c r="B517" i="4" a="1"/>
  <c r="B517" i="4" s="1"/>
  <c r="B518" i="4" a="1"/>
  <c r="B518" i="4" s="1"/>
  <c r="B519" i="4" a="1"/>
  <c r="B519" i="4" s="1"/>
  <c r="B520" i="4" a="1"/>
  <c r="B520" i="4" s="1"/>
  <c r="B521" i="4" a="1"/>
  <c r="B521" i="4" s="1"/>
  <c r="B522" i="4" a="1"/>
  <c r="B522" i="4" s="1"/>
  <c r="B523" i="4" a="1"/>
  <c r="B523" i="4" s="1"/>
  <c r="B524" i="4" a="1"/>
  <c r="B524" i="4" s="1"/>
  <c r="B525" i="4" a="1"/>
  <c r="B525" i="4" s="1"/>
  <c r="B526" i="4" a="1"/>
  <c r="B526" i="4" s="1"/>
  <c r="B527" i="4" a="1"/>
  <c r="B527" i="4" s="1"/>
  <c r="B528" i="4" a="1"/>
  <c r="B528" i="4" s="1"/>
  <c r="B529" i="4" a="1"/>
  <c r="B529" i="4" s="1"/>
  <c r="B530" i="4" a="1"/>
  <c r="B530" i="4" s="1"/>
  <c r="B531" i="4" a="1"/>
  <c r="B531" i="4" s="1"/>
  <c r="B532" i="4" a="1"/>
  <c r="B532" i="4" s="1"/>
  <c r="B533" i="4" a="1"/>
  <c r="B533" i="4" s="1"/>
  <c r="B534" i="4" a="1"/>
  <c r="B534" i="4" s="1"/>
  <c r="B535" i="4" a="1"/>
  <c r="B535" i="4" s="1"/>
  <c r="B536" i="4" a="1"/>
  <c r="B536" i="4" s="1"/>
  <c r="B537" i="4" a="1"/>
  <c r="B537" i="4" s="1"/>
  <c r="B538" i="4" a="1"/>
  <c r="B538" i="4" s="1"/>
  <c r="B539" i="4" a="1"/>
  <c r="B539" i="4"/>
  <c r="B540" i="4" a="1"/>
  <c r="B540" i="4"/>
  <c r="B541" i="4" a="1"/>
  <c r="B541" i="4" s="1"/>
  <c r="B542" i="4" a="1"/>
  <c r="B542" i="4" s="1"/>
  <c r="B543" i="4" a="1"/>
  <c r="B543" i="4" s="1"/>
  <c r="B544" i="4" a="1"/>
  <c r="B544" i="4" s="1"/>
  <c r="B545" i="4" a="1"/>
  <c r="B545" i="4" s="1"/>
  <c r="B546" i="4" a="1"/>
  <c r="B546" i="4" s="1"/>
  <c r="B547" i="4" a="1"/>
  <c r="B547" i="4" s="1"/>
  <c r="B548" i="4" a="1"/>
  <c r="B548" i="4" s="1"/>
  <c r="B549" i="4" a="1"/>
  <c r="B549" i="4" s="1"/>
  <c r="B550" i="4" a="1"/>
  <c r="B550" i="4" s="1"/>
  <c r="B551" i="4" a="1"/>
  <c r="B551" i="4" s="1"/>
  <c r="B552" i="4" a="1"/>
  <c r="B552" i="4" s="1"/>
  <c r="B553" i="4" a="1"/>
  <c r="B553" i="4" s="1"/>
  <c r="B554" i="4" a="1"/>
  <c r="B554" i="4" s="1"/>
  <c r="B555" i="4" a="1"/>
  <c r="B555" i="4" s="1"/>
  <c r="B556" i="4" a="1"/>
  <c r="B556" i="4" s="1"/>
  <c r="B557" i="4" a="1"/>
  <c r="B557" i="4" s="1"/>
  <c r="B558" i="4" a="1"/>
  <c r="B558" i="4" s="1"/>
  <c r="B559" i="4" a="1"/>
  <c r="B559" i="4" s="1"/>
  <c r="B560" i="4" a="1"/>
  <c r="B560" i="4" s="1"/>
  <c r="B561" i="4" a="1"/>
  <c r="B561" i="4" s="1"/>
  <c r="B562" i="4" a="1"/>
  <c r="B562" i="4" s="1"/>
  <c r="B563" i="4" a="1"/>
  <c r="B563" i="4" s="1"/>
  <c r="B564" i="4" a="1"/>
  <c r="B564" i="4" s="1"/>
  <c r="B565" i="4" a="1"/>
  <c r="B565" i="4" s="1"/>
  <c r="B566" i="4" a="1"/>
  <c r="B566" i="4" s="1"/>
  <c r="B567" i="4" a="1"/>
  <c r="B567" i="4" s="1"/>
  <c r="B568" i="4" a="1"/>
  <c r="B568" i="4" s="1"/>
  <c r="B569" i="4" a="1"/>
  <c r="B569" i="4" s="1"/>
  <c r="B570" i="4" a="1"/>
  <c r="B570" i="4" s="1"/>
  <c r="B571" i="4" a="1"/>
  <c r="B571" i="4" s="1"/>
  <c r="B572" i="4" a="1"/>
  <c r="B572" i="4" s="1"/>
  <c r="B573" i="4" a="1"/>
  <c r="B573" i="4" s="1"/>
  <c r="B574" i="4" a="1"/>
  <c r="B574" i="4" s="1"/>
  <c r="B575" i="4" a="1"/>
  <c r="B575" i="4" s="1"/>
  <c r="B576" i="4" a="1"/>
  <c r="B576" i="4" s="1"/>
  <c r="B577" i="4" a="1"/>
  <c r="B577" i="4" s="1"/>
  <c r="B578" i="4" a="1"/>
  <c r="B578" i="4" s="1"/>
  <c r="B579" i="4" a="1"/>
  <c r="B579" i="4" s="1"/>
  <c r="B580" i="4" a="1"/>
  <c r="B580" i="4"/>
  <c r="B581" i="4" a="1"/>
  <c r="B581" i="4" s="1"/>
  <c r="B582" i="4" a="1"/>
  <c r="B582" i="4" s="1"/>
  <c r="B583" i="4" a="1"/>
  <c r="B583" i="4" s="1"/>
  <c r="B584" i="4" a="1"/>
  <c r="B584" i="4" s="1"/>
  <c r="B585" i="4" a="1"/>
  <c r="B585" i="4" s="1"/>
  <c r="B586" i="4" a="1"/>
  <c r="B586" i="4" s="1"/>
  <c r="B587" i="4" a="1"/>
  <c r="B587" i="4" s="1"/>
  <c r="B588" i="4" a="1"/>
  <c r="B588" i="4" s="1"/>
  <c r="B589" i="4" a="1"/>
  <c r="B589" i="4" s="1"/>
  <c r="B590" i="4" a="1"/>
  <c r="B590" i="4" s="1"/>
  <c r="B591" i="4" a="1"/>
  <c r="B591" i="4" s="1"/>
  <c r="B592" i="4" a="1"/>
  <c r="B592" i="4" s="1"/>
  <c r="B593" i="4" a="1"/>
  <c r="B593" i="4" s="1"/>
  <c r="B594" i="4" a="1"/>
  <c r="B594" i="4" s="1"/>
  <c r="B595" i="4" a="1"/>
  <c r="B595" i="4" s="1"/>
  <c r="B596" i="4" a="1"/>
  <c r="B596" i="4" s="1"/>
  <c r="B597" i="4" a="1"/>
  <c r="B597" i="4" s="1"/>
  <c r="B598" i="4" a="1"/>
  <c r="B598" i="4" s="1"/>
  <c r="B599" i="4" a="1"/>
  <c r="B599" i="4" s="1"/>
  <c r="B600" i="4" a="1"/>
  <c r="B600" i="4" s="1"/>
  <c r="B601" i="4" a="1"/>
  <c r="B601" i="4" s="1"/>
  <c r="B602" i="4" a="1"/>
  <c r="B602" i="4" s="1"/>
  <c r="B603" i="4" a="1"/>
  <c r="B603" i="4" s="1"/>
  <c r="B604" i="4" a="1"/>
  <c r="B604" i="4" s="1"/>
  <c r="B605" i="4" a="1"/>
  <c r="B605" i="4" s="1"/>
  <c r="B606" i="4" a="1"/>
  <c r="B606" i="4" s="1"/>
  <c r="B607" i="4" a="1"/>
  <c r="B607" i="4" s="1"/>
  <c r="B608" i="4" a="1"/>
  <c r="B608" i="4" s="1"/>
  <c r="B609" i="4" a="1"/>
  <c r="B609" i="4" s="1"/>
  <c r="B610" i="4" a="1"/>
  <c r="B610" i="4" s="1"/>
  <c r="B611" i="4" a="1"/>
  <c r="B611" i="4" s="1"/>
  <c r="B612" i="4" a="1"/>
  <c r="B612" i="4" s="1"/>
  <c r="B613" i="4" a="1"/>
  <c r="B613" i="4" s="1"/>
  <c r="B614" i="4" a="1"/>
  <c r="B614" i="4" s="1"/>
  <c r="B615" i="4" a="1"/>
  <c r="B615" i="4" s="1"/>
  <c r="B616" i="4" a="1"/>
  <c r="B616" i="4"/>
  <c r="B617" i="4" a="1"/>
  <c r="B617" i="4" s="1"/>
  <c r="B618" i="4" a="1"/>
  <c r="B618" i="4" s="1"/>
  <c r="B619" i="4" a="1"/>
  <c r="B619" i="4" s="1"/>
  <c r="B620" i="4" a="1"/>
  <c r="B620" i="4" s="1"/>
  <c r="B621" i="4" a="1"/>
  <c r="B621" i="4" s="1"/>
  <c r="B622" i="4" a="1"/>
  <c r="B622" i="4" s="1"/>
  <c r="B623" i="4" a="1"/>
  <c r="B623" i="4" s="1"/>
  <c r="B624" i="4" a="1"/>
  <c r="B624" i="4" s="1"/>
  <c r="B625" i="4" a="1"/>
  <c r="B625" i="4" s="1"/>
  <c r="B626" i="4" a="1"/>
  <c r="B626" i="4" s="1"/>
  <c r="B627" i="4" a="1"/>
  <c r="B627" i="4" s="1"/>
  <c r="B628" i="4" a="1"/>
  <c r="B628" i="4" s="1"/>
  <c r="B629" i="4" a="1"/>
  <c r="B629" i="4" s="1"/>
  <c r="B630" i="4" a="1"/>
  <c r="B630" i="4" s="1"/>
  <c r="B631" i="4" a="1"/>
  <c r="B631" i="4" s="1"/>
  <c r="B632" i="4" a="1"/>
  <c r="B632" i="4" s="1"/>
  <c r="B633" i="4" a="1"/>
  <c r="B633" i="4" s="1"/>
  <c r="B634" i="4" a="1"/>
  <c r="B634" i="4" s="1"/>
  <c r="B635" i="4" a="1"/>
  <c r="B635" i="4" s="1"/>
  <c r="B636" i="4" a="1"/>
  <c r="B636" i="4" s="1"/>
  <c r="B637" i="4" a="1"/>
  <c r="B637" i="4" s="1"/>
  <c r="B638" i="4" a="1"/>
  <c r="B638" i="4" s="1"/>
  <c r="B639" i="4" a="1"/>
  <c r="B639" i="4" s="1"/>
  <c r="B640" i="4" a="1"/>
  <c r="B640" i="4" s="1"/>
  <c r="B641" i="4" a="1"/>
  <c r="B641" i="4" s="1"/>
  <c r="B642" i="4" a="1"/>
  <c r="B642" i="4" s="1"/>
  <c r="B643" i="4" a="1"/>
  <c r="B643" i="4" s="1"/>
  <c r="B644" i="4" a="1"/>
  <c r="B644" i="4" s="1"/>
  <c r="B645" i="4" a="1"/>
  <c r="B645" i="4" s="1"/>
  <c r="B646" i="4" a="1"/>
  <c r="B646" i="4" s="1"/>
  <c r="B647" i="4" a="1"/>
  <c r="B647" i="4" s="1"/>
  <c r="B648" i="4" a="1"/>
  <c r="B648" i="4" s="1"/>
  <c r="B649" i="4" a="1"/>
  <c r="B649" i="4" s="1"/>
  <c r="B650" i="4" a="1"/>
  <c r="B650" i="4" s="1"/>
  <c r="B651" i="4" a="1"/>
  <c r="B651" i="4" s="1"/>
  <c r="B652" i="4" a="1"/>
  <c r="B652" i="4" s="1"/>
  <c r="B653" i="4" a="1"/>
  <c r="B653" i="4" s="1"/>
  <c r="B654" i="4" a="1"/>
  <c r="B654" i="4" s="1"/>
  <c r="B655" i="4" a="1"/>
  <c r="B655" i="4"/>
  <c r="B656" i="4" a="1"/>
  <c r="B656" i="4" s="1"/>
  <c r="B657" i="4" a="1"/>
  <c r="B657" i="4" s="1"/>
  <c r="B658" i="4" a="1"/>
  <c r="B658" i="4" s="1"/>
  <c r="B659" i="4" a="1"/>
  <c r="B659" i="4" s="1"/>
  <c r="B660" i="4" a="1"/>
  <c r="B660" i="4" s="1"/>
  <c r="B661" i="4" a="1"/>
  <c r="B661" i="4" s="1"/>
  <c r="B662" i="4" a="1"/>
  <c r="B662" i="4" s="1"/>
  <c r="B663" i="4" a="1"/>
  <c r="B663" i="4" s="1"/>
  <c r="B664" i="4" a="1"/>
  <c r="B664" i="4" s="1"/>
  <c r="B665" i="4" a="1"/>
  <c r="B665" i="4" s="1"/>
  <c r="B666" i="4" a="1"/>
  <c r="B666" i="4" s="1"/>
  <c r="B667" i="4" a="1"/>
  <c r="B667" i="4" s="1"/>
  <c r="B668" i="4" a="1"/>
  <c r="B668" i="4" s="1"/>
  <c r="B669" i="4" a="1"/>
  <c r="B669" i="4" s="1"/>
  <c r="B670" i="4" a="1"/>
  <c r="B670" i="4" s="1"/>
  <c r="B671" i="4" a="1"/>
  <c r="B671" i="4" s="1"/>
  <c r="B672" i="4" a="1"/>
  <c r="B672" i="4" s="1"/>
  <c r="B673" i="4" a="1"/>
  <c r="B673" i="4" s="1"/>
  <c r="B674" i="4" a="1"/>
  <c r="B674" i="4" s="1"/>
  <c r="B675" i="4" a="1"/>
  <c r="B675" i="4" s="1"/>
  <c r="B676" i="4" a="1"/>
  <c r="B676" i="4"/>
  <c r="B677" i="4" a="1"/>
  <c r="B677" i="4"/>
  <c r="B678" i="4" a="1"/>
  <c r="B678" i="4" s="1"/>
  <c r="B679" i="4" a="1"/>
  <c r="B679" i="4" s="1"/>
  <c r="B680" i="4" a="1"/>
  <c r="B680" i="4" s="1"/>
  <c r="B681" i="4" a="1"/>
  <c r="B681" i="4" s="1"/>
  <c r="B682" i="4" a="1"/>
  <c r="B682" i="4" s="1"/>
  <c r="B683" i="4" a="1"/>
  <c r="B683" i="4" s="1"/>
  <c r="B684" i="4" a="1"/>
  <c r="B684" i="4" s="1"/>
  <c r="B685" i="4" a="1"/>
  <c r="B685" i="4" s="1"/>
  <c r="B686" i="4" a="1"/>
  <c r="B686" i="4" s="1"/>
  <c r="B687" i="4" a="1"/>
  <c r="B687" i="4" s="1"/>
  <c r="B688" i="4" a="1"/>
  <c r="B688" i="4" s="1"/>
  <c r="B689" i="4" a="1"/>
  <c r="B689" i="4" s="1"/>
  <c r="B690" i="4" a="1"/>
  <c r="B690" i="4" s="1"/>
  <c r="B691" i="4" a="1"/>
  <c r="B691" i="4" s="1"/>
  <c r="B692" i="4" a="1"/>
  <c r="B692" i="4" s="1"/>
  <c r="B693" i="4" a="1"/>
  <c r="B693" i="4" s="1"/>
  <c r="B694" i="4" a="1"/>
  <c r="B694" i="4" s="1"/>
  <c r="B695" i="4" a="1"/>
  <c r="B695" i="4" s="1"/>
  <c r="B696" i="4" a="1"/>
  <c r="B696" i="4" s="1"/>
  <c r="B697" i="4" a="1"/>
  <c r="B697" i="4" s="1"/>
  <c r="B698" i="4" a="1"/>
  <c r="B698" i="4" s="1"/>
  <c r="B699" i="4" a="1"/>
  <c r="B699" i="4" s="1"/>
  <c r="B700" i="4" a="1"/>
  <c r="B700" i="4" s="1"/>
  <c r="C439" i="4" a="1"/>
  <c r="C439" i="4" s="1"/>
  <c r="C440" i="4" a="1"/>
  <c r="C440" i="4" s="1"/>
  <c r="C441" i="4" a="1"/>
  <c r="C441" i="4" s="1"/>
  <c r="C442" i="4" a="1"/>
  <c r="C442" i="4" s="1"/>
  <c r="C443" i="4" a="1"/>
  <c r="C443" i="4" s="1"/>
  <c r="C444" i="4" a="1"/>
  <c r="C444" i="4"/>
  <c r="C445" i="4" a="1"/>
  <c r="C445" i="4" s="1"/>
  <c r="C446" i="4" a="1"/>
  <c r="C446" i="4" s="1"/>
  <c r="C447" i="4" a="1"/>
  <c r="C447" i="4" s="1"/>
  <c r="C448" i="4" a="1"/>
  <c r="C448" i="4" s="1"/>
  <c r="C449" i="4" a="1"/>
  <c r="C449" i="4" s="1"/>
  <c r="C450" i="4" a="1"/>
  <c r="C450" i="4" s="1"/>
  <c r="C451" i="4" a="1"/>
  <c r="C451" i="4" s="1"/>
  <c r="C452" i="4" a="1"/>
  <c r="C452" i="4" s="1"/>
  <c r="C453" i="4" a="1"/>
  <c r="C453" i="4" s="1"/>
  <c r="C454" i="4" a="1"/>
  <c r="C454" i="4" s="1"/>
  <c r="C455" i="4" a="1"/>
  <c r="C455" i="4" s="1"/>
  <c r="C456" i="4" a="1"/>
  <c r="C456" i="4" s="1"/>
  <c r="C457" i="4" a="1"/>
  <c r="C457" i="4" s="1"/>
  <c r="C458" i="4" a="1"/>
  <c r="C458" i="4" s="1"/>
  <c r="C459" i="4" a="1"/>
  <c r="C459" i="4" s="1"/>
  <c r="C460" i="4" a="1"/>
  <c r="C460" i="4" s="1"/>
  <c r="C461" i="4" a="1"/>
  <c r="C461" i="4" s="1"/>
  <c r="C462" i="4" a="1"/>
  <c r="C462" i="4" s="1"/>
  <c r="C463" i="4" a="1"/>
  <c r="C463" i="4" s="1"/>
  <c r="C464" i="4" a="1"/>
  <c r="C464" i="4" s="1"/>
  <c r="C465" i="4" a="1"/>
  <c r="C465" i="4" s="1"/>
  <c r="C466" i="4" a="1"/>
  <c r="C466" i="4" s="1"/>
  <c r="C467" i="4" a="1"/>
  <c r="C467" i="4" s="1"/>
  <c r="C468" i="4" a="1"/>
  <c r="C468" i="4" s="1"/>
  <c r="C469" i="4" a="1"/>
  <c r="C469" i="4" s="1"/>
  <c r="C470" i="4" a="1"/>
  <c r="C470" i="4" s="1"/>
  <c r="C471" i="4" a="1"/>
  <c r="C471" i="4" s="1"/>
  <c r="C472" i="4" a="1"/>
  <c r="C472" i="4" s="1"/>
  <c r="C473" i="4" a="1"/>
  <c r="C473" i="4" s="1"/>
  <c r="C474" i="4" a="1"/>
  <c r="C474" i="4" s="1"/>
  <c r="C475" i="4" a="1"/>
  <c r="C475" i="4" s="1"/>
  <c r="C476" i="4" a="1"/>
  <c r="C476" i="4" s="1"/>
  <c r="C477" i="4" a="1"/>
  <c r="C477" i="4" s="1"/>
  <c r="C478" i="4" a="1"/>
  <c r="C478" i="4" s="1"/>
  <c r="C479" i="4" a="1"/>
  <c r="C479" i="4" s="1"/>
  <c r="C480" i="4" a="1"/>
  <c r="C480" i="4" s="1"/>
  <c r="C481" i="4" a="1"/>
  <c r="C481" i="4" s="1"/>
  <c r="C482" i="4" a="1"/>
  <c r="C482" i="4" s="1"/>
  <c r="C483" i="4" a="1"/>
  <c r="C483" i="4" s="1"/>
  <c r="C484" i="4" a="1"/>
  <c r="C484" i="4" s="1"/>
  <c r="C485" i="4" a="1"/>
  <c r="C485" i="4" s="1"/>
  <c r="C486" i="4" a="1"/>
  <c r="C486" i="4" s="1"/>
  <c r="C487" i="4" a="1"/>
  <c r="C487" i="4" s="1"/>
  <c r="C488" i="4" a="1"/>
  <c r="C488" i="4" s="1"/>
  <c r="C489" i="4" a="1"/>
  <c r="C489" i="4" s="1"/>
  <c r="C490" i="4" a="1"/>
  <c r="C490" i="4" s="1"/>
  <c r="C491" i="4" a="1"/>
  <c r="C491" i="4" s="1"/>
  <c r="C492" i="4" a="1"/>
  <c r="C492" i="4" s="1"/>
  <c r="C493" i="4" a="1"/>
  <c r="C493" i="4" s="1"/>
  <c r="C494" i="4" a="1"/>
  <c r="C494" i="4" s="1"/>
  <c r="C495" i="4" a="1"/>
  <c r="C495" i="4" s="1"/>
  <c r="C496" i="4" a="1"/>
  <c r="C496" i="4" s="1"/>
  <c r="C497" i="4" a="1"/>
  <c r="C497" i="4" s="1"/>
  <c r="C498" i="4" a="1"/>
  <c r="C498" i="4" s="1"/>
  <c r="C499" i="4" a="1"/>
  <c r="C499" i="4" s="1"/>
  <c r="C500" i="4" a="1"/>
  <c r="C500" i="4" s="1"/>
  <c r="C501" i="4" a="1"/>
  <c r="C501" i="4" s="1"/>
  <c r="C502" i="4" a="1"/>
  <c r="C502" i="4" s="1"/>
  <c r="C503" i="4" a="1"/>
  <c r="C503" i="4" s="1"/>
  <c r="C504" i="4" a="1"/>
  <c r="C504" i="4" s="1"/>
  <c r="C505" i="4" a="1"/>
  <c r="C505" i="4" s="1"/>
  <c r="C506" i="4" a="1"/>
  <c r="C506" i="4" s="1"/>
  <c r="C507" i="4" a="1"/>
  <c r="C507" i="4" s="1"/>
  <c r="C508" i="4" a="1"/>
  <c r="C508" i="4" s="1"/>
  <c r="C509" i="4" a="1"/>
  <c r="C509" i="4" s="1"/>
  <c r="C510" i="4" a="1"/>
  <c r="C510" i="4" s="1"/>
  <c r="C511" i="4" a="1"/>
  <c r="C511" i="4" s="1"/>
  <c r="C512" i="4" a="1"/>
  <c r="C512" i="4" s="1"/>
  <c r="C513" i="4" a="1"/>
  <c r="C513" i="4" s="1"/>
  <c r="C514" i="4" a="1"/>
  <c r="C514" i="4" s="1"/>
  <c r="C515" i="4" a="1"/>
  <c r="C515" i="4" s="1"/>
  <c r="C516" i="4" a="1"/>
  <c r="C516" i="4" s="1"/>
  <c r="C517" i="4" a="1"/>
  <c r="C517" i="4" s="1"/>
  <c r="C518" i="4" a="1"/>
  <c r="C518" i="4" s="1"/>
  <c r="C519" i="4" a="1"/>
  <c r="C519" i="4" s="1"/>
  <c r="C520" i="4" a="1"/>
  <c r="C520" i="4" s="1"/>
  <c r="C521" i="4" a="1"/>
  <c r="C521" i="4" s="1"/>
  <c r="C522" i="4" a="1"/>
  <c r="C522" i="4" s="1"/>
  <c r="C523" i="4" a="1"/>
  <c r="C523" i="4" s="1"/>
  <c r="C524" i="4" a="1"/>
  <c r="C524" i="4" s="1"/>
  <c r="C525" i="4" a="1"/>
  <c r="C525" i="4" s="1"/>
  <c r="C526" i="4" a="1"/>
  <c r="C526" i="4" s="1"/>
  <c r="C527" i="4" a="1"/>
  <c r="C527" i="4" s="1"/>
  <c r="C528" i="4" a="1"/>
  <c r="C528" i="4" s="1"/>
  <c r="C529" i="4" a="1"/>
  <c r="C529" i="4"/>
  <c r="C530" i="4" a="1"/>
  <c r="C530" i="4" s="1"/>
  <c r="C531" i="4" a="1"/>
  <c r="C531" i="4" s="1"/>
  <c r="C532" i="4" a="1"/>
  <c r="C532" i="4" s="1"/>
  <c r="C533" i="4" a="1"/>
  <c r="C533" i="4" s="1"/>
  <c r="C534" i="4" a="1"/>
  <c r="C534" i="4" s="1"/>
  <c r="C535" i="4" a="1"/>
  <c r="C535" i="4" s="1"/>
  <c r="C536" i="4" a="1"/>
  <c r="C536" i="4" s="1"/>
  <c r="C537" i="4" a="1"/>
  <c r="C537" i="4" s="1"/>
  <c r="C538" i="4" a="1"/>
  <c r="C538" i="4" s="1"/>
  <c r="C539" i="4" a="1"/>
  <c r="C539" i="4" s="1"/>
  <c r="C540" i="4" a="1"/>
  <c r="C540" i="4" s="1"/>
  <c r="C541" i="4" a="1"/>
  <c r="C541" i="4" s="1"/>
  <c r="C542" i="4" a="1"/>
  <c r="C542" i="4" s="1"/>
  <c r="C543" i="4" a="1"/>
  <c r="C543" i="4" s="1"/>
  <c r="C544" i="4" a="1"/>
  <c r="C544" i="4" s="1"/>
  <c r="C545" i="4" a="1"/>
  <c r="C545" i="4" s="1"/>
  <c r="C546" i="4" a="1"/>
  <c r="C546" i="4" s="1"/>
  <c r="C547" i="4" a="1"/>
  <c r="C547" i="4" s="1"/>
  <c r="C548" i="4" a="1"/>
  <c r="C548" i="4" s="1"/>
  <c r="C549" i="4" a="1"/>
  <c r="C549" i="4" s="1"/>
  <c r="C550" i="4" a="1"/>
  <c r="C550" i="4" s="1"/>
  <c r="C551" i="4" a="1"/>
  <c r="C551" i="4" s="1"/>
  <c r="C552" i="4" a="1"/>
  <c r="C552" i="4" s="1"/>
  <c r="C553" i="4" a="1"/>
  <c r="C553" i="4" s="1"/>
  <c r="C554" i="4" a="1"/>
  <c r="C554" i="4" s="1"/>
  <c r="C555" i="4" a="1"/>
  <c r="C555" i="4" s="1"/>
  <c r="C556" i="4" a="1"/>
  <c r="C556" i="4" s="1"/>
  <c r="C557" i="4" a="1"/>
  <c r="C557" i="4" s="1"/>
  <c r="C558" i="4" a="1"/>
  <c r="C558" i="4" s="1"/>
  <c r="C559" i="4" a="1"/>
  <c r="C559" i="4"/>
  <c r="C560" i="4" a="1"/>
  <c r="C560" i="4" s="1"/>
  <c r="C561" i="4" a="1"/>
  <c r="C561" i="4" s="1"/>
  <c r="C562" i="4" a="1"/>
  <c r="C562" i="4" s="1"/>
  <c r="C563" i="4" a="1"/>
  <c r="C563" i="4" s="1"/>
  <c r="C564" i="4" a="1"/>
  <c r="C564" i="4" s="1"/>
  <c r="C565" i="4" a="1"/>
  <c r="C565" i="4" s="1"/>
  <c r="C566" i="4" a="1"/>
  <c r="C566" i="4" s="1"/>
  <c r="C567" i="4" a="1"/>
  <c r="C567" i="4" s="1"/>
  <c r="C568" i="4" a="1"/>
  <c r="C568" i="4" s="1"/>
  <c r="C569" i="4" a="1"/>
  <c r="C569" i="4" s="1"/>
  <c r="C570" i="4" a="1"/>
  <c r="C570" i="4" s="1"/>
  <c r="C571" i="4" a="1"/>
  <c r="C571" i="4" s="1"/>
  <c r="C572" i="4" a="1"/>
  <c r="C572" i="4" s="1"/>
  <c r="C573" i="4" a="1"/>
  <c r="C573" i="4" s="1"/>
  <c r="C574" i="4" a="1"/>
  <c r="C574" i="4" s="1"/>
  <c r="C575" i="4" a="1"/>
  <c r="C575" i="4" s="1"/>
  <c r="C576" i="4" a="1"/>
  <c r="C576" i="4" s="1"/>
  <c r="C577" i="4" a="1"/>
  <c r="C577" i="4" s="1"/>
  <c r="C578" i="4" a="1"/>
  <c r="C578" i="4" s="1"/>
  <c r="C579" i="4" a="1"/>
  <c r="C579" i="4" s="1"/>
  <c r="C580" i="4" a="1"/>
  <c r="C580" i="4" s="1"/>
  <c r="C581" i="4" a="1"/>
  <c r="C581" i="4" s="1"/>
  <c r="C582" i="4" a="1"/>
  <c r="C582" i="4" s="1"/>
  <c r="C583" i="4" a="1"/>
  <c r="C583" i="4" s="1"/>
  <c r="C584" i="4" a="1"/>
  <c r="C584" i="4" s="1"/>
  <c r="C585" i="4" a="1"/>
  <c r="C585" i="4" s="1"/>
  <c r="C586" i="4" a="1"/>
  <c r="C586" i="4" s="1"/>
  <c r="C587" i="4" a="1"/>
  <c r="C587" i="4" s="1"/>
  <c r="C588" i="4" a="1"/>
  <c r="C588" i="4" s="1"/>
  <c r="C589" i="4" a="1"/>
  <c r="C589" i="4" s="1"/>
  <c r="C590" i="4" a="1"/>
  <c r="C590" i="4" s="1"/>
  <c r="C591" i="4" a="1"/>
  <c r="C591" i="4" s="1"/>
  <c r="C592" i="4" a="1"/>
  <c r="C592" i="4" s="1"/>
  <c r="C593" i="4" a="1"/>
  <c r="C593" i="4" s="1"/>
  <c r="C594" i="4" a="1"/>
  <c r="C594" i="4" s="1"/>
  <c r="C595" i="4" a="1"/>
  <c r="C595" i="4" s="1"/>
  <c r="C596" i="4" a="1"/>
  <c r="C596" i="4" s="1"/>
  <c r="C597" i="4" a="1"/>
  <c r="C597" i="4" s="1"/>
  <c r="C598" i="4" a="1"/>
  <c r="C598" i="4" s="1"/>
  <c r="C599" i="4" a="1"/>
  <c r="C599" i="4" s="1"/>
  <c r="C600" i="4" a="1"/>
  <c r="C600" i="4" s="1"/>
  <c r="C601" i="4" a="1"/>
  <c r="C601" i="4" s="1"/>
  <c r="C602" i="4" a="1"/>
  <c r="C602" i="4" s="1"/>
  <c r="C603" i="4" a="1"/>
  <c r="C603" i="4" s="1"/>
  <c r="C604" i="4" a="1"/>
  <c r="C604" i="4" s="1"/>
  <c r="C605" i="4" a="1"/>
  <c r="C605" i="4" s="1"/>
  <c r="C606" i="4" a="1"/>
  <c r="C606" i="4" s="1"/>
  <c r="C607" i="4" a="1"/>
  <c r="C607" i="4" s="1"/>
  <c r="C608" i="4" a="1"/>
  <c r="C608" i="4" s="1"/>
  <c r="C609" i="4" a="1"/>
  <c r="C609" i="4" s="1"/>
  <c r="C610" i="4" a="1"/>
  <c r="C610" i="4" s="1"/>
  <c r="C611" i="4" a="1"/>
  <c r="C611" i="4" s="1"/>
  <c r="C612" i="4" a="1"/>
  <c r="C612" i="4" s="1"/>
  <c r="C613" i="4" a="1"/>
  <c r="C613" i="4" s="1"/>
  <c r="C614" i="4" a="1"/>
  <c r="C614" i="4" s="1"/>
  <c r="C615" i="4" a="1"/>
  <c r="C615" i="4" s="1"/>
  <c r="C616" i="4" a="1"/>
  <c r="C616" i="4" s="1"/>
  <c r="C617" i="4" a="1"/>
  <c r="C617" i="4" s="1"/>
  <c r="C618" i="4" a="1"/>
  <c r="C618" i="4" s="1"/>
  <c r="C619" i="4" a="1"/>
  <c r="C619" i="4" s="1"/>
  <c r="C620" i="4" a="1"/>
  <c r="C620" i="4" s="1"/>
  <c r="C621" i="4" a="1"/>
  <c r="C621" i="4" s="1"/>
  <c r="C622" i="4" a="1"/>
  <c r="C622" i="4" s="1"/>
  <c r="C623" i="4" a="1"/>
  <c r="C623" i="4" s="1"/>
  <c r="C624" i="4" a="1"/>
  <c r="C624" i="4" s="1"/>
  <c r="C625" i="4" a="1"/>
  <c r="C625" i="4" s="1"/>
  <c r="C626" i="4" a="1"/>
  <c r="C626" i="4" s="1"/>
  <c r="C627" i="4" a="1"/>
  <c r="C627" i="4" s="1"/>
  <c r="C628" i="4" a="1"/>
  <c r="C628" i="4" s="1"/>
  <c r="C629" i="4" a="1"/>
  <c r="C629" i="4" s="1"/>
  <c r="C630" i="4" a="1"/>
  <c r="C630" i="4" s="1"/>
  <c r="C631" i="4" a="1"/>
  <c r="C631" i="4" s="1"/>
  <c r="C632" i="4" a="1"/>
  <c r="C632" i="4" s="1"/>
  <c r="C633" i="4" a="1"/>
  <c r="C633" i="4" s="1"/>
  <c r="C634" i="4" a="1"/>
  <c r="C634" i="4" s="1"/>
  <c r="C635" i="4" a="1"/>
  <c r="C635" i="4" s="1"/>
  <c r="C636" i="4" a="1"/>
  <c r="C636" i="4" s="1"/>
  <c r="C637" i="4" a="1"/>
  <c r="C637" i="4" s="1"/>
  <c r="C638" i="4" a="1"/>
  <c r="C638" i="4" s="1"/>
  <c r="C639" i="4" a="1"/>
  <c r="C639" i="4" s="1"/>
  <c r="C640" i="4" a="1"/>
  <c r="C640" i="4" s="1"/>
  <c r="C641" i="4" a="1"/>
  <c r="C641" i="4" s="1"/>
  <c r="C642" i="4" a="1"/>
  <c r="C642" i="4" s="1"/>
  <c r="C643" i="4" a="1"/>
  <c r="C643" i="4" s="1"/>
  <c r="C644" i="4" a="1"/>
  <c r="C644" i="4" s="1"/>
  <c r="C645" i="4" a="1"/>
  <c r="C645" i="4" s="1"/>
  <c r="C646" i="4" a="1"/>
  <c r="C646" i="4" s="1"/>
  <c r="C647" i="4" a="1"/>
  <c r="C647" i="4" s="1"/>
  <c r="C648" i="4" a="1"/>
  <c r="C648" i="4" s="1"/>
  <c r="C649" i="4" a="1"/>
  <c r="C649" i="4" s="1"/>
  <c r="C650" i="4" a="1"/>
  <c r="C650" i="4" s="1"/>
  <c r="C651" i="4" a="1"/>
  <c r="C651" i="4" s="1"/>
  <c r="C652" i="4" a="1"/>
  <c r="C652" i="4" s="1"/>
  <c r="C653" i="4" a="1"/>
  <c r="C653" i="4" s="1"/>
  <c r="C654" i="4" a="1"/>
  <c r="C654" i="4" s="1"/>
  <c r="C655" i="4" a="1"/>
  <c r="C655" i="4" s="1"/>
  <c r="C656" i="4" a="1"/>
  <c r="C656" i="4" s="1"/>
  <c r="C657" i="4" a="1"/>
  <c r="C657" i="4" s="1"/>
  <c r="C658" i="4" a="1"/>
  <c r="C658" i="4" s="1"/>
  <c r="C659" i="4" a="1"/>
  <c r="C659" i="4" s="1"/>
  <c r="C660" i="4" a="1"/>
  <c r="C660" i="4" s="1"/>
  <c r="C661" i="4" a="1"/>
  <c r="C661" i="4" s="1"/>
  <c r="C662" i="4" a="1"/>
  <c r="C662" i="4" s="1"/>
  <c r="C663" i="4" a="1"/>
  <c r="C663" i="4" s="1"/>
  <c r="C664" i="4" a="1"/>
  <c r="C664" i="4" s="1"/>
  <c r="C665" i="4" a="1"/>
  <c r="C665" i="4" s="1"/>
  <c r="C666" i="4" a="1"/>
  <c r="C666" i="4" s="1"/>
  <c r="C667" i="4" a="1"/>
  <c r="C667" i="4" s="1"/>
  <c r="C668" i="4" a="1"/>
  <c r="C668" i="4" s="1"/>
  <c r="C669" i="4" a="1"/>
  <c r="C669" i="4" s="1"/>
  <c r="C670" i="4" a="1"/>
  <c r="C670" i="4" s="1"/>
  <c r="C671" i="4" a="1"/>
  <c r="C671" i="4" s="1"/>
  <c r="C672" i="4" a="1"/>
  <c r="C672" i="4" s="1"/>
  <c r="C673" i="4" a="1"/>
  <c r="C673" i="4" s="1"/>
  <c r="C674" i="4" a="1"/>
  <c r="C674" i="4" s="1"/>
  <c r="C675" i="4" a="1"/>
  <c r="C675" i="4" s="1"/>
  <c r="C676" i="4" a="1"/>
  <c r="C676" i="4" s="1"/>
  <c r="C677" i="4" a="1"/>
  <c r="C677" i="4" s="1"/>
  <c r="C678" i="4" a="1"/>
  <c r="C678" i="4" s="1"/>
  <c r="C679" i="4" a="1"/>
  <c r="C679" i="4" s="1"/>
  <c r="C680" i="4" a="1"/>
  <c r="C680" i="4" s="1"/>
  <c r="C681" i="4" a="1"/>
  <c r="C681" i="4" s="1"/>
  <c r="C682" i="4" a="1"/>
  <c r="C682" i="4" s="1"/>
  <c r="C683" i="4" a="1"/>
  <c r="C683" i="4" s="1"/>
  <c r="C684" i="4" a="1"/>
  <c r="C684" i="4" s="1"/>
  <c r="C685" i="4" a="1"/>
  <c r="C685" i="4" s="1"/>
  <c r="C686" i="4" a="1"/>
  <c r="C686" i="4" s="1"/>
  <c r="C687" i="4" a="1"/>
  <c r="C687" i="4" s="1"/>
  <c r="C688" i="4" a="1"/>
  <c r="C688" i="4" s="1"/>
  <c r="C689" i="4" a="1"/>
  <c r="C689" i="4" s="1"/>
  <c r="C690" i="4" a="1"/>
  <c r="C690" i="4" s="1"/>
  <c r="C691" i="4" a="1"/>
  <c r="C691" i="4" s="1"/>
  <c r="C692" i="4" a="1"/>
  <c r="C692" i="4" s="1"/>
  <c r="C693" i="4" a="1"/>
  <c r="C693" i="4" s="1"/>
  <c r="C694" i="4" a="1"/>
  <c r="C694" i="4" s="1"/>
  <c r="C695" i="4" a="1"/>
  <c r="C695" i="4" s="1"/>
  <c r="C696" i="4" a="1"/>
  <c r="C696" i="4" s="1"/>
  <c r="C697" i="4" a="1"/>
  <c r="C697" i="4" s="1"/>
  <c r="C698" i="4" a="1"/>
  <c r="C698" i="4" s="1"/>
  <c r="C699" i="4" a="1"/>
  <c r="C699" i="4" s="1"/>
  <c r="C700" i="4" a="1"/>
  <c r="C700" i="4" s="1"/>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G439" i="4"/>
  <c r="E439" i="4" s="1" a="1"/>
  <c r="E439" i="4" s="1"/>
  <c r="G440" i="4"/>
  <c r="E440" i="4" s="1" a="1"/>
  <c r="E440" i="4" s="1"/>
  <c r="G441" i="4"/>
  <c r="E441" i="4" s="1" a="1"/>
  <c r="E441" i="4" s="1"/>
  <c r="G442" i="4"/>
  <c r="E442" i="4" s="1" a="1"/>
  <c r="E442" i="4" s="1"/>
  <c r="G443" i="4"/>
  <c r="E443" i="4" s="1" a="1"/>
  <c r="E443" i="4" s="1"/>
  <c r="G444" i="4"/>
  <c r="E444" i="4" s="1" a="1"/>
  <c r="E444" i="4" s="1"/>
  <c r="G445" i="4"/>
  <c r="E445" i="4" s="1" a="1"/>
  <c r="E445" i="4" s="1"/>
  <c r="G446" i="4"/>
  <c r="E446" i="4" s="1" a="1"/>
  <c r="E446" i="4" s="1"/>
  <c r="G447" i="4"/>
  <c r="E447" i="4" s="1" a="1"/>
  <c r="E447" i="4" s="1"/>
  <c r="G448" i="4"/>
  <c r="E448" i="4" s="1" a="1"/>
  <c r="E448" i="4" s="1"/>
  <c r="G449" i="4"/>
  <c r="E449" i="4" s="1" a="1"/>
  <c r="E449" i="4" s="1"/>
  <c r="G450" i="4"/>
  <c r="E450" i="4" s="1" a="1"/>
  <c r="E450" i="4" s="1"/>
  <c r="G451" i="4"/>
  <c r="E451" i="4" s="1" a="1"/>
  <c r="E451" i="4" s="1"/>
  <c r="G452" i="4"/>
  <c r="E452" i="4" s="1" a="1"/>
  <c r="E452" i="4" s="1"/>
  <c r="G453" i="4"/>
  <c r="E453" i="4" s="1" a="1"/>
  <c r="E453" i="4" s="1"/>
  <c r="G454" i="4"/>
  <c r="E454" i="4" s="1" a="1"/>
  <c r="E454" i="4" s="1"/>
  <c r="G455" i="4"/>
  <c r="E455" i="4" s="1" a="1"/>
  <c r="E455" i="4" s="1"/>
  <c r="G456" i="4"/>
  <c r="E456" i="4" s="1" a="1"/>
  <c r="E456" i="4" s="1"/>
  <c r="G457" i="4"/>
  <c r="E457" i="4" s="1" a="1"/>
  <c r="E457" i="4" s="1"/>
  <c r="G458" i="4"/>
  <c r="E458" i="4" s="1" a="1"/>
  <c r="E458" i="4" s="1"/>
  <c r="G459" i="4"/>
  <c r="E459" i="4" s="1" a="1"/>
  <c r="E459" i="4" s="1"/>
  <c r="G460" i="4"/>
  <c r="E460" i="4" s="1" a="1"/>
  <c r="E460" i="4" s="1"/>
  <c r="G461" i="4"/>
  <c r="E461" i="4" s="1" a="1"/>
  <c r="E461" i="4" s="1"/>
  <c r="G462" i="4"/>
  <c r="E462" i="4" s="1" a="1"/>
  <c r="E462" i="4" s="1"/>
  <c r="G463" i="4"/>
  <c r="E463" i="4" s="1" a="1"/>
  <c r="E463" i="4" s="1"/>
  <c r="G464" i="4"/>
  <c r="E464" i="4" s="1" a="1"/>
  <c r="E464" i="4" s="1"/>
  <c r="G465" i="4"/>
  <c r="E465" i="4" s="1" a="1"/>
  <c r="E465" i="4" s="1"/>
  <c r="G466" i="4"/>
  <c r="E466" i="4" s="1" a="1"/>
  <c r="E466" i="4" s="1"/>
  <c r="G467" i="4"/>
  <c r="E467" i="4" s="1" a="1"/>
  <c r="E467" i="4" s="1"/>
  <c r="G468" i="4"/>
  <c r="E468" i="4" s="1" a="1"/>
  <c r="E468" i="4" s="1"/>
  <c r="G469" i="4"/>
  <c r="E469" i="4" s="1" a="1"/>
  <c r="E469" i="4" s="1"/>
  <c r="G470" i="4"/>
  <c r="E470" i="4" s="1" a="1"/>
  <c r="E470" i="4" s="1"/>
  <c r="G471" i="4"/>
  <c r="E471" i="4" s="1" a="1"/>
  <c r="E471" i="4" s="1"/>
  <c r="G472" i="4"/>
  <c r="E472" i="4" s="1" a="1"/>
  <c r="E472" i="4" s="1"/>
  <c r="G473" i="4"/>
  <c r="E473" i="4" s="1" a="1"/>
  <c r="E473" i="4" s="1"/>
  <c r="G474" i="4"/>
  <c r="E474" i="4" s="1" a="1"/>
  <c r="E474" i="4" s="1"/>
  <c r="G475" i="4"/>
  <c r="E475" i="4" s="1" a="1"/>
  <c r="E475" i="4" s="1"/>
  <c r="G476" i="4"/>
  <c r="E476" i="4" s="1" a="1"/>
  <c r="E476" i="4" s="1"/>
  <c r="G477" i="4"/>
  <c r="E477" i="4" s="1" a="1"/>
  <c r="E477" i="4" s="1"/>
  <c r="G478" i="4"/>
  <c r="E478" i="4" s="1" a="1"/>
  <c r="E478" i="4" s="1"/>
  <c r="G479" i="4"/>
  <c r="E479" i="4" s="1" a="1"/>
  <c r="E479" i="4" s="1"/>
  <c r="G480" i="4"/>
  <c r="E480" i="4" s="1" a="1"/>
  <c r="E480" i="4" s="1"/>
  <c r="G481" i="4"/>
  <c r="E481" i="4" s="1" a="1"/>
  <c r="E481" i="4" s="1"/>
  <c r="G482" i="4"/>
  <c r="E482" i="4" s="1" a="1"/>
  <c r="E482" i="4" s="1"/>
  <c r="G483" i="4"/>
  <c r="E483" i="4" s="1" a="1"/>
  <c r="E483" i="4" s="1"/>
  <c r="G484" i="4"/>
  <c r="E484" i="4" s="1" a="1"/>
  <c r="E484" i="4" s="1"/>
  <c r="G485" i="4"/>
  <c r="E485" i="4" s="1" a="1"/>
  <c r="E485" i="4" s="1"/>
  <c r="G486" i="4"/>
  <c r="E486" i="4" s="1" a="1"/>
  <c r="E486" i="4" s="1"/>
  <c r="G487" i="4"/>
  <c r="E487" i="4" s="1" a="1"/>
  <c r="E487" i="4" s="1"/>
  <c r="G488" i="4"/>
  <c r="E488" i="4" s="1" a="1"/>
  <c r="E488" i="4" s="1"/>
  <c r="G489" i="4"/>
  <c r="E489" i="4" s="1" a="1"/>
  <c r="E489" i="4" s="1"/>
  <c r="G490" i="4"/>
  <c r="E490" i="4" s="1" a="1"/>
  <c r="E490" i="4" s="1"/>
  <c r="G491" i="4"/>
  <c r="E491" i="4" s="1" a="1"/>
  <c r="E491" i="4" s="1"/>
  <c r="G492" i="4"/>
  <c r="E492" i="4" s="1" a="1"/>
  <c r="E492" i="4" s="1"/>
  <c r="G493" i="4"/>
  <c r="E493" i="4" s="1" a="1"/>
  <c r="E493" i="4" s="1"/>
  <c r="G494" i="4"/>
  <c r="E494" i="4" s="1" a="1"/>
  <c r="E494" i="4" s="1"/>
  <c r="G495" i="4"/>
  <c r="E495" i="4" s="1" a="1"/>
  <c r="E495" i="4" s="1"/>
  <c r="G496" i="4"/>
  <c r="E496" i="4" s="1" a="1"/>
  <c r="E496" i="4" s="1"/>
  <c r="G497" i="4"/>
  <c r="E497" i="4" s="1" a="1"/>
  <c r="E497" i="4" s="1"/>
  <c r="G498" i="4"/>
  <c r="E498" i="4" s="1" a="1"/>
  <c r="E498" i="4" s="1"/>
  <c r="G499" i="4"/>
  <c r="E499" i="4" s="1" a="1"/>
  <c r="E499" i="4" s="1"/>
  <c r="G500" i="4"/>
  <c r="E500" i="4" s="1" a="1"/>
  <c r="E500" i="4" s="1"/>
  <c r="G501" i="4"/>
  <c r="E501" i="4" s="1" a="1"/>
  <c r="E501" i="4" s="1"/>
  <c r="G502" i="4"/>
  <c r="E502" i="4" s="1" a="1"/>
  <c r="E502" i="4" s="1"/>
  <c r="G503" i="4"/>
  <c r="E503" i="4" s="1" a="1"/>
  <c r="E503" i="4" s="1"/>
  <c r="G504" i="4"/>
  <c r="E504" i="4" s="1" a="1"/>
  <c r="E504" i="4" s="1"/>
  <c r="G505" i="4"/>
  <c r="E505" i="4" s="1" a="1"/>
  <c r="E505" i="4" s="1"/>
  <c r="G506" i="4"/>
  <c r="E506" i="4" s="1" a="1"/>
  <c r="E506" i="4" s="1"/>
  <c r="G507" i="4"/>
  <c r="E507" i="4" s="1" a="1"/>
  <c r="E507" i="4" s="1"/>
  <c r="G508" i="4"/>
  <c r="E508" i="4" s="1" a="1"/>
  <c r="E508" i="4" s="1"/>
  <c r="G509" i="4"/>
  <c r="E509" i="4" s="1" a="1"/>
  <c r="E509" i="4" s="1"/>
  <c r="G510" i="4"/>
  <c r="E510" i="4" s="1" a="1"/>
  <c r="E510" i="4" s="1"/>
  <c r="G511" i="4"/>
  <c r="E511" i="4" s="1" a="1"/>
  <c r="E511" i="4" s="1"/>
  <c r="G512" i="4"/>
  <c r="E512" i="4" s="1" a="1"/>
  <c r="E512" i="4" s="1"/>
  <c r="G513" i="4"/>
  <c r="E513" i="4" s="1" a="1"/>
  <c r="E513" i="4" s="1"/>
  <c r="G514" i="4"/>
  <c r="E514" i="4" s="1" a="1"/>
  <c r="E514" i="4" s="1"/>
  <c r="G515" i="4"/>
  <c r="E515" i="4" s="1" a="1"/>
  <c r="E515" i="4" s="1"/>
  <c r="G516" i="4"/>
  <c r="E516" i="4" s="1" a="1"/>
  <c r="E516" i="4" s="1"/>
  <c r="G517" i="4"/>
  <c r="E517" i="4" s="1" a="1"/>
  <c r="E517" i="4" s="1"/>
  <c r="G518" i="4"/>
  <c r="E518" i="4" s="1" a="1"/>
  <c r="E518" i="4" s="1"/>
  <c r="G519" i="4"/>
  <c r="E519" i="4" s="1" a="1"/>
  <c r="E519" i="4" s="1"/>
  <c r="G520" i="4"/>
  <c r="E520" i="4" s="1" a="1"/>
  <c r="E520" i="4" s="1"/>
  <c r="G521" i="4"/>
  <c r="E521" i="4" s="1" a="1"/>
  <c r="E521" i="4" s="1"/>
  <c r="G522" i="4"/>
  <c r="E522" i="4" s="1" a="1"/>
  <c r="E522" i="4" s="1"/>
  <c r="G523" i="4"/>
  <c r="E523" i="4" s="1" a="1"/>
  <c r="E523" i="4" s="1"/>
  <c r="G524" i="4"/>
  <c r="E524" i="4" s="1" a="1"/>
  <c r="E524" i="4" s="1"/>
  <c r="G525" i="4"/>
  <c r="E525" i="4" s="1" a="1"/>
  <c r="E525" i="4" s="1"/>
  <c r="G526" i="4"/>
  <c r="E526" i="4" s="1" a="1"/>
  <c r="E526" i="4" s="1"/>
  <c r="G527" i="4"/>
  <c r="E527" i="4" s="1" a="1"/>
  <c r="E527" i="4" s="1"/>
  <c r="G528" i="4"/>
  <c r="E528" i="4" s="1" a="1"/>
  <c r="E528" i="4" s="1"/>
  <c r="G529" i="4"/>
  <c r="E529" i="4" s="1" a="1"/>
  <c r="E529" i="4" s="1"/>
  <c r="G530" i="4"/>
  <c r="E530" i="4" s="1" a="1"/>
  <c r="E530" i="4" s="1"/>
  <c r="G531" i="4"/>
  <c r="E531" i="4" s="1" a="1"/>
  <c r="E531" i="4" s="1"/>
  <c r="G532" i="4"/>
  <c r="E532" i="4" s="1" a="1"/>
  <c r="E532" i="4" s="1"/>
  <c r="G533" i="4"/>
  <c r="E533" i="4" s="1" a="1"/>
  <c r="E533" i="4" s="1"/>
  <c r="G534" i="4"/>
  <c r="E534" i="4" s="1" a="1"/>
  <c r="E534" i="4" s="1"/>
  <c r="G535" i="4"/>
  <c r="E535" i="4" s="1" a="1"/>
  <c r="E535" i="4" s="1"/>
  <c r="G536" i="4"/>
  <c r="E536" i="4" s="1" a="1"/>
  <c r="E536" i="4" s="1"/>
  <c r="G537" i="4"/>
  <c r="E537" i="4" s="1" a="1"/>
  <c r="E537" i="4" s="1"/>
  <c r="G538" i="4"/>
  <c r="E538" i="4" s="1" a="1"/>
  <c r="E538" i="4" s="1"/>
  <c r="G539" i="4"/>
  <c r="E539" i="4" s="1" a="1"/>
  <c r="E539" i="4" s="1"/>
  <c r="G540" i="4"/>
  <c r="E540" i="4" s="1" a="1"/>
  <c r="E540" i="4" s="1"/>
  <c r="G541" i="4"/>
  <c r="E541" i="4" s="1" a="1"/>
  <c r="E541" i="4" s="1"/>
  <c r="G542" i="4"/>
  <c r="E542" i="4" s="1" a="1"/>
  <c r="E542" i="4" s="1"/>
  <c r="G543" i="4"/>
  <c r="E543" i="4" s="1" a="1"/>
  <c r="E543" i="4" s="1"/>
  <c r="G544" i="4"/>
  <c r="E544" i="4" s="1" a="1"/>
  <c r="E544" i="4" s="1"/>
  <c r="G545" i="4"/>
  <c r="E545" i="4" s="1" a="1"/>
  <c r="E545" i="4" s="1"/>
  <c r="G546" i="4"/>
  <c r="E546" i="4" s="1" a="1"/>
  <c r="E546" i="4" s="1"/>
  <c r="G547" i="4"/>
  <c r="E547" i="4" s="1" a="1"/>
  <c r="E547" i="4" s="1"/>
  <c r="G548" i="4"/>
  <c r="E548" i="4" s="1" a="1"/>
  <c r="E548" i="4" s="1"/>
  <c r="G549" i="4"/>
  <c r="E549" i="4" s="1" a="1"/>
  <c r="E549" i="4" s="1"/>
  <c r="G550" i="4"/>
  <c r="E550" i="4" s="1" a="1"/>
  <c r="E550" i="4" s="1"/>
  <c r="G551" i="4"/>
  <c r="E551" i="4" s="1" a="1"/>
  <c r="E551" i="4" s="1"/>
  <c r="G552" i="4"/>
  <c r="E552" i="4" s="1" a="1"/>
  <c r="E552" i="4" s="1"/>
  <c r="G553" i="4"/>
  <c r="E553" i="4" s="1" a="1"/>
  <c r="E553" i="4" s="1"/>
  <c r="G554" i="4"/>
  <c r="E554" i="4" s="1" a="1"/>
  <c r="E554" i="4" s="1"/>
  <c r="G555" i="4"/>
  <c r="E555" i="4" s="1" a="1"/>
  <c r="E555" i="4" s="1"/>
  <c r="G556" i="4"/>
  <c r="E556" i="4" s="1" a="1"/>
  <c r="E556" i="4" s="1"/>
  <c r="G557" i="4"/>
  <c r="E557" i="4" s="1" a="1"/>
  <c r="E557" i="4" s="1"/>
  <c r="G558" i="4"/>
  <c r="E558" i="4" s="1" a="1"/>
  <c r="E558" i="4" s="1"/>
  <c r="G559" i="4"/>
  <c r="E559" i="4" s="1" a="1"/>
  <c r="E559" i="4" s="1"/>
  <c r="G560" i="4"/>
  <c r="E560" i="4" s="1" a="1"/>
  <c r="E560" i="4" s="1"/>
  <c r="G561" i="4"/>
  <c r="E561" i="4" s="1" a="1"/>
  <c r="E561" i="4" s="1"/>
  <c r="G562" i="4"/>
  <c r="E562" i="4" s="1" a="1"/>
  <c r="E562" i="4" s="1"/>
  <c r="G563" i="4"/>
  <c r="E563" i="4" s="1" a="1"/>
  <c r="E563" i="4" s="1"/>
  <c r="G564" i="4"/>
  <c r="E564" i="4" s="1" a="1"/>
  <c r="E564" i="4" s="1"/>
  <c r="G565" i="4"/>
  <c r="E565" i="4" s="1" a="1"/>
  <c r="E565" i="4" s="1"/>
  <c r="G566" i="4"/>
  <c r="E566" i="4" s="1" a="1"/>
  <c r="E566" i="4" s="1"/>
  <c r="G567" i="4"/>
  <c r="E567" i="4" s="1" a="1"/>
  <c r="E567" i="4" s="1"/>
  <c r="G568" i="4"/>
  <c r="E568" i="4" s="1" a="1"/>
  <c r="E568" i="4" s="1"/>
  <c r="G569" i="4"/>
  <c r="E569" i="4" s="1" a="1"/>
  <c r="E569" i="4" s="1"/>
  <c r="G570" i="4"/>
  <c r="E570" i="4" s="1" a="1"/>
  <c r="E570" i="4" s="1"/>
  <c r="G571" i="4"/>
  <c r="E571" i="4" s="1" a="1"/>
  <c r="E571" i="4" s="1"/>
  <c r="G572" i="4"/>
  <c r="E572" i="4" s="1" a="1"/>
  <c r="E572" i="4" s="1"/>
  <c r="G573" i="4"/>
  <c r="E573" i="4" s="1" a="1"/>
  <c r="E573" i="4" s="1"/>
  <c r="G574" i="4"/>
  <c r="E574" i="4" s="1" a="1"/>
  <c r="E574" i="4" s="1"/>
  <c r="G575" i="4"/>
  <c r="E575" i="4" s="1" a="1"/>
  <c r="E575" i="4" s="1"/>
  <c r="G576" i="4"/>
  <c r="E576" i="4" s="1" a="1"/>
  <c r="E576" i="4" s="1"/>
  <c r="G577" i="4"/>
  <c r="E577" i="4" s="1" a="1"/>
  <c r="E577" i="4" s="1"/>
  <c r="G578" i="4"/>
  <c r="E578" i="4" s="1" a="1"/>
  <c r="E578" i="4" s="1"/>
  <c r="G579" i="4"/>
  <c r="E579" i="4" s="1" a="1"/>
  <c r="E579" i="4" s="1"/>
  <c r="G580" i="4"/>
  <c r="E580" i="4" s="1" a="1"/>
  <c r="E580" i="4" s="1"/>
  <c r="G581" i="4"/>
  <c r="E581" i="4" s="1" a="1"/>
  <c r="E581" i="4" s="1"/>
  <c r="G582" i="4"/>
  <c r="E582" i="4" s="1" a="1"/>
  <c r="E582" i="4" s="1"/>
  <c r="G583" i="4"/>
  <c r="E583" i="4" s="1" a="1"/>
  <c r="E583" i="4" s="1"/>
  <c r="G584" i="4"/>
  <c r="E584" i="4" s="1" a="1"/>
  <c r="E584" i="4" s="1"/>
  <c r="G585" i="4"/>
  <c r="E585" i="4" s="1" a="1"/>
  <c r="E585" i="4" s="1"/>
  <c r="G586" i="4"/>
  <c r="E586" i="4" s="1" a="1"/>
  <c r="E586" i="4" s="1"/>
  <c r="G587" i="4"/>
  <c r="E587" i="4" s="1" a="1"/>
  <c r="E587" i="4" s="1"/>
  <c r="G588" i="4"/>
  <c r="E588" i="4" s="1" a="1"/>
  <c r="E588" i="4" s="1"/>
  <c r="G589" i="4"/>
  <c r="E589" i="4" s="1" a="1"/>
  <c r="E589" i="4" s="1"/>
  <c r="G590" i="4"/>
  <c r="E590" i="4" s="1" a="1"/>
  <c r="E590" i="4" s="1"/>
  <c r="G591" i="4"/>
  <c r="E591" i="4" s="1" a="1"/>
  <c r="E591" i="4" s="1"/>
  <c r="G592" i="4"/>
  <c r="E592" i="4" s="1" a="1"/>
  <c r="E592" i="4" s="1"/>
  <c r="G593" i="4"/>
  <c r="E593" i="4" s="1" a="1"/>
  <c r="E593" i="4" s="1"/>
  <c r="G594" i="4"/>
  <c r="E594" i="4" s="1" a="1"/>
  <c r="E594" i="4" s="1"/>
  <c r="G595" i="4"/>
  <c r="E595" i="4" s="1" a="1"/>
  <c r="E595" i="4" s="1"/>
  <c r="G596" i="4"/>
  <c r="E596" i="4" s="1" a="1"/>
  <c r="E596" i="4" s="1"/>
  <c r="G597" i="4"/>
  <c r="E597" i="4" s="1" a="1"/>
  <c r="E597" i="4" s="1"/>
  <c r="G598" i="4"/>
  <c r="E598" i="4" s="1" a="1"/>
  <c r="E598" i="4" s="1"/>
  <c r="G599" i="4"/>
  <c r="E599" i="4" s="1" a="1"/>
  <c r="E599" i="4" s="1"/>
  <c r="G600" i="4"/>
  <c r="E600" i="4" s="1" a="1"/>
  <c r="E600" i="4" s="1"/>
  <c r="G601" i="4"/>
  <c r="E601" i="4" s="1" a="1"/>
  <c r="E601" i="4" s="1"/>
  <c r="G602" i="4"/>
  <c r="E602" i="4" s="1" a="1"/>
  <c r="E602" i="4" s="1"/>
  <c r="G603" i="4"/>
  <c r="E603" i="4" s="1" a="1"/>
  <c r="E603" i="4" s="1"/>
  <c r="G604" i="4"/>
  <c r="E604" i="4" s="1" a="1"/>
  <c r="E604" i="4" s="1"/>
  <c r="G605" i="4"/>
  <c r="E605" i="4" s="1" a="1"/>
  <c r="E605" i="4" s="1"/>
  <c r="G606" i="4"/>
  <c r="E606" i="4" s="1" a="1"/>
  <c r="E606" i="4" s="1"/>
  <c r="G607" i="4"/>
  <c r="E607" i="4" s="1" a="1"/>
  <c r="E607" i="4" s="1"/>
  <c r="G608" i="4"/>
  <c r="E608" i="4" s="1" a="1"/>
  <c r="E608" i="4" s="1"/>
  <c r="G609" i="4"/>
  <c r="E609" i="4" s="1" a="1"/>
  <c r="E609" i="4" s="1"/>
  <c r="G610" i="4"/>
  <c r="E610" i="4" s="1" a="1"/>
  <c r="E610" i="4" s="1"/>
  <c r="G611" i="4"/>
  <c r="E611" i="4" s="1" a="1"/>
  <c r="E611" i="4" s="1"/>
  <c r="G612" i="4"/>
  <c r="E612" i="4" s="1" a="1"/>
  <c r="E612" i="4" s="1"/>
  <c r="G613" i="4"/>
  <c r="E613" i="4" s="1" a="1"/>
  <c r="E613" i="4" s="1"/>
  <c r="G614" i="4"/>
  <c r="E614" i="4" s="1" a="1"/>
  <c r="E614" i="4" s="1"/>
  <c r="G615" i="4"/>
  <c r="E615" i="4" s="1" a="1"/>
  <c r="E615" i="4" s="1"/>
  <c r="G616" i="4"/>
  <c r="E616" i="4" s="1" a="1"/>
  <c r="E616" i="4" s="1"/>
  <c r="G617" i="4"/>
  <c r="E617" i="4" s="1" a="1"/>
  <c r="E617" i="4" s="1"/>
  <c r="G618" i="4"/>
  <c r="E618" i="4" s="1" a="1"/>
  <c r="E618" i="4" s="1"/>
  <c r="G619" i="4"/>
  <c r="E619" i="4" s="1" a="1"/>
  <c r="E619" i="4" s="1"/>
  <c r="G620" i="4"/>
  <c r="E620" i="4" s="1" a="1"/>
  <c r="E620" i="4" s="1"/>
  <c r="G621" i="4"/>
  <c r="E621" i="4" s="1" a="1"/>
  <c r="E621" i="4" s="1"/>
  <c r="G622" i="4"/>
  <c r="E622" i="4" s="1" a="1"/>
  <c r="E622" i="4" s="1"/>
  <c r="G623" i="4"/>
  <c r="E623" i="4" s="1" a="1"/>
  <c r="E623" i="4" s="1"/>
  <c r="G624" i="4"/>
  <c r="E624" i="4" s="1" a="1"/>
  <c r="E624" i="4" s="1"/>
  <c r="G625" i="4"/>
  <c r="E625" i="4" s="1" a="1"/>
  <c r="E625" i="4" s="1"/>
  <c r="G626" i="4"/>
  <c r="E626" i="4" s="1" a="1"/>
  <c r="E626" i="4" s="1"/>
  <c r="G627" i="4"/>
  <c r="E627" i="4" s="1" a="1"/>
  <c r="E627" i="4" s="1"/>
  <c r="G628" i="4"/>
  <c r="E628" i="4" s="1" a="1"/>
  <c r="E628" i="4" s="1"/>
  <c r="G629" i="4"/>
  <c r="E629" i="4" s="1" a="1"/>
  <c r="E629" i="4" s="1"/>
  <c r="G630" i="4"/>
  <c r="E630" i="4" s="1" a="1"/>
  <c r="E630" i="4" s="1"/>
  <c r="G631" i="4"/>
  <c r="E631" i="4" s="1" a="1"/>
  <c r="E631" i="4" s="1"/>
  <c r="G632" i="4"/>
  <c r="E632" i="4" s="1" a="1"/>
  <c r="E632" i="4" s="1"/>
  <c r="G633" i="4"/>
  <c r="E633" i="4" s="1" a="1"/>
  <c r="E633" i="4" s="1"/>
  <c r="G634" i="4"/>
  <c r="E634" i="4" s="1" a="1"/>
  <c r="E634" i="4" s="1"/>
  <c r="G635" i="4"/>
  <c r="E635" i="4" s="1" a="1"/>
  <c r="E635" i="4" s="1"/>
  <c r="G636" i="4"/>
  <c r="E636" i="4" s="1" a="1"/>
  <c r="E636" i="4" s="1"/>
  <c r="G637" i="4"/>
  <c r="E637" i="4" s="1" a="1"/>
  <c r="E637" i="4" s="1"/>
  <c r="G638" i="4"/>
  <c r="E638" i="4" s="1" a="1"/>
  <c r="E638" i="4" s="1"/>
  <c r="G639" i="4"/>
  <c r="E639" i="4" s="1" a="1"/>
  <c r="E639" i="4" s="1"/>
  <c r="G640" i="4"/>
  <c r="E640" i="4" s="1" a="1"/>
  <c r="E640" i="4" s="1"/>
  <c r="G641" i="4"/>
  <c r="E641" i="4" s="1" a="1"/>
  <c r="E641" i="4" s="1"/>
  <c r="G642" i="4"/>
  <c r="E642" i="4" s="1" a="1"/>
  <c r="E642" i="4" s="1"/>
  <c r="G643" i="4"/>
  <c r="E643" i="4" s="1" a="1"/>
  <c r="E643" i="4" s="1"/>
  <c r="G644" i="4"/>
  <c r="E644" i="4" s="1" a="1"/>
  <c r="E644" i="4" s="1"/>
  <c r="G645" i="4"/>
  <c r="E645" i="4" s="1" a="1"/>
  <c r="E645" i="4" s="1"/>
  <c r="G646" i="4"/>
  <c r="E646" i="4" s="1" a="1"/>
  <c r="E646" i="4" s="1"/>
  <c r="G647" i="4"/>
  <c r="E647" i="4" s="1" a="1"/>
  <c r="E647" i="4" s="1"/>
  <c r="G648" i="4"/>
  <c r="E648" i="4" s="1" a="1"/>
  <c r="E648" i="4" s="1"/>
  <c r="G649" i="4"/>
  <c r="E649" i="4" s="1" a="1"/>
  <c r="E649" i="4" s="1"/>
  <c r="G650" i="4"/>
  <c r="E650" i="4" s="1" a="1"/>
  <c r="E650" i="4" s="1"/>
  <c r="G651" i="4"/>
  <c r="E651" i="4" s="1" a="1"/>
  <c r="E651" i="4" s="1"/>
  <c r="G652" i="4"/>
  <c r="E652" i="4" s="1" a="1"/>
  <c r="E652" i="4" s="1"/>
  <c r="G653" i="4"/>
  <c r="E653" i="4" s="1" a="1"/>
  <c r="E653" i="4" s="1"/>
  <c r="G654" i="4"/>
  <c r="E654" i="4" s="1" a="1"/>
  <c r="E654" i="4" s="1"/>
  <c r="G655" i="4"/>
  <c r="E655" i="4" s="1" a="1"/>
  <c r="E655" i="4" s="1"/>
  <c r="G656" i="4"/>
  <c r="E656" i="4" s="1" a="1"/>
  <c r="E656" i="4" s="1"/>
  <c r="G657" i="4"/>
  <c r="E657" i="4" s="1" a="1"/>
  <c r="E657" i="4" s="1"/>
  <c r="G658" i="4"/>
  <c r="E658" i="4" s="1" a="1"/>
  <c r="E658" i="4" s="1"/>
  <c r="G659" i="4"/>
  <c r="E659" i="4" s="1" a="1"/>
  <c r="E659" i="4" s="1"/>
  <c r="G660" i="4"/>
  <c r="E660" i="4" s="1" a="1"/>
  <c r="E660" i="4" s="1"/>
  <c r="G661" i="4"/>
  <c r="E661" i="4" s="1" a="1"/>
  <c r="E661" i="4" s="1"/>
  <c r="G662" i="4"/>
  <c r="E662" i="4" s="1" a="1"/>
  <c r="E662" i="4" s="1"/>
  <c r="G663" i="4"/>
  <c r="E663" i="4" s="1" a="1"/>
  <c r="E663" i="4" s="1"/>
  <c r="G664" i="4"/>
  <c r="E664" i="4" s="1" a="1"/>
  <c r="E664" i="4" s="1"/>
  <c r="G665" i="4"/>
  <c r="E665" i="4" s="1" a="1"/>
  <c r="E665" i="4" s="1"/>
  <c r="G666" i="4"/>
  <c r="E666" i="4" s="1" a="1"/>
  <c r="E666" i="4" s="1"/>
  <c r="G667" i="4"/>
  <c r="E667" i="4" s="1" a="1"/>
  <c r="E667" i="4" s="1"/>
  <c r="G668" i="4"/>
  <c r="E668" i="4" s="1" a="1"/>
  <c r="E668" i="4" s="1"/>
  <c r="G669" i="4"/>
  <c r="E669" i="4" s="1" a="1"/>
  <c r="E669" i="4" s="1"/>
  <c r="G670" i="4"/>
  <c r="E670" i="4" s="1" a="1"/>
  <c r="E670" i="4" s="1"/>
  <c r="G671" i="4"/>
  <c r="E671" i="4" s="1" a="1"/>
  <c r="E671" i="4" s="1"/>
  <c r="G672" i="4"/>
  <c r="E672" i="4" s="1" a="1"/>
  <c r="E672" i="4" s="1"/>
  <c r="G673" i="4"/>
  <c r="E673" i="4" s="1" a="1"/>
  <c r="E673" i="4" s="1"/>
  <c r="G674" i="4"/>
  <c r="E674" i="4" s="1" a="1"/>
  <c r="E674" i="4" s="1"/>
  <c r="G675" i="4"/>
  <c r="E675" i="4" s="1" a="1"/>
  <c r="E675" i="4" s="1"/>
  <c r="G676" i="4"/>
  <c r="E676" i="4" s="1" a="1"/>
  <c r="E676" i="4" s="1"/>
  <c r="G677" i="4"/>
  <c r="E677" i="4" s="1" a="1"/>
  <c r="E677" i="4" s="1"/>
  <c r="G678" i="4"/>
  <c r="E678" i="4" s="1" a="1"/>
  <c r="E678" i="4" s="1"/>
  <c r="G679" i="4"/>
  <c r="E679" i="4" s="1" a="1"/>
  <c r="E679" i="4" s="1"/>
  <c r="G680" i="4"/>
  <c r="E680" i="4" s="1" a="1"/>
  <c r="E680" i="4" s="1"/>
  <c r="G681" i="4"/>
  <c r="E681" i="4" s="1" a="1"/>
  <c r="E681" i="4" s="1"/>
  <c r="G682" i="4"/>
  <c r="E682" i="4" s="1" a="1"/>
  <c r="E682" i="4" s="1"/>
  <c r="G683" i="4"/>
  <c r="E683" i="4" s="1" a="1"/>
  <c r="E683" i="4" s="1"/>
  <c r="G684" i="4"/>
  <c r="E684" i="4" s="1" a="1"/>
  <c r="E684" i="4" s="1"/>
  <c r="G685" i="4"/>
  <c r="E685" i="4" s="1" a="1"/>
  <c r="E685" i="4" s="1"/>
  <c r="G686" i="4"/>
  <c r="E686" i="4" s="1" a="1"/>
  <c r="E686" i="4" s="1"/>
  <c r="G687" i="4"/>
  <c r="E687" i="4" s="1" a="1"/>
  <c r="E687" i="4" s="1"/>
  <c r="G688" i="4"/>
  <c r="E688" i="4" s="1" a="1"/>
  <c r="E688" i="4" s="1"/>
  <c r="G689" i="4"/>
  <c r="E689" i="4" s="1" a="1"/>
  <c r="E689" i="4" s="1"/>
  <c r="G690" i="4"/>
  <c r="E690" i="4" s="1" a="1"/>
  <c r="E690" i="4" s="1"/>
  <c r="G691" i="4"/>
  <c r="E691" i="4" s="1" a="1"/>
  <c r="E691" i="4" s="1"/>
  <c r="G692" i="4"/>
  <c r="E692" i="4" s="1" a="1"/>
  <c r="E692" i="4" s="1"/>
  <c r="G693" i="4"/>
  <c r="E693" i="4" s="1" a="1"/>
  <c r="E693" i="4" s="1"/>
  <c r="G694" i="4"/>
  <c r="E694" i="4" s="1" a="1"/>
  <c r="E694" i="4" s="1"/>
  <c r="G695" i="4"/>
  <c r="E695" i="4" s="1" a="1"/>
  <c r="E695" i="4" s="1"/>
  <c r="G696" i="4"/>
  <c r="E696" i="4" s="1" a="1"/>
  <c r="E696" i="4" s="1"/>
  <c r="G697" i="4"/>
  <c r="E697" i="4" s="1" a="1"/>
  <c r="E697" i="4" s="1"/>
  <c r="G698" i="4"/>
  <c r="E698" i="4" s="1" a="1"/>
  <c r="E698" i="4" s="1"/>
  <c r="G699" i="4"/>
  <c r="E699" i="4" s="1" a="1"/>
  <c r="E699" i="4" s="1"/>
  <c r="G700" i="4"/>
  <c r="E700" i="4" s="1" a="1"/>
  <c r="E700" i="4" s="1"/>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A428" i="4"/>
  <c r="A429" i="4"/>
  <c r="A430" i="4"/>
  <c r="A431" i="4"/>
  <c r="A432" i="4"/>
  <c r="A433" i="4"/>
  <c r="A434" i="4"/>
  <c r="A435" i="4"/>
  <c r="A436" i="4"/>
  <c r="A437" i="4"/>
  <c r="A438" i="4"/>
  <c r="B428" i="4" a="1"/>
  <c r="B428" i="4" s="1"/>
  <c r="B429" i="4" a="1"/>
  <c r="B429" i="4" s="1"/>
  <c r="B430" i="4" a="1"/>
  <c r="B430" i="4" s="1"/>
  <c r="B431" i="4" a="1"/>
  <c r="B431" i="4" s="1"/>
  <c r="B432" i="4" a="1"/>
  <c r="B432" i="4" s="1"/>
  <c r="B433" i="4" a="1"/>
  <c r="B433" i="4" s="1"/>
  <c r="B434" i="4" a="1"/>
  <c r="B434" i="4" s="1"/>
  <c r="B435" i="4" a="1"/>
  <c r="B435" i="4" s="1"/>
  <c r="B436" i="4" a="1"/>
  <c r="B436" i="4" s="1"/>
  <c r="B437" i="4" a="1"/>
  <c r="B437" i="4" s="1"/>
  <c r="B438" i="4" a="1"/>
  <c r="B438" i="4" s="1"/>
  <c r="C428" i="4" a="1"/>
  <c r="C428" i="4" s="1"/>
  <c r="C429" i="4" a="1"/>
  <c r="C429" i="4" s="1"/>
  <c r="C430" i="4" a="1"/>
  <c r="C430" i="4" s="1"/>
  <c r="C431" i="4" a="1"/>
  <c r="C431" i="4" s="1"/>
  <c r="C432" i="4" a="1"/>
  <c r="C432" i="4" s="1"/>
  <c r="C433" i="4" a="1"/>
  <c r="C433" i="4" s="1"/>
  <c r="C434" i="4" a="1"/>
  <c r="C434" i="4" s="1"/>
  <c r="C435" i="4" a="1"/>
  <c r="C435" i="4" s="1"/>
  <c r="C436" i="4" a="1"/>
  <c r="C436" i="4" s="1"/>
  <c r="C437" i="4" a="1"/>
  <c r="C437" i="4" s="1"/>
  <c r="C438" i="4" a="1"/>
  <c r="C438" i="4" s="1"/>
  <c r="D428" i="4"/>
  <c r="D429" i="4"/>
  <c r="D430" i="4"/>
  <c r="D431" i="4"/>
  <c r="D432" i="4"/>
  <c r="D433" i="4"/>
  <c r="D434" i="4"/>
  <c r="D435" i="4"/>
  <c r="D436" i="4"/>
  <c r="D437" i="4"/>
  <c r="D438" i="4"/>
  <c r="F428" i="4"/>
  <c r="F429" i="4"/>
  <c r="F430" i="4"/>
  <c r="F431" i="4"/>
  <c r="F432" i="4"/>
  <c r="F433" i="4"/>
  <c r="F434" i="4"/>
  <c r="F435" i="4"/>
  <c r="F436" i="4"/>
  <c r="F437" i="4"/>
  <c r="F438" i="4"/>
  <c r="G428" i="4"/>
  <c r="E428" i="4" s="1" a="1"/>
  <c r="E428" i="4" s="1"/>
  <c r="G429" i="4"/>
  <c r="E429" i="4" s="1" a="1"/>
  <c r="E429" i="4" s="1"/>
  <c r="G430" i="4"/>
  <c r="E430" i="4" s="1" a="1"/>
  <c r="E430" i="4" s="1"/>
  <c r="G431" i="4"/>
  <c r="E431" i="4" s="1" a="1"/>
  <c r="E431" i="4" s="1"/>
  <c r="G432" i="4"/>
  <c r="E432" i="4" s="1" a="1"/>
  <c r="E432" i="4" s="1"/>
  <c r="G433" i="4"/>
  <c r="E433" i="4" s="1" a="1"/>
  <c r="E433" i="4" s="1"/>
  <c r="G434" i="4"/>
  <c r="E434" i="4" s="1" a="1"/>
  <c r="E434" i="4" s="1"/>
  <c r="G435" i="4"/>
  <c r="E435" i="4" s="1" a="1"/>
  <c r="E435" i="4" s="1"/>
  <c r="G436" i="4"/>
  <c r="E436" i="4" s="1" a="1"/>
  <c r="E436" i="4" s="1"/>
  <c r="G437" i="4"/>
  <c r="E437" i="4" s="1" a="1"/>
  <c r="E437" i="4" s="1"/>
  <c r="G438" i="4"/>
  <c r="E438" i="4" s="1" a="1"/>
  <c r="E438" i="4" s="1"/>
  <c r="H428" i="4"/>
  <c r="H429" i="4"/>
  <c r="H430" i="4"/>
  <c r="H431" i="4"/>
  <c r="H432" i="4"/>
  <c r="H433" i="4"/>
  <c r="H434" i="4"/>
  <c r="H435" i="4"/>
  <c r="H436" i="4"/>
  <c r="H437" i="4"/>
  <c r="H438" i="4"/>
  <c r="I428" i="4"/>
  <c r="I429" i="4"/>
  <c r="I430" i="4"/>
  <c r="I431" i="4"/>
  <c r="I432" i="4"/>
  <c r="I433" i="4"/>
  <c r="I434" i="4"/>
  <c r="I435" i="4"/>
  <c r="I436" i="4"/>
  <c r="I437" i="4"/>
  <c r="I438" i="4"/>
  <c r="C2" i="4" a="1"/>
  <c r="C2" i="4" s="1"/>
  <c r="C3" i="4" a="1"/>
  <c r="C3" i="4" s="1"/>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47" i="4" a="1"/>
  <c r="C47" i="4" s="1"/>
  <c r="C48" i="4" a="1"/>
  <c r="C48" i="4" s="1"/>
  <c r="C49" i="4" a="1"/>
  <c r="C49" i="4" s="1"/>
  <c r="C50" i="4" a="1"/>
  <c r="C50" i="4" s="1"/>
  <c r="C51" i="4" a="1"/>
  <c r="C51" i="4"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92" i="4" a="1"/>
  <c r="C92" i="4"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115" i="4" a="1"/>
  <c r="C115" i="4" s="1"/>
  <c r="C116" i="4" a="1"/>
  <c r="C116" i="4" s="1"/>
  <c r="C117" i="4" a="1"/>
  <c r="C117" i="4" s="1"/>
  <c r="C118" i="4" a="1"/>
  <c r="C118" i="4" s="1"/>
  <c r="C119" i="4" a="1"/>
  <c r="C119" i="4" s="1"/>
  <c r="C120" i="4" a="1"/>
  <c r="C120" i="4" s="1"/>
  <c r="C121" i="4" a="1"/>
  <c r="C121" i="4" s="1"/>
  <c r="C122" i="4" a="1"/>
  <c r="C122" i="4" s="1"/>
  <c r="C123" i="4" a="1"/>
  <c r="C123" i="4" s="1"/>
  <c r="C124" i="4" a="1"/>
  <c r="C124" i="4" s="1"/>
  <c r="C125" i="4" a="1"/>
  <c r="C125" i="4" s="1"/>
  <c r="C126" i="4" a="1"/>
  <c r="C126" i="4" s="1"/>
  <c r="C127" i="4" a="1"/>
  <c r="C127" i="4" s="1"/>
  <c r="C128" i="4" a="1"/>
  <c r="C128" i="4" s="1"/>
  <c r="C129" i="4" a="1"/>
  <c r="C129" i="4" s="1"/>
  <c r="C130" i="4" a="1"/>
  <c r="C130" i="4" s="1"/>
  <c r="C131" i="4" a="1"/>
  <c r="C131" i="4" s="1"/>
  <c r="C132" i="4" a="1"/>
  <c r="C132" i="4" s="1"/>
  <c r="C133" i="4" a="1"/>
  <c r="C133" i="4" s="1"/>
  <c r="C134" i="4" a="1"/>
  <c r="C134" i="4" s="1"/>
  <c r="C135" i="4" a="1"/>
  <c r="C135" i="4" s="1"/>
  <c r="C136" i="4" a="1"/>
  <c r="C136" i="4" s="1"/>
  <c r="C137" i="4" a="1"/>
  <c r="C137" i="4" s="1"/>
  <c r="C138" i="4" a="1"/>
  <c r="C138" i="4" s="1"/>
  <c r="C139" i="4" a="1"/>
  <c r="C139" i="4" s="1"/>
  <c r="C140" i="4" a="1"/>
  <c r="C140" i="4" s="1"/>
  <c r="C141" i="4" a="1"/>
  <c r="C141" i="4" s="1"/>
  <c r="C142" i="4" a="1"/>
  <c r="C142" i="4" s="1"/>
  <c r="C143" i="4" a="1"/>
  <c r="C143" i="4" s="1"/>
  <c r="C144" i="4" a="1"/>
  <c r="C144" i="4" s="1"/>
  <c r="C145" i="4" a="1"/>
  <c r="C145" i="4" s="1"/>
  <c r="C146" i="4" a="1"/>
  <c r="C146" i="4" s="1"/>
  <c r="C147" i="4" a="1"/>
  <c r="C147" i="4" s="1"/>
  <c r="C148" i="4" a="1"/>
  <c r="C148" i="4" s="1"/>
  <c r="C149" i="4" a="1"/>
  <c r="C149" i="4" s="1"/>
  <c r="C150" i="4" a="1"/>
  <c r="C150" i="4" s="1"/>
  <c r="C151" i="4" a="1"/>
  <c r="C151" i="4" s="1"/>
  <c r="C152" i="4" a="1"/>
  <c r="C152" i="4" s="1"/>
  <c r="C153" i="4" a="1"/>
  <c r="C153" i="4" s="1"/>
  <c r="C154" i="4" a="1"/>
  <c r="C154" i="4" s="1"/>
  <c r="C155" i="4" a="1"/>
  <c r="C155" i="4" s="1"/>
  <c r="C156" i="4" a="1"/>
  <c r="C156" i="4" s="1"/>
  <c r="C157" i="4" a="1"/>
  <c r="C157" i="4" s="1"/>
  <c r="C158" i="4" a="1"/>
  <c r="C158" i="4" s="1"/>
  <c r="C159" i="4" a="1"/>
  <c r="C159" i="4" s="1"/>
  <c r="C160" i="4" a="1"/>
  <c r="C160" i="4" s="1"/>
  <c r="C161" i="4" a="1"/>
  <c r="C161" i="4" s="1"/>
  <c r="C162" i="4" a="1"/>
  <c r="C162" i="4" s="1"/>
  <c r="C163" i="4" a="1"/>
  <c r="C163" i="4" s="1"/>
  <c r="C164" i="4" a="1"/>
  <c r="C164" i="4" s="1"/>
  <c r="C165" i="4" a="1"/>
  <c r="C165" i="4" s="1"/>
  <c r="C166" i="4" a="1"/>
  <c r="C166" i="4" s="1"/>
  <c r="C167" i="4" a="1"/>
  <c r="C167" i="4" s="1"/>
  <c r="C168" i="4" a="1"/>
  <c r="C168" i="4" s="1"/>
  <c r="C169" i="4" a="1"/>
  <c r="C169" i="4" s="1"/>
  <c r="C170" i="4" a="1"/>
  <c r="C170" i="4" s="1"/>
  <c r="C171" i="4" a="1"/>
  <c r="C171" i="4" s="1"/>
  <c r="C172" i="4" a="1"/>
  <c r="C172" i="4" s="1"/>
  <c r="C173" i="4" a="1"/>
  <c r="C173" i="4" s="1"/>
  <c r="C174" i="4" a="1"/>
  <c r="C174" i="4" s="1"/>
  <c r="C175" i="4" a="1"/>
  <c r="C175" i="4" s="1"/>
  <c r="C176" i="4" a="1"/>
  <c r="C176" i="4" s="1"/>
  <c r="C177" i="4" a="1"/>
  <c r="C177" i="4" s="1"/>
  <c r="C178" i="4" a="1"/>
  <c r="C178" i="4" s="1"/>
  <c r="C179" i="4" a="1"/>
  <c r="C179" i="4" s="1"/>
  <c r="C180" i="4" a="1"/>
  <c r="C180" i="4" s="1"/>
  <c r="C181" i="4" a="1"/>
  <c r="C181" i="4" s="1"/>
  <c r="C182" i="4" a="1"/>
  <c r="C182" i="4" s="1"/>
  <c r="C183" i="4" a="1"/>
  <c r="C183" i="4" s="1"/>
  <c r="C184" i="4" a="1"/>
  <c r="C184" i="4" s="1"/>
  <c r="C185" i="4" a="1"/>
  <c r="C185" i="4" s="1"/>
  <c r="C186" i="4" a="1"/>
  <c r="C186" i="4" s="1"/>
  <c r="C187" i="4" a="1"/>
  <c r="C187" i="4" s="1"/>
  <c r="C188" i="4" a="1"/>
  <c r="C188" i="4" s="1"/>
  <c r="C189" i="4" a="1"/>
  <c r="C189" i="4" s="1"/>
  <c r="C190" i="4" a="1"/>
  <c r="C190" i="4" s="1"/>
  <c r="C191" i="4" a="1"/>
  <c r="C191" i="4" s="1"/>
  <c r="C192" i="4" a="1"/>
  <c r="C192" i="4" s="1"/>
  <c r="C193" i="4" a="1"/>
  <c r="C193" i="4" s="1"/>
  <c r="C194" i="4" a="1"/>
  <c r="C194" i="4" s="1"/>
  <c r="C195" i="4" a="1"/>
  <c r="C195" i="4" s="1"/>
  <c r="C196" i="4" a="1"/>
  <c r="C196" i="4" s="1"/>
  <c r="C197" i="4" a="1"/>
  <c r="C197" i="4" s="1"/>
  <c r="C198" i="4" a="1"/>
  <c r="C198" i="4" s="1"/>
  <c r="C199" i="4" a="1"/>
  <c r="C199" i="4" s="1"/>
  <c r="C200" i="4" a="1"/>
  <c r="C200" i="4" s="1"/>
  <c r="C201" i="4" a="1"/>
  <c r="C201" i="4" s="1"/>
  <c r="C202" i="4" a="1"/>
  <c r="C202" i="4" s="1"/>
  <c r="C203" i="4" a="1"/>
  <c r="C203" i="4" s="1"/>
  <c r="C204" i="4" a="1"/>
  <c r="C204" i="4" s="1"/>
  <c r="C205" i="4" a="1"/>
  <c r="C205" i="4" s="1"/>
  <c r="C206" i="4" a="1"/>
  <c r="C206" i="4" s="1"/>
  <c r="C207" i="4" a="1"/>
  <c r="C207" i="4" s="1"/>
  <c r="C208" i="4" a="1"/>
  <c r="C208" i="4" s="1"/>
  <c r="C209" i="4" a="1"/>
  <c r="C209" i="4" s="1"/>
  <c r="C210" i="4" a="1"/>
  <c r="C210" i="4" s="1"/>
  <c r="C211" i="4" a="1"/>
  <c r="C211" i="4" s="1"/>
  <c r="C212" i="4" a="1"/>
  <c r="C212" i="4" s="1"/>
  <c r="C213" i="4" a="1"/>
  <c r="C213" i="4" s="1"/>
  <c r="C214" i="4" a="1"/>
  <c r="C214" i="4" s="1"/>
  <c r="C215" i="4" a="1"/>
  <c r="C215" i="4" s="1"/>
  <c r="C216" i="4" a="1"/>
  <c r="C216" i="4" s="1"/>
  <c r="C217" i="4" a="1"/>
  <c r="C217" i="4" s="1"/>
  <c r="C218" i="4" a="1"/>
  <c r="C218" i="4" s="1"/>
  <c r="C219" i="4" a="1"/>
  <c r="C219" i="4" s="1"/>
  <c r="C220" i="4" a="1"/>
  <c r="C220" i="4" s="1"/>
  <c r="C221" i="4" a="1"/>
  <c r="C221" i="4" s="1"/>
  <c r="C222" i="4" a="1"/>
  <c r="C222" i="4" s="1"/>
  <c r="C223" i="4" a="1"/>
  <c r="C223" i="4" s="1"/>
  <c r="C224" i="4" a="1"/>
  <c r="C224" i="4" s="1"/>
  <c r="C225" i="4" a="1"/>
  <c r="C225" i="4" s="1"/>
  <c r="C226" i="4" a="1"/>
  <c r="C226" i="4" s="1"/>
  <c r="C227" i="4" a="1"/>
  <c r="C227" i="4" s="1"/>
  <c r="C228" i="4" a="1"/>
  <c r="C228" i="4" s="1"/>
  <c r="C229" i="4" a="1"/>
  <c r="C229" i="4" s="1"/>
  <c r="C230" i="4" a="1"/>
  <c r="C230" i="4" s="1"/>
  <c r="C231" i="4" a="1"/>
  <c r="C231" i="4" s="1"/>
  <c r="C232" i="4" a="1"/>
  <c r="C232" i="4" s="1"/>
  <c r="C233" i="4" a="1"/>
  <c r="C233" i="4" s="1"/>
  <c r="C234" i="4" a="1"/>
  <c r="C234" i="4" s="1"/>
  <c r="C235" i="4" a="1"/>
  <c r="C235" i="4" s="1"/>
  <c r="C236" i="4" a="1"/>
  <c r="C236" i="4" s="1"/>
  <c r="C237" i="4" a="1"/>
  <c r="C237" i="4" s="1"/>
  <c r="C238" i="4" a="1"/>
  <c r="C238" i="4" s="1"/>
  <c r="C239" i="4" a="1"/>
  <c r="C239" i="4" s="1"/>
  <c r="C240" i="4" a="1"/>
  <c r="C240" i="4" s="1"/>
  <c r="C241" i="4" a="1"/>
  <c r="C241" i="4" s="1"/>
  <c r="C242" i="4" a="1"/>
  <c r="C242" i="4" s="1"/>
  <c r="C243" i="4" a="1"/>
  <c r="C243" i="4" s="1"/>
  <c r="C244" i="4" a="1"/>
  <c r="C244" i="4" s="1"/>
  <c r="C245" i="4" a="1"/>
  <c r="C245" i="4" s="1"/>
  <c r="C246" i="4" a="1"/>
  <c r="C246" i="4" s="1"/>
  <c r="C247" i="4" a="1"/>
  <c r="C247" i="4" s="1"/>
  <c r="C248" i="4" a="1"/>
  <c r="C248" i="4" s="1"/>
  <c r="C249" i="4" a="1"/>
  <c r="C249" i="4" s="1"/>
  <c r="C250" i="4" a="1"/>
  <c r="C250" i="4" s="1"/>
  <c r="C251" i="4" a="1"/>
  <c r="C251" i="4" s="1"/>
  <c r="C252" i="4" a="1"/>
  <c r="C252" i="4" s="1"/>
  <c r="C253" i="4" a="1"/>
  <c r="C253" i="4" s="1"/>
  <c r="C254" i="4" a="1"/>
  <c r="C254" i="4" s="1"/>
  <c r="C255" i="4" a="1"/>
  <c r="C255" i="4" s="1"/>
  <c r="C256" i="4" a="1"/>
  <c r="C256" i="4" s="1"/>
  <c r="C257" i="4" a="1"/>
  <c r="C257" i="4" s="1"/>
  <c r="C258" i="4" a="1"/>
  <c r="C258" i="4" s="1"/>
  <c r="C259" i="4" a="1"/>
  <c r="C259" i="4" s="1"/>
  <c r="C260" i="4" a="1"/>
  <c r="C260" i="4" s="1"/>
  <c r="C261" i="4" a="1"/>
  <c r="C261" i="4" s="1"/>
  <c r="C262" i="4" a="1"/>
  <c r="C262" i="4" s="1"/>
  <c r="C263" i="4" a="1"/>
  <c r="C263" i="4" s="1"/>
  <c r="C264" i="4" a="1"/>
  <c r="C264" i="4" s="1"/>
  <c r="C265" i="4" a="1"/>
  <c r="C265" i="4" s="1"/>
  <c r="C266" i="4" a="1"/>
  <c r="C266" i="4" s="1"/>
  <c r="C267" i="4" a="1"/>
  <c r="C267" i="4" s="1"/>
  <c r="C268" i="4" a="1"/>
  <c r="C268" i="4" s="1"/>
  <c r="C269" i="4" a="1"/>
  <c r="C269" i="4" s="1"/>
  <c r="C270" i="4" a="1"/>
  <c r="C270" i="4" s="1"/>
  <c r="C271" i="4" a="1"/>
  <c r="C271" i="4" s="1"/>
  <c r="C272" i="4" a="1"/>
  <c r="C272" i="4" s="1"/>
  <c r="C273" i="4" a="1"/>
  <c r="C273" i="4" s="1"/>
  <c r="C274" i="4" a="1"/>
  <c r="C274" i="4" s="1"/>
  <c r="C275" i="4" a="1"/>
  <c r="C275" i="4" s="1"/>
  <c r="C276" i="4" a="1"/>
  <c r="C276" i="4" s="1"/>
  <c r="C277" i="4" a="1"/>
  <c r="C277" i="4" s="1"/>
  <c r="C278" i="4" a="1"/>
  <c r="C278" i="4" s="1"/>
  <c r="C279" i="4" a="1"/>
  <c r="C279" i="4" s="1"/>
  <c r="C280" i="4" a="1"/>
  <c r="C280" i="4" s="1"/>
  <c r="C281" i="4" a="1"/>
  <c r="C281" i="4" s="1"/>
  <c r="C282" i="4" a="1"/>
  <c r="C282" i="4" s="1"/>
  <c r="C283" i="4" a="1"/>
  <c r="C283" i="4" s="1"/>
  <c r="C284" i="4" a="1"/>
  <c r="C284" i="4" s="1"/>
  <c r="C285" i="4" a="1"/>
  <c r="C285" i="4" s="1"/>
  <c r="C286" i="4" a="1"/>
  <c r="C286" i="4" s="1"/>
  <c r="C287" i="4" a="1"/>
  <c r="C287" i="4" s="1"/>
  <c r="C288" i="4" a="1"/>
  <c r="C288" i="4" s="1"/>
  <c r="C289" i="4" a="1"/>
  <c r="C289" i="4" s="1"/>
  <c r="C290" i="4" a="1"/>
  <c r="C290" i="4" s="1"/>
  <c r="C291" i="4" a="1"/>
  <c r="C291" i="4" s="1"/>
  <c r="C292" i="4" a="1"/>
  <c r="C292" i="4" s="1"/>
  <c r="C293" i="4" a="1"/>
  <c r="C293" i="4" s="1"/>
  <c r="C294" i="4" a="1"/>
  <c r="C294" i="4" s="1"/>
  <c r="C295" i="4" a="1"/>
  <c r="C295" i="4" s="1"/>
  <c r="C296" i="4" a="1"/>
  <c r="C296" i="4" s="1"/>
  <c r="C297" i="4" a="1"/>
  <c r="C297" i="4" s="1"/>
  <c r="C298" i="4" a="1"/>
  <c r="C298" i="4" s="1"/>
  <c r="C299" i="4" a="1"/>
  <c r="C299" i="4" s="1"/>
  <c r="C300" i="4" a="1"/>
  <c r="C300" i="4" s="1"/>
  <c r="C301" i="4" a="1"/>
  <c r="C301" i="4" s="1"/>
  <c r="C302" i="4" a="1"/>
  <c r="C302" i="4" s="1"/>
  <c r="C303" i="4" a="1"/>
  <c r="C303" i="4" s="1"/>
  <c r="C304" i="4" a="1"/>
  <c r="C304" i="4" s="1"/>
  <c r="C305" i="4" a="1"/>
  <c r="C305" i="4" s="1"/>
  <c r="C306" i="4" a="1"/>
  <c r="C306" i="4" s="1"/>
  <c r="C307" i="4" a="1"/>
  <c r="C307" i="4" s="1"/>
  <c r="C308" i="4" a="1"/>
  <c r="C308" i="4" s="1"/>
  <c r="C309" i="4" a="1"/>
  <c r="C309" i="4" s="1"/>
  <c r="C310" i="4" a="1"/>
  <c r="C310" i="4" s="1"/>
  <c r="C311" i="4" a="1"/>
  <c r="C311" i="4" s="1"/>
  <c r="C312" i="4" a="1"/>
  <c r="C312" i="4" s="1"/>
  <c r="C313" i="4" a="1"/>
  <c r="C313" i="4" s="1"/>
  <c r="C314" i="4" a="1"/>
  <c r="C314" i="4" s="1"/>
  <c r="C315" i="4" a="1"/>
  <c r="C315" i="4" s="1"/>
  <c r="C316" i="4" a="1"/>
  <c r="C316" i="4" s="1"/>
  <c r="C317" i="4" a="1"/>
  <c r="C317" i="4" s="1"/>
  <c r="C318" i="4" a="1"/>
  <c r="C318" i="4" s="1"/>
  <c r="C319" i="4" a="1"/>
  <c r="C319" i="4" s="1"/>
  <c r="C320" i="4" a="1"/>
  <c r="C320" i="4" s="1"/>
  <c r="C321" i="4" a="1"/>
  <c r="C321" i="4" s="1"/>
  <c r="C322" i="4" a="1"/>
  <c r="C322" i="4" s="1"/>
  <c r="C323" i="4" a="1"/>
  <c r="C323" i="4" s="1"/>
  <c r="C324" i="4" a="1"/>
  <c r="C324" i="4" s="1"/>
  <c r="C325" i="4" a="1"/>
  <c r="C325" i="4" s="1"/>
  <c r="C326" i="4" a="1"/>
  <c r="C326" i="4" s="1"/>
  <c r="C327" i="4" a="1"/>
  <c r="C327" i="4" s="1"/>
  <c r="C328" i="4" a="1"/>
  <c r="C328" i="4" s="1"/>
  <c r="C329" i="4" a="1"/>
  <c r="C329" i="4" s="1"/>
  <c r="C330" i="4" a="1"/>
  <c r="C330" i="4" s="1"/>
  <c r="C331" i="4" a="1"/>
  <c r="C331" i="4" s="1"/>
  <c r="C332" i="4" a="1"/>
  <c r="C332" i="4" s="1"/>
  <c r="C333" i="4" a="1"/>
  <c r="C333" i="4" s="1"/>
  <c r="C334" i="4" a="1"/>
  <c r="C334" i="4" s="1"/>
  <c r="C335" i="4" a="1"/>
  <c r="C335" i="4" s="1"/>
  <c r="C336" i="4" a="1"/>
  <c r="C336" i="4" s="1"/>
  <c r="C337" i="4" a="1"/>
  <c r="C337" i="4" s="1"/>
  <c r="C338" i="4" a="1"/>
  <c r="C338" i="4" s="1"/>
  <c r="C339" i="4" a="1"/>
  <c r="C339" i="4" s="1"/>
  <c r="C340" i="4" a="1"/>
  <c r="C340" i="4" s="1"/>
  <c r="C341" i="4" a="1"/>
  <c r="C341" i="4" s="1"/>
  <c r="C342" i="4" a="1"/>
  <c r="C342" i="4" s="1"/>
  <c r="C343" i="4" a="1"/>
  <c r="C343" i="4" s="1"/>
  <c r="C344" i="4" a="1"/>
  <c r="C344" i="4" s="1"/>
  <c r="C345" i="4" a="1"/>
  <c r="C345" i="4" s="1"/>
  <c r="C346" i="4" a="1"/>
  <c r="C346" i="4" s="1"/>
  <c r="C347" i="4" a="1"/>
  <c r="C347" i="4" s="1"/>
  <c r="C348" i="4" a="1"/>
  <c r="C348" i="4" s="1"/>
  <c r="C349" i="4" a="1"/>
  <c r="C349" i="4" s="1"/>
  <c r="C350" i="4" a="1"/>
  <c r="C350" i="4" s="1"/>
  <c r="C351" i="4" a="1"/>
  <c r="C351" i="4" s="1"/>
  <c r="C352" i="4" a="1"/>
  <c r="C352" i="4" s="1"/>
  <c r="C353" i="4" a="1"/>
  <c r="C353" i="4" s="1"/>
  <c r="C354" i="4" a="1"/>
  <c r="C354" i="4" s="1"/>
  <c r="C355" i="4" a="1"/>
  <c r="C355" i="4" s="1"/>
  <c r="C356" i="4" a="1"/>
  <c r="C356" i="4" s="1"/>
  <c r="C357" i="4" a="1"/>
  <c r="C357" i="4" s="1"/>
  <c r="C358" i="4" a="1"/>
  <c r="C358" i="4" s="1"/>
  <c r="C359" i="4" a="1"/>
  <c r="C359" i="4" s="1"/>
  <c r="C360" i="4" a="1"/>
  <c r="C360" i="4" s="1"/>
  <c r="C361" i="4" a="1"/>
  <c r="C361" i="4" s="1"/>
  <c r="C362" i="4" a="1"/>
  <c r="C362" i="4" s="1"/>
  <c r="C363" i="4" a="1"/>
  <c r="C363" i="4" s="1"/>
  <c r="C364" i="4" a="1"/>
  <c r="C364" i="4" s="1"/>
  <c r="C365" i="4" a="1"/>
  <c r="C365" i="4" s="1"/>
  <c r="C366" i="4" a="1"/>
  <c r="C366" i="4" s="1"/>
  <c r="C367" i="4" a="1"/>
  <c r="C367" i="4" s="1"/>
  <c r="C368" i="4" a="1"/>
  <c r="C368" i="4" s="1"/>
  <c r="C369" i="4" a="1"/>
  <c r="C369" i="4" s="1"/>
  <c r="C370" i="4" a="1"/>
  <c r="C370" i="4" s="1"/>
  <c r="C371" i="4" a="1"/>
  <c r="C371" i="4" s="1"/>
  <c r="C372" i="4" a="1"/>
  <c r="C372" i="4" s="1"/>
  <c r="C373" i="4" a="1"/>
  <c r="C373" i="4" s="1"/>
  <c r="C374" i="4" a="1"/>
  <c r="C374" i="4" s="1"/>
  <c r="C375" i="4" a="1"/>
  <c r="C375" i="4" s="1"/>
  <c r="C376" i="4" a="1"/>
  <c r="C376" i="4" s="1"/>
  <c r="C377" i="4" a="1"/>
  <c r="C377" i="4" s="1"/>
  <c r="C378" i="4" a="1"/>
  <c r="C378" i="4" s="1"/>
  <c r="C379" i="4" a="1"/>
  <c r="C379" i="4" s="1"/>
  <c r="C380" i="4" a="1"/>
  <c r="C380" i="4" s="1"/>
  <c r="C381" i="4" a="1"/>
  <c r="C381" i="4" s="1"/>
  <c r="C382" i="4" a="1"/>
  <c r="C382" i="4" s="1"/>
  <c r="C383" i="4" a="1"/>
  <c r="C383" i="4" s="1"/>
  <c r="C384" i="4" a="1"/>
  <c r="C384" i="4" s="1"/>
  <c r="C385" i="4" a="1"/>
  <c r="C385" i="4" s="1"/>
  <c r="C386" i="4" a="1"/>
  <c r="C386" i="4" s="1"/>
  <c r="C387" i="4" a="1"/>
  <c r="C387" i="4" s="1"/>
  <c r="C388" i="4" a="1"/>
  <c r="C388" i="4" s="1"/>
  <c r="C389" i="4" a="1"/>
  <c r="C389" i="4" s="1"/>
  <c r="C390" i="4" a="1"/>
  <c r="C390" i="4" s="1"/>
  <c r="C391" i="4" a="1"/>
  <c r="C391" i="4" s="1"/>
  <c r="C392" i="4" a="1"/>
  <c r="C392" i="4" s="1"/>
  <c r="C393" i="4" a="1"/>
  <c r="C393" i="4" s="1"/>
  <c r="C394" i="4" a="1"/>
  <c r="C394" i="4" s="1"/>
  <c r="C395" i="4" a="1"/>
  <c r="C395" i="4" s="1"/>
  <c r="C396" i="4" a="1"/>
  <c r="C396" i="4" s="1"/>
  <c r="C397" i="4" a="1"/>
  <c r="C397" i="4" s="1"/>
  <c r="C398" i="4" a="1"/>
  <c r="C398" i="4" s="1"/>
  <c r="C399" i="4" a="1"/>
  <c r="C399" i="4" s="1"/>
  <c r="C400" i="4" a="1"/>
  <c r="C400" i="4" s="1"/>
  <c r="C401" i="4" a="1"/>
  <c r="C401" i="4" s="1"/>
  <c r="C402" i="4" a="1"/>
  <c r="C402" i="4" s="1"/>
  <c r="C403" i="4" a="1"/>
  <c r="C403" i="4" s="1"/>
  <c r="C404" i="4" a="1"/>
  <c r="C404" i="4" s="1"/>
  <c r="C405" i="4" a="1"/>
  <c r="C405" i="4" s="1"/>
  <c r="C406" i="4" a="1"/>
  <c r="C406" i="4" s="1"/>
  <c r="C407" i="4" a="1"/>
  <c r="C407" i="4" s="1"/>
  <c r="C408" i="4" a="1"/>
  <c r="C408" i="4" s="1"/>
  <c r="C409" i="4" a="1"/>
  <c r="C409" i="4" s="1"/>
  <c r="C410" i="4" a="1"/>
  <c r="C410" i="4" s="1"/>
  <c r="C411" i="4" a="1"/>
  <c r="C411" i="4" s="1"/>
  <c r="C412" i="4" a="1"/>
  <c r="C412" i="4" s="1"/>
  <c r="C413" i="4" a="1"/>
  <c r="C413" i="4" s="1"/>
  <c r="C414" i="4" a="1"/>
  <c r="C414" i="4" s="1"/>
  <c r="C415" i="4" a="1"/>
  <c r="C415" i="4" s="1"/>
  <c r="C416" i="4" a="1"/>
  <c r="C416" i="4" s="1"/>
  <c r="C417" i="4" a="1"/>
  <c r="C417" i="4" s="1"/>
  <c r="C418" i="4" a="1"/>
  <c r="C418" i="4" s="1"/>
  <c r="C419" i="4" a="1"/>
  <c r="C419" i="4" s="1"/>
  <c r="C420" i="4" a="1"/>
  <c r="C420" i="4" s="1"/>
  <c r="C421" i="4" a="1"/>
  <c r="C421" i="4" s="1"/>
  <c r="C422" i="4" a="1"/>
  <c r="C422" i="4" s="1"/>
  <c r="C423" i="4" a="1"/>
  <c r="C423" i="4" s="1"/>
  <c r="C424" i="4" a="1"/>
  <c r="C424" i="4" s="1"/>
  <c r="C425" i="4" a="1"/>
  <c r="C425" i="4" s="1"/>
  <c r="C426" i="4" a="1"/>
  <c r="C426" i="4" s="1"/>
  <c r="C427" i="4" a="1"/>
  <c r="C427" i="4" s="1"/>
  <c r="B2" i="4" a="1"/>
  <c r="B2" i="4" s="1"/>
  <c r="B3" i="4" a="1"/>
  <c r="B3" i="4" s="1"/>
  <c r="B4" i="4" a="1"/>
  <c r="B4" i="4" s="1"/>
  <c r="B5" i="4" a="1"/>
  <c r="B5" i="4" s="1"/>
  <c r="B6" i="4" a="1"/>
  <c r="B6" i="4" s="1"/>
  <c r="B7" i="4" a="1"/>
  <c r="B7" i="4" s="1"/>
  <c r="B8" i="4" a="1"/>
  <c r="B8" i="4" s="1"/>
  <c r="B9" i="4" a="1"/>
  <c r="B9" i="4" s="1"/>
  <c r="B10" i="4" a="1"/>
  <c r="B10" i="4" s="1"/>
  <c r="B11" i="4" a="1"/>
  <c r="B11" i="4" s="1"/>
  <c r="B12" i="4" a="1"/>
  <c r="B12" i="4" s="1"/>
  <c r="B13" i="4" a="1"/>
  <c r="B13" i="4" s="1"/>
  <c r="B14" i="4" a="1"/>
  <c r="B14" i="4" s="1"/>
  <c r="B15" i="4" a="1"/>
  <c r="B15" i="4" s="1"/>
  <c r="B16" i="4" a="1"/>
  <c r="B16" i="4" s="1"/>
  <c r="B17" i="4" a="1"/>
  <c r="B17" i="4" s="1"/>
  <c r="B18" i="4" a="1"/>
  <c r="B18" i="4" s="1"/>
  <c r="B19" i="4" a="1"/>
  <c r="B19" i="4" s="1"/>
  <c r="B20" i="4" a="1"/>
  <c r="B20" i="4" s="1"/>
  <c r="B21" i="4" a="1"/>
  <c r="B21" i="4" s="1"/>
  <c r="B22" i="4" a="1"/>
  <c r="B22" i="4" s="1"/>
  <c r="B23" i="4" a="1"/>
  <c r="B23" i="4" s="1"/>
  <c r="B24" i="4" a="1"/>
  <c r="B24" i="4" s="1"/>
  <c r="B25" i="4" a="1"/>
  <c r="B25" i="4" s="1"/>
  <c r="B26" i="4" a="1"/>
  <c r="B26" i="4" s="1"/>
  <c r="B27" i="4" a="1"/>
  <c r="B27" i="4" s="1"/>
  <c r="B28" i="4" a="1"/>
  <c r="B28" i="4" s="1"/>
  <c r="B29" i="4" a="1"/>
  <c r="B29" i="4" s="1"/>
  <c r="B30" i="4" a="1"/>
  <c r="B30" i="4" s="1"/>
  <c r="B31" i="4" a="1"/>
  <c r="B31" i="4" s="1"/>
  <c r="B32" i="4" a="1"/>
  <c r="B32" i="4" s="1"/>
  <c r="B33" i="4" a="1"/>
  <c r="B33" i="4" s="1"/>
  <c r="B34" i="4" a="1"/>
  <c r="B34" i="4" s="1"/>
  <c r="B35" i="4" a="1"/>
  <c r="B35" i="4" s="1"/>
  <c r="B36" i="4" a="1"/>
  <c r="B36" i="4" s="1"/>
  <c r="B37" i="4" a="1"/>
  <c r="B37" i="4" s="1"/>
  <c r="B38" i="4" a="1"/>
  <c r="B38" i="4" s="1"/>
  <c r="B39" i="4" a="1"/>
  <c r="B39" i="4" s="1"/>
  <c r="B40" i="4" a="1"/>
  <c r="B40" i="4" s="1"/>
  <c r="B41" i="4" a="1"/>
  <c r="B41" i="4" s="1"/>
  <c r="B42" i="4" a="1"/>
  <c r="B42" i="4" s="1"/>
  <c r="B43" i="4" a="1"/>
  <c r="B43" i="4" s="1"/>
  <c r="B44" i="4" a="1"/>
  <c r="B44" i="4" s="1"/>
  <c r="B45" i="4" a="1"/>
  <c r="B45" i="4" s="1"/>
  <c r="B46" i="4" a="1"/>
  <c r="B46" i="4" s="1"/>
  <c r="B47" i="4" a="1"/>
  <c r="B47" i="4" s="1"/>
  <c r="B48" i="4" a="1"/>
  <c r="B48" i="4" s="1"/>
  <c r="B49" i="4" a="1"/>
  <c r="B49" i="4" s="1"/>
  <c r="B50" i="4" a="1"/>
  <c r="B50" i="4" s="1"/>
  <c r="B51" i="4" a="1"/>
  <c r="B51" i="4" s="1"/>
  <c r="B52" i="4" a="1"/>
  <c r="B52" i="4" s="1"/>
  <c r="B53" i="4" a="1"/>
  <c r="B53" i="4" s="1"/>
  <c r="B54" i="4" a="1"/>
  <c r="B54" i="4" s="1"/>
  <c r="B55" i="4" a="1"/>
  <c r="B55" i="4" s="1"/>
  <c r="B56" i="4" a="1"/>
  <c r="B56" i="4" s="1"/>
  <c r="B57" i="4" a="1"/>
  <c r="B57" i="4" s="1"/>
  <c r="B58" i="4" a="1"/>
  <c r="B58" i="4" s="1"/>
  <c r="B59" i="4" a="1"/>
  <c r="B59" i="4" s="1"/>
  <c r="B60" i="4" a="1"/>
  <c r="B60" i="4" s="1"/>
  <c r="B61" i="4" a="1"/>
  <c r="B61" i="4" s="1"/>
  <c r="B62" i="4" a="1"/>
  <c r="B62" i="4" s="1"/>
  <c r="B63" i="4" a="1"/>
  <c r="B63" i="4" s="1"/>
  <c r="B64" i="4" a="1"/>
  <c r="B64" i="4" s="1"/>
  <c r="B65" i="4" a="1"/>
  <c r="B65" i="4" s="1"/>
  <c r="B66" i="4" a="1"/>
  <c r="B66" i="4" s="1"/>
  <c r="B67" i="4" a="1"/>
  <c r="B67" i="4" s="1"/>
  <c r="B68" i="4" a="1"/>
  <c r="B68" i="4" s="1"/>
  <c r="B69" i="4" a="1"/>
  <c r="B69" i="4" s="1"/>
  <c r="B70" i="4" a="1"/>
  <c r="B70" i="4" s="1"/>
  <c r="B71" i="4" a="1"/>
  <c r="B71" i="4" s="1"/>
  <c r="B72" i="4" a="1"/>
  <c r="B72" i="4" s="1"/>
  <c r="B73" i="4" a="1"/>
  <c r="B73" i="4" s="1"/>
  <c r="B74" i="4" a="1"/>
  <c r="B74" i="4" s="1"/>
  <c r="B75" i="4" a="1"/>
  <c r="B75" i="4" s="1"/>
  <c r="B76" i="4" a="1"/>
  <c r="B76" i="4" s="1"/>
  <c r="B77" i="4" a="1"/>
  <c r="B77" i="4" s="1"/>
  <c r="B78" i="4" a="1"/>
  <c r="B78" i="4" s="1"/>
  <c r="B79" i="4" a="1"/>
  <c r="B79" i="4" s="1"/>
  <c r="B80" i="4" a="1"/>
  <c r="B80" i="4" s="1"/>
  <c r="B81" i="4" a="1"/>
  <c r="B81" i="4" s="1"/>
  <c r="B82" i="4" a="1"/>
  <c r="B82" i="4" s="1"/>
  <c r="B83" i="4" a="1"/>
  <c r="B83" i="4" s="1"/>
  <c r="B84" i="4" a="1"/>
  <c r="B84" i="4" s="1"/>
  <c r="B85" i="4" a="1"/>
  <c r="B85" i="4" s="1"/>
  <c r="B86" i="4" a="1"/>
  <c r="B86" i="4" s="1"/>
  <c r="B87" i="4" a="1"/>
  <c r="B87" i="4" s="1"/>
  <c r="B88" i="4" a="1"/>
  <c r="B88" i="4" s="1"/>
  <c r="B89" i="4" a="1"/>
  <c r="B89" i="4" s="1"/>
  <c r="B90" i="4" a="1"/>
  <c r="B90" i="4" s="1"/>
  <c r="B91" i="4" a="1"/>
  <c r="B91" i="4" s="1"/>
  <c r="B92" i="4" a="1"/>
  <c r="B92" i="4" s="1"/>
  <c r="B93" i="4" a="1"/>
  <c r="B93" i="4" s="1"/>
  <c r="B94" i="4" a="1"/>
  <c r="B94" i="4" s="1"/>
  <c r="B95" i="4" a="1"/>
  <c r="B95" i="4" s="1"/>
  <c r="B96" i="4" a="1"/>
  <c r="B96" i="4" s="1"/>
  <c r="B97" i="4" a="1"/>
  <c r="B97" i="4" s="1"/>
  <c r="B98" i="4" a="1"/>
  <c r="B98" i="4" s="1"/>
  <c r="B99" i="4" a="1"/>
  <c r="B99" i="4" s="1"/>
  <c r="B100" i="4" a="1"/>
  <c r="B100" i="4" s="1"/>
  <c r="B101" i="4" a="1"/>
  <c r="B101" i="4" s="1"/>
  <c r="B102" i="4" a="1"/>
  <c r="B102" i="4" s="1"/>
  <c r="B103" i="4" a="1"/>
  <c r="B103" i="4" s="1"/>
  <c r="B104" i="4" a="1"/>
  <c r="B104" i="4" s="1"/>
  <c r="B105" i="4" a="1"/>
  <c r="B105" i="4" s="1"/>
  <c r="B106" i="4" a="1"/>
  <c r="B106" i="4" s="1"/>
  <c r="B107" i="4" a="1"/>
  <c r="B107" i="4" s="1"/>
  <c r="B108" i="4" a="1"/>
  <c r="B108" i="4" s="1"/>
  <c r="B109" i="4" a="1"/>
  <c r="B109" i="4" s="1"/>
  <c r="B110" i="4" a="1"/>
  <c r="B110" i="4" s="1"/>
  <c r="B111" i="4" a="1"/>
  <c r="B111" i="4" s="1"/>
  <c r="B112" i="4" a="1"/>
  <c r="B112" i="4" s="1"/>
  <c r="B113" i="4" a="1"/>
  <c r="B113" i="4" s="1"/>
  <c r="B114" i="4" a="1"/>
  <c r="B114" i="4" s="1"/>
  <c r="B115" i="4" a="1"/>
  <c r="B115" i="4" s="1"/>
  <c r="B116" i="4" a="1"/>
  <c r="B116" i="4" s="1"/>
  <c r="B117" i="4" a="1"/>
  <c r="B117" i="4" s="1"/>
  <c r="B118" i="4" a="1"/>
  <c r="B118" i="4" s="1"/>
  <c r="B119" i="4" a="1"/>
  <c r="B119" i="4" s="1"/>
  <c r="B120" i="4" a="1"/>
  <c r="B120" i="4" s="1"/>
  <c r="B121" i="4" a="1"/>
  <c r="B121" i="4" s="1"/>
  <c r="B122" i="4" a="1"/>
  <c r="B122" i="4" s="1"/>
  <c r="B123" i="4" a="1"/>
  <c r="B123" i="4" s="1"/>
  <c r="B124" i="4" a="1"/>
  <c r="B124" i="4" s="1"/>
  <c r="B125" i="4" a="1"/>
  <c r="B125" i="4" s="1"/>
  <c r="B126" i="4" a="1"/>
  <c r="B126" i="4" s="1"/>
  <c r="B127" i="4" a="1"/>
  <c r="B127" i="4" s="1"/>
  <c r="B128" i="4" a="1"/>
  <c r="B128" i="4" s="1"/>
  <c r="B129" i="4" a="1"/>
  <c r="B129" i="4" s="1"/>
  <c r="B130" i="4" a="1"/>
  <c r="B130" i="4" s="1"/>
  <c r="B131" i="4" a="1"/>
  <c r="B131" i="4" s="1"/>
  <c r="B132" i="4" a="1"/>
  <c r="B132" i="4" s="1"/>
  <c r="B133" i="4" a="1"/>
  <c r="B133" i="4" s="1"/>
  <c r="B134" i="4" a="1"/>
  <c r="B134" i="4" s="1"/>
  <c r="B135" i="4" a="1"/>
  <c r="B135" i="4" s="1"/>
  <c r="B136" i="4" a="1"/>
  <c r="B136" i="4" s="1"/>
  <c r="B137" i="4" a="1"/>
  <c r="B137" i="4" s="1"/>
  <c r="B138" i="4" a="1"/>
  <c r="B138" i="4" s="1"/>
  <c r="B139" i="4" a="1"/>
  <c r="B139" i="4" s="1"/>
  <c r="B140" i="4" a="1"/>
  <c r="B140" i="4" s="1"/>
  <c r="B141" i="4" a="1"/>
  <c r="B141" i="4" s="1"/>
  <c r="B142" i="4" a="1"/>
  <c r="B142" i="4" s="1"/>
  <c r="B143" i="4" a="1"/>
  <c r="B143" i="4" s="1"/>
  <c r="B144" i="4" a="1"/>
  <c r="B144" i="4" s="1"/>
  <c r="B145" i="4" a="1"/>
  <c r="B145" i="4" s="1"/>
  <c r="B146" i="4" a="1"/>
  <c r="B146" i="4" s="1"/>
  <c r="B147" i="4" a="1"/>
  <c r="B147" i="4" s="1"/>
  <c r="B148" i="4" a="1"/>
  <c r="B148" i="4" s="1"/>
  <c r="B149" i="4" a="1"/>
  <c r="B149" i="4" s="1"/>
  <c r="B150" i="4" a="1"/>
  <c r="B150" i="4" s="1"/>
  <c r="B151" i="4" a="1"/>
  <c r="B151" i="4" s="1"/>
  <c r="B152" i="4" a="1"/>
  <c r="B152" i="4" s="1"/>
  <c r="B153" i="4" a="1"/>
  <c r="B153" i="4" s="1"/>
  <c r="B154" i="4" a="1"/>
  <c r="B154" i="4" s="1"/>
  <c r="B155" i="4" a="1"/>
  <c r="B155" i="4" s="1"/>
  <c r="B156" i="4" a="1"/>
  <c r="B156" i="4" s="1"/>
  <c r="B157" i="4" a="1"/>
  <c r="B157" i="4" s="1"/>
  <c r="B158" i="4" a="1"/>
  <c r="B158" i="4" s="1"/>
  <c r="B159" i="4" a="1"/>
  <c r="B159" i="4" s="1"/>
  <c r="B160" i="4" a="1"/>
  <c r="B160" i="4" s="1"/>
  <c r="B161" i="4" a="1"/>
  <c r="B161" i="4" s="1"/>
  <c r="B162" i="4" a="1"/>
  <c r="B162" i="4" s="1"/>
  <c r="B163" i="4" a="1"/>
  <c r="B163" i="4" s="1"/>
  <c r="B164" i="4" a="1"/>
  <c r="B164" i="4" s="1"/>
  <c r="B165" i="4" a="1"/>
  <c r="B165" i="4" s="1"/>
  <c r="B166" i="4" a="1"/>
  <c r="B166" i="4" s="1"/>
  <c r="B167" i="4" a="1"/>
  <c r="B167" i="4" s="1"/>
  <c r="B168" i="4" a="1"/>
  <c r="B168" i="4" s="1"/>
  <c r="B169" i="4" a="1"/>
  <c r="B169" i="4" s="1"/>
  <c r="B170" i="4" a="1"/>
  <c r="B170" i="4" s="1"/>
  <c r="B171" i="4" a="1"/>
  <c r="B171" i="4" s="1"/>
  <c r="B172" i="4" a="1"/>
  <c r="B172" i="4" s="1"/>
  <c r="B173" i="4" a="1"/>
  <c r="B173" i="4" s="1"/>
  <c r="B174" i="4" a="1"/>
  <c r="B174" i="4" s="1"/>
  <c r="B175" i="4" a="1"/>
  <c r="B175" i="4" s="1"/>
  <c r="B176" i="4" a="1"/>
  <c r="B176" i="4" s="1"/>
  <c r="B177" i="4" a="1"/>
  <c r="B177" i="4" s="1"/>
  <c r="B178" i="4" a="1"/>
  <c r="B178" i="4" s="1"/>
  <c r="B179" i="4" a="1"/>
  <c r="B179" i="4" s="1"/>
  <c r="B180" i="4" a="1"/>
  <c r="B180" i="4" s="1"/>
  <c r="B181" i="4" a="1"/>
  <c r="B181" i="4" s="1"/>
  <c r="B182" i="4" a="1"/>
  <c r="B182" i="4" s="1"/>
  <c r="B183" i="4" a="1"/>
  <c r="B183" i="4" s="1"/>
  <c r="B184" i="4" a="1"/>
  <c r="B184" i="4" s="1"/>
  <c r="B185" i="4" a="1"/>
  <c r="B185" i="4" s="1"/>
  <c r="B186" i="4" a="1"/>
  <c r="B186" i="4" s="1"/>
  <c r="B187" i="4" a="1"/>
  <c r="B187" i="4" s="1"/>
  <c r="B188" i="4" a="1"/>
  <c r="B188" i="4" s="1"/>
  <c r="B189" i="4" a="1"/>
  <c r="B189" i="4" s="1"/>
  <c r="B190" i="4" a="1"/>
  <c r="B190" i="4" s="1"/>
  <c r="B191" i="4" a="1"/>
  <c r="B191" i="4" s="1"/>
  <c r="B192" i="4" a="1"/>
  <c r="B192" i="4" s="1"/>
  <c r="B193" i="4" a="1"/>
  <c r="B193" i="4" s="1"/>
  <c r="B194" i="4" a="1"/>
  <c r="B194" i="4" s="1"/>
  <c r="B195" i="4" a="1"/>
  <c r="B195" i="4" s="1"/>
  <c r="B196" i="4" a="1"/>
  <c r="B196" i="4" s="1"/>
  <c r="B197" i="4" a="1"/>
  <c r="B197" i="4" s="1"/>
  <c r="B198" i="4" a="1"/>
  <c r="B198" i="4" s="1"/>
  <c r="B199" i="4" a="1"/>
  <c r="B199" i="4" s="1"/>
  <c r="B200" i="4" a="1"/>
  <c r="B200" i="4" s="1"/>
  <c r="B201" i="4" a="1"/>
  <c r="B201" i="4" s="1"/>
  <c r="B202" i="4" a="1"/>
  <c r="B202" i="4" s="1"/>
  <c r="B203" i="4" a="1"/>
  <c r="B203" i="4" s="1"/>
  <c r="B204" i="4" a="1"/>
  <c r="B204" i="4" s="1"/>
  <c r="B205" i="4" a="1"/>
  <c r="B205" i="4" s="1"/>
  <c r="B206" i="4" a="1"/>
  <c r="B206" i="4" s="1"/>
  <c r="B207" i="4" a="1"/>
  <c r="B207" i="4" s="1"/>
  <c r="B208" i="4" a="1"/>
  <c r="B208" i="4" s="1"/>
  <c r="B209" i="4" a="1"/>
  <c r="B209" i="4" s="1"/>
  <c r="B210" i="4" a="1"/>
  <c r="B210" i="4" s="1"/>
  <c r="B211" i="4" a="1"/>
  <c r="B211" i="4" s="1"/>
  <c r="B212" i="4" a="1"/>
  <c r="B212" i="4" s="1"/>
  <c r="B213" i="4" a="1"/>
  <c r="B213" i="4" s="1"/>
  <c r="B214" i="4" a="1"/>
  <c r="B214" i="4" s="1"/>
  <c r="B215" i="4" a="1"/>
  <c r="B215" i="4" s="1"/>
  <c r="B216" i="4" a="1"/>
  <c r="B216" i="4" s="1"/>
  <c r="B217" i="4" a="1"/>
  <c r="B217" i="4" s="1"/>
  <c r="B218" i="4" a="1"/>
  <c r="B218" i="4" s="1"/>
  <c r="B219" i="4" a="1"/>
  <c r="B219" i="4" s="1"/>
  <c r="B220" i="4" a="1"/>
  <c r="B220" i="4" s="1"/>
  <c r="B221" i="4" a="1"/>
  <c r="B221" i="4" s="1"/>
  <c r="B222" i="4" a="1"/>
  <c r="B222" i="4" s="1"/>
  <c r="B223" i="4" a="1"/>
  <c r="B223" i="4" s="1"/>
  <c r="B224" i="4" a="1"/>
  <c r="B224" i="4" s="1"/>
  <c r="B225" i="4" a="1"/>
  <c r="B225" i="4" s="1"/>
  <c r="B226" i="4" a="1"/>
  <c r="B226" i="4" s="1"/>
  <c r="B227" i="4" a="1"/>
  <c r="B227" i="4" s="1"/>
  <c r="B228" i="4" a="1"/>
  <c r="B228" i="4" s="1"/>
  <c r="B229" i="4" a="1"/>
  <c r="B229" i="4" s="1"/>
  <c r="B230" i="4" a="1"/>
  <c r="B230" i="4" s="1"/>
  <c r="B231" i="4" a="1"/>
  <c r="B231" i="4" s="1"/>
  <c r="B232" i="4" a="1"/>
  <c r="B232" i="4" s="1"/>
  <c r="B233" i="4" a="1"/>
  <c r="B233" i="4" s="1"/>
  <c r="B234" i="4" a="1"/>
  <c r="B234" i="4" s="1"/>
  <c r="B235" i="4" a="1"/>
  <c r="B235" i="4" s="1"/>
  <c r="B236" i="4" a="1"/>
  <c r="B236" i="4" s="1"/>
  <c r="B237" i="4" a="1"/>
  <c r="B237" i="4" s="1"/>
  <c r="B238" i="4" a="1"/>
  <c r="B238" i="4" s="1"/>
  <c r="B239" i="4" a="1"/>
  <c r="B239" i="4" s="1"/>
  <c r="B240" i="4" a="1"/>
  <c r="B240" i="4" s="1"/>
  <c r="B241" i="4" a="1"/>
  <c r="B241" i="4" s="1"/>
  <c r="B242" i="4" a="1"/>
  <c r="B242" i="4" s="1"/>
  <c r="B243" i="4" a="1"/>
  <c r="B243" i="4" s="1"/>
  <c r="B244" i="4" a="1"/>
  <c r="B244" i="4" s="1"/>
  <c r="B245" i="4" a="1"/>
  <c r="B245" i="4" s="1"/>
  <c r="B246" i="4" a="1"/>
  <c r="B246" i="4" s="1"/>
  <c r="B247" i="4" a="1"/>
  <c r="B247" i="4" s="1"/>
  <c r="B248" i="4" a="1"/>
  <c r="B248" i="4" s="1"/>
  <c r="B249" i="4" a="1"/>
  <c r="B249" i="4" s="1"/>
  <c r="B250" i="4" a="1"/>
  <c r="B250" i="4" s="1"/>
  <c r="B251" i="4" a="1"/>
  <c r="B251" i="4" s="1"/>
  <c r="B252" i="4" a="1"/>
  <c r="B252" i="4" s="1"/>
  <c r="B253" i="4" a="1"/>
  <c r="B253" i="4" s="1"/>
  <c r="B254" i="4" a="1"/>
  <c r="B254" i="4" s="1"/>
  <c r="B255" i="4" a="1"/>
  <c r="B255" i="4" s="1"/>
  <c r="B256" i="4" a="1"/>
  <c r="B256" i="4" s="1"/>
  <c r="B257" i="4" a="1"/>
  <c r="B257" i="4" s="1"/>
  <c r="B258" i="4" a="1"/>
  <c r="B258" i="4" s="1"/>
  <c r="B259" i="4" a="1"/>
  <c r="B259" i="4" s="1"/>
  <c r="B260" i="4" a="1"/>
  <c r="B260" i="4" s="1"/>
  <c r="B261" i="4" a="1"/>
  <c r="B261" i="4" s="1"/>
  <c r="B262" i="4" a="1"/>
  <c r="B262" i="4" s="1"/>
  <c r="B263" i="4" a="1"/>
  <c r="B263" i="4" s="1"/>
  <c r="B264" i="4" a="1"/>
  <c r="B264" i="4" s="1"/>
  <c r="B265" i="4" a="1"/>
  <c r="B265" i="4" s="1"/>
  <c r="B266" i="4" a="1"/>
  <c r="B266" i="4" s="1"/>
  <c r="B267" i="4" a="1"/>
  <c r="B267" i="4" s="1"/>
  <c r="B268" i="4" a="1"/>
  <c r="B268" i="4" s="1"/>
  <c r="B269" i="4" a="1"/>
  <c r="B269" i="4" s="1"/>
  <c r="B270" i="4" a="1"/>
  <c r="B270" i="4" s="1"/>
  <c r="B271" i="4" a="1"/>
  <c r="B271" i="4" s="1"/>
  <c r="B272" i="4" a="1"/>
  <c r="B272" i="4" s="1"/>
  <c r="B273" i="4" a="1"/>
  <c r="B273" i="4" s="1"/>
  <c r="B274" i="4" a="1"/>
  <c r="B274" i="4" s="1"/>
  <c r="B275" i="4" a="1"/>
  <c r="B275" i="4" s="1"/>
  <c r="B276" i="4" a="1"/>
  <c r="B276" i="4" s="1"/>
  <c r="B277" i="4" a="1"/>
  <c r="B277" i="4" s="1"/>
  <c r="B278" i="4" a="1"/>
  <c r="B278" i="4" s="1"/>
  <c r="B279" i="4" a="1"/>
  <c r="B279" i="4" s="1"/>
  <c r="B280" i="4" a="1"/>
  <c r="B280" i="4" s="1"/>
  <c r="B281" i="4" a="1"/>
  <c r="B281" i="4" s="1"/>
  <c r="B282" i="4" a="1"/>
  <c r="B282" i="4" s="1"/>
  <c r="B283" i="4" a="1"/>
  <c r="B283" i="4" s="1"/>
  <c r="B284" i="4" a="1"/>
  <c r="B284" i="4" s="1"/>
  <c r="B285" i="4" a="1"/>
  <c r="B285" i="4" s="1"/>
  <c r="B286" i="4" a="1"/>
  <c r="B286" i="4" s="1"/>
  <c r="B287" i="4" a="1"/>
  <c r="B287" i="4" s="1"/>
  <c r="B288" i="4" a="1"/>
  <c r="B288" i="4" s="1"/>
  <c r="B289" i="4" a="1"/>
  <c r="B289" i="4" s="1"/>
  <c r="B290" i="4" a="1"/>
  <c r="B290" i="4" s="1"/>
  <c r="B291" i="4" a="1"/>
  <c r="B291" i="4" s="1"/>
  <c r="B292" i="4" a="1"/>
  <c r="B292" i="4" s="1"/>
  <c r="B293" i="4" a="1"/>
  <c r="B293" i="4" s="1"/>
  <c r="B294" i="4" a="1"/>
  <c r="B294" i="4" s="1"/>
  <c r="B295" i="4" a="1"/>
  <c r="B295" i="4" s="1"/>
  <c r="B296" i="4" a="1"/>
  <c r="B296" i="4" s="1"/>
  <c r="B297" i="4" a="1"/>
  <c r="B297" i="4" s="1"/>
  <c r="B298" i="4" a="1"/>
  <c r="B298" i="4" s="1"/>
  <c r="B299" i="4" a="1"/>
  <c r="B299" i="4" s="1"/>
  <c r="B300" i="4" a="1"/>
  <c r="B300" i="4" s="1"/>
  <c r="B301" i="4" a="1"/>
  <c r="B301" i="4" s="1"/>
  <c r="B302" i="4" a="1"/>
  <c r="B302" i="4" s="1"/>
  <c r="B303" i="4" a="1"/>
  <c r="B303" i="4" s="1"/>
  <c r="B304" i="4" a="1"/>
  <c r="B304" i="4" s="1"/>
  <c r="B305" i="4" a="1"/>
  <c r="B305" i="4" s="1"/>
  <c r="B306" i="4" a="1"/>
  <c r="B306" i="4" s="1"/>
  <c r="B307" i="4" a="1"/>
  <c r="B307" i="4" s="1"/>
  <c r="B308" i="4" a="1"/>
  <c r="B308" i="4" s="1"/>
  <c r="B309" i="4" a="1"/>
  <c r="B309" i="4" s="1"/>
  <c r="B310" i="4" a="1"/>
  <c r="B310" i="4" s="1"/>
  <c r="B311" i="4" a="1"/>
  <c r="B311" i="4" s="1"/>
  <c r="B312" i="4" a="1"/>
  <c r="B312" i="4" s="1"/>
  <c r="B313" i="4" a="1"/>
  <c r="B313" i="4" s="1"/>
  <c r="B314" i="4" a="1"/>
  <c r="B314" i="4" s="1"/>
  <c r="B315" i="4" a="1"/>
  <c r="B315" i="4" s="1"/>
  <c r="B316" i="4" a="1"/>
  <c r="B316" i="4" s="1"/>
  <c r="B317" i="4" a="1"/>
  <c r="B317" i="4" s="1"/>
  <c r="B318" i="4" a="1"/>
  <c r="B318" i="4" s="1"/>
  <c r="B319" i="4" a="1"/>
  <c r="B319" i="4" s="1"/>
  <c r="B320" i="4" a="1"/>
  <c r="B320" i="4" s="1"/>
  <c r="B321" i="4" a="1"/>
  <c r="B321" i="4" s="1"/>
  <c r="B322" i="4" a="1"/>
  <c r="B322" i="4" s="1"/>
  <c r="B323" i="4" a="1"/>
  <c r="B323" i="4" s="1"/>
  <c r="B324" i="4" a="1"/>
  <c r="B324" i="4" s="1"/>
  <c r="B325" i="4" a="1"/>
  <c r="B325" i="4" s="1"/>
  <c r="B326" i="4" a="1"/>
  <c r="B326" i="4" s="1"/>
  <c r="B327" i="4" a="1"/>
  <c r="B327" i="4" s="1"/>
  <c r="B328" i="4" a="1"/>
  <c r="B328" i="4" s="1"/>
  <c r="B329" i="4" a="1"/>
  <c r="B329" i="4" s="1"/>
  <c r="B330" i="4" a="1"/>
  <c r="B330" i="4" s="1"/>
  <c r="B331" i="4" a="1"/>
  <c r="B331" i="4" s="1"/>
  <c r="B332" i="4" a="1"/>
  <c r="B332" i="4" s="1"/>
  <c r="B333" i="4" a="1"/>
  <c r="B333" i="4" s="1"/>
  <c r="B334" i="4" a="1"/>
  <c r="B334" i="4" s="1"/>
  <c r="B335" i="4" a="1"/>
  <c r="B335" i="4" s="1"/>
  <c r="B336" i="4" a="1"/>
  <c r="B336" i="4" s="1"/>
  <c r="B337" i="4" a="1"/>
  <c r="B337" i="4" s="1"/>
  <c r="B338" i="4" a="1"/>
  <c r="B338" i="4" s="1"/>
  <c r="B339" i="4" a="1"/>
  <c r="B339" i="4" s="1"/>
  <c r="B340" i="4" a="1"/>
  <c r="B340" i="4" s="1"/>
  <c r="B341" i="4" a="1"/>
  <c r="B341" i="4" s="1"/>
  <c r="B342" i="4" a="1"/>
  <c r="B342" i="4" s="1"/>
  <c r="B343" i="4" a="1"/>
  <c r="B343" i="4" s="1"/>
  <c r="B344" i="4" a="1"/>
  <c r="B344" i="4" s="1"/>
  <c r="B345" i="4" a="1"/>
  <c r="B345" i="4" s="1"/>
  <c r="B346" i="4" a="1"/>
  <c r="B346" i="4" s="1"/>
  <c r="B347" i="4" a="1"/>
  <c r="B347" i="4" s="1"/>
  <c r="B348" i="4" a="1"/>
  <c r="B348" i="4" s="1"/>
  <c r="B349" i="4" a="1"/>
  <c r="B349" i="4" s="1"/>
  <c r="B350" i="4" a="1"/>
  <c r="B350" i="4" s="1"/>
  <c r="B351" i="4" a="1"/>
  <c r="B351" i="4" s="1"/>
  <c r="B352" i="4" a="1"/>
  <c r="B352" i="4" s="1"/>
  <c r="B353" i="4" a="1"/>
  <c r="B353" i="4" s="1"/>
  <c r="B354" i="4" a="1"/>
  <c r="B354" i="4" s="1"/>
  <c r="B355" i="4" a="1"/>
  <c r="B355" i="4" s="1"/>
  <c r="B356" i="4" a="1"/>
  <c r="B356" i="4" s="1"/>
  <c r="B357" i="4" a="1"/>
  <c r="B357" i="4" s="1"/>
  <c r="B358" i="4" a="1"/>
  <c r="B358" i="4" s="1"/>
  <c r="B359" i="4" a="1"/>
  <c r="B359" i="4" s="1"/>
  <c r="B360" i="4" a="1"/>
  <c r="B360" i="4" s="1"/>
  <c r="B361" i="4" a="1"/>
  <c r="B361" i="4" s="1"/>
  <c r="B362" i="4" a="1"/>
  <c r="B362" i="4" s="1"/>
  <c r="B363" i="4" a="1"/>
  <c r="B363" i="4" s="1"/>
  <c r="B364" i="4" a="1"/>
  <c r="B364" i="4" s="1"/>
  <c r="B365" i="4" a="1"/>
  <c r="B365" i="4" s="1"/>
  <c r="B366" i="4" a="1"/>
  <c r="B366" i="4" s="1"/>
  <c r="B367" i="4" a="1"/>
  <c r="B367" i="4" s="1"/>
  <c r="B368" i="4" a="1"/>
  <c r="B368" i="4" s="1"/>
  <c r="B369" i="4" a="1"/>
  <c r="B369" i="4" s="1"/>
  <c r="B370" i="4" a="1"/>
  <c r="B370" i="4" s="1"/>
  <c r="B371" i="4" a="1"/>
  <c r="B371" i="4" s="1"/>
  <c r="B372" i="4" a="1"/>
  <c r="B372" i="4" s="1"/>
  <c r="B373" i="4" a="1"/>
  <c r="B373" i="4" s="1"/>
  <c r="B374" i="4" a="1"/>
  <c r="B374" i="4" s="1"/>
  <c r="B375" i="4" a="1"/>
  <c r="B375" i="4" s="1"/>
  <c r="B376" i="4" a="1"/>
  <c r="B376" i="4" s="1"/>
  <c r="B377" i="4" a="1"/>
  <c r="B377" i="4" s="1"/>
  <c r="B378" i="4" a="1"/>
  <c r="B378" i="4" s="1"/>
  <c r="B379" i="4" a="1"/>
  <c r="B379" i="4" s="1"/>
  <c r="B380" i="4" a="1"/>
  <c r="B380" i="4" s="1"/>
  <c r="B381" i="4" a="1"/>
  <c r="B381" i="4" s="1"/>
  <c r="B382" i="4" a="1"/>
  <c r="B382" i="4" s="1"/>
  <c r="B383" i="4" a="1"/>
  <c r="B383" i="4" s="1"/>
  <c r="B384" i="4" a="1"/>
  <c r="B384" i="4" s="1"/>
  <c r="B385" i="4" a="1"/>
  <c r="B385" i="4" s="1"/>
  <c r="B386" i="4" a="1"/>
  <c r="B386" i="4" s="1"/>
  <c r="B387" i="4" a="1"/>
  <c r="B387" i="4" s="1"/>
  <c r="B388" i="4" a="1"/>
  <c r="B388" i="4" s="1"/>
  <c r="B389" i="4" a="1"/>
  <c r="B389" i="4" s="1"/>
  <c r="B390" i="4" a="1"/>
  <c r="B390" i="4" s="1"/>
  <c r="B391" i="4" a="1"/>
  <c r="B391" i="4" s="1"/>
  <c r="B392" i="4" a="1"/>
  <c r="B392" i="4" s="1"/>
  <c r="B393" i="4" a="1"/>
  <c r="B393" i="4" s="1"/>
  <c r="B394" i="4" a="1"/>
  <c r="B394" i="4" s="1"/>
  <c r="B395" i="4" a="1"/>
  <c r="B395" i="4" s="1"/>
  <c r="B396" i="4" a="1"/>
  <c r="B396" i="4" s="1"/>
  <c r="B397" i="4" a="1"/>
  <c r="B397" i="4" s="1"/>
  <c r="B398" i="4" a="1"/>
  <c r="B398" i="4" s="1"/>
  <c r="B399" i="4" a="1"/>
  <c r="B399" i="4" s="1"/>
  <c r="B400" i="4" a="1"/>
  <c r="B400" i="4" s="1"/>
  <c r="B401" i="4" a="1"/>
  <c r="B401" i="4" s="1"/>
  <c r="B402" i="4" a="1"/>
  <c r="B402" i="4" s="1"/>
  <c r="B403" i="4" a="1"/>
  <c r="B403" i="4" s="1"/>
  <c r="B404" i="4" a="1"/>
  <c r="B404" i="4" s="1"/>
  <c r="B405" i="4" a="1"/>
  <c r="B405" i="4" s="1"/>
  <c r="B406" i="4" a="1"/>
  <c r="B406" i="4" s="1"/>
  <c r="B407" i="4" a="1"/>
  <c r="B407" i="4" s="1"/>
  <c r="B408" i="4" a="1"/>
  <c r="B408" i="4" s="1"/>
  <c r="B409" i="4" a="1"/>
  <c r="B409" i="4" s="1"/>
  <c r="B410" i="4" a="1"/>
  <c r="B410" i="4" s="1"/>
  <c r="B411" i="4" a="1"/>
  <c r="B411" i="4" s="1"/>
  <c r="B412" i="4" a="1"/>
  <c r="B412" i="4" s="1"/>
  <c r="B413" i="4" a="1"/>
  <c r="B413" i="4" s="1"/>
  <c r="B414" i="4" a="1"/>
  <c r="B414" i="4" s="1"/>
  <c r="B415" i="4" a="1"/>
  <c r="B415" i="4" s="1"/>
  <c r="B416" i="4" a="1"/>
  <c r="B416" i="4" s="1"/>
  <c r="B417" i="4" a="1"/>
  <c r="B417" i="4" s="1"/>
  <c r="B418" i="4" a="1"/>
  <c r="B418" i="4" s="1"/>
  <c r="B419" i="4" a="1"/>
  <c r="B419" i="4" s="1"/>
  <c r="B420" i="4" a="1"/>
  <c r="B420" i="4" s="1"/>
  <c r="B421" i="4" a="1"/>
  <c r="B421" i="4" s="1"/>
  <c r="B422" i="4" a="1"/>
  <c r="B422" i="4" s="1"/>
  <c r="B423" i="4" a="1"/>
  <c r="B423" i="4" s="1"/>
  <c r="B424" i="4" a="1"/>
  <c r="B424" i="4" s="1"/>
  <c r="B425" i="4" a="1"/>
  <c r="B425" i="4" s="1"/>
  <c r="B426" i="4" a="1"/>
  <c r="B426" i="4" s="1"/>
  <c r="B427" i="4" a="1"/>
  <c r="B427" i="4" s="1"/>
  <c r="A404" i="4"/>
  <c r="A405" i="4"/>
  <c r="A406" i="4"/>
  <c r="A407" i="4"/>
  <c r="A408" i="4"/>
  <c r="A409" i="4"/>
  <c r="A410" i="4"/>
  <c r="A411" i="4"/>
  <c r="A412" i="4"/>
  <c r="A413" i="4"/>
  <c r="A414" i="4"/>
  <c r="A415" i="4"/>
  <c r="A416" i="4"/>
  <c r="A417" i="4"/>
  <c r="A418" i="4"/>
  <c r="A419" i="4"/>
  <c r="A420" i="4"/>
  <c r="A421" i="4"/>
  <c r="A422" i="4"/>
  <c r="A423" i="4"/>
  <c r="A424" i="4"/>
  <c r="A425" i="4"/>
  <c r="A426" i="4"/>
  <c r="A427" i="4"/>
  <c r="D404" i="4"/>
  <c r="D405" i="4"/>
  <c r="D406" i="4"/>
  <c r="D407" i="4"/>
  <c r="D408" i="4"/>
  <c r="D409" i="4"/>
  <c r="D410" i="4"/>
  <c r="D411" i="4"/>
  <c r="D412" i="4"/>
  <c r="D413" i="4"/>
  <c r="D414" i="4"/>
  <c r="D415" i="4"/>
  <c r="D416" i="4"/>
  <c r="D417" i="4"/>
  <c r="D418" i="4"/>
  <c r="D419" i="4"/>
  <c r="D420" i="4"/>
  <c r="D421" i="4"/>
  <c r="D422" i="4"/>
  <c r="D423" i="4"/>
  <c r="D424" i="4"/>
  <c r="D425" i="4"/>
  <c r="D426" i="4"/>
  <c r="D427" i="4"/>
  <c r="F404" i="4"/>
  <c r="F405" i="4"/>
  <c r="F406" i="4"/>
  <c r="F407" i="4"/>
  <c r="F408" i="4"/>
  <c r="F409" i="4"/>
  <c r="F410" i="4"/>
  <c r="F411" i="4"/>
  <c r="F412" i="4"/>
  <c r="F413" i="4"/>
  <c r="F414" i="4"/>
  <c r="F415" i="4"/>
  <c r="F416" i="4"/>
  <c r="F417" i="4"/>
  <c r="F418" i="4"/>
  <c r="F419" i="4"/>
  <c r="F420" i="4"/>
  <c r="F421" i="4"/>
  <c r="F422" i="4"/>
  <c r="F423" i="4"/>
  <c r="F424" i="4"/>
  <c r="F425" i="4"/>
  <c r="F426" i="4"/>
  <c r="F427" i="4"/>
  <c r="G404" i="4"/>
  <c r="E404" i="4" s="1" a="1"/>
  <c r="E404" i="4" s="1"/>
  <c r="G405" i="4"/>
  <c r="E405" i="4" s="1" a="1"/>
  <c r="E405" i="4" s="1"/>
  <c r="G406" i="4"/>
  <c r="E406" i="4" s="1" a="1"/>
  <c r="E406" i="4" s="1"/>
  <c r="G407" i="4"/>
  <c r="E407" i="4" s="1" a="1"/>
  <c r="E407" i="4" s="1"/>
  <c r="G408" i="4"/>
  <c r="E408" i="4" s="1" a="1"/>
  <c r="E408" i="4" s="1"/>
  <c r="G409" i="4"/>
  <c r="E409" i="4" s="1" a="1"/>
  <c r="E409" i="4" s="1"/>
  <c r="G410" i="4"/>
  <c r="E410" i="4" s="1" a="1"/>
  <c r="E410" i="4" s="1"/>
  <c r="G411" i="4"/>
  <c r="E411" i="4" s="1" a="1"/>
  <c r="E411" i="4" s="1"/>
  <c r="G412" i="4"/>
  <c r="E412" i="4" s="1" a="1"/>
  <c r="E412" i="4" s="1"/>
  <c r="G413" i="4"/>
  <c r="E413" i="4" s="1" a="1"/>
  <c r="E413" i="4" s="1"/>
  <c r="G414" i="4"/>
  <c r="E414" i="4" s="1" a="1"/>
  <c r="E414" i="4" s="1"/>
  <c r="G415" i="4"/>
  <c r="E415" i="4" s="1" a="1"/>
  <c r="E415" i="4" s="1"/>
  <c r="G416" i="4"/>
  <c r="E416" i="4" s="1" a="1"/>
  <c r="E416" i="4" s="1"/>
  <c r="G417" i="4"/>
  <c r="E417" i="4" s="1" a="1"/>
  <c r="E417" i="4" s="1"/>
  <c r="G418" i="4"/>
  <c r="E418" i="4" s="1" a="1"/>
  <c r="E418" i="4" s="1"/>
  <c r="G419" i="4"/>
  <c r="E419" i="4" s="1" a="1"/>
  <c r="E419" i="4" s="1"/>
  <c r="G420" i="4"/>
  <c r="E420" i="4" s="1" a="1"/>
  <c r="E420" i="4" s="1"/>
  <c r="G421" i="4"/>
  <c r="E421" i="4" s="1" a="1"/>
  <c r="E421" i="4" s="1"/>
  <c r="G422" i="4"/>
  <c r="E422" i="4" s="1" a="1"/>
  <c r="E422" i="4" s="1"/>
  <c r="G423" i="4"/>
  <c r="E423" i="4" s="1" a="1"/>
  <c r="E423" i="4" s="1"/>
  <c r="G424" i="4"/>
  <c r="E424" i="4" s="1" a="1"/>
  <c r="E424" i="4" s="1"/>
  <c r="G425" i="4"/>
  <c r="E425" i="4" s="1" a="1"/>
  <c r="E425" i="4" s="1"/>
  <c r="G426" i="4"/>
  <c r="E426" i="4" s="1" a="1"/>
  <c r="E426" i="4" s="1"/>
  <c r="G427" i="4"/>
  <c r="E427" i="4" s="1" a="1"/>
  <c r="E427" i="4" s="1"/>
  <c r="H404" i="4"/>
  <c r="H405" i="4"/>
  <c r="H406" i="4"/>
  <c r="H407" i="4"/>
  <c r="H408" i="4"/>
  <c r="H409" i="4"/>
  <c r="H410" i="4"/>
  <c r="H411" i="4"/>
  <c r="H412" i="4"/>
  <c r="H413" i="4"/>
  <c r="H414" i="4"/>
  <c r="H415" i="4"/>
  <c r="H416" i="4"/>
  <c r="H417" i="4"/>
  <c r="H418" i="4"/>
  <c r="H419" i="4"/>
  <c r="H420" i="4"/>
  <c r="H421" i="4"/>
  <c r="H422" i="4"/>
  <c r="H423" i="4"/>
  <c r="H424" i="4"/>
  <c r="H425" i="4"/>
  <c r="H426" i="4"/>
  <c r="H427" i="4"/>
  <c r="I404" i="4"/>
  <c r="I405" i="4"/>
  <c r="I406" i="4"/>
  <c r="I407" i="4"/>
  <c r="I408" i="4"/>
  <c r="I409" i="4"/>
  <c r="I410" i="4"/>
  <c r="I411" i="4"/>
  <c r="I412" i="4"/>
  <c r="I413" i="4"/>
  <c r="I414" i="4"/>
  <c r="I415" i="4"/>
  <c r="I416" i="4"/>
  <c r="I417" i="4"/>
  <c r="I418" i="4"/>
  <c r="I419" i="4"/>
  <c r="I420" i="4"/>
  <c r="I421" i="4"/>
  <c r="I422" i="4"/>
  <c r="I423" i="4"/>
  <c r="I424" i="4"/>
  <c r="I425" i="4"/>
  <c r="I426" i="4"/>
  <c r="I427"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A402" i="4"/>
  <c r="A403" i="4"/>
  <c r="F402" i="4"/>
  <c r="F403" i="4"/>
  <c r="G402" i="4"/>
  <c r="E402" i="4" s="1" a="1"/>
  <c r="E402" i="4" s="1"/>
  <c r="G403" i="4"/>
  <c r="E403" i="4" s="1" a="1"/>
  <c r="E403" i="4" s="1"/>
  <c r="H402" i="4"/>
  <c r="H403" i="4"/>
  <c r="I402" i="4"/>
  <c r="I403" i="4"/>
  <c r="A376" i="4" l="1"/>
  <c r="A377" i="4"/>
  <c r="A378" i="4"/>
  <c r="A379" i="4"/>
  <c r="A380" i="4"/>
  <c r="A381" i="4"/>
  <c r="A382" i="4"/>
  <c r="A383" i="4"/>
  <c r="A384" i="4"/>
  <c r="A385" i="4"/>
  <c r="A386" i="4"/>
  <c r="A387" i="4"/>
  <c r="A388" i="4"/>
  <c r="A389" i="4"/>
  <c r="A390" i="4"/>
  <c r="A391" i="4"/>
  <c r="A392" i="4"/>
  <c r="A393" i="4"/>
  <c r="A394" i="4"/>
  <c r="A395" i="4"/>
  <c r="A396" i="4"/>
  <c r="A397" i="4"/>
  <c r="A398" i="4"/>
  <c r="A399" i="4"/>
  <c r="A400" i="4"/>
  <c r="A401"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376" i="4"/>
  <c r="E376" i="4" s="1" a="1"/>
  <c r="E376" i="4" s="1"/>
  <c r="G377" i="4"/>
  <c r="E377" i="4" s="1" a="1"/>
  <c r="E377" i="4" s="1"/>
  <c r="G378" i="4"/>
  <c r="E378" i="4" s="1" a="1"/>
  <c r="E378" i="4" s="1"/>
  <c r="G379" i="4"/>
  <c r="E379" i="4" s="1" a="1"/>
  <c r="E379" i="4" s="1"/>
  <c r="G380" i="4"/>
  <c r="E380" i="4" s="1" a="1"/>
  <c r="E380" i="4" s="1"/>
  <c r="G381" i="4"/>
  <c r="E381" i="4" s="1" a="1"/>
  <c r="E381" i="4" s="1"/>
  <c r="G382" i="4"/>
  <c r="E382" i="4" s="1" a="1"/>
  <c r="E382" i="4" s="1"/>
  <c r="G383" i="4"/>
  <c r="E383" i="4" s="1" a="1"/>
  <c r="E383" i="4" s="1"/>
  <c r="G384" i="4"/>
  <c r="E384" i="4" s="1" a="1"/>
  <c r="E384" i="4" s="1"/>
  <c r="G385" i="4"/>
  <c r="E385" i="4" s="1" a="1"/>
  <c r="E385" i="4" s="1"/>
  <c r="G386" i="4"/>
  <c r="E386" i="4" s="1" a="1"/>
  <c r="E386" i="4" s="1"/>
  <c r="G387" i="4"/>
  <c r="E387" i="4" s="1" a="1"/>
  <c r="E387" i="4" s="1"/>
  <c r="G388" i="4"/>
  <c r="E388" i="4" s="1" a="1"/>
  <c r="E388" i="4" s="1"/>
  <c r="G389" i="4"/>
  <c r="E389" i="4" s="1" a="1"/>
  <c r="E389" i="4" s="1"/>
  <c r="G390" i="4"/>
  <c r="E390" i="4" s="1" a="1"/>
  <c r="E390" i="4" s="1"/>
  <c r="G391" i="4"/>
  <c r="E391" i="4" s="1" a="1"/>
  <c r="E391" i="4" s="1"/>
  <c r="G392" i="4"/>
  <c r="E392" i="4" s="1" a="1"/>
  <c r="E392" i="4" s="1"/>
  <c r="G393" i="4"/>
  <c r="E393" i="4" s="1" a="1"/>
  <c r="E393" i="4" s="1"/>
  <c r="G394" i="4"/>
  <c r="E394" i="4" s="1" a="1"/>
  <c r="E394" i="4" s="1"/>
  <c r="G395" i="4"/>
  <c r="E395" i="4" s="1" a="1"/>
  <c r="E395" i="4" s="1"/>
  <c r="G396" i="4"/>
  <c r="E396" i="4" s="1" a="1"/>
  <c r="E396" i="4" s="1"/>
  <c r="G397" i="4"/>
  <c r="E397" i="4" s="1" a="1"/>
  <c r="E397" i="4" s="1"/>
  <c r="G398" i="4"/>
  <c r="E398" i="4" s="1" a="1"/>
  <c r="E398" i="4" s="1"/>
  <c r="G399" i="4"/>
  <c r="E399" i="4" s="1" a="1"/>
  <c r="E399" i="4" s="1"/>
  <c r="G400" i="4"/>
  <c r="E400" i="4" s="1" a="1"/>
  <c r="E400" i="4" s="1"/>
  <c r="G401" i="4"/>
  <c r="E401" i="4" s="1" a="1"/>
  <c r="E401" i="4" s="1"/>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A372" i="4"/>
  <c r="A373" i="4"/>
  <c r="A374" i="4"/>
  <c r="A375" i="4"/>
  <c r="F372" i="4"/>
  <c r="F373" i="4"/>
  <c r="F374" i="4"/>
  <c r="F375" i="4"/>
  <c r="G372" i="4"/>
  <c r="E372" i="4" s="1" a="1"/>
  <c r="E372" i="4" s="1"/>
  <c r="G373" i="4"/>
  <c r="E373" i="4" s="1" a="1"/>
  <c r="E373" i="4" s="1"/>
  <c r="G374" i="4"/>
  <c r="E374" i="4" s="1" a="1"/>
  <c r="E374" i="4" s="1"/>
  <c r="G375" i="4"/>
  <c r="E375" i="4" s="1" a="1"/>
  <c r="E375" i="4" s="1"/>
  <c r="H372" i="4"/>
  <c r="H373" i="4"/>
  <c r="H374" i="4"/>
  <c r="H375" i="4"/>
  <c r="I372" i="4"/>
  <c r="I373" i="4"/>
  <c r="I374" i="4"/>
  <c r="I375" i="4"/>
  <c r="A53"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C22" i="5" s="1"/>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G2" i="4"/>
  <c r="E2" i="4" s="1" a="1"/>
  <c r="E2" i="4" s="1"/>
  <c r="G3" i="4"/>
  <c r="E3" i="4" s="1" a="1"/>
  <c r="E3" i="4" s="1"/>
  <c r="G4" i="4"/>
  <c r="E4" i="4" s="1" a="1"/>
  <c r="E4" i="4" s="1"/>
  <c r="G5" i="4"/>
  <c r="E5" i="4" s="1" a="1"/>
  <c r="E5" i="4" s="1"/>
  <c r="G6" i="4"/>
  <c r="E6" i="4" s="1" a="1"/>
  <c r="E6" i="4" s="1"/>
  <c r="G7" i="4"/>
  <c r="E7" i="4" s="1" a="1"/>
  <c r="E7" i="4" s="1"/>
  <c r="G8" i="4"/>
  <c r="E8" i="4" s="1" a="1"/>
  <c r="E8" i="4" s="1"/>
  <c r="G9" i="4"/>
  <c r="E9" i="4" s="1" a="1"/>
  <c r="E9" i="4" s="1"/>
  <c r="G10" i="4"/>
  <c r="E10" i="4" s="1" a="1"/>
  <c r="E10" i="4" s="1"/>
  <c r="G11" i="4"/>
  <c r="E11" i="4" s="1" a="1"/>
  <c r="E11" i="4" s="1"/>
  <c r="G12" i="4"/>
  <c r="E12" i="4" s="1" a="1"/>
  <c r="E12" i="4" s="1"/>
  <c r="G13" i="4"/>
  <c r="E13" i="4" s="1" a="1"/>
  <c r="E13" i="4" s="1"/>
  <c r="G14" i="4"/>
  <c r="E14" i="4" s="1" a="1"/>
  <c r="E14" i="4" s="1"/>
  <c r="G15" i="4"/>
  <c r="E15" i="4" s="1" a="1"/>
  <c r="E15" i="4" s="1"/>
  <c r="G16" i="4"/>
  <c r="E16" i="4" s="1" a="1"/>
  <c r="E16" i="4" s="1"/>
  <c r="G17" i="4"/>
  <c r="E17" i="4" s="1" a="1"/>
  <c r="E17" i="4" s="1"/>
  <c r="G18" i="4"/>
  <c r="E18" i="4" s="1" a="1"/>
  <c r="E18" i="4" s="1"/>
  <c r="G19" i="4"/>
  <c r="E19" i="4" s="1" a="1"/>
  <c r="E19" i="4" s="1"/>
  <c r="G20" i="4"/>
  <c r="E20" i="4" s="1" a="1"/>
  <c r="E20" i="4" s="1"/>
  <c r="G21" i="4"/>
  <c r="E21" i="4" s="1" a="1"/>
  <c r="E21" i="4" s="1"/>
  <c r="G22" i="4"/>
  <c r="E22" i="4" s="1" a="1"/>
  <c r="E22" i="4" s="1"/>
  <c r="G23" i="4"/>
  <c r="E23" i="4" s="1" a="1"/>
  <c r="E23" i="4" s="1"/>
  <c r="G24" i="4"/>
  <c r="E24" i="4" s="1" a="1"/>
  <c r="E24" i="4" s="1"/>
  <c r="G25" i="4"/>
  <c r="E25" i="4" s="1" a="1"/>
  <c r="E25" i="4" s="1"/>
  <c r="G26" i="4"/>
  <c r="E26" i="4" s="1" a="1"/>
  <c r="E26" i="4" s="1"/>
  <c r="G27" i="4"/>
  <c r="E27" i="4" s="1" a="1"/>
  <c r="E27" i="4" s="1"/>
  <c r="G28" i="4"/>
  <c r="E28" i="4" s="1" a="1"/>
  <c r="E28" i="4" s="1"/>
  <c r="G29" i="4"/>
  <c r="E29" i="4" s="1" a="1"/>
  <c r="E29" i="4" s="1"/>
  <c r="G30" i="4"/>
  <c r="E30" i="4" s="1" a="1"/>
  <c r="E30" i="4" s="1"/>
  <c r="G31" i="4"/>
  <c r="E31" i="4" s="1" a="1"/>
  <c r="E31" i="4" s="1"/>
  <c r="G32" i="4"/>
  <c r="E32" i="4" s="1" a="1"/>
  <c r="E32" i="4" s="1"/>
  <c r="G33" i="4"/>
  <c r="E33" i="4" s="1" a="1"/>
  <c r="E33" i="4" s="1"/>
  <c r="G34" i="4"/>
  <c r="E34" i="4" s="1" a="1"/>
  <c r="E34" i="4" s="1"/>
  <c r="G35" i="4"/>
  <c r="E35" i="4" s="1" a="1"/>
  <c r="E35" i="4" s="1"/>
  <c r="G36" i="4"/>
  <c r="E36" i="4" s="1" a="1"/>
  <c r="E36" i="4" s="1"/>
  <c r="G37" i="4"/>
  <c r="E37" i="4" s="1" a="1"/>
  <c r="E37" i="4" s="1"/>
  <c r="G38" i="4"/>
  <c r="E38" i="4" s="1" a="1"/>
  <c r="E38" i="4" s="1"/>
  <c r="G39" i="4"/>
  <c r="E39" i="4" s="1" a="1"/>
  <c r="E39" i="4" s="1"/>
  <c r="G40" i="4"/>
  <c r="E40" i="4" s="1" a="1"/>
  <c r="E40" i="4" s="1"/>
  <c r="G41" i="4"/>
  <c r="E41" i="4" s="1" a="1"/>
  <c r="E41" i="4" s="1"/>
  <c r="G42" i="4"/>
  <c r="E42" i="4" s="1" a="1"/>
  <c r="E42" i="4" s="1"/>
  <c r="G43" i="4"/>
  <c r="E43" i="4" s="1" a="1"/>
  <c r="E43" i="4" s="1"/>
  <c r="G44" i="4"/>
  <c r="E44" i="4" s="1" a="1"/>
  <c r="E44" i="4" s="1"/>
  <c r="G45" i="4"/>
  <c r="E45" i="4" s="1" a="1"/>
  <c r="E45" i="4" s="1"/>
  <c r="G46" i="4"/>
  <c r="E46" i="4" s="1" a="1"/>
  <c r="E46" i="4" s="1"/>
  <c r="G47" i="4"/>
  <c r="E47" i="4" s="1" a="1"/>
  <c r="E47" i="4" s="1"/>
  <c r="G48" i="4"/>
  <c r="E48" i="4" s="1" a="1"/>
  <c r="E48" i="4" s="1"/>
  <c r="G49" i="4"/>
  <c r="E49" i="4" s="1" a="1"/>
  <c r="E49" i="4" s="1"/>
  <c r="G50" i="4"/>
  <c r="E50" i="4" s="1" a="1"/>
  <c r="E50" i="4" s="1"/>
  <c r="G51" i="4"/>
  <c r="E51" i="4" s="1" a="1"/>
  <c r="E51" i="4" s="1"/>
  <c r="G52" i="4"/>
  <c r="E52" i="4" s="1" a="1"/>
  <c r="E52" i="4" s="1"/>
  <c r="G53" i="4"/>
  <c r="E53" i="4" s="1" a="1"/>
  <c r="E53" i="4" s="1"/>
  <c r="G54" i="4"/>
  <c r="E54" i="4" s="1" a="1"/>
  <c r="E54" i="4" s="1"/>
  <c r="G55" i="4"/>
  <c r="E55" i="4" s="1" a="1"/>
  <c r="E55" i="4" s="1"/>
  <c r="G56" i="4"/>
  <c r="E56" i="4" s="1" a="1"/>
  <c r="E56" i="4" s="1"/>
  <c r="G57" i="4"/>
  <c r="E57" i="4" s="1" a="1"/>
  <c r="E57" i="4" s="1"/>
  <c r="G58" i="4"/>
  <c r="E58" i="4" s="1" a="1"/>
  <c r="E58" i="4" s="1"/>
  <c r="G59" i="4"/>
  <c r="E59" i="4" s="1" a="1"/>
  <c r="E59" i="4" s="1"/>
  <c r="G60" i="4"/>
  <c r="E60" i="4" s="1" a="1"/>
  <c r="E60" i="4" s="1"/>
  <c r="G61" i="4"/>
  <c r="E61" i="4" s="1" a="1"/>
  <c r="E61" i="4" s="1"/>
  <c r="G62" i="4"/>
  <c r="E62" i="4" s="1" a="1"/>
  <c r="E62" i="4" s="1"/>
  <c r="G63" i="4"/>
  <c r="E63" i="4" s="1" a="1"/>
  <c r="E63" i="4" s="1"/>
  <c r="G64" i="4"/>
  <c r="E64" i="4" s="1" a="1"/>
  <c r="E64" i="4" s="1"/>
  <c r="G65" i="4"/>
  <c r="E65" i="4" s="1" a="1"/>
  <c r="E65" i="4" s="1"/>
  <c r="G66" i="4"/>
  <c r="E66" i="4" s="1" a="1"/>
  <c r="E66" i="4" s="1"/>
  <c r="G67" i="4"/>
  <c r="E67" i="4" s="1" a="1"/>
  <c r="E67" i="4" s="1"/>
  <c r="G68" i="4"/>
  <c r="E68" i="4" s="1" a="1"/>
  <c r="E68" i="4" s="1"/>
  <c r="G69" i="4"/>
  <c r="E69" i="4" s="1" a="1"/>
  <c r="E69" i="4" s="1"/>
  <c r="G70" i="4"/>
  <c r="E70" i="4" s="1" a="1"/>
  <c r="E70" i="4" s="1"/>
  <c r="G71" i="4"/>
  <c r="E71" i="4" s="1" a="1"/>
  <c r="E71" i="4" s="1"/>
  <c r="G72" i="4"/>
  <c r="E72" i="4" s="1" a="1"/>
  <c r="E72" i="4" s="1"/>
  <c r="G73" i="4"/>
  <c r="E73" i="4" s="1" a="1"/>
  <c r="E73" i="4" s="1"/>
  <c r="G74" i="4"/>
  <c r="E74" i="4" s="1" a="1"/>
  <c r="E74" i="4" s="1"/>
  <c r="G75" i="4"/>
  <c r="E75" i="4" s="1" a="1"/>
  <c r="E75" i="4" s="1"/>
  <c r="G76" i="4"/>
  <c r="E76" i="4" s="1" a="1"/>
  <c r="E76" i="4" s="1"/>
  <c r="G77" i="4"/>
  <c r="E77" i="4" s="1" a="1"/>
  <c r="E77" i="4" s="1"/>
  <c r="G78" i="4"/>
  <c r="E78" i="4" s="1" a="1"/>
  <c r="E78" i="4" s="1"/>
  <c r="G79" i="4"/>
  <c r="E79" i="4" s="1" a="1"/>
  <c r="E79" i="4" s="1"/>
  <c r="G80" i="4"/>
  <c r="E80" i="4" s="1" a="1"/>
  <c r="E80" i="4" s="1"/>
  <c r="G81" i="4"/>
  <c r="E81" i="4" s="1" a="1"/>
  <c r="E81" i="4" s="1"/>
  <c r="G82" i="4"/>
  <c r="E82" i="4" s="1" a="1"/>
  <c r="E82" i="4" s="1"/>
  <c r="G83" i="4"/>
  <c r="E83" i="4" s="1" a="1"/>
  <c r="E83" i="4" s="1"/>
  <c r="G84" i="4"/>
  <c r="E84" i="4" s="1" a="1"/>
  <c r="E84" i="4" s="1"/>
  <c r="G85" i="4"/>
  <c r="E85" i="4" s="1" a="1"/>
  <c r="E85" i="4" s="1"/>
  <c r="G86" i="4"/>
  <c r="E86" i="4" s="1" a="1"/>
  <c r="E86" i="4" s="1"/>
  <c r="G87" i="4"/>
  <c r="E87" i="4" s="1" a="1"/>
  <c r="E87" i="4" s="1"/>
  <c r="G88" i="4"/>
  <c r="E88" i="4" s="1" a="1"/>
  <c r="E88" i="4" s="1"/>
  <c r="G89" i="4"/>
  <c r="E89" i="4" s="1" a="1"/>
  <c r="E89" i="4" s="1"/>
  <c r="G90" i="4"/>
  <c r="E90" i="4" s="1" a="1"/>
  <c r="E90" i="4" s="1"/>
  <c r="G91" i="4"/>
  <c r="E91" i="4" s="1" a="1"/>
  <c r="E91" i="4" s="1"/>
  <c r="G92" i="4"/>
  <c r="E92" i="4" s="1" a="1"/>
  <c r="E92" i="4" s="1"/>
  <c r="G93" i="4"/>
  <c r="E93" i="4" s="1" a="1"/>
  <c r="E93" i="4" s="1"/>
  <c r="G94" i="4"/>
  <c r="E94" i="4" s="1" a="1"/>
  <c r="E94" i="4" s="1"/>
  <c r="G95" i="4"/>
  <c r="E95" i="4" s="1" a="1"/>
  <c r="E95" i="4" s="1"/>
  <c r="G96" i="4"/>
  <c r="E96" i="4" s="1" a="1"/>
  <c r="E96" i="4" s="1"/>
  <c r="G97" i="4"/>
  <c r="E97" i="4" s="1" a="1"/>
  <c r="E97" i="4" s="1"/>
  <c r="G98" i="4"/>
  <c r="E98" i="4" s="1" a="1"/>
  <c r="E98" i="4" s="1"/>
  <c r="G99" i="4"/>
  <c r="E99" i="4" s="1" a="1"/>
  <c r="E99" i="4" s="1"/>
  <c r="G100" i="4"/>
  <c r="E100" i="4" s="1" a="1"/>
  <c r="E100" i="4" s="1"/>
  <c r="G101" i="4"/>
  <c r="E101" i="4" s="1" a="1"/>
  <c r="E101" i="4" s="1"/>
  <c r="G102" i="4"/>
  <c r="E102" i="4" s="1" a="1"/>
  <c r="E102" i="4" s="1"/>
  <c r="G103" i="4"/>
  <c r="E103" i="4" s="1" a="1"/>
  <c r="E103" i="4" s="1"/>
  <c r="G104" i="4"/>
  <c r="E104" i="4" s="1" a="1"/>
  <c r="E104" i="4" s="1"/>
  <c r="G105" i="4"/>
  <c r="E105" i="4" s="1" a="1"/>
  <c r="E105" i="4" s="1"/>
  <c r="G106" i="4"/>
  <c r="E106" i="4" s="1" a="1"/>
  <c r="E106" i="4" s="1"/>
  <c r="G107" i="4"/>
  <c r="E107" i="4" s="1" a="1"/>
  <c r="E107" i="4" s="1"/>
  <c r="G108" i="4"/>
  <c r="E108" i="4" s="1" a="1"/>
  <c r="E108" i="4" s="1"/>
  <c r="G109" i="4"/>
  <c r="E109" i="4" s="1" a="1"/>
  <c r="E109" i="4" s="1"/>
  <c r="G110" i="4"/>
  <c r="E110" i="4" s="1" a="1"/>
  <c r="E110" i="4" s="1"/>
  <c r="G111" i="4"/>
  <c r="E111" i="4" s="1" a="1"/>
  <c r="E111" i="4" s="1"/>
  <c r="G112" i="4"/>
  <c r="E112" i="4" s="1" a="1"/>
  <c r="E112" i="4" s="1"/>
  <c r="G113" i="4"/>
  <c r="E113" i="4" s="1" a="1"/>
  <c r="E113" i="4" s="1"/>
  <c r="G114" i="4"/>
  <c r="E114" i="4" s="1" a="1"/>
  <c r="E114" i="4" s="1"/>
  <c r="G115" i="4"/>
  <c r="E115" i="4" s="1" a="1"/>
  <c r="E115" i="4" s="1"/>
  <c r="G116" i="4"/>
  <c r="E116" i="4" s="1" a="1"/>
  <c r="E116" i="4" s="1"/>
  <c r="G117" i="4"/>
  <c r="E117" i="4" s="1" a="1"/>
  <c r="E117" i="4" s="1"/>
  <c r="G118" i="4"/>
  <c r="E118" i="4" s="1" a="1"/>
  <c r="E118" i="4" s="1"/>
  <c r="G119" i="4"/>
  <c r="E119" i="4" s="1" a="1"/>
  <c r="E119" i="4" s="1"/>
  <c r="G120" i="4"/>
  <c r="E120" i="4" s="1" a="1"/>
  <c r="E120" i="4" s="1"/>
  <c r="G121" i="4"/>
  <c r="E121" i="4" s="1" a="1"/>
  <c r="E121" i="4" s="1"/>
  <c r="G122" i="4"/>
  <c r="E122" i="4" s="1" a="1"/>
  <c r="E122" i="4" s="1"/>
  <c r="G123" i="4"/>
  <c r="E123" i="4" s="1" a="1"/>
  <c r="E123" i="4" s="1"/>
  <c r="G124" i="4"/>
  <c r="E124" i="4" s="1" a="1"/>
  <c r="E124" i="4" s="1"/>
  <c r="G125" i="4"/>
  <c r="E125" i="4" s="1" a="1"/>
  <c r="E125" i="4" s="1"/>
  <c r="G126" i="4"/>
  <c r="E126" i="4" s="1" a="1"/>
  <c r="E126" i="4" s="1"/>
  <c r="G127" i="4"/>
  <c r="E127" i="4" s="1" a="1"/>
  <c r="E127" i="4" s="1"/>
  <c r="G128" i="4"/>
  <c r="E128" i="4" s="1" a="1"/>
  <c r="E128" i="4" s="1"/>
  <c r="G129" i="4"/>
  <c r="E129" i="4" s="1" a="1"/>
  <c r="E129" i="4" s="1"/>
  <c r="G130" i="4"/>
  <c r="E130" i="4" s="1" a="1"/>
  <c r="E130" i="4" s="1"/>
  <c r="G131" i="4"/>
  <c r="E131" i="4" s="1" a="1"/>
  <c r="E131" i="4" s="1"/>
  <c r="G132" i="4"/>
  <c r="E132" i="4" s="1" a="1"/>
  <c r="E132" i="4" s="1"/>
  <c r="G133" i="4"/>
  <c r="E133" i="4" s="1" a="1"/>
  <c r="E133" i="4" s="1"/>
  <c r="G134" i="4"/>
  <c r="E134" i="4" s="1" a="1"/>
  <c r="E134" i="4" s="1"/>
  <c r="G135" i="4"/>
  <c r="E135" i="4" s="1" a="1"/>
  <c r="E135" i="4" s="1"/>
  <c r="G136" i="4"/>
  <c r="E136" i="4" s="1" a="1"/>
  <c r="E136" i="4" s="1"/>
  <c r="G137" i="4"/>
  <c r="E137" i="4" s="1" a="1"/>
  <c r="E137" i="4" s="1"/>
  <c r="G138" i="4"/>
  <c r="E138" i="4" s="1" a="1"/>
  <c r="E138" i="4" s="1"/>
  <c r="G139" i="4"/>
  <c r="E139" i="4" s="1" a="1"/>
  <c r="E139" i="4" s="1"/>
  <c r="G140" i="4"/>
  <c r="E140" i="4" s="1" a="1"/>
  <c r="E140" i="4" s="1"/>
  <c r="G141" i="4"/>
  <c r="E141" i="4" s="1" a="1"/>
  <c r="E141" i="4" s="1"/>
  <c r="G142" i="4"/>
  <c r="E142" i="4" s="1" a="1"/>
  <c r="E142" i="4" s="1"/>
  <c r="G143" i="4"/>
  <c r="E143" i="4" s="1" a="1"/>
  <c r="E143" i="4" s="1"/>
  <c r="G144" i="4"/>
  <c r="E144" i="4" s="1" a="1"/>
  <c r="E144" i="4" s="1"/>
  <c r="G145" i="4"/>
  <c r="E145" i="4" s="1" a="1"/>
  <c r="E145" i="4" s="1"/>
  <c r="G146" i="4"/>
  <c r="E146" i="4" s="1" a="1"/>
  <c r="E146" i="4" s="1"/>
  <c r="G147" i="4"/>
  <c r="E147" i="4" s="1" a="1"/>
  <c r="E147" i="4" s="1"/>
  <c r="G148" i="4"/>
  <c r="E148" i="4" s="1" a="1"/>
  <c r="E148" i="4" s="1"/>
  <c r="G149" i="4"/>
  <c r="E149" i="4" s="1" a="1"/>
  <c r="E149" i="4" s="1"/>
  <c r="G150" i="4"/>
  <c r="E150" i="4" s="1" a="1"/>
  <c r="E150" i="4" s="1"/>
  <c r="G151" i="4"/>
  <c r="E151" i="4" s="1" a="1"/>
  <c r="E151" i="4" s="1"/>
  <c r="G152" i="4"/>
  <c r="E152" i="4" s="1" a="1"/>
  <c r="E152" i="4" s="1"/>
  <c r="G153" i="4"/>
  <c r="E153" i="4" s="1" a="1"/>
  <c r="E153" i="4" s="1"/>
  <c r="G154" i="4"/>
  <c r="E154" i="4" s="1" a="1"/>
  <c r="E154" i="4" s="1"/>
  <c r="G155" i="4"/>
  <c r="E155" i="4" s="1" a="1"/>
  <c r="E155" i="4" s="1"/>
  <c r="G156" i="4"/>
  <c r="E156" i="4" s="1" a="1"/>
  <c r="E156" i="4" s="1"/>
  <c r="G157" i="4"/>
  <c r="E157" i="4" s="1" a="1"/>
  <c r="E157" i="4" s="1"/>
  <c r="G158" i="4"/>
  <c r="E158" i="4" s="1" a="1"/>
  <c r="E158" i="4" s="1"/>
  <c r="G159" i="4"/>
  <c r="E159" i="4" s="1" a="1"/>
  <c r="E159" i="4" s="1"/>
  <c r="G160" i="4"/>
  <c r="E160" i="4" s="1" a="1"/>
  <c r="E160" i="4" s="1"/>
  <c r="G161" i="4"/>
  <c r="E161" i="4" s="1" a="1"/>
  <c r="E161" i="4" s="1"/>
  <c r="G162" i="4"/>
  <c r="E162" i="4" s="1" a="1"/>
  <c r="E162" i="4" s="1"/>
  <c r="G163" i="4"/>
  <c r="E163" i="4" s="1" a="1"/>
  <c r="E163" i="4" s="1"/>
  <c r="G164" i="4"/>
  <c r="E164" i="4" s="1" a="1"/>
  <c r="E164" i="4" s="1"/>
  <c r="G165" i="4"/>
  <c r="E165" i="4" s="1" a="1"/>
  <c r="E165" i="4" s="1"/>
  <c r="G166" i="4"/>
  <c r="E166" i="4" s="1" a="1"/>
  <c r="E166" i="4" s="1"/>
  <c r="G167" i="4"/>
  <c r="E167" i="4" s="1" a="1"/>
  <c r="E167" i="4" s="1"/>
  <c r="G168" i="4"/>
  <c r="E168" i="4" s="1" a="1"/>
  <c r="E168" i="4" s="1"/>
  <c r="G169" i="4"/>
  <c r="E169" i="4" s="1" a="1"/>
  <c r="E169" i="4" s="1"/>
  <c r="G170" i="4"/>
  <c r="E170" i="4" s="1" a="1"/>
  <c r="E170" i="4" s="1"/>
  <c r="G171" i="4"/>
  <c r="E171" i="4" s="1" a="1"/>
  <c r="E171" i="4" s="1"/>
  <c r="G172" i="4"/>
  <c r="E172" i="4" s="1" a="1"/>
  <c r="E172" i="4" s="1"/>
  <c r="G173" i="4"/>
  <c r="E173" i="4" s="1" a="1"/>
  <c r="E173" i="4" s="1"/>
  <c r="G174" i="4"/>
  <c r="E174" i="4" s="1" a="1"/>
  <c r="E174" i="4" s="1"/>
  <c r="G175" i="4"/>
  <c r="E175" i="4" s="1" a="1"/>
  <c r="E175" i="4" s="1"/>
  <c r="G176" i="4"/>
  <c r="E176" i="4" s="1" a="1"/>
  <c r="E176" i="4" s="1"/>
  <c r="G177" i="4"/>
  <c r="E177" i="4" s="1" a="1"/>
  <c r="E177" i="4" s="1"/>
  <c r="G178" i="4"/>
  <c r="E178" i="4" s="1" a="1"/>
  <c r="E178" i="4" s="1"/>
  <c r="G179" i="4"/>
  <c r="E179" i="4" s="1" a="1"/>
  <c r="E179" i="4" s="1"/>
  <c r="G180" i="4"/>
  <c r="E180" i="4" s="1" a="1"/>
  <c r="E180" i="4" s="1"/>
  <c r="G181" i="4"/>
  <c r="E181" i="4" s="1" a="1"/>
  <c r="E181" i="4" s="1"/>
  <c r="G182" i="4"/>
  <c r="E182" i="4" s="1" a="1"/>
  <c r="E182" i="4" s="1"/>
  <c r="G183" i="4"/>
  <c r="E183" i="4" s="1" a="1"/>
  <c r="E183" i="4" s="1"/>
  <c r="G184" i="4"/>
  <c r="E184" i="4" s="1" a="1"/>
  <c r="E184" i="4" s="1"/>
  <c r="G185" i="4"/>
  <c r="E185" i="4" s="1" a="1"/>
  <c r="E185" i="4" s="1"/>
  <c r="G186" i="4"/>
  <c r="E186" i="4" s="1" a="1"/>
  <c r="E186" i="4" s="1"/>
  <c r="G187" i="4"/>
  <c r="E187" i="4" s="1" a="1"/>
  <c r="E187" i="4" s="1"/>
  <c r="G188" i="4"/>
  <c r="E188" i="4" s="1" a="1"/>
  <c r="E188" i="4" s="1"/>
  <c r="G189" i="4"/>
  <c r="E189" i="4" s="1" a="1"/>
  <c r="E189" i="4" s="1"/>
  <c r="G190" i="4"/>
  <c r="E190" i="4" s="1" a="1"/>
  <c r="E190" i="4" s="1"/>
  <c r="G191" i="4"/>
  <c r="E191" i="4" s="1" a="1"/>
  <c r="E191" i="4" s="1"/>
  <c r="G192" i="4"/>
  <c r="E192" i="4" s="1" a="1"/>
  <c r="E192" i="4" s="1"/>
  <c r="G193" i="4"/>
  <c r="E193" i="4" s="1" a="1"/>
  <c r="E193" i="4" s="1"/>
  <c r="G194" i="4"/>
  <c r="E194" i="4" s="1" a="1"/>
  <c r="E194" i="4" s="1"/>
  <c r="G195" i="4"/>
  <c r="E195" i="4" s="1" a="1"/>
  <c r="E195" i="4" s="1"/>
  <c r="G196" i="4"/>
  <c r="E196" i="4" s="1" a="1"/>
  <c r="E196" i="4" s="1"/>
  <c r="G197" i="4"/>
  <c r="E197" i="4" s="1" a="1"/>
  <c r="E197" i="4" s="1"/>
  <c r="G198" i="4"/>
  <c r="E198" i="4" s="1" a="1"/>
  <c r="E198" i="4" s="1"/>
  <c r="G199" i="4"/>
  <c r="E199" i="4" s="1" a="1"/>
  <c r="E199" i="4" s="1"/>
  <c r="G200" i="4"/>
  <c r="E200" i="4" s="1" a="1"/>
  <c r="E200" i="4" s="1"/>
  <c r="G201" i="4"/>
  <c r="E201" i="4" s="1" a="1"/>
  <c r="E201" i="4" s="1"/>
  <c r="G202" i="4"/>
  <c r="E202" i="4" s="1" a="1"/>
  <c r="E202" i="4" s="1"/>
  <c r="G203" i="4"/>
  <c r="E203" i="4" s="1" a="1"/>
  <c r="E203" i="4" s="1"/>
  <c r="G204" i="4"/>
  <c r="E204" i="4" s="1" a="1"/>
  <c r="E204" i="4" s="1"/>
  <c r="G205" i="4"/>
  <c r="E205" i="4" s="1" a="1"/>
  <c r="E205" i="4" s="1"/>
  <c r="G206" i="4"/>
  <c r="E206" i="4" s="1" a="1"/>
  <c r="E206" i="4" s="1"/>
  <c r="G207" i="4"/>
  <c r="E207" i="4" s="1" a="1"/>
  <c r="E207" i="4" s="1"/>
  <c r="G208" i="4"/>
  <c r="E208" i="4" s="1" a="1"/>
  <c r="E208" i="4" s="1"/>
  <c r="G209" i="4"/>
  <c r="E209" i="4" s="1" a="1"/>
  <c r="E209" i="4" s="1"/>
  <c r="G210" i="4"/>
  <c r="E210" i="4" s="1" a="1"/>
  <c r="E210" i="4" s="1"/>
  <c r="G211" i="4"/>
  <c r="E211" i="4" s="1" a="1"/>
  <c r="E211" i="4" s="1"/>
  <c r="G212" i="4"/>
  <c r="E212" i="4" s="1" a="1"/>
  <c r="E212" i="4" s="1"/>
  <c r="G213" i="4"/>
  <c r="E213" i="4" s="1" a="1"/>
  <c r="E213" i="4" s="1"/>
  <c r="G214" i="4"/>
  <c r="E214" i="4" s="1" a="1"/>
  <c r="E214" i="4" s="1"/>
  <c r="G215" i="4"/>
  <c r="E215" i="4" s="1" a="1"/>
  <c r="E215" i="4" s="1"/>
  <c r="G216" i="4"/>
  <c r="E216" i="4" s="1" a="1"/>
  <c r="E216" i="4" s="1"/>
  <c r="G217" i="4"/>
  <c r="E217" i="4" s="1" a="1"/>
  <c r="E217" i="4" s="1"/>
  <c r="G218" i="4"/>
  <c r="E218" i="4" s="1" a="1"/>
  <c r="E218" i="4" s="1"/>
  <c r="G219" i="4"/>
  <c r="E219" i="4" s="1" a="1"/>
  <c r="E219" i="4" s="1"/>
  <c r="G220" i="4"/>
  <c r="E220" i="4" s="1" a="1"/>
  <c r="E220" i="4" s="1"/>
  <c r="G221" i="4"/>
  <c r="E221" i="4" s="1" a="1"/>
  <c r="E221" i="4" s="1"/>
  <c r="G222" i="4"/>
  <c r="E222" i="4" s="1" a="1"/>
  <c r="E222" i="4" s="1"/>
  <c r="G223" i="4"/>
  <c r="E223" i="4" s="1" a="1"/>
  <c r="E223" i="4" s="1"/>
  <c r="G224" i="4"/>
  <c r="E224" i="4" s="1" a="1"/>
  <c r="E224" i="4" s="1"/>
  <c r="G225" i="4"/>
  <c r="E225" i="4" s="1" a="1"/>
  <c r="E225" i="4" s="1"/>
  <c r="G226" i="4"/>
  <c r="E226" i="4" s="1" a="1"/>
  <c r="E226" i="4" s="1"/>
  <c r="G227" i="4"/>
  <c r="E227" i="4" s="1" a="1"/>
  <c r="E227" i="4" s="1"/>
  <c r="G228" i="4"/>
  <c r="E228" i="4" s="1" a="1"/>
  <c r="E228" i="4" s="1"/>
  <c r="G229" i="4"/>
  <c r="E229" i="4" s="1" a="1"/>
  <c r="E229" i="4" s="1"/>
  <c r="G230" i="4"/>
  <c r="E230" i="4" s="1" a="1"/>
  <c r="E230" i="4" s="1"/>
  <c r="G231" i="4"/>
  <c r="E231" i="4" s="1" a="1"/>
  <c r="E231" i="4" s="1"/>
  <c r="G232" i="4"/>
  <c r="E232" i="4" s="1" a="1"/>
  <c r="E232" i="4" s="1"/>
  <c r="G233" i="4"/>
  <c r="E233" i="4" s="1" a="1"/>
  <c r="E233" i="4" s="1"/>
  <c r="G234" i="4"/>
  <c r="E234" i="4" s="1" a="1"/>
  <c r="E234" i="4" s="1"/>
  <c r="G235" i="4"/>
  <c r="E235" i="4" s="1" a="1"/>
  <c r="E235" i="4" s="1"/>
  <c r="G236" i="4"/>
  <c r="E236" i="4" s="1" a="1"/>
  <c r="E236" i="4" s="1"/>
  <c r="G237" i="4"/>
  <c r="E237" i="4" s="1" a="1"/>
  <c r="E237" i="4" s="1"/>
  <c r="G238" i="4"/>
  <c r="E238" i="4" s="1" a="1"/>
  <c r="E238" i="4" s="1"/>
  <c r="G239" i="4"/>
  <c r="E239" i="4" s="1" a="1"/>
  <c r="E239" i="4" s="1"/>
  <c r="G240" i="4"/>
  <c r="E240" i="4" s="1" a="1"/>
  <c r="E240" i="4" s="1"/>
  <c r="G241" i="4"/>
  <c r="E241" i="4" s="1" a="1"/>
  <c r="E241" i="4" s="1"/>
  <c r="G242" i="4"/>
  <c r="E242" i="4" s="1" a="1"/>
  <c r="E242" i="4" s="1"/>
  <c r="G243" i="4"/>
  <c r="E243" i="4" s="1" a="1"/>
  <c r="E243" i="4" s="1"/>
  <c r="G244" i="4"/>
  <c r="E244" i="4" s="1" a="1"/>
  <c r="E244" i="4" s="1"/>
  <c r="G245" i="4"/>
  <c r="E245" i="4" s="1" a="1"/>
  <c r="E245" i="4" s="1"/>
  <c r="G246" i="4"/>
  <c r="E246" i="4" s="1" a="1"/>
  <c r="E246" i="4" s="1"/>
  <c r="G247" i="4"/>
  <c r="E247" i="4" s="1" a="1"/>
  <c r="E247" i="4" s="1"/>
  <c r="G248" i="4"/>
  <c r="E248" i="4" s="1" a="1"/>
  <c r="E248" i="4" s="1"/>
  <c r="G249" i="4"/>
  <c r="E249" i="4" s="1" a="1"/>
  <c r="E249" i="4" s="1"/>
  <c r="G250" i="4"/>
  <c r="E250" i="4" s="1" a="1"/>
  <c r="E250" i="4" s="1"/>
  <c r="G251" i="4"/>
  <c r="E251" i="4" s="1" a="1"/>
  <c r="E251" i="4" s="1"/>
  <c r="G252" i="4"/>
  <c r="E252" i="4" s="1" a="1"/>
  <c r="E252" i="4" s="1"/>
  <c r="G253" i="4"/>
  <c r="E253" i="4" s="1" a="1"/>
  <c r="E253" i="4" s="1"/>
  <c r="G254" i="4"/>
  <c r="E254" i="4" s="1" a="1"/>
  <c r="E254" i="4" s="1"/>
  <c r="G255" i="4"/>
  <c r="E255" i="4" s="1" a="1"/>
  <c r="E255" i="4" s="1"/>
  <c r="G256" i="4"/>
  <c r="E256" i="4" s="1" a="1"/>
  <c r="E256" i="4" s="1"/>
  <c r="G257" i="4"/>
  <c r="E257" i="4" s="1" a="1"/>
  <c r="E257" i="4" s="1"/>
  <c r="G258" i="4"/>
  <c r="E258" i="4" s="1" a="1"/>
  <c r="E258" i="4" s="1"/>
  <c r="G259" i="4"/>
  <c r="E259" i="4" s="1" a="1"/>
  <c r="E259" i="4" s="1"/>
  <c r="G260" i="4"/>
  <c r="E260" i="4" s="1" a="1"/>
  <c r="E260" i="4" s="1"/>
  <c r="G261" i="4"/>
  <c r="E261" i="4" s="1" a="1"/>
  <c r="E261" i="4" s="1"/>
  <c r="G262" i="4"/>
  <c r="E262" i="4" s="1" a="1"/>
  <c r="E262" i="4" s="1"/>
  <c r="G263" i="4"/>
  <c r="E263" i="4" s="1" a="1"/>
  <c r="E263" i="4" s="1"/>
  <c r="G264" i="4"/>
  <c r="E264" i="4" s="1" a="1"/>
  <c r="E264" i="4" s="1"/>
  <c r="G265" i="4"/>
  <c r="E265" i="4" s="1" a="1"/>
  <c r="E265" i="4" s="1"/>
  <c r="G266" i="4"/>
  <c r="E266" i="4" s="1" a="1"/>
  <c r="E266" i="4" s="1"/>
  <c r="G267" i="4"/>
  <c r="E267" i="4" s="1" a="1"/>
  <c r="E267" i="4" s="1"/>
  <c r="G268" i="4"/>
  <c r="E268" i="4" s="1" a="1"/>
  <c r="E268" i="4" s="1"/>
  <c r="G269" i="4"/>
  <c r="E269" i="4" s="1" a="1"/>
  <c r="E269" i="4" s="1"/>
  <c r="G270" i="4"/>
  <c r="E270" i="4" s="1" a="1"/>
  <c r="E270" i="4" s="1"/>
  <c r="G271" i="4"/>
  <c r="E271" i="4" s="1" a="1"/>
  <c r="E271" i="4" s="1"/>
  <c r="G272" i="4"/>
  <c r="E272" i="4" s="1" a="1"/>
  <c r="E272" i="4" s="1"/>
  <c r="G273" i="4"/>
  <c r="E273" i="4" s="1" a="1"/>
  <c r="E273" i="4" s="1"/>
  <c r="G274" i="4"/>
  <c r="E274" i="4" s="1" a="1"/>
  <c r="E274" i="4" s="1"/>
  <c r="G275" i="4"/>
  <c r="E275" i="4" s="1" a="1"/>
  <c r="E275" i="4" s="1"/>
  <c r="G276" i="4"/>
  <c r="E276" i="4" s="1" a="1"/>
  <c r="E276" i="4" s="1"/>
  <c r="G277" i="4"/>
  <c r="E277" i="4" s="1" a="1"/>
  <c r="E277" i="4" s="1"/>
  <c r="G278" i="4"/>
  <c r="E278" i="4" s="1" a="1"/>
  <c r="E278" i="4" s="1"/>
  <c r="G279" i="4"/>
  <c r="E279" i="4" s="1" a="1"/>
  <c r="E279" i="4" s="1"/>
  <c r="G280" i="4"/>
  <c r="E280" i="4" s="1" a="1"/>
  <c r="E280" i="4" s="1"/>
  <c r="G281" i="4"/>
  <c r="E281" i="4" s="1" a="1"/>
  <c r="E281" i="4" s="1"/>
  <c r="G282" i="4"/>
  <c r="E282" i="4" s="1" a="1"/>
  <c r="E282" i="4" s="1"/>
  <c r="G283" i="4"/>
  <c r="E283" i="4" s="1" a="1"/>
  <c r="E283" i="4" s="1"/>
  <c r="G284" i="4"/>
  <c r="E284" i="4" s="1" a="1"/>
  <c r="E284" i="4" s="1"/>
  <c r="G285" i="4"/>
  <c r="E285" i="4" s="1" a="1"/>
  <c r="E285" i="4" s="1"/>
  <c r="G286" i="4"/>
  <c r="E286" i="4" s="1" a="1"/>
  <c r="E286" i="4" s="1"/>
  <c r="G287" i="4"/>
  <c r="E287" i="4" s="1" a="1"/>
  <c r="E287" i="4" s="1"/>
  <c r="G288" i="4"/>
  <c r="E288" i="4" s="1" a="1"/>
  <c r="E288" i="4" s="1"/>
  <c r="G289" i="4"/>
  <c r="E289" i="4" s="1" a="1"/>
  <c r="E289" i="4" s="1"/>
  <c r="G290" i="4"/>
  <c r="E290" i="4" s="1" a="1"/>
  <c r="E290" i="4" s="1"/>
  <c r="G291" i="4"/>
  <c r="E291" i="4" s="1" a="1"/>
  <c r="E291" i="4" s="1"/>
  <c r="G292" i="4"/>
  <c r="E292" i="4" s="1" a="1"/>
  <c r="E292" i="4" s="1"/>
  <c r="G293" i="4"/>
  <c r="E293" i="4" s="1" a="1"/>
  <c r="E293" i="4" s="1"/>
  <c r="G294" i="4"/>
  <c r="E294" i="4" s="1" a="1"/>
  <c r="E294" i="4" s="1"/>
  <c r="G295" i="4"/>
  <c r="E295" i="4" s="1" a="1"/>
  <c r="E295" i="4" s="1"/>
  <c r="G296" i="4"/>
  <c r="E296" i="4" s="1" a="1"/>
  <c r="E296" i="4" s="1"/>
  <c r="G297" i="4"/>
  <c r="E297" i="4" s="1" a="1"/>
  <c r="E297" i="4" s="1"/>
  <c r="G298" i="4"/>
  <c r="E298" i="4" s="1" a="1"/>
  <c r="E298" i="4" s="1"/>
  <c r="G299" i="4"/>
  <c r="E299" i="4" s="1" a="1"/>
  <c r="E299" i="4" s="1"/>
  <c r="G300" i="4"/>
  <c r="E300" i="4" s="1" a="1"/>
  <c r="E300" i="4" s="1"/>
  <c r="G301" i="4"/>
  <c r="E301" i="4" s="1" a="1"/>
  <c r="E301" i="4" s="1"/>
  <c r="G302" i="4"/>
  <c r="E302" i="4" s="1" a="1"/>
  <c r="E302" i="4" s="1"/>
  <c r="G303" i="4"/>
  <c r="E303" i="4" s="1" a="1"/>
  <c r="E303" i="4" s="1"/>
  <c r="G304" i="4"/>
  <c r="E304" i="4" s="1" a="1"/>
  <c r="E304" i="4" s="1"/>
  <c r="G305" i="4"/>
  <c r="E305" i="4" s="1" a="1"/>
  <c r="E305" i="4" s="1"/>
  <c r="G306" i="4"/>
  <c r="E306" i="4" s="1" a="1"/>
  <c r="E306" i="4" s="1"/>
  <c r="G307" i="4"/>
  <c r="E307" i="4" s="1" a="1"/>
  <c r="E307" i="4" s="1"/>
  <c r="G308" i="4"/>
  <c r="E308" i="4" s="1" a="1"/>
  <c r="E308" i="4" s="1"/>
  <c r="G309" i="4"/>
  <c r="E309" i="4" s="1" a="1"/>
  <c r="E309" i="4" s="1"/>
  <c r="G310" i="4"/>
  <c r="E310" i="4" s="1" a="1"/>
  <c r="E310" i="4" s="1"/>
  <c r="G311" i="4"/>
  <c r="E311" i="4" s="1" a="1"/>
  <c r="E311" i="4" s="1"/>
  <c r="G312" i="4"/>
  <c r="E312" i="4" s="1" a="1"/>
  <c r="E312" i="4" s="1"/>
  <c r="G313" i="4"/>
  <c r="E313" i="4" s="1" a="1"/>
  <c r="E313" i="4" s="1"/>
  <c r="G314" i="4"/>
  <c r="E314" i="4" s="1" a="1"/>
  <c r="E314" i="4" s="1"/>
  <c r="G315" i="4"/>
  <c r="E315" i="4" s="1" a="1"/>
  <c r="E315" i="4" s="1"/>
  <c r="G316" i="4"/>
  <c r="E316" i="4" s="1" a="1"/>
  <c r="E316" i="4" s="1"/>
  <c r="G317" i="4"/>
  <c r="E317" i="4" s="1" a="1"/>
  <c r="E317" i="4" s="1"/>
  <c r="G318" i="4"/>
  <c r="E318" i="4" s="1" a="1"/>
  <c r="E318" i="4" s="1"/>
  <c r="G319" i="4"/>
  <c r="E319" i="4" s="1" a="1"/>
  <c r="E319" i="4" s="1"/>
  <c r="G320" i="4"/>
  <c r="E320" i="4" s="1" a="1"/>
  <c r="E320" i="4" s="1"/>
  <c r="G321" i="4"/>
  <c r="E321" i="4" s="1" a="1"/>
  <c r="E321" i="4" s="1"/>
  <c r="G322" i="4"/>
  <c r="E322" i="4" s="1" a="1"/>
  <c r="E322" i="4" s="1"/>
  <c r="G323" i="4"/>
  <c r="E323" i="4" s="1" a="1"/>
  <c r="E323" i="4" s="1"/>
  <c r="G324" i="4"/>
  <c r="E324" i="4" s="1" a="1"/>
  <c r="E324" i="4" s="1"/>
  <c r="G325" i="4"/>
  <c r="E325" i="4" s="1" a="1"/>
  <c r="E325" i="4" s="1"/>
  <c r="G326" i="4"/>
  <c r="E326" i="4" s="1" a="1"/>
  <c r="E326" i="4" s="1"/>
  <c r="G327" i="4"/>
  <c r="E327" i="4" s="1" a="1"/>
  <c r="E327" i="4" s="1"/>
  <c r="G328" i="4"/>
  <c r="E328" i="4" s="1" a="1"/>
  <c r="E328" i="4" s="1"/>
  <c r="G329" i="4"/>
  <c r="E329" i="4" s="1" a="1"/>
  <c r="E329" i="4" s="1"/>
  <c r="G330" i="4"/>
  <c r="E330" i="4" s="1" a="1"/>
  <c r="E330" i="4" s="1"/>
  <c r="G331" i="4"/>
  <c r="E331" i="4" s="1" a="1"/>
  <c r="E331" i="4" s="1"/>
  <c r="G332" i="4"/>
  <c r="E332" i="4" s="1" a="1"/>
  <c r="E332" i="4" s="1"/>
  <c r="G333" i="4"/>
  <c r="E333" i="4" s="1" a="1"/>
  <c r="E333" i="4" s="1"/>
  <c r="G334" i="4"/>
  <c r="E334" i="4" s="1" a="1"/>
  <c r="E334" i="4" s="1"/>
  <c r="G335" i="4"/>
  <c r="E335" i="4" s="1" a="1"/>
  <c r="E335" i="4" s="1"/>
  <c r="G336" i="4"/>
  <c r="E336" i="4" s="1" a="1"/>
  <c r="E336" i="4" s="1"/>
  <c r="G337" i="4"/>
  <c r="E337" i="4" s="1" a="1"/>
  <c r="E337" i="4" s="1"/>
  <c r="G338" i="4"/>
  <c r="E338" i="4" s="1" a="1"/>
  <c r="E338" i="4" s="1"/>
  <c r="G339" i="4"/>
  <c r="E339" i="4" s="1" a="1"/>
  <c r="E339" i="4" s="1"/>
  <c r="G340" i="4"/>
  <c r="E340" i="4" s="1" a="1"/>
  <c r="E340" i="4" s="1"/>
  <c r="G341" i="4"/>
  <c r="E341" i="4" s="1" a="1"/>
  <c r="E341" i="4" s="1"/>
  <c r="G342" i="4"/>
  <c r="E342" i="4" s="1" a="1"/>
  <c r="E342" i="4" s="1"/>
  <c r="G343" i="4"/>
  <c r="E343" i="4" s="1" a="1"/>
  <c r="E343" i="4" s="1"/>
  <c r="G344" i="4"/>
  <c r="E344" i="4" s="1" a="1"/>
  <c r="E344" i="4" s="1"/>
  <c r="G345" i="4"/>
  <c r="E345" i="4" s="1" a="1"/>
  <c r="E345" i="4" s="1"/>
  <c r="G346" i="4"/>
  <c r="E346" i="4" s="1" a="1"/>
  <c r="E346" i="4" s="1"/>
  <c r="G347" i="4"/>
  <c r="E347" i="4" s="1" a="1"/>
  <c r="E347" i="4" s="1"/>
  <c r="G348" i="4"/>
  <c r="E348" i="4" s="1" a="1"/>
  <c r="E348" i="4" s="1"/>
  <c r="G349" i="4"/>
  <c r="E349" i="4" s="1" a="1"/>
  <c r="E349" i="4" s="1"/>
  <c r="G350" i="4"/>
  <c r="E350" i="4" s="1" a="1"/>
  <c r="E350" i="4" s="1"/>
  <c r="G351" i="4"/>
  <c r="E351" i="4" s="1" a="1"/>
  <c r="E351" i="4" s="1"/>
  <c r="G352" i="4"/>
  <c r="E352" i="4" s="1" a="1"/>
  <c r="E352" i="4" s="1"/>
  <c r="G353" i="4"/>
  <c r="E353" i="4" s="1" a="1"/>
  <c r="E353" i="4" s="1"/>
  <c r="G354" i="4"/>
  <c r="E354" i="4" s="1" a="1"/>
  <c r="E354" i="4" s="1"/>
  <c r="G355" i="4"/>
  <c r="E355" i="4" s="1" a="1"/>
  <c r="E355" i="4" s="1"/>
  <c r="G356" i="4"/>
  <c r="E356" i="4" s="1" a="1"/>
  <c r="E356" i="4" s="1"/>
  <c r="G357" i="4"/>
  <c r="E357" i="4" s="1" a="1"/>
  <c r="E357" i="4" s="1"/>
  <c r="G358" i="4"/>
  <c r="E358" i="4" s="1" a="1"/>
  <c r="E358" i="4" s="1"/>
  <c r="G359" i="4"/>
  <c r="E359" i="4" s="1" a="1"/>
  <c r="E359" i="4" s="1"/>
  <c r="G360" i="4"/>
  <c r="E360" i="4" s="1" a="1"/>
  <c r="E360" i="4" s="1"/>
  <c r="G361" i="4"/>
  <c r="E361" i="4" s="1" a="1"/>
  <c r="E361" i="4" s="1"/>
  <c r="G362" i="4"/>
  <c r="E362" i="4" s="1" a="1"/>
  <c r="E362" i="4" s="1"/>
  <c r="G363" i="4"/>
  <c r="E363" i="4" s="1" a="1"/>
  <c r="E363" i="4" s="1"/>
  <c r="G364" i="4"/>
  <c r="E364" i="4" s="1" a="1"/>
  <c r="E364" i="4" s="1"/>
  <c r="G365" i="4"/>
  <c r="E365" i="4" s="1" a="1"/>
  <c r="E365" i="4" s="1"/>
  <c r="G366" i="4"/>
  <c r="E366" i="4" s="1" a="1"/>
  <c r="E366" i="4" s="1"/>
  <c r="G367" i="4"/>
  <c r="E367" i="4" s="1" a="1"/>
  <c r="E367" i="4" s="1"/>
  <c r="G368" i="4"/>
  <c r="E368" i="4" s="1" a="1"/>
  <c r="E368" i="4" s="1"/>
  <c r="G369" i="4"/>
  <c r="E369" i="4" s="1" a="1"/>
  <c r="E369" i="4" s="1"/>
  <c r="G370" i="4"/>
  <c r="E370" i="4" s="1" a="1"/>
  <c r="E370" i="4" s="1"/>
  <c r="G371" i="4"/>
  <c r="E371" i="4" s="1" a="1"/>
  <c r="E371" i="4" s="1"/>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B13" i="5" l="1"/>
  <c r="B11" i="5"/>
  <c r="D13" i="5"/>
  <c r="D14" i="5"/>
  <c r="C15" i="5"/>
  <c r="D15" i="5"/>
  <c r="B15" i="5"/>
  <c r="B22" i="5"/>
  <c r="D22" i="5"/>
  <c r="C11" i="5"/>
  <c r="D11" i="5"/>
  <c r="C12" i="5"/>
  <c r="B12" i="5"/>
  <c r="C13" i="5"/>
  <c r="D12" i="5"/>
  <c r="C14" i="5"/>
  <c r="B14" i="5"/>
  <c r="D16" i="5"/>
  <c r="B16" i="5"/>
  <c r="C16" i="5"/>
  <c r="C24" i="5"/>
  <c r="C18" i="5"/>
  <c r="B28" i="5"/>
  <c r="D26" i="5"/>
  <c r="B19" i="5"/>
  <c r="D17" i="5"/>
  <c r="C25" i="5"/>
  <c r="C29" i="5"/>
  <c r="D21" i="5"/>
  <c r="B20" i="5"/>
  <c r="B17" i="5"/>
  <c r="C10" i="5"/>
  <c r="C30" i="5"/>
  <c r="D19" i="5"/>
  <c r="C27" i="5"/>
  <c r="D25" i="5"/>
  <c r="D29" i="5"/>
  <c r="F10" i="5" a="1"/>
  <c r="F10" i="5" s="1"/>
  <c r="C28" i="5"/>
  <c r="B26" i="5"/>
  <c r="B24" i="5"/>
  <c r="D18" i="5"/>
  <c r="C20" i="5"/>
  <c r="C17" i="5"/>
  <c r="B25" i="5"/>
  <c r="D10" i="5"/>
  <c r="D30" i="5"/>
  <c r="C19" i="5"/>
  <c r="B29" i="5"/>
  <c r="B21" i="5"/>
  <c r="C21" i="5"/>
  <c r="D27" i="5"/>
  <c r="C26" i="5"/>
  <c r="D24" i="5"/>
  <c r="D28" i="5"/>
  <c r="D20" i="5"/>
  <c r="B27" i="5"/>
  <c r="B10" i="5"/>
  <c r="B30" i="5"/>
  <c r="B18" i="5"/>
  <c r="C23" i="5"/>
  <c r="D23" i="5"/>
  <c r="B23" i="5"/>
  <c r="H5" i="5"/>
  <c r="H4" i="5"/>
  <c r="T5" i="5"/>
  <c r="H3" i="5"/>
  <c r="T4" i="5"/>
  <c r="T3" i="5"/>
  <c r="Z3" i="5"/>
  <c r="Z5" i="5"/>
  <c r="Z4" i="5"/>
  <c r="N3" i="5"/>
  <c r="N4" i="5"/>
  <c r="N5" i="5"/>
  <c r="B3" i="5"/>
  <c r="B4" i="5"/>
  <c r="B5" i="5"/>
  <c r="AI3" i="5"/>
  <c r="AI4" i="5"/>
  <c r="AI5"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<sst xmlns="http://schemas.openxmlformats.org/spreadsheetml/2006/main" count="18833" uniqueCount="1995">
  <si>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</si>
  <si>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</si>
  <si>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</si>
  <si>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</si>
  <si>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</si>
  <si>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</si>
  <si>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</si>
  <si>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</si>
  <si>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</si>
  <si>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</si>
  <si>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</si>
  <si>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</si>
  <si>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</si>
  <si>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</si>
  <si>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</si>
  <si>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</si>
  <si>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</si>
  <si>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</si>
  <si>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</si>
  <si>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</si>
  <si>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</si>
  <si>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</si>
  <si>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</si>
  <si>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</si>
  <si>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</si>
  <si>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</si>
  <si>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</si>
  <si>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</si>
  <si>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</si>
  <si>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</si>
  <si>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</si>
  <si>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</si>
  <si>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</si>
  <si>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</si>
  <si>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</si>
  <si>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</si>
  <si>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</si>
  <si>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 xml:space="preserve">DEA 31-4. Men’s Locker room screen partition wall needs to be secured to where it there is less movement when 
leaned against. (Photo 31-20) </t>
  </si>
  <si>
    <t>T1.9672970</t>
  </si>
  <si>
    <t xml:space="preserve">DEA 31-3. North Entry Pavers do not extend to the Planter wall. Please add partial pavers to fill in the space between 
the accent boarder and the planter wall. (Photo 31-08) </t>
  </si>
  <si>
    <t>IMS Masonry, Inc.</t>
  </si>
  <si>
    <t>Pavers</t>
  </si>
  <si>
    <t>T1.9672969</t>
  </si>
  <si>
    <t>DEA 31-2. North Entry Plaza “Wagon Wheel” has cracks throughout and needs to be addressed. This has been 
discussed with the Design Team but nothing official has been sent on the fix. (Photo 31-07)</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</si>
  <si>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</si>
  <si>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</si>
  <si>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</si>
  <si>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</si>
  <si>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</si>
  <si>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</si>
  <si>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</si>
  <si>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</si>
  <si>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</si>
  <si>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</si>
  <si>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</si>
  <si>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</si>
  <si>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</si>
  <si>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</si>
  <si>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</si>
  <si>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</si>
  <si>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</si>
  <si>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</si>
  <si>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</si>
  <si>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</si>
  <si>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</si>
  <si>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</si>
  <si>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</si>
  <si>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</si>
  <si>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</si>
  <si>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</si>
  <si>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</si>
  <si>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</si>
  <si>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</si>
  <si>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</si>
  <si>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</si>
  <si>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</si>
  <si>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</si>
  <si>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</si>
  <si>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</si>
  <si>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</si>
  <si>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</si>
  <si>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</si>
  <si>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</si>
  <si>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</si>
  <si>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</si>
  <si>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</si>
  <si>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</si>
  <si>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</si>
  <si>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</si>
  <si>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</si>
  <si>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</si>
  <si>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</si>
  <si>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</si>
  <si>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</si>
  <si>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</si>
  <si>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</si>
  <si>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</si>
  <si>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</si>
  <si>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</si>
  <si>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</si>
  <si>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</si>
  <si>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</si>
  <si>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</si>
  <si>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</si>
  <si>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</si>
  <si>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</si>
  <si>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</si>
  <si>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</si>
  <si>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</si>
  <si>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</si>
  <si>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</si>
  <si>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</si>
  <si>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</si>
  <si>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</si>
  <si>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</si>
  <si>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</si>
  <si>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</si>
  <si>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</si>
  <si>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</si>
  <si>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</si>
  <si>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</si>
  <si>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</si>
  <si>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</si>
  <si>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</si>
  <si>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</si>
  <si>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</si>
  <si>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</si>
  <si>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</si>
  <si>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</si>
  <si>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</si>
  <si>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</si>
  <si>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</si>
  <si>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</si>
  <si>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</si>
  <si>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</si>
  <si>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</si>
  <si>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</si>
  <si>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</si>
  <si>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</si>
  <si>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</si>
  <si>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</si>
  <si>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</si>
  <si>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</si>
  <si>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</si>
  <si>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</si>
  <si>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</si>
  <si>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</si>
  <si>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</si>
  <si>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</si>
  <si>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</si>
  <si>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</si>
  <si>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</si>
  <si>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</si>
  <si>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</si>
  <si>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</si>
  <si>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</si>
  <si>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</si>
  <si>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</si>
  <si>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</si>
  <si>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</si>
  <si>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</si>
  <si>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</si>
  <si>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</si>
  <si>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</si>
  <si>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</si>
  <si>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</si>
  <si>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</si>
  <si>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</si>
  <si>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</si>
  <si>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</si>
  <si>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</si>
  <si>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</si>
  <si>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</si>
  <si>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</si>
  <si>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</si>
  <si>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</si>
  <si>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</si>
  <si>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</si>
  <si>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</si>
  <si>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</si>
  <si>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</si>
  <si>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</si>
  <si>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</si>
  <si>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 xml:space="preserve">CxA Site Visit Report 20220706, Item 04: Floor Drain Alignment and Hanger: In one of the Janitor Storage rooms in the West Tower, the floor drain piping isn’t 
centered with the hole in the floor. Also, a hanger support is needed. See Photo 6. </t>
  </si>
  <si>
    <t>Plumbing</t>
  </si>
  <si>
    <t>T1.9652846</t>
  </si>
  <si>
    <t>Historical Level 2 AE102</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</si>
  <si>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</si>
  <si>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</si>
  <si>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</si>
  <si>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</si>
  <si>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</si>
  <si>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</si>
  <si>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</si>
  <si>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</si>
  <si>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</si>
  <si>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</si>
  <si>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</si>
  <si>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</si>
  <si>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</si>
  <si>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</si>
  <si>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</si>
  <si>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</si>
  <si>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</si>
  <si>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</si>
  <si>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</si>
  <si>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</si>
  <si>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</si>
  <si>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</si>
  <si>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</si>
  <si>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</si>
  <si>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</si>
  <si>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</si>
  <si>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</si>
  <si>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</si>
  <si>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</si>
  <si>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</si>
  <si>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</si>
  <si>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</si>
  <si>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</si>
  <si>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</si>
  <si>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</si>
  <si>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</si>
  <si>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</si>
  <si>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</si>
  <si>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</si>
  <si>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</si>
  <si>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</si>
  <si>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</si>
  <si>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</si>
  <si>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</si>
  <si>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</si>
  <si>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</si>
  <si>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</si>
  <si>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</si>
  <si>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</si>
  <si>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</si>
  <si>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</si>
  <si>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</si>
  <si>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</si>
  <si>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</si>
  <si>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</si>
  <si>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</si>
  <si>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</si>
  <si>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</si>
  <si>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</si>
  <si>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</si>
  <si>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</si>
  <si>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</si>
  <si>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</si>
  <si>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</si>
  <si>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</si>
  <si>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</si>
  <si>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</si>
  <si>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</si>
  <si>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</si>
  <si>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</si>
  <si>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</si>
  <si>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</si>
  <si>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</si>
  <si>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</si>
  <si>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</si>
  <si>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</si>
  <si>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</si>
  <si>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</si>
  <si>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</si>
  <si>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</si>
  <si>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</si>
  <si>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</si>
  <si>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</si>
  <si>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</si>
  <si>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</si>
  <si>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</si>
  <si>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</si>
  <si>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</si>
  <si>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</si>
  <si>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</si>
  <si>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</si>
  <si>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</si>
  <si>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</si>
  <si>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</si>
  <si>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</si>
  <si>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</si>
  <si>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</si>
  <si>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</si>
  <si>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</si>
  <si>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</si>
  <si>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</si>
  <si>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</si>
  <si>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</si>
  <si>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</si>
  <si>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</si>
  <si>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</si>
  <si>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</si>
  <si>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</si>
  <si>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</si>
  <si>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</si>
  <si>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</si>
  <si>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</si>
  <si>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</si>
  <si>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</si>
  <si>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</si>
  <si>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</si>
  <si>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</si>
  <si>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</si>
  <si>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</si>
  <si>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</si>
  <si>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</si>
  <si>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</si>
  <si>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</si>
  <si>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</si>
  <si>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</si>
  <si>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</si>
  <si>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</si>
  <si>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</si>
  <si>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</si>
  <si>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</si>
  <si>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</si>
  <si>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</si>
  <si>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</si>
  <si>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</si>
  <si>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</si>
  <si>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</si>
  <si>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</si>
  <si>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</si>
  <si>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</si>
  <si>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</si>
  <si>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</si>
  <si>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</si>
  <si>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</si>
  <si>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</si>
  <si>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</si>
  <si>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</si>
  <si>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</si>
  <si>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</si>
  <si>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</si>
  <si>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</si>
  <si>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align electrical sconce rough in with plumbing and sink rough in.
Also raise sconce to correct elevation￼</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</si>
  <si>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</si>
  <si>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</si>
  <si>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</si>
  <si>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</si>
  <si>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</si>
  <si>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</si>
  <si>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</si>
  <si>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</si>
  <si>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</si>
  <si>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</si>
  <si>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</si>
  <si>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</si>
  <si>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</si>
  <si>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</si>
  <si>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</si>
  <si>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</si>
  <si>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</si>
  <si>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</si>
  <si>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</si>
  <si>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</si>
  <si>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</si>
  <si>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</si>
  <si>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</si>
  <si>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</si>
  <si>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</si>
  <si>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</si>
  <si>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</si>
  <si>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</si>
  <si>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</si>
  <si>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</si>
  <si>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</si>
  <si>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</si>
  <si>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</si>
  <si>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</si>
  <si>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</si>
  <si>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</si>
  <si>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</si>
  <si>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</si>
  <si>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</si>
  <si>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</si>
  <si>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</si>
  <si>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</si>
  <si>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</si>
  <si>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</si>
  <si>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</si>
  <si>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</si>
  <si>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</si>
  <si>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</si>
  <si>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</si>
  <si>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</si>
  <si>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</si>
  <si>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</si>
  <si>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</si>
  <si>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</si>
  <si>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</si>
  <si>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</si>
  <si>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</si>
  <si>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</si>
  <si>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</si>
  <si>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</si>
  <si>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</si>
  <si>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</si>
  <si>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</si>
  <si>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</si>
  <si>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</si>
  <si>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</si>
  <si>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</si>
  <si>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</si>
  <si>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</si>
  <si>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</si>
  <si>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</si>
  <si>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</si>
  <si>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</si>
  <si>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</si>
  <si>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</si>
  <si>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</si>
  <si>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</si>
  <si>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</si>
  <si>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</si>
  <si>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</si>
  <si>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</si>
  <si>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</si>
  <si>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</si>
  <si>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</si>
  <si>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</si>
  <si>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</si>
  <si>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</si>
  <si>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</si>
  <si>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</si>
  <si>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 xml:space="preserve">CxA Site Visit Report 20220324, Item 20:
Pipe Clearances: The Fire sprinkler pipe and the DVW pipe in the AHU5 mechanical room are close to each other. Verify the pipes have the proper clearances and correct if needed. See Photo 24. </t>
  </si>
  <si>
    <t>T1.9629082</t>
  </si>
  <si>
    <t xml:space="preserve">CxA Site Visit Report 20220324, Item 19:
Font Makeup Water Backflow drain line: The drain line from the Font Makeup Water backflow, needs to be extend to the floor drain. See Photo 23. </t>
  </si>
  <si>
    <t>T1.9629079</t>
  </si>
  <si>
    <t xml:space="preserve">CxA Site Visit Report 20220324, Item 18: 
FC Filter Covers: The FC filter compartments only have clips to hold the air filters, verify the air can’t bypass the filters in operations. See Photo 22. </t>
  </si>
  <si>
    <t>T1.9629077</t>
  </si>
  <si>
    <t xml:space="preserve">CxA Site Visit Report 20220324, Item 17:
Missing VAV access covers: VAV-0-04 and V-0-22 are missing access covers. Should covers be supplied by the manufacture and installed to provide maintenance access to inside of VAVs? See Photos 20 and 21. </t>
  </si>
  <si>
    <t>T1.9629076</t>
  </si>
  <si>
    <t xml:space="preserve">CxA Site Visit Report 20220324, Item 16:
Loose duct hangers: Some wire duct hangers are loose on the duct installed in AHU5 mechanical room. Recommend they be tightened. See Photos 18 and 19. </t>
  </si>
  <si>
    <t>T1.9629074</t>
  </si>
  <si>
    <t xml:space="preserve">CxA Site Visit Report 20220324, Item 15:
Steam Generator Dust Covers: Recommend that the Steam Generators in AHU5 mechanical room be covered to protect from construction debris and dust. See Photo 17. </t>
  </si>
  <si>
    <t>T1.9629071</t>
  </si>
  <si>
    <t xml:space="preserve">CxA Site Visit Report 20220324, Item 14:
Fire Junction Box Coupling: The fire junction box coupling appears to be improper. Recommend it be reviewed and corrected as needed. See Photo 16. </t>
  </si>
  <si>
    <t>T1.9629069</t>
  </si>
  <si>
    <t xml:space="preserve">CxA Site Visit Report 20220324, Item 13:
Missing electrical connection plugs: Cooling Tower Valves are missing plugs for spare electrical connection holes and need to be installed. See Photo 15. </t>
  </si>
  <si>
    <t>T1.9629068</t>
  </si>
  <si>
    <t>CxA Site Visit Report 20220324, Item 12:
Cooling Tower Control Valves: Some cooling tower control valves already have signs of rusting. Are these exterior grade valves and meet the drawing and specification requirements? See Photo 13 and 14.</t>
  </si>
  <si>
    <t>T1.9629065</t>
  </si>
  <si>
    <t xml:space="preserve">CxA Site Visit Report 20220324, Item 11:
Cooling Tower (CT1 and CT2) pad material: Recommend checking the pad material of CT1 and CT2 for proper function and condition. See Photo 12. </t>
  </si>
  <si>
    <t>T1.9629064</t>
  </si>
  <si>
    <t xml:space="preserve">CxA Site Visit Report 20220324, Item 10:
Cooling Tower (CT1 and CT2) fan bearing covers: Recommend the cooling tower fan bearing covers be inspected, repair or replaced as needed.  See Photo 11. </t>
  </si>
  <si>
    <t>T1.9629063</t>
  </si>
  <si>
    <t xml:space="preserve">CxA Site Visit Report 20220324, Item 9:
Cooling Towers and Enclosure Cleanup Recommend the cooling towers and enclosure be cleaned prior to operation See Photo 10. </t>
  </si>
  <si>
    <t>T1.9629059</t>
  </si>
  <si>
    <t xml:space="preserve">CxA Site Visit Report 20220324, Item 8:
Chiller Room Exhaust Fan: The chiller room exhaust fan should be cleaned and operational for refrigerant leak testing prior to chiller operation. See Photo 9. </t>
  </si>
  <si>
    <t>T1.9629058</t>
  </si>
  <si>
    <t>CxA Site Visit Report 20220324, Item 7:
Chiller Insulation: The chiller ends should have the insulation repaired or replaced See Photo 8.</t>
  </si>
  <si>
    <t>T1.9629056</t>
  </si>
  <si>
    <t xml:space="preserve">CxA Site Visit Report 20220324, Item 6:
Electrical Box Mounting: The electrical boxes need to be mounted to the wall to provide proper support. These boxes are in the Chiller room., See Photo 7. </t>
  </si>
  <si>
    <t>T1.9629054</t>
  </si>
  <si>
    <t xml:space="preserve">CxA Site Visit Report 20220324, Item 5:
Insulation Support Covers: Several insulation support covers are missing and need to be installed. Photo was taken in the Annex fire riser room. See Photo 6. </t>
  </si>
  <si>
    <t>T1.9629051</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</si>
  <si>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</si>
  <si>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T1.9629039</t>
  </si>
  <si>
    <t xml:space="preserve">CxA Site Visit Report 20220324, Item 3:
FC 0-02 Drain lines: The drains line for FC 0-02 haven't been installed. See Photo 3. </t>
  </si>
  <si>
    <t>T1.9629037</t>
  </si>
  <si>
    <t>CxA Site Visit Report 20220324, Item 2:
Pipe Insulation: The heating water piping is too close to the ductwork of AHU1 to insulate the piping.</t>
  </si>
  <si>
    <t>T1.9629025</t>
  </si>
  <si>
    <t>CxA Site Visit Report 2022.03.24, Item 1:
FC-01 by AHU1 is missing a seismic strap and should be installed.</t>
  </si>
  <si>
    <t>T55794.6</t>
  </si>
  <si>
    <t>Verify flex conduit is rated to pass through wall of fire rated mechanical shaft.</t>
  </si>
  <si>
    <t>T55794.5</t>
  </si>
  <si>
    <t>align electrical sconce rough in with plumbing and sink rough in.
￼ Also raise sconce to correct elevation￼</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</si>
  <si>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</si>
  <si>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</si>
  <si>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</si>
  <si>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</si>
  <si>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</si>
  <si>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</si>
  <si>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</si>
  <si>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</si>
  <si>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</si>
  <si>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</si>
  <si>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</si>
  <si>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</si>
  <si>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 xml:space="preserve">StGeorge Site Visit Report 20220223, Item 6:
PPR piping with electric resistance fusion fittings has been used on this project.  Please provide feedback regarding the cost, labor and process of installation. </t>
  </si>
  <si>
    <t>T1.9618559</t>
  </si>
  <si>
    <t xml:space="preserve">StGeorge Site Visit Report 20220223, Item 5:
The controls installation is in progress.  Carefully coordinate the installation of the controls system.  Please provide progress reports of the installation process and commissioning. </t>
  </si>
  <si>
    <t>T1.9618558</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</si>
  <si>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</si>
  <si>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T1.9618557</t>
  </si>
  <si>
    <t>StGeorge Site Visit Report 20220223, Item 2:
Air vents will need to be installed in the piping where piping offsets upward to prevent air locks.</t>
  </si>
  <si>
    <t>T1.9618556</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</si>
  <si>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</si>
  <si>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T1.9612545</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</si>
  <si>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</si>
  <si>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T1.9612544</t>
  </si>
  <si>
    <t>CxA Field Report 20220113, Item 2: 
Pipe Insulation damage: The piping insulation has water damaged near VAV 0-09 box in the Annex level 0.  See photo 3.</t>
  </si>
  <si>
    <t>T1.9612543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</si>
  <si>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</si>
  <si>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T1.9606607</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</si>
  <si>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</si>
  <si>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T1.9606606</t>
  </si>
  <si>
    <t xml:space="preserve">CxA Report 11.30.2021 Item 6:
Damaged AHU coil fins: In AHU1 there is some bent fins on the air handler coils that need to be straightened, see Photo 6. </t>
  </si>
  <si>
    <t>T1.9606604</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</si>
  <si>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</si>
  <si>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T1.9606601</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</si>
  <si>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</si>
  <si>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T1.9606598</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</si>
  <si>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</si>
  <si>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T1.9606597</t>
  </si>
  <si>
    <t>CxA Report 11.30.2021 - Item 2: 
Boiler Startup: During the startup of Boiler 3, it was determined by MHI Service that a control card had failed and needed to be replaced. MHI ordered the part to be installed, see Photo 2.</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</si>
  <si>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</si>
  <si>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</si>
  <si>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</si>
  <si>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</si>
  <si>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</si>
  <si>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</si>
  <si>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</si>
  <si>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</si>
  <si>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</si>
  <si>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</si>
  <si>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</si>
  <si>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</si>
  <si>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</si>
  <si>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</si>
  <si>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</si>
  <si>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</si>
  <si>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</si>
  <si>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</si>
  <si>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T1.9599815</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</si>
  <si>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</si>
  <si>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T1.9599807</t>
  </si>
  <si>
    <t xml:space="preserve">Site Visit Report 20211015, Item 1:
There is a plenum box in the entry lobby that has been damaged and needs to repaired or replaced. </t>
  </si>
  <si>
    <t>T59123.67</t>
  </si>
  <si>
    <t>020A - East Mechanical &gt; Annex Level 0AE100
Re-attach hanger bracket at humidifier piping</t>
  </si>
  <si>
    <t>T59123.66</t>
  </si>
  <si>
    <t>Cap the two unused conduit feeders</t>
  </si>
  <si>
    <t>T1.9596688</t>
  </si>
  <si>
    <t xml:space="preserve">EOR 2021.09.09, Item 20:
Temple – LV2 
A crack on MC cabling armor was observed. This can lead to additional cable failure if additional stress is present and galvanized shield is further compromised and comes in contact with inner cables. </t>
  </si>
  <si>
    <t>T1.9596687</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</si>
  <si>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</si>
  <si>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T1.9596686</t>
  </si>
  <si>
    <t xml:space="preserve">EOR 2021.09.09, Item 18:
Annex – LV1 
MC cabling appears to be routed outside of the intended path, protruding beyond the width of the joists.  Verify that it will not cause a bulge when drywall is installed. 
 </t>
  </si>
  <si>
    <t>T1.9596685</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</si>
  <si>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</si>
  <si>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T1.9596684</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</si>
  <si>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</si>
  <si>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T1.9596683</t>
  </si>
  <si>
    <t xml:space="preserve">EOR 2021.09.09, Item 13: Annex – Basement 
Main Mechanical and Electrical control room equipment installation appears to be installed in an organized manner. 
Verify clearances in electrical room meet NEC standards. </t>
  </si>
  <si>
    <t>T1.9596676</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</si>
  <si>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</si>
  <si>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T1.9596673</t>
  </si>
  <si>
    <t>EOR 2021.09.09, Item 9: Annex – Basement 
Power cable for filtration device appears to be too short for the application. Potential stress on the cable is 
introduced.  
Depending on traffic, this can be a trip and equipment hazard.</t>
  </si>
  <si>
    <t>T1.9596672</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</si>
  <si>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</si>
  <si>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T1.9596671</t>
  </si>
  <si>
    <t xml:space="preserve">Annex – Basement 
Cabling for bathroom outlets is in place. 
Verify orientation of sink outlets to accommodate 
vanity outlets or power faucets. </t>
  </si>
  <si>
    <t>T1.9596670</t>
  </si>
  <si>
    <t xml:space="preserve">Cabling for outlets at “grab &amp; go” room appears to be valid.  
Verify with electrical consultants that adequate load 
allocation is in place to accommodate multiple vending machines. 
Exits sign cabling is in place. </t>
  </si>
  <si>
    <t>T1.9596669</t>
  </si>
  <si>
    <t xml:space="preserve">Annex - Basement  
Cabling appears to be routed to junction boxes, outlets, and switches.  
Installation of switches appears to be valid. </t>
  </si>
  <si>
    <t>T1.9596668</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</si>
  <si>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</si>
  <si>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T1.9596667</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</si>
  <si>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</si>
  <si>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</si>
  <si>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</si>
  <si>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</si>
  <si>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</si>
  <si>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</si>
  <si>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</si>
  <si>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</si>
  <si>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</si>
  <si>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</si>
  <si>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</si>
  <si>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</si>
  <si>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</si>
  <si>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</si>
  <si>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</si>
  <si>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</si>
  <si>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</si>
  <si>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</si>
  <si>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</si>
  <si>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</si>
  <si>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</si>
  <si>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</si>
  <si>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</si>
  <si>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</si>
  <si>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</si>
  <si>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 xml:space="preserve">ARW 70-8: Areaway wall gap. Jay asked if Styrofoam is ok to use for the gap at the top of the areaway wall in the 
west mechanical room.  I indicated that this was acceptable. </t>
  </si>
  <si>
    <t>T1.9556214</t>
  </si>
  <si>
    <t xml:space="preserve">ARW 70-7: Loading dock topping. Jay asked if they could use a pea gravel mix for the topping at the loading dock.  
After further discussion, it was concluded that the topping should be as answered in a previous CCD issued regarding this area. </t>
  </si>
  <si>
    <t>T1.9556213</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</si>
  <si>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</si>
  <si>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T1.9556211</t>
  </si>
  <si>
    <t xml:space="preserve">ARW 70-6: HSS landing beam connection to the 
concrete foundation wall. Indicated to Will (Glassey) that it is acceptable to use Titen HD anchors for this connection as noted in COR 69 by Brent White. </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</si>
  <si>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</si>
  <si>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</si>
  <si>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</si>
  <si>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</si>
  <si>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</si>
  <si>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</si>
  <si>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</si>
  <si>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</si>
  <si>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</si>
  <si>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</si>
  <si>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</si>
  <si>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</si>
  <si>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</si>
  <si>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</si>
  <si>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</si>
  <si>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</si>
  <si>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</si>
  <si>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ARW 69-10: Various steel beams throughout the historic 
temple are supported on bearing plates and concrete pillow blocks.  All space around the beams is to be grouted solid after beam placement. Verify that all pockets are fully grouted while access is possible</t>
  </si>
  <si>
    <t>T1.9552521</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</si>
  <si>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</si>
  <si>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T1.9552520</t>
  </si>
  <si>
    <t xml:space="preserve">ARW 69-8: An arched HSS beam has been erected at 
west side of grid HC. There is no arched ceiling framing in this area above the catwalk. The HSS beam should be relocated at grid HB and attached to the stone wall per 1/S244. </t>
  </si>
  <si>
    <t>T1.9552518</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</si>
  <si>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</si>
  <si>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T1.9552517</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</si>
  <si>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</si>
  <si>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T1.9552516</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</si>
  <si>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</si>
  <si>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T1.9552514</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</si>
  <si>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</si>
  <si>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T1.9552510</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</si>
  <si>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</si>
  <si>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T1.9552509</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</si>
  <si>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</si>
  <si>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T1.9552506</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</si>
  <si>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</si>
  <si>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</si>
  <si>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</si>
  <si>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</si>
  <si>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</si>
  <si>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T1.9552503</t>
  </si>
  <si>
    <t>ARW 67-8: Clip connecting level 0.5 LVL and level 2 LVL 
stud - Noted that screws have not been placed in clip plate that connects the level 0.5 and level 2 stud. Ryan noted the location and marked it.  Wall is on the south side of the veil room.</t>
  </si>
  <si>
    <t>T1.9552501</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</si>
  <si>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</si>
  <si>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T1.9552499</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</si>
  <si>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</si>
  <si>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T1.9552498</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</si>
  <si>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</si>
  <si>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</si>
  <si>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</si>
  <si>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</si>
  <si>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 xml:space="preserve">ARW 67-3: Header for opening between Baptistry 
Chapel and foyer - Concrete header still not completed.  Indicated to Ryan that ARW would prefer this to be moved up the priority list and be done soon. </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</si>
  <si>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</si>
  <si>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</si>
  <si>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</si>
  <si>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</si>
  <si>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</si>
  <si>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</si>
  <si>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T1.9552437</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</si>
  <si>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</si>
  <si>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T1.9552436</t>
  </si>
  <si>
    <t>ARW 66-6: At Level 2 between HE and HF near H5 an 
existing floor joist is split. A new LVL joist should be placed sistered to the existing joist per information provided in the drawings and in previous RFI responses for similar conditions.</t>
  </si>
  <si>
    <t>T1.9552435</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</si>
  <si>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</si>
  <si>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T1.9552434</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</si>
  <si>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</si>
  <si>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T1.9552433</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</si>
  <si>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</si>
  <si>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T1.9552430</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</si>
  <si>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</si>
  <si>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T1.9552428</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</si>
  <si>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</si>
  <si>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</si>
  <si>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</si>
  <si>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</si>
  <si>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 xml:space="preserve">ARW 65-1: The windows near the brides exit need to 
have the window sills built up to get above 
elevation 100’-0”.   Please provide new window sills per the same direction provided in RFI 961. </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</si>
  <si>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</si>
  <si>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</si>
  <si>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</si>
  <si>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</si>
  <si>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</si>
  <si>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</si>
  <si>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</si>
  <si>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</si>
  <si>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</si>
  <si>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</si>
  <si>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</si>
  <si>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</si>
  <si>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</si>
  <si>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</si>
  <si>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</si>
  <si>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</si>
  <si>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</si>
  <si>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</si>
  <si>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</si>
  <si>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</si>
  <si>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</si>
  <si>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</si>
  <si>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</si>
  <si>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</si>
  <si>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</si>
  <si>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</si>
  <si>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</si>
  <si>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</si>
  <si>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</si>
  <si>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</si>
  <si>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</si>
  <si>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</si>
  <si>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</si>
  <si>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</si>
  <si>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</si>
  <si>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</si>
  <si>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</si>
  <si>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</si>
  <si>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</si>
  <si>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</si>
  <si>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</si>
  <si>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</si>
  <si>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</si>
  <si>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</si>
  <si>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</si>
  <si>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</si>
  <si>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</si>
  <si>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</si>
  <si>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</si>
  <si>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</si>
  <si>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</si>
  <si>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</si>
  <si>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</si>
  <si>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</si>
  <si>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</si>
  <si>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</si>
  <si>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</si>
  <si>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</si>
  <si>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</si>
  <si>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</si>
  <si>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</si>
  <si>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</si>
  <si>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</si>
  <si>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</si>
  <si>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</si>
  <si>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</si>
  <si>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T1.9541090</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</si>
  <si>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</si>
  <si>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T1.9541089</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</si>
  <si>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</si>
  <si>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T1.9541088</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</si>
  <si>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</si>
  <si>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T1.9541087</t>
  </si>
  <si>
    <t>ARW Field Report 59.1 - Josh asked if the new concrete jambs around the opening for door 190A can be 6” thick instead of 8” as specified in detail 17/S245.
6” concrete jambs at this door is acceptable. 
Please provide the reinforcing as shown in detail 17/S245.</t>
  </si>
  <si>
    <t>T1.9539631</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</si>
  <si>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</si>
  <si>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T1.9539630</t>
  </si>
  <si>
    <t xml:space="preserve">Electrical Observation Report: 4/16/2021; Item 16
Temple – LV 3
NEC 358.14 identifies dissimilar metals cannot be in contact due to galvanic effects. Electrical raceways should not be in contact with different metals. </t>
  </si>
  <si>
    <t>T1.9539629</t>
  </si>
  <si>
    <t xml:space="preserve">Electrical Observation Report: 4/16/2021; Item 13
Temple - Basement 
No electrical rough and floor box for the computer 
equipment/desk was found in the area around the font. </t>
  </si>
  <si>
    <t>T1.9539628</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</si>
  <si>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</si>
  <si>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T1.9539627</t>
  </si>
  <si>
    <t xml:space="preserve">Electrical Observation Report: 4/16/2021; Item 11
Annex – Level 1 
NEC 358.14 identifies dissimilar metals cannot be in contact due to galvanic effects. Electrical raceways 
should not be in contact with different metals. </t>
  </si>
  <si>
    <t>T1.9539626</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</si>
  <si>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</si>
  <si>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T1.9539624</t>
  </si>
  <si>
    <t xml:space="preserve">Electrical Observation Report: 4/16/2021; Item 5
Annex – Basement 
 It appears conduit is not supported per NEC 344.30 at some electrical junction boxes. </t>
  </si>
  <si>
    <t>T1.9539622</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</si>
  <si>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</si>
  <si>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T1.9539621</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</si>
  <si>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</si>
  <si>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T1.9539000</t>
  </si>
  <si>
    <t>Missing laundry bell</t>
  </si>
  <si>
    <t>ForwardedFrom</t>
  </si>
  <si>
    <t>T59123.46</t>
  </si>
  <si>
    <t>Center all diffusers and fixtures in walls within each space as per RFI direction</t>
  </si>
  <si>
    <t>T1.9536908</t>
  </si>
  <si>
    <t xml:space="preserve">ARW 62-4 - Level 5 concrete infill frames and pillow blocks have some gaps between the stone wall and concrete infill. 
Discussed this with Josh and he said they will make sure these gaps are grouted solid. </t>
  </si>
  <si>
    <t>T1.9536906</t>
  </si>
  <si>
    <t>ARW 62-5 - North addition clothing drop openings need holes cut into the suspended concrete slab on metal deck.
Please provide a steel frame below the 
metal deck as shown in detail 12/S202.</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</si>
  <si>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</si>
  <si>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</si>
  <si>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</si>
  <si>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</si>
  <si>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</si>
  <si>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</si>
  <si>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</si>
  <si>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</si>
  <si>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</si>
  <si>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</si>
  <si>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</si>
  <si>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</si>
  <si>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</si>
  <si>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</si>
  <si>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</si>
  <si>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</si>
  <si>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</si>
  <si>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</si>
  <si>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</si>
  <si>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</si>
  <si>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</si>
  <si>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</si>
  <si>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</si>
  <si>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</si>
  <si>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</si>
  <si>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</si>
  <si>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</si>
  <si>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</si>
  <si>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</si>
  <si>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</si>
  <si>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</si>
  <si>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</si>
  <si>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</si>
  <si>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</si>
  <si>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</si>
  <si>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</si>
  <si>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</si>
  <si>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</si>
  <si>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</si>
  <si>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</si>
  <si>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</si>
  <si>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</si>
  <si>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</si>
  <si>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</si>
  <si>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</si>
  <si>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</si>
  <si>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</si>
  <si>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</si>
  <si>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</si>
  <si>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</si>
  <si>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</si>
  <si>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</si>
  <si>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</si>
  <si>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</si>
  <si>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</si>
  <si>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</si>
  <si>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</si>
  <si>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</si>
  <si>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</si>
  <si>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</si>
  <si>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</si>
  <si>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</si>
  <si>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</si>
  <si>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</si>
  <si>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</si>
  <si>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</si>
  <si>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</si>
  <si>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</si>
  <si>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</si>
  <si>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</si>
  <si>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</si>
  <si>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</si>
  <si>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</si>
  <si>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</si>
  <si>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</si>
  <si>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</si>
  <si>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</si>
  <si>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</si>
  <si>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</si>
  <si>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</si>
  <si>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</si>
  <si>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</si>
  <si>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</si>
  <si>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</si>
  <si>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</si>
  <si>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</si>
  <si>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</si>
  <si>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</si>
  <si>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</si>
  <si>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</si>
  <si>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</si>
  <si>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</si>
  <si>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</si>
  <si>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</si>
  <si>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</si>
  <si>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</si>
  <si>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</si>
  <si>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</si>
  <si>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</si>
  <si>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</si>
  <si>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</si>
  <si>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</si>
  <si>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</si>
  <si>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</si>
  <si>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</si>
  <si>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</si>
  <si>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</si>
  <si>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</si>
  <si>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</si>
  <si>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</si>
  <si>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</si>
  <si>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</si>
  <si>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</si>
  <si>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</si>
  <si>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</si>
  <si>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</si>
  <si>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</si>
  <si>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</si>
  <si>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</si>
  <si>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</si>
  <si>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</si>
  <si>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</si>
  <si>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</si>
  <si>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</si>
  <si>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</si>
  <si>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</si>
  <si>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</si>
  <si>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</si>
  <si>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</si>
  <si>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</si>
  <si>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</si>
  <si>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</si>
  <si>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</si>
  <si>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</si>
  <si>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</si>
  <si>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</si>
  <si>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</si>
  <si>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</si>
  <si>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</si>
  <si>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</si>
  <si>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</si>
  <si>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</si>
  <si>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</si>
  <si>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</si>
  <si>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</si>
  <si>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</si>
  <si>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</si>
  <si>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</si>
  <si>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</si>
  <si>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</si>
  <si>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</si>
  <si>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</si>
  <si>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</si>
  <si>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</si>
  <si>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</si>
  <si>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</si>
  <si>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</si>
  <si>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</si>
  <si>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</si>
  <si>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</si>
  <si>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</si>
  <si>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</si>
  <si>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</si>
  <si>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</si>
  <si>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</si>
  <si>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</si>
  <si>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</si>
  <si>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</si>
  <si>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</si>
  <si>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</si>
  <si>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</si>
  <si>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</si>
  <si>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</si>
  <si>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</si>
  <si>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</si>
  <si>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</si>
  <si>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</si>
  <si>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</si>
  <si>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</si>
  <si>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</si>
  <si>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</si>
  <si>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</si>
  <si>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</si>
  <si>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</si>
  <si>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</si>
  <si>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</si>
  <si>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</si>
  <si>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</si>
  <si>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</si>
  <si>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</si>
  <si>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</si>
  <si>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</si>
  <si>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</si>
  <si>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</si>
  <si>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</si>
  <si>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</si>
  <si>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</si>
  <si>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</si>
  <si>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</si>
  <si>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</si>
  <si>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</si>
  <si>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</si>
  <si>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</si>
  <si>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</si>
  <si>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</si>
  <si>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</si>
  <si>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</si>
  <si>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</si>
  <si>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</si>
  <si>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</si>
  <si>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</si>
  <si>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</si>
  <si>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</si>
  <si>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</si>
  <si>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</si>
  <si>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</si>
  <si>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</si>
  <si>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</si>
  <si>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</si>
  <si>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</si>
  <si>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</si>
  <si>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</si>
  <si>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</si>
  <si>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</si>
  <si>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</si>
  <si>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</si>
  <si>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</si>
  <si>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</si>
  <si>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</si>
  <si>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</si>
  <si>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</si>
  <si>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</si>
  <si>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</si>
  <si>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</si>
  <si>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</si>
  <si>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</si>
  <si>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</si>
  <si>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</si>
  <si>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</si>
  <si>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</si>
  <si>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</si>
  <si>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</si>
  <si>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</si>
  <si>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</si>
  <si>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</si>
  <si>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</si>
  <si>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</si>
  <si>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</si>
  <si>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</si>
  <si>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</si>
  <si>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</si>
  <si>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</si>
  <si>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</si>
  <si>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</si>
  <si>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</si>
  <si>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</si>
  <si>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</si>
  <si>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</si>
  <si>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</si>
  <si>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</si>
  <si>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</si>
  <si>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</si>
  <si>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</si>
  <si>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</si>
  <si>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</si>
  <si>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</si>
  <si>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</si>
  <si>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</si>
  <si>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</si>
  <si>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</si>
  <si>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</si>
  <si>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</si>
  <si>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</si>
  <si>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</si>
  <si>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</si>
  <si>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</si>
  <si>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</si>
  <si>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</si>
  <si>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</si>
  <si>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</si>
  <si>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</si>
  <si>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</si>
  <si>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</si>
  <si>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</si>
  <si>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</si>
  <si>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</si>
  <si>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</si>
  <si>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</si>
  <si>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</si>
  <si>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</si>
  <si>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</si>
  <si>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</si>
  <si>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</si>
  <si>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</si>
  <si>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</si>
  <si>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</si>
  <si>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Site visit report: 09/02/22
Tower addition VAV access:
The tower corridor VAV access hatches don’t provide good maintenance access. 
See site report item # 1</t>
  </si>
  <si>
    <t>Westland -- MEP</t>
  </si>
  <si>
    <t>T74290.189</t>
  </si>
  <si>
    <t>Site visit report: 09/02/22
Brides corridor diffuser covers:
Suggest adding debris covers over the floor diffuse openings in the brides corridor</t>
  </si>
  <si>
    <t>T74290.188</t>
  </si>
  <si>
    <t>Site visit report: 09/02/22
Protect AHU5 Panel
Suggest adding a dust cover to the AHU5 electrical panels</t>
  </si>
  <si>
    <t>T74290.187</t>
  </si>
  <si>
    <t>042 - Shop</t>
  </si>
  <si>
    <t>Site visit report 09/02/22
Floor drain protection:
Several floor drains should be covered to protect them from construction debris</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</si>
  <si>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</si>
  <si>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</si>
  <si>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</si>
  <si>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</si>
  <si>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</si>
  <si>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</si>
  <si>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</si>
  <si>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</si>
  <si>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</si>
  <si>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</si>
  <si>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</si>
  <si>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</si>
  <si>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</si>
  <si>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</si>
  <si>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</si>
  <si>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</si>
  <si>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</si>
  <si>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</si>
  <si>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</si>
  <si>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</si>
  <si>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</si>
  <si>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</si>
  <si>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</si>
  <si>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</si>
  <si>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</si>
  <si>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</si>
  <si>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</si>
  <si>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</si>
  <si>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</si>
  <si>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</si>
  <si>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</si>
  <si>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</si>
  <si>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</si>
  <si>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</si>
  <si>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</si>
  <si>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</si>
  <si>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</si>
  <si>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</si>
  <si>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</si>
  <si>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</si>
  <si>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</si>
  <si>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</si>
  <si>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</si>
  <si>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</si>
  <si>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</si>
  <si>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</si>
  <si>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</si>
  <si>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</si>
  <si>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</si>
  <si>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</si>
  <si>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</si>
  <si>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</si>
  <si>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</si>
  <si>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</si>
  <si>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</si>
  <si>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</si>
  <si>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</si>
  <si>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</si>
  <si>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</si>
  <si>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</si>
  <si>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</si>
  <si>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</si>
  <si>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</si>
  <si>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</si>
  <si>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</si>
  <si>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</si>
  <si>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</si>
  <si>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</si>
  <si>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</si>
  <si>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</si>
  <si>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</si>
  <si>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</si>
  <si>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</si>
  <si>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</si>
  <si>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</si>
  <si>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</si>
  <si>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</si>
  <si>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</si>
  <si>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</si>
  <si>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</si>
  <si>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</si>
  <si>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</si>
  <si>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</si>
  <si>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</si>
  <si>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</si>
  <si>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</si>
  <si>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</si>
  <si>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</si>
  <si>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</si>
  <si>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</si>
  <si>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</si>
  <si>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</si>
  <si>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</si>
  <si>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</si>
  <si>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</si>
  <si>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</si>
  <si>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</si>
  <si>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</si>
  <si>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</si>
  <si>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</si>
  <si>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</si>
  <si>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</si>
  <si>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</si>
  <si>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</si>
  <si>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</si>
  <si>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</si>
  <si>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</si>
  <si>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</si>
  <si>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</si>
  <si>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</si>
  <si>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</si>
  <si>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</si>
  <si>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</si>
  <si>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</si>
  <si>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</si>
  <si>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</si>
  <si>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</si>
  <si>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</si>
  <si>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</si>
  <si>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</si>
  <si>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</si>
  <si>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</si>
  <si>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</si>
  <si>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</si>
  <si>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</si>
  <si>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</si>
  <si>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</si>
  <si>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</si>
  <si>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</si>
  <si>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</si>
  <si>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</si>
  <si>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</si>
  <si>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</si>
  <si>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</si>
  <si>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</si>
  <si>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</si>
  <si>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</si>
  <si>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</si>
  <si>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</si>
  <si>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</si>
  <si>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</si>
  <si>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</si>
  <si>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</si>
  <si>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</si>
  <si>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</si>
  <si>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</si>
  <si>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</si>
  <si>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</si>
  <si>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</si>
  <si>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</si>
  <si>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</si>
  <si>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</si>
  <si>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</si>
  <si>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</si>
  <si>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</si>
  <si>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</si>
  <si>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</si>
  <si>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</si>
  <si>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</si>
  <si>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</si>
  <si>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</si>
  <si>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</si>
  <si>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</si>
  <si>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</si>
  <si>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</si>
  <si>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</si>
  <si>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</si>
  <si>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</si>
  <si>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</si>
  <si>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</si>
  <si>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</si>
  <si>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</si>
  <si>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</si>
  <si>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</si>
  <si>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</si>
  <si>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</si>
  <si>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</si>
  <si>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</si>
  <si>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</si>
  <si>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</si>
  <si>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</si>
  <si>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</si>
  <si>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</si>
  <si>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</si>
  <si>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</si>
  <si>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</si>
  <si>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</si>
  <si>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</si>
  <si>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</si>
  <si>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</si>
  <si>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</si>
  <si>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</si>
  <si>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</si>
  <si>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</si>
  <si>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</si>
  <si>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</si>
  <si>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</si>
  <si>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</si>
  <si>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</si>
  <si>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</si>
  <si>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</si>
  <si>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</si>
  <si>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</si>
  <si>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</si>
  <si>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</si>
  <si>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</si>
  <si>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</si>
  <si>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</si>
  <si>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</si>
  <si>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</si>
  <si>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</si>
  <si>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</si>
  <si>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</si>
  <si>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</si>
  <si>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</si>
  <si>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</si>
  <si>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</si>
  <si>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</si>
  <si>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</si>
  <si>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</si>
  <si>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</si>
  <si>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</si>
  <si>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</si>
  <si>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</si>
  <si>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</si>
  <si>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</si>
  <si>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</si>
  <si>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</si>
  <si>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</si>
  <si>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</si>
  <si>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</si>
  <si>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</si>
  <si>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</si>
  <si>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</si>
  <si>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</si>
  <si>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</si>
  <si>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</si>
  <si>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</si>
  <si>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</si>
  <si>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</si>
  <si>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</si>
  <si>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</si>
  <si>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</si>
  <si>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</si>
  <si>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</si>
  <si>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</si>
  <si>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</si>
  <si>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</si>
  <si>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</si>
  <si>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</si>
  <si>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</si>
  <si>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</si>
  <si>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</si>
  <si>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</si>
  <si>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</si>
  <si>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</si>
  <si>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</si>
  <si>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</si>
  <si>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</si>
  <si>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</si>
  <si>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</si>
  <si>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</si>
  <si>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</si>
  <si>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</si>
  <si>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</si>
  <si>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</si>
  <si>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</si>
  <si>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</si>
  <si>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</si>
  <si>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</si>
  <si>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</si>
  <si>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</si>
  <si>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</si>
  <si>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</si>
  <si>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</si>
  <si>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</si>
  <si>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</si>
  <si>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</si>
  <si>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</si>
  <si>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</si>
  <si>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</si>
  <si>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</si>
  <si>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</si>
  <si>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</si>
  <si>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</si>
  <si>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</si>
  <si>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</si>
  <si>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</si>
  <si>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</si>
  <si>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</si>
  <si>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</si>
  <si>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</si>
  <si>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</si>
  <si>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</si>
  <si>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</si>
  <si>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</si>
  <si>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</si>
  <si>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</si>
  <si>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</si>
  <si>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</si>
  <si>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</si>
  <si>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</si>
  <si>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</si>
  <si>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</si>
  <si>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</si>
  <si>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</si>
  <si>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</si>
  <si>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</si>
  <si>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</si>
  <si>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</si>
  <si>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</si>
  <si>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</si>
  <si>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</si>
  <si>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</si>
  <si>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</si>
  <si>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</si>
  <si>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</si>
  <si>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</si>
  <si>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</si>
  <si>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</si>
  <si>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</si>
  <si>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</si>
  <si>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</si>
  <si>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</si>
  <si>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</si>
  <si>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</si>
  <si>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</si>
  <si>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</si>
  <si>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</si>
  <si>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</si>
  <si>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</si>
  <si>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</si>
  <si>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</si>
  <si>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</si>
  <si>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</si>
  <si>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</si>
  <si>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</si>
  <si>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</si>
  <si>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</si>
  <si>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</si>
  <si>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</si>
  <si>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</si>
  <si>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</si>
  <si>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</si>
  <si>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</si>
  <si>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</si>
  <si>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</si>
  <si>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</si>
  <si>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</si>
  <si>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</si>
  <si>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</si>
  <si>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</si>
  <si>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</si>
  <si>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</si>
  <si>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</si>
  <si>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</si>
  <si>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</si>
  <si>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</si>
  <si>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</si>
  <si>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</si>
  <si>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</si>
  <si>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</si>
  <si>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</si>
  <si>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</si>
  <si>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</si>
  <si>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</si>
  <si>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</si>
  <si>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</si>
  <si>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</si>
  <si>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</si>
  <si>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</si>
  <si>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</si>
  <si>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</si>
  <si>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</si>
  <si>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</si>
  <si>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</si>
  <si>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</si>
  <si>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</si>
  <si>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</si>
  <si>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</si>
  <si>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</si>
  <si>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</si>
  <si>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</si>
  <si>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</si>
  <si>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</si>
  <si>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</si>
  <si>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</si>
  <si>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</si>
  <si>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</si>
  <si>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</si>
  <si>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</si>
  <si>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</si>
  <si>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</si>
  <si>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</si>
  <si>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</si>
  <si>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</si>
  <si>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</si>
  <si>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</si>
  <si>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</si>
  <si>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</si>
  <si>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</si>
  <si>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</si>
  <si>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</si>
  <si>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</si>
  <si>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</si>
  <si>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</si>
  <si>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</si>
  <si>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</si>
  <si>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</si>
  <si>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</si>
  <si>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</si>
  <si>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</si>
  <si>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</si>
  <si>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</si>
  <si>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</si>
  <si>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</si>
  <si>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</si>
  <si>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</si>
  <si>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</si>
  <si>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</si>
  <si>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</si>
  <si>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</si>
  <si>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</si>
  <si>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</si>
  <si>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</si>
  <si>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</si>
  <si>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</si>
  <si>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</si>
  <si>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</si>
  <si>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</si>
  <si>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</si>
  <si>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</si>
  <si>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</si>
  <si>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</si>
  <si>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</si>
  <si>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</si>
  <si>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</si>
  <si>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</si>
  <si>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</si>
  <si>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</si>
  <si>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</si>
  <si>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</si>
  <si>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</si>
  <si>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</si>
  <si>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</si>
  <si>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</si>
  <si>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</si>
  <si>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</si>
  <si>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</si>
  <si>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</si>
  <si>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</si>
  <si>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</si>
  <si>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</si>
  <si>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</si>
  <si>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</si>
  <si>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</si>
  <si>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</si>
  <si>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</si>
  <si>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</si>
  <si>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</si>
  <si>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</si>
  <si>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</si>
  <si>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</si>
  <si>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</si>
  <si>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</si>
  <si>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</si>
  <si>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</si>
  <si>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</si>
  <si>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</si>
  <si>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</si>
  <si>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</si>
  <si>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</si>
  <si>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</si>
  <si>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</si>
  <si>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</si>
  <si>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</si>
  <si>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</si>
  <si>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</si>
  <si>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</si>
  <si>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</si>
  <si>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</si>
  <si>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</si>
  <si>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</si>
  <si>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</si>
  <si>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</si>
  <si>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</si>
  <si>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</si>
  <si>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</si>
  <si>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</si>
  <si>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</si>
  <si>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</si>
  <si>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</si>
  <si>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</si>
  <si>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</si>
  <si>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</si>
  <si>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</si>
  <si>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</si>
  <si>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</si>
  <si>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</si>
  <si>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</si>
  <si>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</si>
  <si>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</si>
  <si>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</si>
  <si>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</si>
  <si>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</si>
  <si>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</si>
  <si>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</si>
  <si>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</si>
  <si>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</si>
  <si>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</si>
  <si>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</si>
  <si>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</si>
  <si>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</si>
  <si>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</si>
  <si>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</si>
  <si>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</si>
  <si>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</si>
  <si>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</si>
  <si>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</si>
  <si>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</si>
  <si>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</si>
  <si>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</si>
  <si>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</si>
  <si>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</si>
  <si>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</si>
  <si>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</si>
  <si>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</si>
  <si>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</si>
  <si>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</si>
  <si>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</si>
  <si>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</si>
  <si>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</si>
  <si>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</si>
  <si>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</si>
  <si>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</si>
  <si>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</si>
  <si>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</si>
  <si>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</si>
  <si>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</si>
  <si>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</si>
  <si>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 xml:space="preserve">precast finishes issues will likely make it so that we have to paint the sign… same color as site walls
</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</si>
  <si>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</si>
  <si>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</si>
  <si>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</si>
  <si>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</si>
  <si>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</si>
  <si>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</si>
  <si>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</si>
  <si>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</si>
  <si>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</si>
  <si>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</si>
  <si>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</si>
  <si>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</si>
  <si>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Strike plates installed not in alignment</t>
  </si>
  <si>
    <t>Touch up along top of wall tile for entire bathroom</t>
  </si>
  <si>
    <t>Install bathroom fixture</t>
  </si>
  <si>
    <t>Touch header of portal</t>
  </si>
  <si>
    <t>Install sprinkler head cover</t>
  </si>
  <si>
    <t>Cabinet touch up  on both base cabinets and wall cabinets</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</si>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</sst>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5"/>
        <bgColor theme="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4">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cellStyleXfs>
  <cellXfs count="21">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NumberFormat="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0" fontId="0" fillId="0" borderId="0" xfId="0" applyAlignment="1"/>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6" fillId="0" borderId="0" xfId="0" applyNumberFormat="1" applyFont="1"/>
    <xf numFmtId="0" fontId="5" fillId="0" borderId="0" xfId="3" applyNumberFormat="1"/>
    <xf numFmtId="14" fontId="1" fillId="2" borderId="1" xfId="1" applyNumberFormat="1"/>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cellXfs>
  <cellStyles count="4">
    <cellStyle name="Hyperlink" xfId="3" builtinId="8"/>
    <cellStyle name="Input" xfId="1" builtinId="20"/>
    <cellStyle name="Normal" xfId="0" builtinId="0"/>
    <cellStyle name="Percent" xfId="2" builtinId="5"/>
  </cellStyles>
  <dxfs count="59">
    <dxf>
      <numFmt numFmtId="19" formatCode="m/d/yyyy"/>
    </dxf>
    <dxf>
      <numFmt numFmtId="19" formatCode="m/d/yyyy"/>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434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28</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237</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171</c:v>
                </c:pt>
                <c:pt idx="1">
                  <c:v>19</c:v>
                </c:pt>
                <c:pt idx="2">
                  <c:v>132</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248</c:v>
                </c:pt>
                <c:pt idx="1">
                  <c:v>9</c:v>
                </c:pt>
                <c:pt idx="2">
                  <c:v>79</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8</c:v>
                </c:pt>
                <c:pt idx="1">
                  <c:v>0</c:v>
                </c:pt>
                <c:pt idx="2">
                  <c:v>2</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3</c:v>
                </c:pt>
                <c:pt idx="1">
                  <c:v>0</c:v>
                </c:pt>
                <c:pt idx="2">
                  <c:v>23</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New Holland Church Furniture</c:v>
                </c:pt>
                <c:pt idx="1">
                  <c:v>AW Carter LLC</c:v>
                </c:pt>
                <c:pt idx="2">
                  <c:v>Stratton &amp; Bratt Landscapes, LLC.</c:v>
                </c:pt>
                <c:pt idx="3">
                  <c:v>Ducworks</c:v>
                </c:pt>
                <c:pt idx="4">
                  <c:v>Finessed Finishes, Inc.</c:v>
                </c:pt>
                <c:pt idx="5">
                  <c:v>Otis Elevator</c:v>
                </c:pt>
                <c:pt idx="6">
                  <c:v>R. Phillips Plastering LLC</c:v>
                </c:pt>
                <c:pt idx="7">
                  <c:v>Broken Arrow Construction Corporation</c:v>
                </c:pt>
                <c:pt idx="8">
                  <c:v>Design West Acoustics</c:v>
                </c:pt>
                <c:pt idx="9">
                  <c:v>US Mechanical</c:v>
                </c:pt>
                <c:pt idx="10">
                  <c:v>Rockhill Construction</c:v>
                </c:pt>
                <c:pt idx="11">
                  <c:v>Global Stone and Tile, LLC</c:v>
                </c:pt>
                <c:pt idx="12">
                  <c:v>Re-View</c:v>
                </c:pt>
                <c:pt idx="13">
                  <c:v>Pete King Construction</c:v>
                </c:pt>
                <c:pt idx="14">
                  <c:v>Glassey Steel Works</c:v>
                </c:pt>
                <c:pt idx="15">
                  <c:v>IMS Masonry, Inc.</c:v>
                </c:pt>
                <c:pt idx="16">
                  <c:v>Innovative Concrete, LLC</c:v>
                </c:pt>
                <c:pt idx="17">
                  <c:v>Wilkinson Electric Inc</c:v>
                </c:pt>
                <c:pt idx="18">
                  <c:v>Fetzers' Inc.</c:v>
                </c:pt>
                <c:pt idx="19">
                  <c:v>Westland Construction, Inc.</c:v>
                </c:pt>
                <c:pt idx="20">
                  <c:v>Accent Painting and Special Coatings, LLC</c:v>
                </c:pt>
              </c:strCache>
            </c:strRef>
          </c:cat>
          <c:val>
            <c:numRef>
              <c:f>Tables!$B$10:$B$30</c:f>
              <c:numCache>
                <c:formatCode>0</c:formatCode>
                <c:ptCount val="21"/>
                <c:pt idx="0">
                  <c:v>97</c:v>
                </c:pt>
                <c:pt idx="1">
                  <c:v>0</c:v>
                </c:pt>
                <c:pt idx="2">
                  <c:v>0</c:v>
                </c:pt>
                <c:pt idx="3">
                  <c:v>0</c:v>
                </c:pt>
                <c:pt idx="4">
                  <c:v>0</c:v>
                </c:pt>
                <c:pt idx="5">
                  <c:v>0</c:v>
                </c:pt>
                <c:pt idx="6">
                  <c:v>2</c:v>
                </c:pt>
                <c:pt idx="7">
                  <c:v>17</c:v>
                </c:pt>
                <c:pt idx="8">
                  <c:v>4</c:v>
                </c:pt>
                <c:pt idx="9">
                  <c:v>32</c:v>
                </c:pt>
                <c:pt idx="10">
                  <c:v>14</c:v>
                </c:pt>
                <c:pt idx="11">
                  <c:v>6</c:v>
                </c:pt>
                <c:pt idx="12">
                  <c:v>0</c:v>
                </c:pt>
                <c:pt idx="13">
                  <c:v>34</c:v>
                </c:pt>
                <c:pt idx="14">
                  <c:v>19</c:v>
                </c:pt>
                <c:pt idx="15">
                  <c:v>4</c:v>
                </c:pt>
                <c:pt idx="16">
                  <c:v>22</c:v>
                </c:pt>
                <c:pt idx="17">
                  <c:v>25</c:v>
                </c:pt>
                <c:pt idx="18">
                  <c:v>22</c:v>
                </c:pt>
                <c:pt idx="19">
                  <c:v>22</c:v>
                </c:pt>
                <c:pt idx="20">
                  <c:v>114</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New Holland Church Furniture</c:v>
                </c:pt>
                <c:pt idx="1">
                  <c:v>AW Carter LLC</c:v>
                </c:pt>
                <c:pt idx="2">
                  <c:v>Stratton &amp; Bratt Landscapes, LLC.</c:v>
                </c:pt>
                <c:pt idx="3">
                  <c:v>Ducworks</c:v>
                </c:pt>
                <c:pt idx="4">
                  <c:v>Finessed Finishes, Inc.</c:v>
                </c:pt>
                <c:pt idx="5">
                  <c:v>Otis Elevator</c:v>
                </c:pt>
                <c:pt idx="6">
                  <c:v>R. Phillips Plastering LLC</c:v>
                </c:pt>
                <c:pt idx="7">
                  <c:v>Broken Arrow Construction Corporation</c:v>
                </c:pt>
                <c:pt idx="8">
                  <c:v>Design West Acoustics</c:v>
                </c:pt>
                <c:pt idx="9">
                  <c:v>US Mechanical</c:v>
                </c:pt>
                <c:pt idx="10">
                  <c:v>Rockhill Construction</c:v>
                </c:pt>
                <c:pt idx="11">
                  <c:v>Global Stone and Tile, LLC</c:v>
                </c:pt>
                <c:pt idx="12">
                  <c:v>Re-View</c:v>
                </c:pt>
                <c:pt idx="13">
                  <c:v>Pete King Construction</c:v>
                </c:pt>
                <c:pt idx="14">
                  <c:v>Glassey Steel Works</c:v>
                </c:pt>
                <c:pt idx="15">
                  <c:v>IMS Masonry, Inc.</c:v>
                </c:pt>
                <c:pt idx="16">
                  <c:v>Innovative Concrete, LLC</c:v>
                </c:pt>
                <c:pt idx="17">
                  <c:v>Wilkinson Electric Inc</c:v>
                </c:pt>
                <c:pt idx="18">
                  <c:v>Fetzers' Inc.</c:v>
                </c:pt>
                <c:pt idx="19">
                  <c:v>Westland Construction, Inc.</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2</c:v>
                </c:pt>
                <c:pt idx="8">
                  <c:v>0</c:v>
                </c:pt>
                <c:pt idx="9">
                  <c:v>12</c:v>
                </c:pt>
                <c:pt idx="10">
                  <c:v>0</c:v>
                </c:pt>
                <c:pt idx="11">
                  <c:v>1</c:v>
                </c:pt>
                <c:pt idx="12">
                  <c:v>0</c:v>
                </c:pt>
                <c:pt idx="13">
                  <c:v>3</c:v>
                </c:pt>
                <c:pt idx="14">
                  <c:v>1</c:v>
                </c:pt>
                <c:pt idx="15">
                  <c:v>0</c:v>
                </c:pt>
                <c:pt idx="16">
                  <c:v>2</c:v>
                </c:pt>
                <c:pt idx="17">
                  <c:v>5</c:v>
                </c:pt>
                <c:pt idx="18">
                  <c:v>1</c:v>
                </c:pt>
                <c:pt idx="19">
                  <c:v>1</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New Holland Church Furniture</c:v>
                </c:pt>
                <c:pt idx="1">
                  <c:v>AW Carter LLC</c:v>
                </c:pt>
                <c:pt idx="2">
                  <c:v>Stratton &amp; Bratt Landscapes, LLC.</c:v>
                </c:pt>
                <c:pt idx="3">
                  <c:v>Ducworks</c:v>
                </c:pt>
                <c:pt idx="4">
                  <c:v>Finessed Finishes, Inc.</c:v>
                </c:pt>
                <c:pt idx="5">
                  <c:v>Otis Elevator</c:v>
                </c:pt>
                <c:pt idx="6">
                  <c:v>R. Phillips Plastering LLC</c:v>
                </c:pt>
                <c:pt idx="7">
                  <c:v>Broken Arrow Construction Corporation</c:v>
                </c:pt>
                <c:pt idx="8">
                  <c:v>Design West Acoustics</c:v>
                </c:pt>
                <c:pt idx="9">
                  <c:v>US Mechanical</c:v>
                </c:pt>
                <c:pt idx="10">
                  <c:v>Rockhill Construction</c:v>
                </c:pt>
                <c:pt idx="11">
                  <c:v>Global Stone and Tile, LLC</c:v>
                </c:pt>
                <c:pt idx="12">
                  <c:v>Re-View</c:v>
                </c:pt>
                <c:pt idx="13">
                  <c:v>Pete King Construction</c:v>
                </c:pt>
                <c:pt idx="14">
                  <c:v>Glassey Steel Works</c:v>
                </c:pt>
                <c:pt idx="15">
                  <c:v>IMS Masonry, Inc.</c:v>
                </c:pt>
                <c:pt idx="16">
                  <c:v>Innovative Concrete, LLC</c:v>
                </c:pt>
                <c:pt idx="17">
                  <c:v>Wilkinson Electric Inc</c:v>
                </c:pt>
                <c:pt idx="18">
                  <c:v>Fetzers' Inc.</c:v>
                </c:pt>
                <c:pt idx="19">
                  <c:v>Westland Construction, Inc.</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2</c:v>
                </c:pt>
                <c:pt idx="7">
                  <c:v>20</c:v>
                </c:pt>
                <c:pt idx="8">
                  <c:v>0</c:v>
                </c:pt>
                <c:pt idx="9">
                  <c:v>17</c:v>
                </c:pt>
                <c:pt idx="10">
                  <c:v>0</c:v>
                </c:pt>
                <c:pt idx="11">
                  <c:v>8</c:v>
                </c:pt>
                <c:pt idx="12">
                  <c:v>0</c:v>
                </c:pt>
                <c:pt idx="13">
                  <c:v>40</c:v>
                </c:pt>
                <c:pt idx="14">
                  <c:v>2</c:v>
                </c:pt>
                <c:pt idx="15">
                  <c:v>0</c:v>
                </c:pt>
                <c:pt idx="16">
                  <c:v>15</c:v>
                </c:pt>
                <c:pt idx="17">
                  <c:v>88</c:v>
                </c:pt>
                <c:pt idx="18">
                  <c:v>15</c:v>
                </c:pt>
                <c:pt idx="19">
                  <c:v>20</c:v>
                </c:pt>
                <c:pt idx="20">
                  <c:v>10</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88820"/>
          <a:ext cx="7117080" cy="229362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I700" totalsRowShown="0" headerRowDxfId="58" dataDxfId="57">
  <autoFilter ref="A1:I700" xr:uid="{4EAC528C-AA3A-414E-9285-992466C8D535}"/>
  <tableColumns count="9">
    <tableColumn id="1" xr3:uid="{4388BF7F-C8D6-4F87-9743-9F078BB99B5C}" name="Task Number" dataDxfId="56">
      <calculatedColumnFormula>HYPERLINK(_xlfn.CONCAT(Edit_URL,Tasks[[#This Row],[Ref]]),Tasks[[#This Row],[Ref]])</calculatedColumnFormula>
    </tableColumn>
    <tableColumn id="2" xr3:uid="{19C79FD2-EDDA-4914-8B46-528FC1707390}" name="Status" dataDxfId="55">
      <calculatedColumnFormula array="1">_xlfn.SWITCH(LEFT(Tasks[[#This Row],[Status]],1),"O","Opened","C","Completed","S","Signed Off", "V", "Signed Off","ERROR")</calculatedColumnFormula>
    </tableColumn>
    <tableColumn id="10" xr3:uid="{4DB35BCC-BC30-41B1-A47F-A1F540192736}" name="Task Type" dataDxfId="54">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53">
      <calculatedColumnFormula>_xlfn.LET(
_xlpm.leftValue, TRIM(LEFT(Tasks[[#This Row],[Description]], 45)),
IF(LEN(_xlpm.leftValue) &lt; 40, _xlpm.leftValue, _xlfn.CONCAT(_xlpm.leftValue, "…"))
)</calculatedColumnFormula>
    </tableColumn>
    <tableColumn id="3" xr3:uid="{CED64825-D1BF-479F-85CD-556C99721197}" name="Building" dataDxfId="52">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51">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50">
      <calculatedColumnFormula>IF(Tasks[[#This Row],[Location]]=0, "", Tasks[[#This Row],[Location]])</calculatedColumnFormula>
    </tableColumn>
    <tableColumn id="6" xr3:uid="{2FD2D28F-D043-4B32-ADFC-2AFF368E363A}" name="To Package" dataDxfId="49">
      <calculatedColumnFormula>Tasks[[#This Row],[To Package]]</calculatedColumnFormula>
    </tableColumn>
    <tableColumn id="7" xr3:uid="{0DA8FE8C-8A10-4AC4-9138-5D996E1AA157}" name="To Org" dataDxfId="48">
      <calculatedColumnFormula>Tasks[[#This Row],[To Organisation]]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47">
      <calculatedColumnFormula>COUNTIFS(Task_Summary_Table[Status], Annex_Overall_Table[[#This Row],[Status]], Task_Summary_Table[Building], "Annex")</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46">
      <calculatedColumnFormula>COUNTIFS(Task_Summary_Table[Status], Historic_Overall_Table[[#This Row],[Status]], Task_Summary_Table[Building], "Historic")</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45">
      <calculatedColumnFormula>COUNTIFS(Task_Summary_Table[Status], Site_Overall_Table[[#This Row],[Status]], Task_Summary_Table[Building], "Site")</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44">
      <calculatedColumnFormula>COUNTIFS(Task_Summary_Table[Status], Other_Overall_Table[[#This Row],[Status]], Task_Summary_Table[Building], "Project Task")</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43">
      <calculatedColumnFormula>COUNTIFS(Task_Summary_Table[Status], Combine_Overall_Table[[#This Row],[Status]])</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42">
  <autoFilter ref="AF2:AF41" xr:uid="{CEC50D86-F1E1-41CD-8E81-77258B4EA606}"/>
  <tableColumns count="1">
    <tableColumn id="1" xr3:uid="{A5933C31-8807-4CFD-9B76-6E34A155D4E3}" name="Tower Rm Numbers"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40">
      <calculatedColumnFormula>COUNTIFS(Task_Summary_Table[Status], West_Tower_Overall_Table[[#This Row],[Status]], Task_Summary_Table[Building], "West Tower")</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39">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38">
      <calculatedColumnFormula>COUNTIFS(Task_Summary_Table[Status], "Opened", Task_Summary_Table[To Org], Table11[[#This Row],[Subcontractor]])</calculatedColumnFormula>
    </tableColumn>
    <tableColumn id="3" xr3:uid="{59EF2B72-EB81-4D2B-898F-65CB8162DBB9}" name="Completed" dataDxfId="37">
      <calculatedColumnFormula>COUNTIFS(Task_Summary_Table[Status], "Completed", Task_Summary_Table[To Org], Table11[[#This Row],[Subcontractor]])</calculatedColumnFormula>
    </tableColumn>
    <tableColumn id="4" xr3:uid="{A5DBA00C-74C3-47E4-9826-BDA9AEBCE363}" name="Signed Off" dataDxfId="36">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4" totalsRowShown="0" dataDxfId="0">
  <autoFilter ref="AL2:AL4" xr:uid="{C9871862-6D42-44BF-88E1-C954D699AC84}"/>
  <tableColumns count="1">
    <tableColumn id="1" xr3:uid="{2C0A2572-8060-42A1-A1BB-F5F69C0F3AA8}" name="TS_Table_Dates"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700" tableType="queryTable" totalsRowShown="0">
  <autoFilter ref="A1:Q700" xr:uid="{FDEBA6BA-981E-4C7E-811F-96A9A60AB2EE}"/>
  <tableColumns count="17">
    <tableColumn id="1" xr3:uid="{3918FFDE-7F8A-4709-A247-CA717A540FC7}" uniqueName="1" name="Ref" queryTableFieldId="1" dataDxfId="35"/>
    <tableColumn id="2" xr3:uid="{5FB43A43-9B74-4C67-B40B-C43A09BB3E98}" uniqueName="2" name="Status" queryTableFieldId="2" dataDxfId="34"/>
    <tableColumn id="16" xr3:uid="{965BAD12-4C26-445B-9765-49F766E5459D}" uniqueName="16" name="Page" queryTableFieldId="16" dataDxfId="33"/>
    <tableColumn id="3" xr3:uid="{B8DEC25D-5EF5-4835-A2A4-BB4BA7E2DE21}" uniqueName="3" name="Location" queryTableFieldId="3" dataDxfId="32"/>
    <tableColumn id="4" xr3:uid="{B4EB34C4-86C6-4E55-AAFC-2AA9BAD1D63D}" uniqueName="4" name="Description" queryTableFieldId="4" dataDxfId="31"/>
    <tableColumn id="5" xr3:uid="{A2B088AC-6DBD-4673-A983-8232D7288AE1}" uniqueName="5" name="Created" queryTableFieldId="5" dataDxfId="30"/>
    <tableColumn id="6" xr3:uid="{C5CCD392-4453-4A2A-9518-EDE7492B2BD9}" uniqueName="6" name="Target" queryTableFieldId="6" dataDxfId="29"/>
    <tableColumn id="7" xr3:uid="{66F4AFD8-500B-4070-8A3F-D06AC07014CF}" uniqueName="7" name="Type" queryTableFieldId="7" dataDxfId="28"/>
    <tableColumn id="8" xr3:uid="{E8E0F8D3-5875-4B03-9CA4-BBA2DD26CF5B}" uniqueName="8" name="To Organisation" queryTableFieldId="8" dataDxfId="27"/>
    <tableColumn id="9" xr3:uid="{76741838-5390-4CEA-ABE7-39960CFD2B38}" uniqueName="9" name="To Package" queryTableFieldId="9" dataDxfId="26"/>
    <tableColumn id="10" xr3:uid="{158ADD99-1F3F-4287-9B17-D25288FBA8EA}" uniqueName="10" name="Status Changed" queryTableFieldId="10" dataDxfId="25"/>
    <tableColumn id="11" xr3:uid="{B61A9C61-8771-41CE-90C2-F3156CD08F7C}" uniqueName="11" name="Association" queryTableFieldId="11" dataDxfId="24"/>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AB3649-1531-4C78-90A7-6D263571A82D}" name="TS_2022-10-07_Table" displayName="TS_2022_10_07_Table" ref="A1:I700" totalsRowShown="0" headerRowDxfId="23" dataDxfId="22">
  <autoFilter ref="A1:I700" xr:uid="{C2AB3649-1531-4C78-90A7-6D263571A82D}"/>
  <tableColumns count="9">
    <tableColumn id="1" xr3:uid="{ABDC5936-2DCD-4434-80A6-6F1FEABDDF20}" name="Task Number" dataDxfId="21"/>
    <tableColumn id="2" xr3:uid="{96574A98-F164-4210-855B-7B2453539CB9}" name="Status" dataDxfId="20"/>
    <tableColumn id="10" xr3:uid="{6F75BAE6-A7C8-495B-943D-8E17611B788F}" name="Task Type" dataDxfId="19"/>
    <tableColumn id="11" xr3:uid="{A875E1AD-A251-4C41-87E4-C661AD5C78E4}" name="Description" dataDxfId="18"/>
    <tableColumn id="3" xr3:uid="{BA436EA0-2B27-4497-9B5D-A695234C1288}" name="Building" dataDxfId="17"/>
    <tableColumn id="4" xr3:uid="{9454B0D9-A098-4527-B56D-2289B47113D4}" name="Level" dataDxfId="16"/>
    <tableColumn id="5" xr3:uid="{61B0B88F-96B1-43F4-869B-F37E19215866}" name="Area/Room" dataDxfId="15"/>
    <tableColumn id="6" xr3:uid="{B4AB7DD6-756B-4B33-937D-6BBE91C2873B}" name="To Package" dataDxfId="14"/>
    <tableColumn id="7" xr3:uid="{BC6AC466-5E53-4053-B095-6B7A0D251EE8}" name="To Org"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F7941C-F208-4F2F-B26B-B48FD37DD169}" name="TS_2023-01-11_Table" displayName="TS_2023_01_11_Table" ref="A1:I700" totalsRowShown="0" headerRowDxfId="12" dataDxfId="11">
  <autoFilter ref="A1:I700" xr:uid="{F6F7941C-F208-4F2F-B26B-B48FD37DD169}"/>
  <tableColumns count="9">
    <tableColumn id="1" xr3:uid="{288F4AD8-C7F4-498B-AA7B-261EA901D9E8}" name="Task Number" dataDxfId="10"/>
    <tableColumn id="2" xr3:uid="{D1FD2A48-669A-47BE-9389-71DAA9D5BEDC}" name="Status" dataDxfId="9"/>
    <tableColumn id="10" xr3:uid="{42070C5A-741E-4EE6-97F6-32EF55BB901B}" name="Task Type" dataDxfId="8"/>
    <tableColumn id="11" xr3:uid="{356154DA-7C3F-45C5-84F2-02EE8675C738}" name="Description" dataDxfId="7"/>
    <tableColumn id="3" xr3:uid="{2BF0E214-7E3F-4548-9E5B-4BA225DD5122}" name="Building" dataDxfId="6"/>
    <tableColumn id="4" xr3:uid="{B73635E5-190E-4A47-BC5F-282C3DE12102}" name="Level" dataDxfId="5"/>
    <tableColumn id="5" xr3:uid="{E2715EC5-4235-4416-A044-4E97D45059AF}" name="Area/Room" dataDxfId="4"/>
    <tableColumn id="6" xr3:uid="{5285B577-8445-4D60-AEFB-29614548DD3B}" name="To Package" dataDxfId="3"/>
    <tableColumn id="7" xr3:uid="{9135AFDB-658B-4721-BABF-358521E63068}" name="To Org"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4.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abSelected="1" workbookViewId="0">
      <selection activeCell="O12" sqref="O12"/>
    </sheetView>
  </sheetViews>
  <sheetFormatPr defaultRowHeight="14.5" x14ac:dyDescent="0.35"/>
  <cols>
    <col min="11" max="11" width="14.6328125" customWidth="1"/>
    <col min="12" max="12" width="2.90625" customWidth="1"/>
    <col min="14" max="14" width="17.81640625" customWidth="1"/>
  </cols>
  <sheetData>
    <row r="5" spans="14:14" x14ac:dyDescent="0.35">
      <c r="N5" s="17">
        <v>44938</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I1359"/>
  <sheetViews>
    <sheetView workbookViewId="0">
      <selection activeCell="D8" sqref="D8"/>
    </sheetView>
  </sheetViews>
  <sheetFormatPr defaultRowHeight="14.5" x14ac:dyDescent="0.35"/>
  <cols>
    <col min="1" max="1" width="14.1796875" bestFit="1" customWidth="1"/>
    <col min="2" max="2" width="13.36328125" customWidth="1"/>
    <col min="3" max="3" width="15.08984375" bestFit="1" customWidth="1"/>
    <col min="4" max="4" width="48.54296875" bestFit="1" customWidth="1"/>
    <col min="5" max="5" width="10.7265625" bestFit="1" customWidth="1"/>
    <col min="6" max="6" width="10.36328125" customWidth="1"/>
    <col min="7" max="7" width="24.08984375" customWidth="1"/>
    <col min="8" max="8" width="18" bestFit="1" customWidth="1"/>
    <col min="9" max="9" width="38.26953125" bestFit="1" customWidth="1"/>
    <col min="10" max="10" width="2.7265625" customWidth="1"/>
    <col min="11" max="11" width="2.81640625" customWidth="1"/>
  </cols>
  <sheetData>
    <row r="1" spans="1:9" ht="15.5" x14ac:dyDescent="0.35">
      <c r="A1" s="12" t="s">
        <v>975</v>
      </c>
      <c r="B1" s="12" t="s">
        <v>4</v>
      </c>
      <c r="C1" s="12" t="s">
        <v>980</v>
      </c>
      <c r="D1" s="12" t="s">
        <v>6</v>
      </c>
      <c r="E1" s="12" t="s">
        <v>976</v>
      </c>
      <c r="F1" s="12" t="s">
        <v>978</v>
      </c>
      <c r="G1" s="12" t="s">
        <v>977</v>
      </c>
      <c r="H1" s="12" t="s">
        <v>11</v>
      </c>
      <c r="I1" s="12" t="s">
        <v>979</v>
      </c>
    </row>
    <row r="2" spans="1:9" ht="15.5" x14ac:dyDescent="0.35">
      <c r="A2" s="13" t="str">
        <f>HYPERLINK(_xlfn.CONCAT(Edit_URL,Tasks[[#This Row],[Ref]]),Tasks[[#This Row],[Ref]])</f>
        <v>T74290.156</v>
      </c>
      <c r="B2" s="12" t="str" cm="1">
        <f t="array" ref="B2">_xlfn.SWITCH(LEFT(Tasks[[#This Row],[Status]],1),"O","Opened","C","Completed","S","Signed Off", "V", "Signed Off","ERROR")</f>
        <v>Opened</v>
      </c>
      <c r="C2" s="12" t="str" cm="1">
        <f t="array" ref="C2">_xlfn.SWITCH(LEFT(Tasks[[#This Row],[Type]], 3), "Fie", "Field Report", "Con", "Contractor QC", "Gen", "Contractor QC", "Pun", "Contractor QC", "Qua", "Contractor QC", "Fin", "Punch List")</f>
        <v>Contractor QC</v>
      </c>
      <c r="D2" s="12" t="str">
        <f>_xlfn.LET(
_xlpm.leftValue, TRIM(LEFT(Tasks[[#This Row],[Description]], 45)),
IF(LEN(_xlpm.leftValue) &lt; 40, _xlpm.leftValue, _xlfn.CONCAT(_xlpm.leftValue, "…"))
)</f>
        <v>Complete backing for baseboard</v>
      </c>
      <c r="E2" s="12" t="str" cm="1">
        <f t="array" ref="E2">_xlfn.LET(
_xlpm.inTower, COUNTIF(Tower_Num_Table[Tower Rm Numbers], LEFT(Task_Summary_Table[[#This Row],[Area/Room]], 3)) &gt; 0,
_xlpm.typeResult, _xlfn.SWITCH(LEFT(Tasks[[#This Row],[Page]], 2), "Hi", "Historic", "An", "Annex", "Si", "Site", "S5", "Project Task", "SWITCH ERROR"),
IF(_xlpm.inTower, "West Tower", _xlpm.typeResult)
)</f>
        <v>Historic</v>
      </c>
      <c r="F2" s="12" t="str">
        <f>IFERROR(MID(Tasks[[#This Row],[Page]], FIND("Level", Tasks[[#This Row],[Page]]), 7), IF(ISNUMBER(FIND("Roof", Tasks[[#This Row],[Page]])), "Roof",  IF(ISNUMBER(FIND("S590", Tasks[[#This Row],[Page]])), "",  IF(ISNUMBER(FIND("Site", Tasks[[#This Row],[Page]])), "", "ERROR"))))</f>
        <v>Level 1</v>
      </c>
      <c r="G2" s="12" t="str">
        <f>IF(Tasks[[#This Row],[Location]]=0, "", Tasks[[#This Row],[Location]])</f>
        <v/>
      </c>
      <c r="H2" s="12" t="str">
        <f>Tasks[[#This Row],[To Package]]</f>
        <v>Westland -- Historic</v>
      </c>
      <c r="I2" s="12" t="str">
        <f>Tasks[[#This Row],[To Organisation]]</f>
        <v>Westland Construction, Inc.</v>
      </c>
    </row>
    <row r="3" spans="1:9" ht="15.5" x14ac:dyDescent="0.35">
      <c r="A3" s="13" t="str">
        <f>HYPERLINK(_xlfn.CONCAT(Edit_URL,Tasks[[#This Row],[Ref]]),Tasks[[#This Row],[Ref]])</f>
        <v>T74290.157</v>
      </c>
      <c r="B3" s="12" t="str" cm="1">
        <f t="array" ref="B3">_xlfn.SWITCH(LEFT(Tasks[[#This Row],[Status]],1),"O","Opened","C","Completed","S","Signed Off", "V", "Signed Off","ERROR")</f>
        <v>Opened</v>
      </c>
      <c r="C3" s="12" t="str" cm="1">
        <f t="array" ref="C3">_xlfn.SWITCH(LEFT(Tasks[[#This Row],[Type]], 3), "Fie", "Field Report", "Con", "Contractor QC", "Gen", "Contractor QC", "Pun", "Contractor QC", "Qua", "Contractor QC", "Fin", "Punch List")</f>
        <v>Contractor QC</v>
      </c>
      <c r="D3" s="12" t="str">
        <f>_xlfn.LET(
_xlpm.leftValue, TRIM(LEFT(Tasks[[#This Row],[Description]], 45)),
IF(LEN(_xlpm.leftValue) &lt; 40, _xlpm.leftValue, _xlfn.CONCAT(_xlpm.leftValue, "…"))
)</f>
        <v>Complete drywall above door</v>
      </c>
      <c r="E3" s="12" t="str" cm="1">
        <f t="array" ref="E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3" s="12" t="str">
        <f>IFERROR(MID(Tasks[[#This Row],[Page]], FIND("Level", Tasks[[#This Row],[Page]]), 7), IF(ISNUMBER(FIND("Roof", Tasks[[#This Row],[Page]])), "Roof",  IF(ISNUMBER(FIND("S590", Tasks[[#This Row],[Page]])), "",  IF(ISNUMBER(FIND("Site", Tasks[[#This Row],[Page]])), "", "ERROR"))))</f>
        <v>Level 0</v>
      </c>
      <c r="G3" s="12" t="str">
        <f>IF(Tasks[[#This Row],[Location]]=0, "", Tasks[[#This Row],[Location]])</f>
        <v>053 - Elevator Lobby</v>
      </c>
      <c r="H3" s="12" t="str">
        <f>Tasks[[#This Row],[To Package]]</f>
        <v>Metal Stud / Drywall</v>
      </c>
      <c r="I3" s="12" t="str">
        <f>Tasks[[#This Row],[To Organisation]]</f>
        <v>Pete King Construction</v>
      </c>
    </row>
    <row r="4" spans="1:9" ht="15.5" x14ac:dyDescent="0.35">
      <c r="A4" s="13" t="str">
        <f>HYPERLINK(_xlfn.CONCAT(Edit_URL,Tasks[[#This Row],[Ref]]),Tasks[[#This Row],[Ref]])</f>
        <v>T77292.5</v>
      </c>
      <c r="B4" s="12" t="str" cm="1">
        <f t="array" ref="B4">_xlfn.SWITCH(LEFT(Tasks[[#This Row],[Status]],1),"O","Opened","C","Completed","S","Signed Off", "V", "Signed Off","ERROR")</f>
        <v>Opened</v>
      </c>
      <c r="C4" s="12" t="str" cm="1">
        <f t="array" ref="C4">_xlfn.SWITCH(LEFT(Tasks[[#This Row],[Type]], 3), "Fie", "Field Report", "Con", "Contractor QC", "Gen", "Contractor QC", "Pun", "Contractor QC", "Qua", "Contractor QC", "Fin", "Punch List")</f>
        <v>Contractor QC</v>
      </c>
      <c r="D4" s="12" t="str">
        <f>_xlfn.LET(
_xlpm.leftValue, TRIM(LEFT(Tasks[[#This Row],[Description]], 45)),
IF(LEN(_xlpm.leftValue) &lt; 40, _xlpm.leftValue, _xlfn.CONCAT(_xlpm.leftValue, "…"))
)</f>
        <v>Paint Incomplete / Pealing</v>
      </c>
      <c r="E4" s="12" t="str" cm="1">
        <f t="array" ref="E4">_xlfn.LET(
_xlpm.inTower, COUNTIF(Tower_Num_Table[Tower Rm Numbers], LEFT(Task_Summary_Table[[#This Row],[Area/Room]], 3)) &gt; 0,
_xlpm.typeResult, _xlfn.SWITCH(LEFT(Tasks[[#This Row],[Page]], 2), "Hi", "Historic", "An", "Annex", "Si", "Site", "S5", "Project Task", "SWITCH ERROR"),
IF(_xlpm.inTower, "West Tower", _xlpm.typeResult)
)</f>
        <v>Annex</v>
      </c>
      <c r="F4" s="12" t="str">
        <f>IFERROR(MID(Tasks[[#This Row],[Page]], FIND("Level", Tasks[[#This Row],[Page]]), 7), IF(ISNUMBER(FIND("Roof", Tasks[[#This Row],[Page]])), "Roof",  IF(ISNUMBER(FIND("S590", Tasks[[#This Row],[Page]])), "",  IF(ISNUMBER(FIND("Site", Tasks[[#This Row],[Page]])), "", "ERROR"))))</f>
        <v>Level 1</v>
      </c>
      <c r="G4" s="12" t="str">
        <f>IF(Tasks[[#This Row],[Location]]=0, "", Tasks[[#This Row],[Location]])</f>
        <v>146 - Hall</v>
      </c>
      <c r="H4" s="12" t="str">
        <f>Tasks[[#This Row],[To Package]]</f>
        <v>Paint</v>
      </c>
      <c r="I4" s="12" t="str">
        <f>Tasks[[#This Row],[To Organisation]]</f>
        <v>Accent Painting and Special Coatings, LLC</v>
      </c>
    </row>
    <row r="5" spans="1:9" ht="15.5" x14ac:dyDescent="0.35">
      <c r="A5" s="13" t="str">
        <f>HYPERLINK(_xlfn.CONCAT(Edit_URL,Tasks[[#This Row],[Ref]]),Tasks[[#This Row],[Ref]])</f>
        <v>T77292.6</v>
      </c>
      <c r="B5" s="12" t="str" cm="1">
        <f t="array" ref="B5">_xlfn.SWITCH(LEFT(Tasks[[#This Row],[Status]],1),"O","Opened","C","Completed","S","Signed Off", "V", "Signed Off","ERROR")</f>
        <v>Opened</v>
      </c>
      <c r="C5" s="12" t="str" cm="1">
        <f t="array" ref="C5">_xlfn.SWITCH(LEFT(Tasks[[#This Row],[Type]], 3), "Fie", "Field Report", "Con", "Contractor QC", "Gen", "Contractor QC", "Pun", "Contractor QC", "Qua", "Contractor QC", "Fin", "Punch List")</f>
        <v>Contractor QC</v>
      </c>
      <c r="D5" s="12" t="str">
        <f>_xlfn.LET(
_xlpm.leftValue, TRIM(LEFT(Tasks[[#This Row],[Description]], 45)),
IF(LEN(_xlpm.leftValue) &lt; 40, _xlpm.leftValue, _xlfn.CONCAT(_xlpm.leftValue, "…"))
)</f>
        <v>Paint Incomplete / Pealing on ceiling</v>
      </c>
      <c r="E5" s="12" t="str" cm="1">
        <f t="array" ref="E5">_xlfn.LET(
_xlpm.inTower, COUNTIF(Tower_Num_Table[Tower Rm Numbers], LEFT(Task_Summary_Table[[#This Row],[Area/Room]], 3)) &gt; 0,
_xlpm.typeResult, _xlfn.SWITCH(LEFT(Tasks[[#This Row],[Page]], 2), "Hi", "Historic", "An", "Annex", "Si", "Site", "S5", "Project Task", "SWITCH ERROR"),
IF(_xlpm.inTower, "West Tower", _xlpm.typeResult)
)</f>
        <v>Annex</v>
      </c>
      <c r="F5" s="12" t="str">
        <f>IFERROR(MID(Tasks[[#This Row],[Page]], FIND("Level", Tasks[[#This Row],[Page]]), 7), IF(ISNUMBER(FIND("Roof", Tasks[[#This Row],[Page]])), "Roof",  IF(ISNUMBER(FIND("S590", Tasks[[#This Row],[Page]])), "",  IF(ISNUMBER(FIND("Site", Tasks[[#This Row],[Page]])), "", "ERROR"))))</f>
        <v>Level 1</v>
      </c>
      <c r="G5" s="12" t="str">
        <f>IF(Tasks[[#This Row],[Location]]=0, "", Tasks[[#This Row],[Location]])</f>
        <v>147 -  Brides Exit</v>
      </c>
      <c r="H5" s="12" t="str">
        <f>Tasks[[#This Row],[To Package]]</f>
        <v>Paint</v>
      </c>
      <c r="I5" s="12" t="str">
        <f>Tasks[[#This Row],[To Organisation]]</f>
        <v>Accent Painting and Special Coatings, LLC</v>
      </c>
    </row>
    <row r="6" spans="1:9" ht="15.5" x14ac:dyDescent="0.35">
      <c r="A6" s="13" t="str">
        <f>HYPERLINK(_xlfn.CONCAT(Edit_URL,Tasks[[#This Row],[Ref]]),Tasks[[#This Row],[Ref]])</f>
        <v>T74290.160</v>
      </c>
      <c r="B6" s="12" t="str" cm="1">
        <f t="array" ref="B6">_xlfn.SWITCH(LEFT(Tasks[[#This Row],[Status]],1),"O","Opened","C","Completed","S","Signed Off", "V", "Signed Off","ERROR")</f>
        <v>Signed Off</v>
      </c>
      <c r="C6" s="12" t="str" cm="1">
        <f t="array" ref="C6">_xlfn.SWITCH(LEFT(Tasks[[#This Row],[Type]], 3), "Fie", "Field Report", "Con", "Contractor QC", "Gen", "Contractor QC", "Pun", "Contractor QC", "Qua", "Contractor QC", "Fin", "Punch List")</f>
        <v>Contractor QC</v>
      </c>
      <c r="D6" s="12" t="str">
        <f>_xlfn.LET(
_xlpm.leftValue, TRIM(LEFT(Tasks[[#This Row],[Description]], 45)),
IF(LEN(_xlpm.leftValue) &lt; 40, _xlpm.leftValue, _xlfn.CONCAT(_xlpm.leftValue, "…"))
)</f>
        <v>Close in around hvac vent in ceiling</v>
      </c>
      <c r="E6" s="12" t="str" cm="1">
        <f t="array" ref="E6">_xlfn.LET(
_xlpm.inTower, COUNTIF(Tower_Num_Table[Tower Rm Numbers], LEFT(Task_Summary_Table[[#This Row],[Area/Room]], 3)) &gt; 0,
_xlpm.typeResult, _xlfn.SWITCH(LEFT(Tasks[[#This Row],[Page]], 2), "Hi", "Historic", "An", "Annex", "Si", "Site", "S5", "Project Task", "SWITCH ERROR"),
IF(_xlpm.inTower, "West Tower", _xlpm.typeResult)
)</f>
        <v>Annex</v>
      </c>
      <c r="F6" s="12" t="str">
        <f>IFERROR(MID(Tasks[[#This Row],[Page]], FIND("Level", Tasks[[#This Row],[Page]]), 7), IF(ISNUMBER(FIND("Roof", Tasks[[#This Row],[Page]])), "Roof",  IF(ISNUMBER(FIND("S590", Tasks[[#This Row],[Page]])), "",  IF(ISNUMBER(FIND("Site", Tasks[[#This Row],[Page]])), "", "ERROR"))))</f>
        <v>Level 1</v>
      </c>
      <c r="G6" s="12" t="str">
        <f>IF(Tasks[[#This Row],[Location]]=0, "", Tasks[[#This Row],[Location]])</f>
        <v>112A - Restroom</v>
      </c>
      <c r="H6" s="12" t="str">
        <f>Tasks[[#This Row],[To Package]]</f>
        <v>Metal Stud / Drywall</v>
      </c>
      <c r="I6" s="12" t="str">
        <f>Tasks[[#This Row],[To Organisation]]</f>
        <v>Pete King Construction</v>
      </c>
    </row>
    <row r="7" spans="1:9" ht="15.5" x14ac:dyDescent="0.35">
      <c r="A7" s="13" t="str">
        <f>HYPERLINK(_xlfn.CONCAT(Edit_URL,Tasks[[#This Row],[Ref]]),Tasks[[#This Row],[Ref]])</f>
        <v>T74290.158</v>
      </c>
      <c r="B7" s="12" t="str" cm="1">
        <f t="array" ref="B7">_xlfn.SWITCH(LEFT(Tasks[[#This Row],[Status]],1),"O","Opened","C","Completed","S","Signed Off", "V", "Signed Off","ERROR")</f>
        <v>Signed Off</v>
      </c>
      <c r="C7" s="12" t="str" cm="1">
        <f t="array" ref="C7">_xlfn.SWITCH(LEFT(Tasks[[#This Row],[Type]], 3), "Fie", "Field Report", "Con", "Contractor QC", "Gen", "Contractor QC", "Pun", "Contractor QC", "Qua", "Contractor QC", "Fin", "Punch List")</f>
        <v>Contractor QC</v>
      </c>
      <c r="D7" s="12" t="str">
        <f>_xlfn.LET(
_xlpm.leftValue, TRIM(LEFT(Tasks[[#This Row],[Description]], 45)),
IF(LEN(_xlpm.leftValue) &lt; 40, _xlpm.leftValue, _xlfn.CONCAT(_xlpm.leftValue, "…"))
)</f>
        <v>Drywall around lights that needed to be adjus…</v>
      </c>
      <c r="E7" s="12" t="str" cm="1">
        <f t="array" ref="E7">_xlfn.LET(
_xlpm.inTower, COUNTIF(Tower_Num_Table[Tower Rm Numbers], LEFT(Task_Summary_Table[[#This Row],[Area/Room]], 3)) &gt; 0,
_xlpm.typeResult, _xlfn.SWITCH(LEFT(Tasks[[#This Row],[Page]], 2), "Hi", "Historic", "An", "Annex", "Si", "Site", "S5", "Project Task", "SWITCH ERROR"),
IF(_xlpm.inTower, "West Tower", _xlpm.typeResult)
)</f>
        <v>Historic</v>
      </c>
      <c r="F7" s="12" t="str">
        <f>IFERROR(MID(Tasks[[#This Row],[Page]], FIND("Level", Tasks[[#This Row],[Page]]), 7), IF(ISNUMBER(FIND("Roof", Tasks[[#This Row],[Page]])), "Roof",  IF(ISNUMBER(FIND("S590", Tasks[[#This Row],[Page]])), "",  IF(ISNUMBER(FIND("Site", Tasks[[#This Row],[Page]])), "", "ERROR"))))</f>
        <v>Level 0</v>
      </c>
      <c r="G7" s="12" t="str">
        <f>IF(Tasks[[#This Row],[Location]]=0, "", Tasks[[#This Row],[Location]])</f>
        <v>072 - Dressing - Girls</v>
      </c>
      <c r="H7" s="12" t="str">
        <f>Tasks[[#This Row],[To Package]]</f>
        <v>Metal Stud / Drywall</v>
      </c>
      <c r="I7" s="12" t="str">
        <f>Tasks[[#This Row],[To Organisation]]</f>
        <v>Pete King Construction</v>
      </c>
    </row>
    <row r="8" spans="1:9" ht="15.5" x14ac:dyDescent="0.35">
      <c r="A8" s="13" t="str">
        <f>HYPERLINK(_xlfn.CONCAT(Edit_URL,Tasks[[#This Row],[Ref]]),Tasks[[#This Row],[Ref]])</f>
        <v>T1.9673617</v>
      </c>
      <c r="B8" s="12" t="str" cm="1">
        <f t="array" ref="B8">_xlfn.SWITCH(LEFT(Tasks[[#This Row],[Status]],1),"O","Opened","C","Completed","S","Signed Off", "V", "Signed Off","ERROR")</f>
        <v>Opened</v>
      </c>
      <c r="C8" s="12" t="str" cm="1">
        <f t="array" ref="C8">_xlfn.SWITCH(LEFT(Tasks[[#This Row],[Type]], 3), "Fie", "Field Report", "Con", "Contractor QC", "Gen", "Contractor QC", "Pun", "Contractor QC", "Qua", "Contractor QC", "Fin", "Punch List")</f>
        <v>Contractor QC</v>
      </c>
      <c r="D8" s="12" t="str">
        <f>_xlfn.LET(
_xlpm.leftValue, TRIM(LEFT(Tasks[[#This Row],[Description]], 45)),
IF(LEN(_xlpm.leftValue) &lt; 40, _xlpm.leftValue, _xlfn.CONCAT(_xlpm.leftValue, "…"))
)</f>
        <v>Repair Damaged Window Sill</v>
      </c>
      <c r="E8" s="12" t="str" cm="1">
        <f t="array" ref="E8">_xlfn.LET(
_xlpm.inTower, COUNTIF(Tower_Num_Table[Tower Rm Numbers], LEFT(Task_Summary_Table[[#This Row],[Area/Room]], 3)) &gt; 0,
_xlpm.typeResult, _xlfn.SWITCH(LEFT(Tasks[[#This Row],[Page]], 2), "Hi", "Historic", "An", "Annex", "Si", "Site", "S5", "Project Task", "SWITCH ERROR"),
IF(_xlpm.inTower, "West Tower", _xlpm.typeResult)
)</f>
        <v>Historic</v>
      </c>
      <c r="F8" s="12" t="str">
        <f>IFERROR(MID(Tasks[[#This Row],[Page]], FIND("Level", Tasks[[#This Row],[Page]]), 7), IF(ISNUMBER(FIND("Roof", Tasks[[#This Row],[Page]])), "Roof",  IF(ISNUMBER(FIND("S590", Tasks[[#This Row],[Page]])), "",  IF(ISNUMBER(FIND("Site", Tasks[[#This Row],[Page]])), "", "ERROR"))))</f>
        <v>Level 4</v>
      </c>
      <c r="G8" s="12" t="str">
        <f>IF(Tasks[[#This Row],[Location]]=0, "", Tasks[[#This Row],[Location]])</f>
        <v>409 - Vestibule</v>
      </c>
      <c r="H8" s="12" t="str">
        <f>Tasks[[#This Row],[To Package]]</f>
        <v>Westland -- Historic</v>
      </c>
      <c r="I8" s="12" t="str">
        <f>Tasks[[#This Row],[To Organisation]]</f>
        <v>Westland Construction, Inc.</v>
      </c>
    </row>
    <row r="9" spans="1:9" ht="15.5" x14ac:dyDescent="0.35">
      <c r="A9" s="13" t="str">
        <f>HYPERLINK(_xlfn.CONCAT(Edit_URL,Tasks[[#This Row],[Ref]]),Tasks[[#This Row],[Ref]])</f>
        <v>T77292.7</v>
      </c>
      <c r="B9" s="12" t="str" cm="1">
        <f t="array" ref="B9">_xlfn.SWITCH(LEFT(Tasks[[#This Row],[Status]],1),"O","Opened","C","Completed","S","Signed Off", "V", "Signed Off","ERROR")</f>
        <v>Opened</v>
      </c>
      <c r="C9" s="12" t="str" cm="1">
        <f t="array" ref="C9">_xlfn.SWITCH(LEFT(Tasks[[#This Row],[Type]], 3), "Fie", "Field Report", "Con", "Contractor QC", "Gen", "Contractor QC", "Pun", "Contractor QC", "Qua", "Contractor QC", "Fin", "Punch List")</f>
        <v>Contractor QC</v>
      </c>
      <c r="D9" s="12" t="str">
        <f>_xlfn.LET(
_xlpm.leftValue, TRIM(LEFT(Tasks[[#This Row],[Description]], 45)),
IF(LEN(_xlpm.leftValue) &lt; 40, _xlpm.leftValue, _xlfn.CONCAT(_xlpm.leftValue, "…"))
)</f>
        <v>Light likely won’t fit. Test globe and assess…</v>
      </c>
      <c r="E9" s="12" t="str" cm="1">
        <f t="array" ref="E9">_xlfn.LET(
_xlpm.inTower, COUNTIF(Tower_Num_Table[Tower Rm Numbers], LEFT(Task_Summary_Table[[#This Row],[Area/Room]], 3)) &gt; 0,
_xlpm.typeResult, _xlfn.SWITCH(LEFT(Tasks[[#This Row],[Page]], 2), "Hi", "Historic", "An", "Annex", "Si", "Site", "S5", "Project Task", "SWITCH ERROR"),
IF(_xlpm.inTower, "West Tower", _xlpm.typeResult)
)</f>
        <v>Historic</v>
      </c>
      <c r="F9" s="12" t="str">
        <f>IFERROR(MID(Tasks[[#This Row],[Page]], FIND("Level", Tasks[[#This Row],[Page]]), 7), IF(ISNUMBER(FIND("Roof", Tasks[[#This Row],[Page]])), "Roof",  IF(ISNUMBER(FIND("S590", Tasks[[#This Row],[Page]])), "",  IF(ISNUMBER(FIND("Site", Tasks[[#This Row],[Page]])), "", "ERROR"))))</f>
        <v>Level 3</v>
      </c>
      <c r="G9" s="12" t="str">
        <f>IF(Tasks[[#This Row],[Location]]=0, "", Tasks[[#This Row],[Location]])</f>
        <v>329B - SE Stairs</v>
      </c>
      <c r="H9" s="12" t="str">
        <f>Tasks[[#This Row],[To Package]]</f>
        <v>Electrical</v>
      </c>
      <c r="I9" s="12" t="str">
        <f>Tasks[[#This Row],[To Organisation]]</f>
        <v>Wilkinson Electric Inc</v>
      </c>
    </row>
    <row r="10" spans="1:9" ht="15.5" x14ac:dyDescent="0.35">
      <c r="A10" s="14" t="str">
        <f>HYPERLINK(_xlfn.CONCAT(Edit_URL,Tasks[[#This Row],[Ref]]),Tasks[[#This Row],[Ref]])</f>
        <v>T74290.159</v>
      </c>
      <c r="B10" s="12" t="str" cm="1">
        <f t="array" ref="B10">_xlfn.SWITCH(LEFT(Tasks[[#This Row],[Status]],1),"O","Opened","C","Completed","S","Signed Off", "V", "Signed Off","ERROR")</f>
        <v>Opened</v>
      </c>
      <c r="C10" s="12" t="str" cm="1">
        <f t="array" ref="C10">_xlfn.SWITCH(LEFT(Tasks[[#This Row],[Type]], 3), "Fie", "Field Report", "Con", "Contractor QC", "Gen", "Contractor QC", "Pun", "Contractor QC", "Qua", "Contractor QC", "Fin", "Punch List")</f>
        <v>Contractor QC</v>
      </c>
      <c r="D10" s="12" t="str">
        <f>_xlfn.LET(
_xlpm.leftValue, TRIM(LEFT(Tasks[[#This Row],[Description]], 45)),
IF(LEN(_xlpm.leftValue) &lt; 40, _xlpm.leftValue, _xlfn.CONCAT(_xlpm.leftValue, "…"))
)</f>
        <v>Remove staining on tile</v>
      </c>
      <c r="E10" s="12" t="str" cm="1">
        <f t="array" ref="E10">_xlfn.LET(
_xlpm.inTower, COUNTIF(Tower_Num_Table[Tower Rm Numbers], LEFT(Task_Summary_Table[[#This Row],[Area/Room]], 3)) &gt; 0,
_xlpm.typeResult, _xlfn.SWITCH(LEFT(Tasks[[#This Row],[Page]], 2), "Hi", "Historic", "An", "Annex", "Si", "Site", "S5", "Project Task", "SWITCH ERROR"),
IF(_xlpm.inTower, "West Tower", _xlpm.typeResult)
)</f>
        <v>Historic</v>
      </c>
      <c r="F10" s="12" t="str">
        <f>IFERROR(MID(Tasks[[#This Row],[Page]], FIND("Level", Tasks[[#This Row],[Page]]), 7), IF(ISNUMBER(FIND("Roof", Tasks[[#This Row],[Page]])), "Roof",  IF(ISNUMBER(FIND("S590", Tasks[[#This Row],[Page]])), "",  IF(ISNUMBER(FIND("Site", Tasks[[#This Row],[Page]])), "", "ERROR"))))</f>
        <v>Level 0</v>
      </c>
      <c r="G10" s="12" t="str">
        <f>IF(Tasks[[#This Row],[Location]]=0, "", Tasks[[#This Row],[Location]])</f>
        <v>067 - Font</v>
      </c>
      <c r="H10" s="12" t="str">
        <f>Tasks[[#This Row],[To Package]]</f>
        <v>Westland -- Historic</v>
      </c>
      <c r="I10" s="12" t="str">
        <f>Tasks[[#This Row],[To Organisation]]</f>
        <v>Westland Construction, Inc.</v>
      </c>
    </row>
    <row r="11" spans="1:9" ht="15.5" x14ac:dyDescent="0.35">
      <c r="A11" s="14" t="str">
        <f>HYPERLINK(_xlfn.CONCAT(Edit_URL,Tasks[[#This Row],[Ref]]),Tasks[[#This Row],[Ref]])</f>
        <v>T74290.166</v>
      </c>
      <c r="B11" s="12" t="str" cm="1">
        <f t="array" ref="B11">_xlfn.SWITCH(LEFT(Tasks[[#This Row],[Status]],1),"O","Opened","C","Completed","S","Signed Off", "V", "Signed Off","ERROR")</f>
        <v>Opened</v>
      </c>
      <c r="C11" s="12" t="str" cm="1">
        <f t="array" ref="C11">_xlfn.SWITCH(LEFT(Tasks[[#This Row],[Type]], 3), "Fie", "Field Report", "Con", "Contractor QC", "Gen", "Contractor QC", "Pun", "Contractor QC", "Qua", "Contractor QC", "Fin", "Punch List")</f>
        <v>Field Report</v>
      </c>
      <c r="D11" s="12" t="str">
        <f>_xlfn.LET(
_xlpm.leftValue, TRIM(LEFT(Tasks[[#This Row],[Description]], 45)),
IF(LEN(_xlpm.leftValue) &lt; 40, _xlpm.leftValue, _xlfn.CONCAT(_xlpm.leftValue, "…"))
)</f>
        <v>4th floor doors at vestibules 409 and 411 hav…</v>
      </c>
      <c r="E11" s="12" t="str" cm="1">
        <f t="array" ref="E11">_xlfn.LET(
_xlpm.inTower, COUNTIF(Tower_Num_Table[Tower Rm Numbers], LEFT(Task_Summary_Table[[#This Row],[Area/Room]], 3)) &gt; 0,
_xlpm.typeResult, _xlfn.SWITCH(LEFT(Tasks[[#This Row],[Page]], 2), "Hi", "Historic", "An", "Annex", "Si", "Site", "S5", "Project Task", "SWITCH ERROR"),
IF(_xlpm.inTower, "West Tower", _xlpm.typeResult)
)</f>
        <v>Historic</v>
      </c>
      <c r="F11" s="12" t="str">
        <f>IFERROR(MID(Tasks[[#This Row],[Page]], FIND("Level", Tasks[[#This Row],[Page]]), 7), IF(ISNUMBER(FIND("Roof", Tasks[[#This Row],[Page]])), "Roof",  IF(ISNUMBER(FIND("S590", Tasks[[#This Row],[Page]])), "",  IF(ISNUMBER(FIND("Site", Tasks[[#This Row],[Page]])), "", "ERROR"))))</f>
        <v>Level 4</v>
      </c>
      <c r="G11" s="12" t="str">
        <f>IF(Tasks[[#This Row],[Location]]=0, "", Tasks[[#This Row],[Location]])</f>
        <v>409 - Vestibule</v>
      </c>
      <c r="H11" s="12" t="str">
        <f>Tasks[[#This Row],[To Package]]</f>
        <v xml:space="preserve">Finish Carpentry </v>
      </c>
      <c r="I11" s="12" t="str">
        <f>Tasks[[#This Row],[To Organisation]]</f>
        <v>Fetzers' Inc.</v>
      </c>
    </row>
    <row r="12" spans="1:9" ht="15.5" x14ac:dyDescent="0.35">
      <c r="A12" s="14" t="str">
        <f>HYPERLINK(_xlfn.CONCAT(Edit_URL,Tasks[[#This Row],[Ref]]),Tasks[[#This Row],[Ref]])</f>
        <v>T74290.189</v>
      </c>
      <c r="B12" s="12" t="str" cm="1">
        <f t="array" ref="B12">_xlfn.SWITCH(LEFT(Tasks[[#This Row],[Status]],1),"O","Opened","C","Completed","S","Signed Off", "V", "Signed Off","ERROR")</f>
        <v>Signed Off</v>
      </c>
      <c r="C12" s="12" t="str" cm="1">
        <f t="array" ref="C12">_xlfn.SWITCH(LEFT(Tasks[[#This Row],[Type]], 3), "Fie", "Field Report", "Con", "Contractor QC", "Gen", "Contractor QC", "Pun", "Contractor QC", "Qua", "Contractor QC", "Fin", "Punch List")</f>
        <v>Field Report</v>
      </c>
      <c r="D12" s="12" t="str">
        <f>_xlfn.LET(
_xlpm.leftValue, TRIM(LEFT(Tasks[[#This Row],[Description]], 45)),
IF(LEN(_xlpm.leftValue) &lt; 40, _xlpm.leftValue, _xlfn.CONCAT(_xlpm.leftValue, "…"))
)</f>
        <v>Site visit report: 09/02/22
Brides corridor d…</v>
      </c>
      <c r="E12" s="12" t="str" cm="1">
        <f t="array" ref="E12">_xlfn.LET(
_xlpm.inTower, COUNTIF(Tower_Num_Table[Tower Rm Numbers], LEFT(Task_Summary_Table[[#This Row],[Area/Room]], 3)) &gt; 0,
_xlpm.typeResult, _xlfn.SWITCH(LEFT(Tasks[[#This Row],[Page]], 2), "Hi", "Historic", "An", "Annex", "Si", "Site", "S5", "Project Task", "SWITCH ERROR"),
IF(_xlpm.inTower, "West Tower", _xlpm.typeResult)
)</f>
        <v>Annex</v>
      </c>
      <c r="F12" s="12" t="str">
        <f>IFERROR(MID(Tasks[[#This Row],[Page]], FIND("Level", Tasks[[#This Row],[Page]]), 7), IF(ISNUMBER(FIND("Roof", Tasks[[#This Row],[Page]])), "Roof",  IF(ISNUMBER(FIND("S590", Tasks[[#This Row],[Page]])), "",  IF(ISNUMBER(FIND("Site", Tasks[[#This Row],[Page]])), "", "ERROR"))))</f>
        <v>Level 1</v>
      </c>
      <c r="G12" s="12" t="str">
        <f>IF(Tasks[[#This Row],[Location]]=0, "", Tasks[[#This Row],[Location]])</f>
        <v>146 - Hall</v>
      </c>
      <c r="H12" s="12" t="str">
        <f>Tasks[[#This Row],[To Package]]</f>
        <v>Westland -- Annex</v>
      </c>
      <c r="I12" s="12" t="str">
        <f>Tasks[[#This Row],[To Organisation]]</f>
        <v>Westland Construction, Inc.</v>
      </c>
    </row>
    <row r="13" spans="1:9" ht="15.5" x14ac:dyDescent="0.35">
      <c r="A13" s="14" t="str">
        <f>HYPERLINK(_xlfn.CONCAT(Edit_URL,Tasks[[#This Row],[Ref]]),Tasks[[#This Row],[Ref]])</f>
        <v>T74290.187</v>
      </c>
      <c r="B13" s="12" t="str" cm="1">
        <f t="array" ref="B13">_xlfn.SWITCH(LEFT(Tasks[[#This Row],[Status]],1),"O","Opened","C","Completed","S","Signed Off", "V", "Signed Off","ERROR")</f>
        <v>Signed Off</v>
      </c>
      <c r="C13" s="12" t="str" cm="1">
        <f t="array" ref="C13">_xlfn.SWITCH(LEFT(Tasks[[#This Row],[Type]], 3), "Fie", "Field Report", "Con", "Contractor QC", "Gen", "Contractor QC", "Pun", "Contractor QC", "Qua", "Contractor QC", "Fin", "Punch List")</f>
        <v>Field Report</v>
      </c>
      <c r="D13" s="12" t="str">
        <f>_xlfn.LET(
_xlpm.leftValue, TRIM(LEFT(Tasks[[#This Row],[Description]], 45)),
IF(LEN(_xlpm.leftValue) &lt; 40, _xlpm.leftValue, _xlfn.CONCAT(_xlpm.leftValue, "…"))
)</f>
        <v>Site visit report 09/02/22
Floor drain protec…</v>
      </c>
      <c r="E13" s="12" t="str" cm="1">
        <f t="array" ref="E13">_xlfn.LET(
_xlpm.inTower, COUNTIF(Tower_Num_Table[Tower Rm Numbers], LEFT(Task_Summary_Table[[#This Row],[Area/Room]], 3)) &gt; 0,
_xlpm.typeResult, _xlfn.SWITCH(LEFT(Tasks[[#This Row],[Page]], 2), "Hi", "Historic", "An", "Annex", "Si", "Site", "S5", "Project Task", "SWITCH ERROR"),
IF(_xlpm.inTower, "West Tower", _xlpm.typeResult)
)</f>
        <v>Annex</v>
      </c>
      <c r="F13" s="12" t="str">
        <f>IFERROR(MID(Tasks[[#This Row],[Page]], FIND("Level", Tasks[[#This Row],[Page]]), 7), IF(ISNUMBER(FIND("Roof", Tasks[[#This Row],[Page]])), "Roof",  IF(ISNUMBER(FIND("S590", Tasks[[#This Row],[Page]])), "",  IF(ISNUMBER(FIND("Site", Tasks[[#This Row],[Page]])), "", "ERROR"))))</f>
        <v>Level 0</v>
      </c>
      <c r="G13" s="12" t="str">
        <f>IF(Tasks[[#This Row],[Location]]=0, "", Tasks[[#This Row],[Location]])</f>
        <v>042 - Shop</v>
      </c>
      <c r="H13" s="12" t="str">
        <f>Tasks[[#This Row],[To Package]]</f>
        <v>Westland -- Annex</v>
      </c>
      <c r="I13" s="12" t="str">
        <f>Tasks[[#This Row],[To Organisation]]</f>
        <v>Westland Construction, Inc.</v>
      </c>
    </row>
    <row r="14" spans="1:9" ht="15.5" x14ac:dyDescent="0.35">
      <c r="A14" s="14" t="str">
        <f>HYPERLINK(_xlfn.CONCAT(Edit_URL,Tasks[[#This Row],[Ref]]),Tasks[[#This Row],[Ref]])</f>
        <v>T74290.161</v>
      </c>
      <c r="B14" s="12" t="str" cm="1">
        <f t="array" ref="B14">_xlfn.SWITCH(LEFT(Tasks[[#This Row],[Status]],1),"O","Opened","C","Completed","S","Signed Off", "V", "Signed Off","ERROR")</f>
        <v>Opened</v>
      </c>
      <c r="C14" s="12" t="str" cm="1">
        <f t="array" ref="C14">_xlfn.SWITCH(LEFT(Tasks[[#This Row],[Type]], 3), "Fie", "Field Report", "Con", "Contractor QC", "Gen", "Contractor QC", "Pun", "Contractor QC", "Qua", "Contractor QC", "Fin", "Punch List")</f>
        <v>Field Report</v>
      </c>
      <c r="D14" s="12" t="str">
        <f>_xlfn.LET(
_xlpm.leftValue, TRIM(LEFT(Tasks[[#This Row],[Description]], 45)),
IF(LEN(_xlpm.leftValue) &lt; 40, _xlpm.leftValue, _xlfn.CONCAT(_xlpm.leftValue, "…"))
)</f>
        <v>Parapet flash was reviewed and it needs to ex…</v>
      </c>
      <c r="E14" s="12" t="str" cm="1">
        <f t="array" ref="E14">_xlfn.LET(
_xlpm.inTower, COUNTIF(Tower_Num_Table[Tower Rm Numbers], LEFT(Task_Summary_Table[[#This Row],[Area/Room]], 3)) &gt; 0,
_xlpm.typeResult, _xlfn.SWITCH(LEFT(Tasks[[#This Row],[Page]], 2), "Hi", "Historic", "An", "Annex", "Si", "Site", "S5", "Project Task", "SWITCH ERROR"),
IF(_xlpm.inTower, "West Tower", _xlpm.typeResult)
)</f>
        <v>Annex</v>
      </c>
      <c r="F14" s="12" t="str">
        <f>IFERROR(MID(Tasks[[#This Row],[Page]], FIND("Level", Tasks[[#This Row],[Page]]), 7), IF(ISNUMBER(FIND("Roof", Tasks[[#This Row],[Page]])), "Roof",  IF(ISNUMBER(FIND("S590", Tasks[[#This Row],[Page]])), "",  IF(ISNUMBER(FIND("Site", Tasks[[#This Row],[Page]])), "", "ERROR"))))</f>
        <v>Roof</v>
      </c>
      <c r="G14" s="12" t="str">
        <f>IF(Tasks[[#This Row],[Location]]=0, "", Tasks[[#This Row],[Location]])</f>
        <v>Roof Center</v>
      </c>
      <c r="H14" s="12" t="str">
        <f>Tasks[[#This Row],[To Package]]</f>
        <v>Roofing</v>
      </c>
      <c r="I14" s="12" t="str">
        <f>Tasks[[#This Row],[To Organisation]]</f>
        <v>Broken Arrow Construction Corporation</v>
      </c>
    </row>
    <row r="15" spans="1:9" ht="15.5" x14ac:dyDescent="0.35">
      <c r="A15" s="14" t="str">
        <f>HYPERLINK(_xlfn.CONCAT(Edit_URL,Tasks[[#This Row],[Ref]]),Tasks[[#This Row],[Ref]])</f>
        <v>T74290.162</v>
      </c>
      <c r="B15" s="12" t="str" cm="1">
        <f t="array" ref="B15">_xlfn.SWITCH(LEFT(Tasks[[#This Row],[Status]],1),"O","Opened","C","Completed","S","Signed Off", "V", "Signed Off","ERROR")</f>
        <v>Opened</v>
      </c>
      <c r="C15" s="12" t="str" cm="1">
        <f t="array" ref="C15">_xlfn.SWITCH(LEFT(Tasks[[#This Row],[Type]], 3), "Fie", "Field Report", "Con", "Contractor QC", "Gen", "Contractor QC", "Pun", "Contractor QC", "Qua", "Contractor QC", "Fin", "Punch List")</f>
        <v>Field Report</v>
      </c>
      <c r="D15" s="12" t="str">
        <f>_xlfn.LET(
_xlpm.leftValue, TRIM(LEFT(Tasks[[#This Row],[Description]], 45)),
IF(LEN(_xlpm.leftValue) &lt; 40, _xlpm.leftValue, _xlfn.CONCAT(_xlpm.leftValue, "…"))
)</f>
        <v>Corners need to be sealed. Open flaps at edge…</v>
      </c>
      <c r="E15" s="12" t="str" cm="1">
        <f t="array" ref="E15">_xlfn.LET(
_xlpm.inTower, COUNTIF(Tower_Num_Table[Tower Rm Numbers], LEFT(Task_Summary_Table[[#This Row],[Area/Room]], 3)) &gt; 0,
_xlpm.typeResult, _xlfn.SWITCH(LEFT(Tasks[[#This Row],[Page]], 2), "Hi", "Historic", "An", "Annex", "Si", "Site", "S5", "Project Task", "SWITCH ERROR"),
IF(_xlpm.inTower, "West Tower", _xlpm.typeResult)
)</f>
        <v>Annex</v>
      </c>
      <c r="F15" s="12" t="str">
        <f>IFERROR(MID(Tasks[[#This Row],[Page]], FIND("Level", Tasks[[#This Row],[Page]]), 7), IF(ISNUMBER(FIND("Roof", Tasks[[#This Row],[Page]])), "Roof",  IF(ISNUMBER(FIND("S590", Tasks[[#This Row],[Page]])), "",  IF(ISNUMBER(FIND("Site", Tasks[[#This Row],[Page]])), "", "ERROR"))))</f>
        <v>Roof</v>
      </c>
      <c r="G15" s="12" t="str">
        <f>IF(Tasks[[#This Row],[Location]]=0, "", Tasks[[#This Row],[Location]])</f>
        <v>Roof West</v>
      </c>
      <c r="H15" s="12" t="str">
        <f>Tasks[[#This Row],[To Package]]</f>
        <v>Roofing</v>
      </c>
      <c r="I15" s="12" t="str">
        <f>Tasks[[#This Row],[To Organisation]]</f>
        <v>Broken Arrow Construction Corporation</v>
      </c>
    </row>
    <row r="16" spans="1:9" ht="15.5" x14ac:dyDescent="0.35">
      <c r="A16" s="14" t="str">
        <f>HYPERLINK(_xlfn.CONCAT(Edit_URL,Tasks[[#This Row],[Ref]]),Tasks[[#This Row],[Ref]])</f>
        <v>T74290.163</v>
      </c>
      <c r="B16" s="12" t="str" cm="1">
        <f t="array" ref="B16">_xlfn.SWITCH(LEFT(Tasks[[#This Row],[Status]],1),"O","Opened","C","Completed","S","Signed Off", "V", "Signed Off","ERROR")</f>
        <v>Opened</v>
      </c>
      <c r="C16" s="12" t="str" cm="1">
        <f t="array" ref="C16">_xlfn.SWITCH(LEFT(Tasks[[#This Row],[Type]], 3), "Fie", "Field Report", "Con", "Contractor QC", "Gen", "Contractor QC", "Pun", "Contractor QC", "Qua", "Contractor QC", "Fin", "Punch List")</f>
        <v>Field Report</v>
      </c>
      <c r="D16" s="12" t="str">
        <f>_xlfn.LET(
_xlpm.leftValue, TRIM(LEFT(Tasks[[#This Row],[Description]], 45)),
IF(LEN(_xlpm.leftValue) &lt; 40, _xlpm.leftValue, _xlfn.CONCAT(_xlpm.leftValue, "…"))
)</f>
        <v>Parapet corner roofing needs finished￼</v>
      </c>
      <c r="E16" s="12" t="str" cm="1">
        <f t="array" ref="E16">_xlfn.LET(
_xlpm.inTower, COUNTIF(Tower_Num_Table[Tower Rm Numbers], LEFT(Task_Summary_Table[[#This Row],[Area/Room]], 3)) &gt; 0,
_xlpm.typeResult, _xlfn.SWITCH(LEFT(Tasks[[#This Row],[Page]], 2), "Hi", "Historic", "An", "Annex", "Si", "Site", "S5", "Project Task", "SWITCH ERROR"),
IF(_xlpm.inTower, "West Tower", _xlpm.typeResult)
)</f>
        <v>Annex</v>
      </c>
      <c r="F16" s="12" t="str">
        <f>IFERROR(MID(Tasks[[#This Row],[Page]], FIND("Level", Tasks[[#This Row],[Page]]), 7), IF(ISNUMBER(FIND("Roof", Tasks[[#This Row],[Page]])), "Roof",  IF(ISNUMBER(FIND("S590", Tasks[[#This Row],[Page]])), "",  IF(ISNUMBER(FIND("Site", Tasks[[#This Row],[Page]])), "", "ERROR"))))</f>
        <v>Roof</v>
      </c>
      <c r="G16" s="12" t="str">
        <f>IF(Tasks[[#This Row],[Location]]=0, "", Tasks[[#This Row],[Location]])</f>
        <v>Roof West</v>
      </c>
      <c r="H16" s="12" t="str">
        <f>Tasks[[#This Row],[To Package]]</f>
        <v>Roofing</v>
      </c>
      <c r="I16" s="12" t="str">
        <f>Tasks[[#This Row],[To Organisation]]</f>
        <v>Broken Arrow Construction Corporation</v>
      </c>
    </row>
    <row r="17" spans="1:9" ht="15.5" x14ac:dyDescent="0.35">
      <c r="A17" s="14" t="str">
        <f>HYPERLINK(_xlfn.CONCAT(Edit_URL,Tasks[[#This Row],[Ref]]),Tasks[[#This Row],[Ref]])</f>
        <v>T74290.167</v>
      </c>
      <c r="B17" s="12" t="str" cm="1">
        <f t="array" ref="B17">_xlfn.SWITCH(LEFT(Tasks[[#This Row],[Status]],1),"O","Opened","C","Completed","S","Signed Off", "V", "Signed Off","ERROR")</f>
        <v>Opened</v>
      </c>
      <c r="C17" s="12" t="str" cm="1">
        <f t="array" ref="C17">_xlfn.SWITCH(LEFT(Tasks[[#This Row],[Type]], 3), "Fie", "Field Report", "Con", "Contractor QC", "Gen", "Contractor QC", "Pun", "Contractor QC", "Qua", "Contractor QC", "Fin", "Punch List")</f>
        <v>Field Report</v>
      </c>
      <c r="D17" s="12" t="str">
        <f>_xlfn.LET(
_xlpm.leftValue, TRIM(LEFT(Tasks[[#This Row],[Description]], 45)),
IF(LEN(_xlpm.leftValue) &lt; 40, _xlpm.leftValue, _xlfn.CONCAT(_xlpm.leftValue, "…"))
)</f>
        <v>Roof drains on Historic building need to have…</v>
      </c>
      <c r="E17" s="12" t="str" cm="1">
        <f t="array" ref="E17">_xlfn.LET(
_xlpm.inTower, COUNTIF(Tower_Num_Table[Tower Rm Numbers], LEFT(Task_Summary_Table[[#This Row],[Area/Room]], 3)) &gt; 0,
_xlpm.typeResult, _xlfn.SWITCH(LEFT(Tasks[[#This Row],[Page]], 2), "Hi", "Historic", "An", "Annex", "Si", "Site", "S5", "Project Task", "SWITCH ERROR"),
IF(_xlpm.inTower, "West Tower", _xlpm.typeResult)
)</f>
        <v>Historic</v>
      </c>
      <c r="F17" s="12" t="str">
        <f>IFERROR(MID(Tasks[[#This Row],[Page]], FIND("Level", Tasks[[#This Row],[Page]]), 7), IF(ISNUMBER(FIND("Roof", Tasks[[#This Row],[Page]])), "Roof",  IF(ISNUMBER(FIND("S590", Tasks[[#This Row],[Page]])), "",  IF(ISNUMBER(FIND("Site", Tasks[[#This Row],[Page]])), "", "ERROR"))))</f>
        <v>Roof</v>
      </c>
      <c r="G17" s="12" t="str">
        <f>IF(Tasks[[#This Row],[Location]]=0, "", Tasks[[#This Row],[Location]])</f>
        <v>Main Roof Area</v>
      </c>
      <c r="H17" s="12" t="str">
        <f>Tasks[[#This Row],[To Package]]</f>
        <v>Westland -- Historic</v>
      </c>
      <c r="I17" s="12" t="str">
        <f>Tasks[[#This Row],[To Organisation]]</f>
        <v>Westland Construction, Inc.</v>
      </c>
    </row>
    <row r="18" spans="1:9" ht="15.5" x14ac:dyDescent="0.35">
      <c r="A18" s="14" t="str">
        <f>HYPERLINK(_xlfn.CONCAT(Edit_URL,Tasks[[#This Row],[Ref]]),Tasks[[#This Row],[Ref]])</f>
        <v>T72999.2</v>
      </c>
      <c r="B18" s="12" t="str" cm="1">
        <f t="array" ref="B18">_xlfn.SWITCH(LEFT(Tasks[[#This Row],[Status]],1),"O","Opened","C","Completed","S","Signed Off", "V", "Signed Off","ERROR")</f>
        <v>Opened</v>
      </c>
      <c r="C18" s="12" t="str" cm="1">
        <f t="array" ref="C18">_xlfn.SWITCH(LEFT(Tasks[[#This Row],[Type]], 3), "Fie", "Field Report", "Con", "Contractor QC", "Gen", "Contractor QC", "Pun", "Contractor QC", "Qua", "Contractor QC", "Fin", "Punch List")</f>
        <v>Field Report</v>
      </c>
      <c r="D18" s="12" t="str">
        <f>_xlfn.LET(
_xlpm.leftValue, TRIM(LEFT(Tasks[[#This Row],[Description]], 45)),
IF(LEN(_xlpm.leftValue) &lt; 40, _xlpm.leftValue, _xlfn.CONCAT(_xlpm.leftValue, "…"))
)</f>
        <v>Center electrical ballard in concrete pad…</v>
      </c>
      <c r="E18" s="12" t="str" cm="1">
        <f t="array" ref="E18">_xlfn.LET(
_xlpm.inTower, COUNTIF(Tower_Num_Table[Tower Rm Numbers], LEFT(Task_Summary_Table[[#This Row],[Area/Room]], 3)) &gt; 0,
_xlpm.typeResult, _xlfn.SWITCH(LEFT(Tasks[[#This Row],[Page]], 2), "Hi", "Historic", "An", "Annex", "Si", "Site", "S5", "Project Task", "SWITCH ERROR"),
IF(_xlpm.inTower, "West Tower", _xlpm.typeResult)
)</f>
        <v>Site</v>
      </c>
      <c r="F18" s="12" t="str">
        <f>IFERROR(MID(Tasks[[#This Row],[Page]], FIND("Level", Tasks[[#This Row],[Page]]), 7), IF(ISNUMBER(FIND("Roof", Tasks[[#This Row],[Page]])), "Roof",  IF(ISNUMBER(FIND("S590", Tasks[[#This Row],[Page]])), "",  IF(ISNUMBER(FIND("Site", Tasks[[#This Row],[Page]])), "", "ERROR"))))</f>
        <v/>
      </c>
      <c r="G18" s="12" t="str">
        <f>IF(Tasks[[#This Row],[Location]]=0, "", Tasks[[#This Row],[Location]])</f>
        <v>Site Area K</v>
      </c>
      <c r="H18" s="12" t="str">
        <f>Tasks[[#This Row],[To Package]]</f>
        <v>Electrical</v>
      </c>
      <c r="I18" s="12" t="str">
        <f>Tasks[[#This Row],[To Organisation]]</f>
        <v>Wilkinson Electric Inc</v>
      </c>
    </row>
    <row r="19" spans="1:9" ht="15.5" x14ac:dyDescent="0.35">
      <c r="A19" s="14" t="str">
        <f>HYPERLINK(_xlfn.CONCAT(Edit_URL,Tasks[[#This Row],[Ref]]),Tasks[[#This Row],[Ref]])</f>
        <v>T74290.190</v>
      </c>
      <c r="B19" s="12" t="str" cm="1">
        <f t="array" ref="B19">_xlfn.SWITCH(LEFT(Tasks[[#This Row],[Status]],1),"O","Opened","C","Completed","S","Signed Off", "V", "Signed Off","ERROR")</f>
        <v>Opened</v>
      </c>
      <c r="C19" s="12" t="str" cm="1">
        <f t="array" ref="C19">_xlfn.SWITCH(LEFT(Tasks[[#This Row],[Type]], 3), "Fie", "Field Report", "Con", "Contractor QC", "Gen", "Contractor QC", "Pun", "Contractor QC", "Qua", "Contractor QC", "Fin", "Punch List")</f>
        <v>Field Report</v>
      </c>
      <c r="D19" s="12" t="str">
        <f>_xlfn.LET(
_xlpm.leftValue, TRIM(LEFT(Tasks[[#This Row],[Description]], 45)),
IF(LEN(_xlpm.leftValue) &lt; 40, _xlpm.leftValue, _xlfn.CONCAT(_xlpm.leftValue, "…"))
)</f>
        <v>Site visit report: 09/02/22
Tower addition VA…</v>
      </c>
      <c r="E19" s="12" t="str" cm="1">
        <f t="array" ref="E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9" s="12" t="str">
        <f>IFERROR(MID(Tasks[[#This Row],[Page]], FIND("Level", Tasks[[#This Row],[Page]]), 7), IF(ISNUMBER(FIND("Roof", Tasks[[#This Row],[Page]])), "Roof",  IF(ISNUMBER(FIND("S590", Tasks[[#This Row],[Page]])), "",  IF(ISNUMBER(FIND("Site", Tasks[[#This Row],[Page]])), "", "ERROR"))))</f>
        <v>Level 1</v>
      </c>
      <c r="G19" s="12" t="str">
        <f>IF(Tasks[[#This Row],[Location]]=0, "", Tasks[[#This Row],[Location]])</f>
        <v>184 - Stair Lobby</v>
      </c>
      <c r="H19" s="12" t="str">
        <f>Tasks[[#This Row],[To Package]]</f>
        <v>Westland -- MEP</v>
      </c>
      <c r="I19" s="12" t="str">
        <f>Tasks[[#This Row],[To Organisation]]</f>
        <v>Westland Construction, Inc.</v>
      </c>
    </row>
    <row r="20" spans="1:9" ht="15.5" x14ac:dyDescent="0.35">
      <c r="A20" s="14" t="str">
        <f>HYPERLINK(_xlfn.CONCAT(Edit_URL,Tasks[[#This Row],[Ref]]),Tasks[[#This Row],[Ref]])</f>
        <v>T74290.164</v>
      </c>
      <c r="B20" s="12" t="str" cm="1">
        <f t="array" ref="B20">_xlfn.SWITCH(LEFT(Tasks[[#This Row],[Status]],1),"O","Opened","C","Completed","S","Signed Off", "V", "Signed Off","ERROR")</f>
        <v>Opened</v>
      </c>
      <c r="C20" s="12" t="str" cm="1">
        <f t="array" ref="C20">_xlfn.SWITCH(LEFT(Tasks[[#This Row],[Type]], 3), "Fie", "Field Report", "Con", "Contractor QC", "Gen", "Contractor QC", "Pun", "Contractor QC", "Qua", "Contractor QC", "Fin", "Punch List")</f>
        <v>Field Report</v>
      </c>
      <c r="D20" s="12" t="str">
        <f>_xlfn.LET(
_xlpm.leftValue, TRIM(LEFT(Tasks[[#This Row],[Description]], 45)),
IF(LEN(_xlpm.leftValue) &lt; 40, _xlpm.leftValue, _xlfn.CONCAT(_xlpm.leftValue, "…"))
)</f>
        <v>Metal ladders at the north edition are rustin…</v>
      </c>
      <c r="E20" s="12" t="str" cm="1">
        <f t="array" ref="E20">_xlfn.LET(
_xlpm.inTower, COUNTIF(Tower_Num_Table[Tower Rm Numbers], LEFT(Task_Summary_Table[[#This Row],[Area/Room]], 3)) &gt; 0,
_xlpm.typeResult, _xlfn.SWITCH(LEFT(Tasks[[#This Row],[Page]], 2), "Hi", "Historic", "An", "Annex", "Si", "Site", "S5", "Project Task", "SWITCH ERROR"),
IF(_xlpm.inTower, "West Tower", _xlpm.typeResult)
)</f>
        <v>Annex</v>
      </c>
      <c r="F20" s="12" t="str">
        <f>IFERROR(MID(Tasks[[#This Row],[Page]], FIND("Level", Tasks[[#This Row],[Page]]), 7), IF(ISNUMBER(FIND("Roof", Tasks[[#This Row],[Page]])), "Roof",  IF(ISNUMBER(FIND("S590", Tasks[[#This Row],[Page]])), "",  IF(ISNUMBER(FIND("Site", Tasks[[#This Row],[Page]])), "", "ERROR"))))</f>
        <v>Roof</v>
      </c>
      <c r="G20" s="12" t="str">
        <f>IF(Tasks[[#This Row],[Location]]=0, "", Tasks[[#This Row],[Location]])</f>
        <v>Roof Center</v>
      </c>
      <c r="H20" s="12" t="str">
        <f>Tasks[[#This Row],[To Package]]</f>
        <v>Paint</v>
      </c>
      <c r="I20" s="12" t="str">
        <f>Tasks[[#This Row],[To Organisation]]</f>
        <v>Accent Painting and Special Coatings, LLC</v>
      </c>
    </row>
    <row r="21" spans="1:9" ht="15.5" x14ac:dyDescent="0.35">
      <c r="A21" s="14" t="str">
        <f>HYPERLINK(_xlfn.CONCAT(Edit_URL,Tasks[[#This Row],[Ref]]),Tasks[[#This Row],[Ref]])</f>
        <v>T1.9541254</v>
      </c>
      <c r="B21" s="12" t="str" cm="1">
        <f t="array" ref="B21">_xlfn.SWITCH(LEFT(Tasks[[#This Row],[Status]],1),"O","Opened","C","Completed","S","Signed Off", "V", "Signed Off","ERROR")</f>
        <v>Opened</v>
      </c>
      <c r="C21" s="12" t="str" cm="1">
        <f t="array" ref="C21">_xlfn.SWITCH(LEFT(Tasks[[#This Row],[Type]], 3), "Fie", "Field Report", "Con", "Contractor QC", "Gen", "Contractor QC", "Pun", "Contractor QC", "Qua", "Contractor QC", "Fin", "Punch List")</f>
        <v>Field Report</v>
      </c>
      <c r="D21" s="12" t="str">
        <f>_xlfn.LET(
_xlpm.leftValue, TRIM(LEFT(Tasks[[#This Row],[Description]], 45)),
IF(LEN(_xlpm.leftValue) &lt; 40, _xlpm.leftValue, _xlfn.CONCAT(_xlpm.leftValue, "…"))
)</f>
        <v>ARW 63-3 Stone has been removed at the top of…</v>
      </c>
      <c r="E21" s="12" t="str" cm="1">
        <f t="array" ref="E21">_xlfn.LET(
_xlpm.inTower, COUNTIF(Tower_Num_Table[Tower Rm Numbers], LEFT(Task_Summary_Table[[#This Row],[Area/Room]], 3)) &gt; 0,
_xlpm.typeResult, _xlfn.SWITCH(LEFT(Tasks[[#This Row],[Page]], 2), "Hi", "Historic", "An", "Annex", "Si", "Site", "S5", "Project Task", "SWITCH ERROR"),
IF(_xlpm.inTower, "West Tower", _xlpm.typeResult)
)</f>
        <v>Historic</v>
      </c>
      <c r="F21" s="12" t="str">
        <f>IFERROR(MID(Tasks[[#This Row],[Page]], FIND("Level", Tasks[[#This Row],[Page]]), 7), IF(ISNUMBER(FIND("Roof", Tasks[[#This Row],[Page]])), "Roof",  IF(ISNUMBER(FIND("S590", Tasks[[#This Row],[Page]])), "",  IF(ISNUMBER(FIND("Site", Tasks[[#This Row],[Page]])), "", "ERROR"))))</f>
        <v>Level 0</v>
      </c>
      <c r="G21" s="12" t="str">
        <f>IF(Tasks[[#This Row],[Location]]=0, "", Tasks[[#This Row],[Location]])</f>
        <v/>
      </c>
      <c r="H21" s="12" t="str">
        <f>Tasks[[#This Row],[To Package]]</f>
        <v>Concrete</v>
      </c>
      <c r="I21" s="12" t="str">
        <f>Tasks[[#This Row],[To Organisation]]</f>
        <v>Innovative Concrete, LLC</v>
      </c>
    </row>
    <row r="22" spans="1:9" ht="15.5" x14ac:dyDescent="0.35">
      <c r="A22" s="14" t="str">
        <f>HYPERLINK(_xlfn.CONCAT(Edit_URL,Tasks[[#This Row],[Ref]]),Tasks[[#This Row],[Ref]])</f>
        <v>T1.9541257</v>
      </c>
      <c r="B22" s="12" t="str" cm="1">
        <f t="array" ref="B22">_xlfn.SWITCH(LEFT(Tasks[[#This Row],[Status]],1),"O","Opened","C","Completed","S","Signed Off", "V", "Signed Off","ERROR")</f>
        <v>Opened</v>
      </c>
      <c r="C22" s="12" t="str" cm="1">
        <f t="array" ref="C22">_xlfn.SWITCH(LEFT(Tasks[[#This Row],[Type]], 3), "Fie", "Field Report", "Con", "Contractor QC", "Gen", "Contractor QC", "Pun", "Contractor QC", "Qua", "Contractor QC", "Fin", "Punch List")</f>
        <v>Field Report</v>
      </c>
      <c r="D22" s="12" t="str">
        <f>_xlfn.LET(
_xlpm.leftValue, TRIM(LEFT(Tasks[[#This Row],[Description]], 45)),
IF(LEN(_xlpm.leftValue) &lt; 40, _xlpm.leftValue, _xlfn.CONCAT(_xlpm.leftValue, "…"))
)</f>
        <v>ARW 63-4 At multiple locations new concrete j…</v>
      </c>
      <c r="E22" s="12" t="str" cm="1">
        <f t="array" ref="E22">_xlfn.LET(
_xlpm.inTower, COUNTIF(Tower_Num_Table[Tower Rm Numbers], LEFT(Task_Summary_Table[[#This Row],[Area/Room]], 3)) &gt; 0,
_xlpm.typeResult, _xlfn.SWITCH(LEFT(Tasks[[#This Row],[Page]], 2), "Hi", "Historic", "An", "Annex", "Si", "Site", "S5", "Project Task", "SWITCH ERROR"),
IF(_xlpm.inTower, "West Tower", _xlpm.typeResult)
)</f>
        <v>Historic</v>
      </c>
      <c r="F22" s="12" t="str">
        <f>IFERROR(MID(Tasks[[#This Row],[Page]], FIND("Level", Tasks[[#This Row],[Page]]), 7), IF(ISNUMBER(FIND("Roof", Tasks[[#This Row],[Page]])), "Roof",  IF(ISNUMBER(FIND("S590", Tasks[[#This Row],[Page]])), "",  IF(ISNUMBER(FIND("Site", Tasks[[#This Row],[Page]])), "", "ERROR"))))</f>
        <v>Level 0</v>
      </c>
      <c r="G22" s="12" t="str">
        <f>IF(Tasks[[#This Row],[Location]]=0, "", Tasks[[#This Row],[Location]])</f>
        <v/>
      </c>
      <c r="H22" s="12" t="str">
        <f>Tasks[[#This Row],[To Package]]</f>
        <v>Concrete</v>
      </c>
      <c r="I22" s="12" t="str">
        <f>Tasks[[#This Row],[To Organisation]]</f>
        <v>Innovative Concrete, LLC</v>
      </c>
    </row>
    <row r="23" spans="1:9" ht="15.5" x14ac:dyDescent="0.35">
      <c r="A23" s="14" t="str">
        <f>HYPERLINK(_xlfn.CONCAT(Edit_URL,Tasks[[#This Row],[Ref]]),Tasks[[#This Row],[Ref]])</f>
        <v>T1.9541259</v>
      </c>
      <c r="B23" s="12" t="str" cm="1">
        <f t="array" ref="B23">_xlfn.SWITCH(LEFT(Tasks[[#This Row],[Status]],1),"O","Opened","C","Completed","S","Signed Off", "V", "Signed Off","ERROR")</f>
        <v>Opened</v>
      </c>
      <c r="C23" s="12" t="str" cm="1">
        <f t="array" ref="C23">_xlfn.SWITCH(LEFT(Tasks[[#This Row],[Type]], 3), "Fie", "Field Report", "Con", "Contractor QC", "Gen", "Contractor QC", "Pun", "Contractor QC", "Qua", "Contractor QC", "Fin", "Punch List")</f>
        <v>Field Report</v>
      </c>
      <c r="D23" s="12" t="str">
        <f>_xlfn.LET(
_xlpm.leftValue, TRIM(LEFT(Tasks[[#This Row],[Description]], 45)),
IF(LEN(_xlpm.leftValue) &lt; 40, _xlpm.leftValue, _xlfn.CONCAT(_xlpm.leftValue, "…"))
)</f>
        <v>ARW 63-7 At the door openings in the east tow…</v>
      </c>
      <c r="E23" s="12" t="str" cm="1">
        <f t="array" ref="E23">_xlfn.LET(
_xlpm.inTower, COUNTIF(Tower_Num_Table[Tower Rm Numbers], LEFT(Task_Summary_Table[[#This Row],[Area/Room]], 3)) &gt; 0,
_xlpm.typeResult, _xlfn.SWITCH(LEFT(Tasks[[#This Row],[Page]], 2), "Hi", "Historic", "An", "Annex", "Si", "Site", "S5", "Project Task", "SWITCH ERROR"),
IF(_xlpm.inTower, "West Tower", _xlpm.typeResult)
)</f>
        <v>Historic</v>
      </c>
      <c r="F23" s="12" t="str">
        <f>IFERROR(MID(Tasks[[#This Row],[Page]], FIND("Level", Tasks[[#This Row],[Page]]), 7), IF(ISNUMBER(FIND("Roof", Tasks[[#This Row],[Page]])), "Roof",  IF(ISNUMBER(FIND("S590", Tasks[[#This Row],[Page]])), "",  IF(ISNUMBER(FIND("Site", Tasks[[#This Row],[Page]])), "", "ERROR"))))</f>
        <v>Level 0</v>
      </c>
      <c r="G23" s="12" t="str">
        <f>IF(Tasks[[#This Row],[Location]]=0, "", Tasks[[#This Row],[Location]])</f>
        <v/>
      </c>
      <c r="H23" s="12" t="str">
        <f>Tasks[[#This Row],[To Package]]</f>
        <v>Concrete</v>
      </c>
      <c r="I23" s="12" t="str">
        <f>Tasks[[#This Row],[To Organisation]]</f>
        <v>Innovative Concrete, LLC</v>
      </c>
    </row>
    <row r="24" spans="1:9" ht="15.5" x14ac:dyDescent="0.35">
      <c r="A24" s="14" t="str">
        <f>HYPERLINK(_xlfn.CONCAT(Edit_URL,Tasks[[#This Row],[Ref]]),Tasks[[#This Row],[Ref]])</f>
        <v>T1.9541260</v>
      </c>
      <c r="B24" s="12" t="str" cm="1">
        <f t="array" ref="B24">_xlfn.SWITCH(LEFT(Tasks[[#This Row],[Status]],1),"O","Opened","C","Completed","S","Signed Off", "V", "Signed Off","ERROR")</f>
        <v>Opened</v>
      </c>
      <c r="C24" s="12" t="str" cm="1">
        <f t="array" ref="C24">_xlfn.SWITCH(LEFT(Tasks[[#This Row],[Type]], 3), "Fie", "Field Report", "Con", "Contractor QC", "Gen", "Contractor QC", "Pun", "Contractor QC", "Qua", "Contractor QC", "Fin", "Punch List")</f>
        <v>Field Report</v>
      </c>
      <c r="D24" s="12" t="str">
        <f>_xlfn.LET(
_xlpm.leftValue, TRIM(LEFT(Tasks[[#This Row],[Description]], 45)),
IF(LEN(_xlpm.leftValue) &lt; 40, _xlpm.leftValue, _xlfn.CONCAT(_xlpm.leftValue, "…"))
)</f>
        <v>ARW 63-8 Where HSS columns are located adjace…</v>
      </c>
      <c r="E24" s="12" t="str" cm="1">
        <f t="array" ref="E24">_xlfn.LET(
_xlpm.inTower, COUNTIF(Tower_Num_Table[Tower Rm Numbers], LEFT(Task_Summary_Table[[#This Row],[Area/Room]], 3)) &gt; 0,
_xlpm.typeResult, _xlfn.SWITCH(LEFT(Tasks[[#This Row],[Page]], 2), "Hi", "Historic", "An", "Annex", "Si", "Site", "S5", "Project Task", "SWITCH ERROR"),
IF(_xlpm.inTower, "West Tower", _xlpm.typeResult)
)</f>
        <v>Historic</v>
      </c>
      <c r="F24" s="12" t="str">
        <f>IFERROR(MID(Tasks[[#This Row],[Page]], FIND("Level", Tasks[[#This Row],[Page]]), 7), IF(ISNUMBER(FIND("Roof", Tasks[[#This Row],[Page]])), "Roof",  IF(ISNUMBER(FIND("S590", Tasks[[#This Row],[Page]])), "",  IF(ISNUMBER(FIND("Site", Tasks[[#This Row],[Page]])), "", "ERROR"))))</f>
        <v>Level 0</v>
      </c>
      <c r="G24" s="12" t="str">
        <f>IF(Tasks[[#This Row],[Location]]=0, "", Tasks[[#This Row],[Location]])</f>
        <v/>
      </c>
      <c r="H24" s="12" t="str">
        <f>Tasks[[#This Row],[To Package]]</f>
        <v>Concrete</v>
      </c>
      <c r="I24" s="12" t="str">
        <f>Tasks[[#This Row],[To Organisation]]</f>
        <v>Innovative Concrete, LLC</v>
      </c>
    </row>
    <row r="25" spans="1:9" ht="15.5" x14ac:dyDescent="0.35">
      <c r="A25" s="14" t="str">
        <f>HYPERLINK(_xlfn.CONCAT(Edit_URL,Tasks[[#This Row],[Ref]]),Tasks[[#This Row],[Ref]])</f>
        <v>T1.9552497</v>
      </c>
      <c r="B25" s="12" t="str" cm="1">
        <f t="array" ref="B25">_xlfn.SWITCH(LEFT(Tasks[[#This Row],[Status]],1),"O","Opened","C","Completed","S","Signed Off", "V", "Signed Off","ERROR")</f>
        <v>Opened</v>
      </c>
      <c r="C25" s="12" t="str" cm="1">
        <f t="array" ref="C25">_xlfn.SWITCH(LEFT(Tasks[[#This Row],[Type]], 3), "Fie", "Field Report", "Con", "Contractor QC", "Gen", "Contractor QC", "Pun", "Contractor QC", "Qua", "Contractor QC", "Fin", "Punch List")</f>
        <v>Field Report</v>
      </c>
      <c r="D25" s="12" t="str">
        <f>_xlfn.LET(
_xlpm.leftValue, TRIM(LEFT(Tasks[[#This Row],[Description]], 45)),
IF(LEN(_xlpm.leftValue) &lt; 40, _xlpm.leftValue, _xlfn.CONCAT(_xlpm.leftValue, "…"))
)</f>
        <v>ARW 67-4: Grout for columns against south ext…</v>
      </c>
      <c r="E25" s="12" t="str" cm="1">
        <f t="array" ref="E25">_xlfn.LET(
_xlpm.inTower, COUNTIF(Tower_Num_Table[Tower Rm Numbers], LEFT(Task_Summary_Table[[#This Row],[Area/Room]], 3)) &gt; 0,
_xlpm.typeResult, _xlfn.SWITCH(LEFT(Tasks[[#This Row],[Page]], 2), "Hi", "Historic", "An", "Annex", "Si", "Site", "S5", "Project Task", "SWITCH ERROR"),
IF(_xlpm.inTower, "West Tower", _xlpm.typeResult)
)</f>
        <v>Historic</v>
      </c>
      <c r="F25" s="12" t="str">
        <f>IFERROR(MID(Tasks[[#This Row],[Page]], FIND("Level", Tasks[[#This Row],[Page]]), 7), IF(ISNUMBER(FIND("Roof", Tasks[[#This Row],[Page]])), "Roof",  IF(ISNUMBER(FIND("S590", Tasks[[#This Row],[Page]])), "",  IF(ISNUMBER(FIND("Site", Tasks[[#This Row],[Page]])), "", "ERROR"))))</f>
        <v>Level 0</v>
      </c>
      <c r="G25" s="12" t="str">
        <f>IF(Tasks[[#This Row],[Location]]=0, "", Tasks[[#This Row],[Location]])</f>
        <v/>
      </c>
      <c r="H25" s="12" t="str">
        <f>Tasks[[#This Row],[To Package]]</f>
        <v>Concrete</v>
      </c>
      <c r="I25" s="12" t="str">
        <f>Tasks[[#This Row],[To Organisation]]</f>
        <v>Innovative Concrete, LLC</v>
      </c>
    </row>
    <row r="26" spans="1:9" ht="15.5" x14ac:dyDescent="0.35">
      <c r="A26" s="14" t="str">
        <f>HYPERLINK(_xlfn.CONCAT(Edit_URL,Tasks[[#This Row],[Ref]]),Tasks[[#This Row],[Ref]])</f>
        <v>T1.9556211</v>
      </c>
      <c r="B26" s="12" t="str" cm="1">
        <f t="array" ref="B26">_xlfn.SWITCH(LEFT(Tasks[[#This Row],[Status]],1),"O","Opened","C","Completed","S","Signed Off", "V", "Signed Off","ERROR")</f>
        <v>Opened</v>
      </c>
      <c r="C26" s="12" t="str" cm="1">
        <f t="array" ref="C26">_xlfn.SWITCH(LEFT(Tasks[[#This Row],[Type]], 3), "Fie", "Field Report", "Con", "Contractor QC", "Gen", "Contractor QC", "Pun", "Contractor QC", "Qua", "Contractor QC", "Fin", "Punch List")</f>
        <v>Field Report</v>
      </c>
      <c r="D26" s="12" t="str">
        <f>_xlfn.LET(
_xlpm.leftValue, TRIM(LEFT(Tasks[[#This Row],[Description]], 45)),
IF(LEN(_xlpm.leftValue) &lt; 40, _xlpm.leftValue, _xlfn.CONCAT(_xlpm.leftValue, "…"))
)</f>
        <v>ARW 70-6: HSS landing beam connection to the…</v>
      </c>
      <c r="E26" s="12" t="str" cm="1">
        <f t="array" ref="E26">_xlfn.LET(
_xlpm.inTower, COUNTIF(Tower_Num_Table[Tower Rm Numbers], LEFT(Task_Summary_Table[[#This Row],[Area/Room]], 3)) &gt; 0,
_xlpm.typeResult, _xlfn.SWITCH(LEFT(Tasks[[#This Row],[Page]], 2), "Hi", "Historic", "An", "Annex", "Si", "Site", "S5", "Project Task", "SWITCH ERROR"),
IF(_xlpm.inTower, "West Tower", _xlpm.typeResult)
)</f>
        <v>Historic</v>
      </c>
      <c r="F26" s="12" t="str">
        <f>IFERROR(MID(Tasks[[#This Row],[Page]], FIND("Level", Tasks[[#This Row],[Page]]), 7), IF(ISNUMBER(FIND("Roof", Tasks[[#This Row],[Page]])), "Roof",  IF(ISNUMBER(FIND("S590", Tasks[[#This Row],[Page]])), "",  IF(ISNUMBER(FIND("Site", Tasks[[#This Row],[Page]])), "", "ERROR"))))</f>
        <v>Level 0</v>
      </c>
      <c r="G26" s="12" t="str">
        <f>IF(Tasks[[#This Row],[Location]]=0, "", Tasks[[#This Row],[Location]])</f>
        <v/>
      </c>
      <c r="H26" s="12" t="str">
        <f>Tasks[[#This Row],[To Package]]</f>
        <v>Structural Steel</v>
      </c>
      <c r="I26" s="12" t="str">
        <f>Tasks[[#This Row],[To Organisation]]</f>
        <v>Glassey Steel Works</v>
      </c>
    </row>
    <row r="27" spans="1:9" ht="15.5" x14ac:dyDescent="0.35">
      <c r="A27" s="14" t="str">
        <f>HYPERLINK(_xlfn.CONCAT(Edit_URL,Tasks[[#This Row],[Ref]]),Tasks[[#This Row],[Ref]])</f>
        <v>T1.9618557</v>
      </c>
      <c r="B27" s="12" t="str" cm="1">
        <f t="array" ref="B27">_xlfn.SWITCH(LEFT(Tasks[[#This Row],[Status]],1),"O","Opened","C","Completed","S","Signed Off", "V", "Signed Off","ERROR")</f>
        <v>Opened</v>
      </c>
      <c r="C27" s="12" t="str" cm="1">
        <f t="array" ref="C27">_xlfn.SWITCH(LEFT(Tasks[[#This Row],[Type]], 3), "Fie", "Field Report", "Con", "Contractor QC", "Gen", "Contractor QC", "Pun", "Contractor QC", "Qua", "Contractor QC", "Fin", "Punch List")</f>
        <v>Field Report</v>
      </c>
      <c r="D27" s="12" t="str">
        <f>_xlfn.LET(
_xlpm.leftValue, TRIM(LEFT(Tasks[[#This Row],[Description]], 45)),
IF(LEN(_xlpm.leftValue) &lt; 40, _xlpm.leftValue, _xlfn.CONCAT(_xlpm.leftValue, "…"))
)</f>
        <v>StGeorge Site Visit Report 20220223, Item 2:
…</v>
      </c>
      <c r="E27" s="12" t="str" cm="1">
        <f t="array" ref="E27">_xlfn.LET(
_xlpm.inTower, COUNTIF(Tower_Num_Table[Tower Rm Numbers], LEFT(Task_Summary_Table[[#This Row],[Area/Room]], 3)) &gt; 0,
_xlpm.typeResult, _xlfn.SWITCH(LEFT(Tasks[[#This Row],[Page]], 2), "Hi", "Historic", "An", "Annex", "Si", "Site", "S5", "Project Task", "SWITCH ERROR"),
IF(_xlpm.inTower, "West Tower", _xlpm.typeResult)
)</f>
        <v>Historic</v>
      </c>
      <c r="F27" s="12" t="str">
        <f>IFERROR(MID(Tasks[[#This Row],[Page]], FIND("Level", Tasks[[#This Row],[Page]]), 7), IF(ISNUMBER(FIND("Roof", Tasks[[#This Row],[Page]])), "Roof",  IF(ISNUMBER(FIND("S590", Tasks[[#This Row],[Page]])), "",  IF(ISNUMBER(FIND("Site", Tasks[[#This Row],[Page]])), "", "ERROR"))))</f>
        <v>Level 0</v>
      </c>
      <c r="G27" s="12" t="str">
        <f>IF(Tasks[[#This Row],[Location]]=0, "", Tasks[[#This Row],[Location]])</f>
        <v/>
      </c>
      <c r="H27" s="12" t="str">
        <f>Tasks[[#This Row],[To Package]]</f>
        <v>Plumbing</v>
      </c>
      <c r="I27" s="12" t="str">
        <f>Tasks[[#This Row],[To Organisation]]</f>
        <v>US Mechanical</v>
      </c>
    </row>
    <row r="28" spans="1:9" ht="15.5" x14ac:dyDescent="0.35">
      <c r="A28" s="14" t="str">
        <f>HYPERLINK(_xlfn.CONCAT(Edit_URL,Tasks[[#This Row],[Ref]]),Tasks[[#This Row],[Ref]])</f>
        <v>T1.9541252</v>
      </c>
      <c r="B28" s="12" t="str" cm="1">
        <f t="array" ref="B28">_xlfn.SWITCH(LEFT(Tasks[[#This Row],[Status]],1),"O","Opened","C","Completed","S","Signed Off", "V", "Signed Off","ERROR")</f>
        <v>Opened</v>
      </c>
      <c r="C28" s="12" t="str" cm="1">
        <f t="array" ref="C28">_xlfn.SWITCH(LEFT(Tasks[[#This Row],[Type]], 3), "Fie", "Field Report", "Con", "Contractor QC", "Gen", "Contractor QC", "Pun", "Contractor QC", "Qua", "Contractor QC", "Fin", "Punch List")</f>
        <v>Field Report</v>
      </c>
      <c r="D28" s="12" t="str">
        <f>_xlfn.LET(
_xlpm.leftValue, TRIM(LEFT(Tasks[[#This Row],[Description]], 45)),
IF(LEN(_xlpm.leftValue) &lt; 40, _xlpm.leftValue, _xlfn.CONCAT(_xlpm.leftValue, "…"))
)</f>
        <v>ARW 63-2 The LVL stud wall framing is continu…</v>
      </c>
      <c r="E28" s="12" t="str" cm="1">
        <f t="array" ref="E28">_xlfn.LET(
_xlpm.inTower, COUNTIF(Tower_Num_Table[Tower Rm Numbers], LEFT(Task_Summary_Table[[#This Row],[Area/Room]], 3)) &gt; 0,
_xlpm.typeResult, _xlfn.SWITCH(LEFT(Tasks[[#This Row],[Page]], 2), "Hi", "Historic", "An", "Annex", "Si", "Site", "S5", "Project Task", "SWITCH ERROR"),
IF(_xlpm.inTower, "West Tower", _xlpm.typeResult)
)</f>
        <v>Historic</v>
      </c>
      <c r="F28" s="12" t="str">
        <f>IFERROR(MID(Tasks[[#This Row],[Page]], FIND("Level", Tasks[[#This Row],[Page]]), 7), IF(ISNUMBER(FIND("Roof", Tasks[[#This Row],[Page]])), "Roof",  IF(ISNUMBER(FIND("S590", Tasks[[#This Row],[Page]])), "",  IF(ISNUMBER(FIND("Site", Tasks[[#This Row],[Page]])), "", "ERROR"))))</f>
        <v>Level 2</v>
      </c>
      <c r="G28" s="12" t="str">
        <f>IF(Tasks[[#This Row],[Location]]=0, "", Tasks[[#This Row],[Location]])</f>
        <v/>
      </c>
      <c r="H28" s="12" t="str">
        <f>Tasks[[#This Row],[To Package]]</f>
        <v>Wood Framing</v>
      </c>
      <c r="I28" s="12" t="str">
        <f>Tasks[[#This Row],[To Organisation]]</f>
        <v>Rockhill Construction</v>
      </c>
    </row>
    <row r="29" spans="1:9" ht="15.5" x14ac:dyDescent="0.35">
      <c r="A29" s="14" t="str">
        <f>HYPERLINK(_xlfn.CONCAT(Edit_URL,Tasks[[#This Row],[Ref]]),Tasks[[#This Row],[Ref]])</f>
        <v>T1.9541261</v>
      </c>
      <c r="B29" s="12" t="str" cm="1">
        <f t="array" ref="B29">_xlfn.SWITCH(LEFT(Tasks[[#This Row],[Status]],1),"O","Opened","C","Completed","S","Signed Off", "V", "Signed Off","ERROR")</f>
        <v>Opened</v>
      </c>
      <c r="C29" s="12" t="str" cm="1">
        <f t="array" ref="C29">_xlfn.SWITCH(LEFT(Tasks[[#This Row],[Type]], 3), "Fie", "Field Report", "Con", "Contractor QC", "Gen", "Contractor QC", "Pun", "Contractor QC", "Qua", "Contractor QC", "Fin", "Punch List")</f>
        <v>Field Report</v>
      </c>
      <c r="D29" s="12" t="str">
        <f>_xlfn.LET(
_xlpm.leftValue, TRIM(LEFT(Tasks[[#This Row],[Description]], 45)),
IF(LEN(_xlpm.leftValue) &lt; 40, _xlpm.leftValue, _xlfn.CONCAT(_xlpm.leftValue, "…"))
)</f>
        <v>ARW 64-1 Temporary headers for level 2 and 4…</v>
      </c>
      <c r="E29" s="12" t="str" cm="1">
        <f t="array" ref="E29">_xlfn.LET(
_xlpm.inTower, COUNTIF(Tower_Num_Table[Tower Rm Numbers], LEFT(Task_Summary_Table[[#This Row],[Area/Room]], 3)) &gt; 0,
_xlpm.typeResult, _xlfn.SWITCH(LEFT(Tasks[[#This Row],[Page]], 2), "Hi", "Historic", "An", "Annex", "Si", "Site", "S5", "Project Task", "SWITCH ERROR"),
IF(_xlpm.inTower, "West Tower", _xlpm.typeResult)
)</f>
        <v>Historic</v>
      </c>
      <c r="F29" s="12" t="str">
        <f>IFERROR(MID(Tasks[[#This Row],[Page]], FIND("Level", Tasks[[#This Row],[Page]]), 7), IF(ISNUMBER(FIND("Roof", Tasks[[#This Row],[Page]])), "Roof",  IF(ISNUMBER(FIND("S590", Tasks[[#This Row],[Page]])), "",  IF(ISNUMBER(FIND("Site", Tasks[[#This Row],[Page]])), "", "ERROR"))))</f>
        <v>Level 2</v>
      </c>
      <c r="G29" s="12" t="str">
        <f>IF(Tasks[[#This Row],[Location]]=0, "", Tasks[[#This Row],[Location]])</f>
        <v/>
      </c>
      <c r="H29" s="12" t="str">
        <f>Tasks[[#This Row],[To Package]]</f>
        <v>Structural Steel</v>
      </c>
      <c r="I29" s="12" t="str">
        <f>Tasks[[#This Row],[To Organisation]]</f>
        <v>Glassey Steel Works</v>
      </c>
    </row>
    <row r="30" spans="1:9" ht="15.5" x14ac:dyDescent="0.35">
      <c r="A30" s="14" t="str">
        <f>HYPERLINK(_xlfn.CONCAT(Edit_URL,Tasks[[#This Row],[Ref]]),Tasks[[#This Row],[Ref]])</f>
        <v>T1.9552434</v>
      </c>
      <c r="B30" s="12" t="str" cm="1">
        <f t="array" ref="B30">_xlfn.SWITCH(LEFT(Tasks[[#This Row],[Status]],1),"O","Opened","C","Completed","S","Signed Off", "V", "Signed Off","ERROR")</f>
        <v>Opened</v>
      </c>
      <c r="C30" s="12" t="str" cm="1">
        <f t="array" ref="C30">_xlfn.SWITCH(LEFT(Tasks[[#This Row],[Type]], 3), "Fie", "Field Report", "Con", "Contractor QC", "Gen", "Contractor QC", "Pun", "Contractor QC", "Qua", "Contractor QC", "Fin", "Punch List")</f>
        <v>Field Report</v>
      </c>
      <c r="D30" s="12" t="str">
        <f>_xlfn.LET(
_xlpm.leftValue, TRIM(LEFT(Tasks[[#This Row],[Description]], 45)),
IF(LEN(_xlpm.leftValue) &lt; 40, _xlpm.leftValue, _xlfn.CONCAT(_xlpm.leftValue, "…"))
)</f>
        <v>ARW 66-4: One of the wrapped stone columns al…</v>
      </c>
      <c r="E30" s="12" t="str" cm="1">
        <f t="array" ref="E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 s="12" t="str">
        <f>IFERROR(MID(Tasks[[#This Row],[Page]], FIND("Level", Tasks[[#This Row],[Page]]), 7), IF(ISNUMBER(FIND("Roof", Tasks[[#This Row],[Page]])), "Roof",  IF(ISNUMBER(FIND("S590", Tasks[[#This Row],[Page]])), "",  IF(ISNUMBER(FIND("Site", Tasks[[#This Row],[Page]])), "", "ERROR"))))</f>
        <v>Level 2</v>
      </c>
      <c r="G30" s="12" t="str">
        <f>IF(Tasks[[#This Row],[Location]]=0, "", Tasks[[#This Row],[Location]])</f>
        <v/>
      </c>
      <c r="H30" s="12" t="str">
        <f>Tasks[[#This Row],[To Package]]</f>
        <v>Structural Steel</v>
      </c>
      <c r="I30" s="12" t="str">
        <f>Tasks[[#This Row],[To Organisation]]</f>
        <v>Glassey Steel Works</v>
      </c>
    </row>
    <row r="31" spans="1:9" ht="15.5" x14ac:dyDescent="0.35">
      <c r="A31" s="14" t="str">
        <f>HYPERLINK(_xlfn.CONCAT(Edit_URL,Tasks[[#This Row],[Ref]]),Tasks[[#This Row],[Ref]])</f>
        <v>T1.9552435</v>
      </c>
      <c r="B31" s="12" t="str" cm="1">
        <f t="array" ref="B31">_xlfn.SWITCH(LEFT(Tasks[[#This Row],[Status]],1),"O","Opened","C","Completed","S","Signed Off", "V", "Signed Off","ERROR")</f>
        <v>Opened</v>
      </c>
      <c r="C31" s="12" t="str" cm="1">
        <f t="array" ref="C31">_xlfn.SWITCH(LEFT(Tasks[[#This Row],[Type]], 3), "Fie", "Field Report", "Con", "Contractor QC", "Gen", "Contractor QC", "Pun", "Contractor QC", "Qua", "Contractor QC", "Fin", "Punch List")</f>
        <v>Field Report</v>
      </c>
      <c r="D31" s="12" t="str">
        <f>_xlfn.LET(
_xlpm.leftValue, TRIM(LEFT(Tasks[[#This Row],[Description]], 45)),
IF(LEN(_xlpm.leftValue) &lt; 40, _xlpm.leftValue, _xlfn.CONCAT(_xlpm.leftValue, "…"))
)</f>
        <v>ARW 66-5: At Level 2, Grids HE &amp; H4 the new s…</v>
      </c>
      <c r="E31" s="12" t="str" cm="1">
        <f t="array" ref="E31">_xlfn.LET(
_xlpm.inTower, COUNTIF(Tower_Num_Table[Tower Rm Numbers], LEFT(Task_Summary_Table[[#This Row],[Area/Room]], 3)) &gt; 0,
_xlpm.typeResult, _xlfn.SWITCH(LEFT(Tasks[[#This Row],[Page]], 2), "Hi", "Historic", "An", "Annex", "Si", "Site", "S5", "Project Task", "SWITCH ERROR"),
IF(_xlpm.inTower, "West Tower", _xlpm.typeResult)
)</f>
        <v>Historic</v>
      </c>
      <c r="F31" s="12" t="str">
        <f>IFERROR(MID(Tasks[[#This Row],[Page]], FIND("Level", Tasks[[#This Row],[Page]]), 7), IF(ISNUMBER(FIND("Roof", Tasks[[#This Row],[Page]])), "Roof",  IF(ISNUMBER(FIND("S590", Tasks[[#This Row],[Page]])), "",  IF(ISNUMBER(FIND("Site", Tasks[[#This Row],[Page]])), "", "ERROR"))))</f>
        <v>Level 2</v>
      </c>
      <c r="G31" s="12" t="str">
        <f>IF(Tasks[[#This Row],[Location]]=0, "", Tasks[[#This Row],[Location]])</f>
        <v/>
      </c>
      <c r="H31" s="12" t="str">
        <f>Tasks[[#This Row],[To Package]]</f>
        <v>Structural Steel</v>
      </c>
      <c r="I31" s="12" t="str">
        <f>Tasks[[#This Row],[To Organisation]]</f>
        <v>Glassey Steel Works</v>
      </c>
    </row>
    <row r="32" spans="1:9" ht="15.5" x14ac:dyDescent="0.35">
      <c r="A32" s="14" t="str">
        <f>HYPERLINK(_xlfn.CONCAT(Edit_URL,Tasks[[#This Row],[Ref]]),Tasks[[#This Row],[Ref]])</f>
        <v>T1.9552436</v>
      </c>
      <c r="B32" s="12" t="str" cm="1">
        <f t="array" ref="B32">_xlfn.SWITCH(LEFT(Tasks[[#This Row],[Status]],1),"O","Opened","C","Completed","S","Signed Off", "V", "Signed Off","ERROR")</f>
        <v>Opened</v>
      </c>
      <c r="C32" s="12" t="str" cm="1">
        <f t="array" ref="C32">_xlfn.SWITCH(LEFT(Tasks[[#This Row],[Type]], 3), "Fie", "Field Report", "Con", "Contractor QC", "Gen", "Contractor QC", "Pun", "Contractor QC", "Qua", "Contractor QC", "Fin", "Punch List")</f>
        <v>Field Report</v>
      </c>
      <c r="D32" s="12" t="str">
        <f>_xlfn.LET(
_xlpm.leftValue, TRIM(LEFT(Tasks[[#This Row],[Description]], 45)),
IF(LEN(_xlpm.leftValue) &lt; 40, _xlpm.leftValue, _xlfn.CONCAT(_xlpm.leftValue, "…"))
)</f>
        <v>ARW 66-6: At Level 2 between HE and HF near H…</v>
      </c>
      <c r="E32" s="12" t="str" cm="1">
        <f t="array" ref="E32">_xlfn.LET(
_xlpm.inTower, COUNTIF(Tower_Num_Table[Tower Rm Numbers], LEFT(Task_Summary_Table[[#This Row],[Area/Room]], 3)) &gt; 0,
_xlpm.typeResult, _xlfn.SWITCH(LEFT(Tasks[[#This Row],[Page]], 2), "Hi", "Historic", "An", "Annex", "Si", "Site", "S5", "Project Task", "SWITCH ERROR"),
IF(_xlpm.inTower, "West Tower", _xlpm.typeResult)
)</f>
        <v>Historic</v>
      </c>
      <c r="F32" s="12" t="str">
        <f>IFERROR(MID(Tasks[[#This Row],[Page]], FIND("Level", Tasks[[#This Row],[Page]]), 7), IF(ISNUMBER(FIND("Roof", Tasks[[#This Row],[Page]])), "Roof",  IF(ISNUMBER(FIND("S590", Tasks[[#This Row],[Page]])), "",  IF(ISNUMBER(FIND("Site", Tasks[[#This Row],[Page]])), "", "ERROR"))))</f>
        <v>Level 2</v>
      </c>
      <c r="G32" s="12" t="str">
        <f>IF(Tasks[[#This Row],[Location]]=0, "", Tasks[[#This Row],[Location]])</f>
        <v/>
      </c>
      <c r="H32" s="12" t="str">
        <f>Tasks[[#This Row],[To Package]]</f>
        <v>Wood Framing</v>
      </c>
      <c r="I32" s="12" t="str">
        <f>Tasks[[#This Row],[To Organisation]]</f>
        <v>Rockhill Construction</v>
      </c>
    </row>
    <row r="33" spans="1:9" ht="15.5" x14ac:dyDescent="0.35">
      <c r="A33" s="14" t="str">
        <f>HYPERLINK(_xlfn.CONCAT(Edit_URL,Tasks[[#This Row],[Ref]]),Tasks[[#This Row],[Ref]])</f>
        <v>T1.9552427</v>
      </c>
      <c r="B33" s="12" t="str" cm="1">
        <f t="array" ref="B33">_xlfn.SWITCH(LEFT(Tasks[[#This Row],[Status]],1),"O","Opened","C","Completed","S","Signed Off", "V", "Signed Off","ERROR")</f>
        <v>Opened</v>
      </c>
      <c r="C33" s="12" t="str" cm="1">
        <f t="array" ref="C33">_xlfn.SWITCH(LEFT(Tasks[[#This Row],[Type]], 3), "Fie", "Field Report", "Con", "Contractor QC", "Gen", "Contractor QC", "Pun", "Contractor QC", "Qua", "Contractor QC", "Fin", "Punch List")</f>
        <v>Field Report</v>
      </c>
      <c r="D33" s="12" t="str">
        <f>_xlfn.LET(
_xlpm.leftValue, TRIM(LEFT(Tasks[[#This Row],[Description]], 45)),
IF(LEN(_xlpm.leftValue) &lt; 40, _xlpm.leftValue, _xlfn.CONCAT(_xlpm.leftValue, "…"))
)</f>
        <v>ARW 65-2: The HSS rolled ceiling framing at t…</v>
      </c>
      <c r="E33" s="12" t="str" cm="1">
        <f t="array" ref="E33">_xlfn.LET(
_xlpm.inTower, COUNTIF(Tower_Num_Table[Tower Rm Numbers], LEFT(Task_Summary_Table[[#This Row],[Area/Room]], 3)) &gt; 0,
_xlpm.typeResult, _xlfn.SWITCH(LEFT(Tasks[[#This Row],[Page]], 2), "Hi", "Historic", "An", "Annex", "Si", "Site", "S5", "Project Task", "SWITCH ERROR"),
IF(_xlpm.inTower, "West Tower", _xlpm.typeResult)
)</f>
        <v>Historic</v>
      </c>
      <c r="F33" s="12" t="str">
        <f>IFERROR(MID(Tasks[[#This Row],[Page]], FIND("Level", Tasks[[#This Row],[Page]]), 7), IF(ISNUMBER(FIND("Roof", Tasks[[#This Row],[Page]])), "Roof",  IF(ISNUMBER(FIND("S590", Tasks[[#This Row],[Page]])), "",  IF(ISNUMBER(FIND("Site", Tasks[[#This Row],[Page]])), "", "ERROR"))))</f>
        <v>Level 2</v>
      </c>
      <c r="G33" s="12" t="str">
        <f>IF(Tasks[[#This Row],[Location]]=0, "", Tasks[[#This Row],[Location]])</f>
        <v/>
      </c>
      <c r="H33" s="12" t="str">
        <f>Tasks[[#This Row],[To Package]]</f>
        <v>Structural Steel</v>
      </c>
      <c r="I33" s="12" t="str">
        <f>Tasks[[#This Row],[To Organisation]]</f>
        <v>Glassey Steel Works</v>
      </c>
    </row>
    <row r="34" spans="1:9" ht="15.5" x14ac:dyDescent="0.35">
      <c r="A34" s="14" t="str">
        <f>HYPERLINK(_xlfn.CONCAT(Edit_URL,Tasks[[#This Row],[Ref]]),Tasks[[#This Row],[Ref]])</f>
        <v>T1.9541265</v>
      </c>
      <c r="B34" s="12" t="str" cm="1">
        <f t="array" ref="B34">_xlfn.SWITCH(LEFT(Tasks[[#This Row],[Status]],1),"O","Opened","C","Completed","S","Signed Off", "V", "Signed Off","ERROR")</f>
        <v>Opened</v>
      </c>
      <c r="C34" s="12" t="str" cm="1">
        <f t="array" ref="C34">_xlfn.SWITCH(LEFT(Tasks[[#This Row],[Type]], 3), "Fie", "Field Report", "Con", "Contractor QC", "Gen", "Contractor QC", "Pun", "Contractor QC", "Qua", "Contractor QC", "Fin", "Punch List")</f>
        <v>Field Report</v>
      </c>
      <c r="D34" s="12" t="str">
        <f>_xlfn.LET(
_xlpm.leftValue, TRIM(LEFT(Tasks[[#This Row],[Description]], 45)),
IF(LEN(_xlpm.leftValue) &lt; 40, _xlpm.leftValue, _xlfn.CONCAT(_xlpm.leftValue, "…"))
)</f>
        <v>ARW 64-6 Duct openings from Reviewed duct ope…</v>
      </c>
      <c r="E34" s="12" t="str" cm="1">
        <f t="array" ref="E34">_xlfn.LET(
_xlpm.inTower, COUNTIF(Tower_Num_Table[Tower Rm Numbers], LEFT(Task_Summary_Table[[#This Row],[Area/Room]], 3)) &gt; 0,
_xlpm.typeResult, _xlfn.SWITCH(LEFT(Tasks[[#This Row],[Page]], 2), "Hi", "Historic", "An", "Annex", "Si", "Site", "S5", "Project Task", "SWITCH ERROR"),
IF(_xlpm.inTower, "West Tower", _xlpm.typeResult)
)</f>
        <v>Historic</v>
      </c>
      <c r="F34" s="12" t="str">
        <f>IFERROR(MID(Tasks[[#This Row],[Page]], FIND("Level", Tasks[[#This Row],[Page]]), 7), IF(ISNUMBER(FIND("Roof", Tasks[[#This Row],[Page]])), "Roof",  IF(ISNUMBER(FIND("S590", Tasks[[#This Row],[Page]])), "",  IF(ISNUMBER(FIND("Site", Tasks[[#This Row],[Page]])), "", "ERROR"))))</f>
        <v>Level 2</v>
      </c>
      <c r="G34" s="12" t="str">
        <f>IF(Tasks[[#This Row],[Location]]=0, "", Tasks[[#This Row],[Location]])</f>
        <v/>
      </c>
      <c r="H34" s="12" t="str">
        <f>Tasks[[#This Row],[To Package]]</f>
        <v>Concrete</v>
      </c>
      <c r="I34" s="12" t="str">
        <f>Tasks[[#This Row],[To Organisation]]</f>
        <v>Innovative Concrete, LLC</v>
      </c>
    </row>
    <row r="35" spans="1:9" ht="15.5" x14ac:dyDescent="0.35">
      <c r="A35" s="14" t="str">
        <f>HYPERLINK(_xlfn.CONCAT(Edit_URL,Tasks[[#This Row],[Ref]]),Tasks[[#This Row],[Ref]])</f>
        <v>T1.9552494</v>
      </c>
      <c r="B35" s="12" t="str" cm="1">
        <f t="array" ref="B35">_xlfn.SWITCH(LEFT(Tasks[[#This Row],[Status]],1),"O","Opened","C","Completed","S","Signed Off", "V", "Signed Off","ERROR")</f>
        <v>Opened</v>
      </c>
      <c r="C35" s="12" t="str" cm="1">
        <f t="array" ref="C35">_xlfn.SWITCH(LEFT(Tasks[[#This Row],[Type]], 3), "Fie", "Field Report", "Con", "Contractor QC", "Gen", "Contractor QC", "Pun", "Contractor QC", "Qua", "Contractor QC", "Fin", "Punch List")</f>
        <v>Field Report</v>
      </c>
      <c r="D35" s="12" t="str">
        <f>_xlfn.LET(
_xlpm.leftValue, TRIM(LEFT(Tasks[[#This Row],[Description]], 45)),
IF(LEN(_xlpm.leftValue) &lt; 40, _xlpm.leftValue, _xlfn.CONCAT(_xlpm.leftValue, "…"))
)</f>
        <v>ARW 67-2: Plywood backing attachment - Discus…</v>
      </c>
      <c r="E35" s="12" t="str" cm="1">
        <f t="array" ref="E35">_xlfn.LET(
_xlpm.inTower, COUNTIF(Tower_Num_Table[Tower Rm Numbers], LEFT(Task_Summary_Table[[#This Row],[Area/Room]], 3)) &gt; 0,
_xlpm.typeResult, _xlfn.SWITCH(LEFT(Tasks[[#This Row],[Page]], 2), "Hi", "Historic", "An", "Annex", "Si", "Site", "S5", "Project Task", "SWITCH ERROR"),
IF(_xlpm.inTower, "West Tower", _xlpm.typeResult)
)</f>
        <v>Historic</v>
      </c>
      <c r="F35" s="12" t="str">
        <f>IFERROR(MID(Tasks[[#This Row],[Page]], FIND("Level", Tasks[[#This Row],[Page]]), 7), IF(ISNUMBER(FIND("Roof", Tasks[[#This Row],[Page]])), "Roof",  IF(ISNUMBER(FIND("S590", Tasks[[#This Row],[Page]])), "",  IF(ISNUMBER(FIND("Site", Tasks[[#This Row],[Page]])), "", "ERROR"))))</f>
        <v>Level 2</v>
      </c>
      <c r="G35" s="12" t="str">
        <f>IF(Tasks[[#This Row],[Location]]=0, "", Tasks[[#This Row],[Location]])</f>
        <v/>
      </c>
      <c r="H35" s="12" t="str">
        <f>Tasks[[#This Row],[To Package]]</f>
        <v>Wood Framing</v>
      </c>
      <c r="I35" s="12" t="str">
        <f>Tasks[[#This Row],[To Organisation]]</f>
        <v>Rockhill Construction</v>
      </c>
    </row>
    <row r="36" spans="1:9" ht="15.5" x14ac:dyDescent="0.35">
      <c r="A36" s="14" t="str">
        <f>HYPERLINK(_xlfn.CONCAT(Edit_URL,Tasks[[#This Row],[Ref]]),Tasks[[#This Row],[Ref]])</f>
        <v>T1.9552430</v>
      </c>
      <c r="B36" s="12" t="str" cm="1">
        <f t="array" ref="B36">_xlfn.SWITCH(LEFT(Tasks[[#This Row],[Status]],1),"O","Opened","C","Completed","S","Signed Off", "V", "Signed Off","ERROR")</f>
        <v>Opened</v>
      </c>
      <c r="C36" s="12" t="str" cm="1">
        <f t="array" ref="C36">_xlfn.SWITCH(LEFT(Tasks[[#This Row],[Type]], 3), "Fie", "Field Report", "Con", "Contractor QC", "Gen", "Contractor QC", "Pun", "Contractor QC", "Qua", "Contractor QC", "Fin", "Punch List")</f>
        <v>Field Report</v>
      </c>
      <c r="D36" s="12" t="str">
        <f>_xlfn.LET(
_xlpm.leftValue, TRIM(LEFT(Tasks[[#This Row],[Description]], 45)),
IF(LEN(_xlpm.leftValue) &lt; 40, _xlpm.leftValue, _xlfn.CONCAT(_xlpm.leftValue, "…"))
)</f>
        <v>ARW 66-1: Previously provided response to RFI…</v>
      </c>
      <c r="E36" s="12" t="str" cm="1">
        <f t="array" ref="E36">_xlfn.LET(
_xlpm.inTower, COUNTIF(Tower_Num_Table[Tower Rm Numbers], LEFT(Task_Summary_Table[[#This Row],[Area/Room]], 3)) &gt; 0,
_xlpm.typeResult, _xlfn.SWITCH(LEFT(Tasks[[#This Row],[Page]], 2), "Hi", "Historic", "An", "Annex", "Si", "Site", "S5", "Project Task", "SWITCH ERROR"),
IF(_xlpm.inTower, "West Tower", _xlpm.typeResult)
)</f>
        <v>Historic</v>
      </c>
      <c r="F36" s="12" t="str">
        <f>IFERROR(MID(Tasks[[#This Row],[Page]], FIND("Level", Tasks[[#This Row],[Page]]), 7), IF(ISNUMBER(FIND("Roof", Tasks[[#This Row],[Page]])), "Roof",  IF(ISNUMBER(FIND("S590", Tasks[[#This Row],[Page]])), "",  IF(ISNUMBER(FIND("Site", Tasks[[#This Row],[Page]])), "", "ERROR"))))</f>
        <v>Level 2</v>
      </c>
      <c r="G36" s="12" t="str">
        <f>IF(Tasks[[#This Row],[Location]]=0, "", Tasks[[#This Row],[Location]])</f>
        <v/>
      </c>
      <c r="H36" s="12" t="str">
        <f>Tasks[[#This Row],[To Package]]</f>
        <v>Wood Framing</v>
      </c>
      <c r="I36" s="12" t="str">
        <f>Tasks[[#This Row],[To Organisation]]</f>
        <v>Rockhill Construction</v>
      </c>
    </row>
    <row r="37" spans="1:9" ht="15.5" x14ac:dyDescent="0.35">
      <c r="A37" s="14" t="str">
        <f>HYPERLINK(_xlfn.CONCAT(Edit_URL,Tasks[[#This Row],[Ref]]),Tasks[[#This Row],[Ref]])</f>
        <v>T1.9552520</v>
      </c>
      <c r="B37" s="15" t="str" cm="1">
        <f t="array" ref="B37">_xlfn.SWITCH(LEFT(Tasks[[#This Row],[Status]],1),"O","Opened","C","Completed","S","Signed Off", "V", "Signed Off","ERROR")</f>
        <v>Opened</v>
      </c>
      <c r="C37" s="15" t="str" cm="1">
        <f t="array" ref="C37">_xlfn.SWITCH(LEFT(Tasks[[#This Row],[Type]], 3), "Fie", "Field Report", "Con", "Contractor QC", "Gen", "Contractor QC", "Pun", "Contractor QC", "Qua", "Contractor QC", "Fin", "Punch List")</f>
        <v>Field Report</v>
      </c>
      <c r="D37" s="15" t="str">
        <f>_xlfn.LET(
_xlpm.leftValue, TRIM(LEFT(Tasks[[#This Row],[Description]], 45)),
IF(LEN(_xlpm.leftValue) &lt; 40, _xlpm.leftValue, _xlfn.CONCAT(_xlpm.leftValue, "…"))
)</f>
        <v>ARW 69-8: An arched HSS beam has been erected…</v>
      </c>
      <c r="E37" s="15" t="str" cm="1">
        <f t="array" ref="E37">_xlfn.LET(
_xlpm.inTower, COUNTIF(Tower_Num_Table[Tower Rm Numbers], LEFT(Task_Summary_Table[[#This Row],[Area/Room]], 3)) &gt; 0,
_xlpm.typeResult, _xlfn.SWITCH(LEFT(Tasks[[#This Row],[Page]], 2), "Hi", "Historic", "An", "Annex", "Si", "Site", "S5", "Project Task", "SWITCH ERROR"),
IF(_xlpm.inTower, "West Tower", _xlpm.typeResult)
)</f>
        <v>Historic</v>
      </c>
      <c r="F37" s="12" t="str">
        <f>IFERROR(MID(Tasks[[#This Row],[Page]], FIND("Level", Tasks[[#This Row],[Page]]), 7), IF(ISNUMBER(FIND("Roof", Tasks[[#This Row],[Page]])), "Roof",  IF(ISNUMBER(FIND("S590", Tasks[[#This Row],[Page]])), "",  IF(ISNUMBER(FIND("Site", Tasks[[#This Row],[Page]])), "", "ERROR"))))</f>
        <v>Level 2</v>
      </c>
      <c r="G37" s="12" t="str">
        <f>IF(Tasks[[#This Row],[Location]]=0, "", Tasks[[#This Row],[Location]])</f>
        <v/>
      </c>
      <c r="H37" s="12" t="str">
        <f>Tasks[[#This Row],[To Package]]</f>
        <v>Structural Steel</v>
      </c>
      <c r="I37" s="12" t="str">
        <f>Tasks[[#This Row],[To Organisation]]</f>
        <v>Glassey Steel Works</v>
      </c>
    </row>
    <row r="38" spans="1:9" ht="15.5" x14ac:dyDescent="0.35">
      <c r="A38" s="14" t="str">
        <f>HYPERLINK(_xlfn.CONCAT(Edit_URL,Tasks[[#This Row],[Ref]]),Tasks[[#This Row],[Ref]])</f>
        <v>T1.9552521</v>
      </c>
      <c r="B38" s="15" t="str" cm="1">
        <f t="array" ref="B38">_xlfn.SWITCH(LEFT(Tasks[[#This Row],[Status]],1),"O","Opened","C","Completed","S","Signed Off", "V", "Signed Off","ERROR")</f>
        <v>Opened</v>
      </c>
      <c r="C38" s="15" t="str" cm="1">
        <f t="array" ref="C38">_xlfn.SWITCH(LEFT(Tasks[[#This Row],[Type]], 3), "Fie", "Field Report", "Con", "Contractor QC", "Gen", "Contractor QC", "Pun", "Contractor QC", "Qua", "Contractor QC", "Fin", "Punch List")</f>
        <v>Field Report</v>
      </c>
      <c r="D38" s="15" t="str">
        <f>_xlfn.LET(
_xlpm.leftValue, TRIM(LEFT(Tasks[[#This Row],[Description]], 45)),
IF(LEN(_xlpm.leftValue) &lt; 40, _xlpm.leftValue, _xlfn.CONCAT(_xlpm.leftValue, "…"))
)</f>
        <v>ARW 69-9: The support of the arched ceiling j…</v>
      </c>
      <c r="E38" s="15" t="str" cm="1">
        <f t="array" ref="E38">_xlfn.LET(
_xlpm.inTower, COUNTIF(Tower_Num_Table[Tower Rm Numbers], LEFT(Task_Summary_Table[[#This Row],[Area/Room]], 3)) &gt; 0,
_xlpm.typeResult, _xlfn.SWITCH(LEFT(Tasks[[#This Row],[Page]], 2), "Hi", "Historic", "An", "Annex", "Si", "Site", "S5", "Project Task", "SWITCH ERROR"),
IF(_xlpm.inTower, "West Tower", _xlpm.typeResult)
)</f>
        <v>Historic</v>
      </c>
      <c r="F38" s="12" t="str">
        <f>IFERROR(MID(Tasks[[#This Row],[Page]], FIND("Level", Tasks[[#This Row],[Page]]), 7), IF(ISNUMBER(FIND("Roof", Tasks[[#This Row],[Page]])), "Roof",  IF(ISNUMBER(FIND("S590", Tasks[[#This Row],[Page]])), "",  IF(ISNUMBER(FIND("Site", Tasks[[#This Row],[Page]])), "", "ERROR"))))</f>
        <v>Level 2</v>
      </c>
      <c r="G38" s="12" t="str">
        <f>IF(Tasks[[#This Row],[Location]]=0, "", Tasks[[#This Row],[Location]])</f>
        <v/>
      </c>
      <c r="H38" s="12" t="str">
        <f>Tasks[[#This Row],[To Package]]</f>
        <v>Metal Stud / Drywall</v>
      </c>
      <c r="I38" s="12" t="str">
        <f>Tasks[[#This Row],[To Organisation]]</f>
        <v>Pete King Construction</v>
      </c>
    </row>
    <row r="39" spans="1:9" ht="15.5" x14ac:dyDescent="0.35">
      <c r="A39" s="14" t="str">
        <f>HYPERLINK(_xlfn.CONCAT(Edit_URL,Tasks[[#This Row],[Ref]]),Tasks[[#This Row],[Ref]])</f>
        <v>T1.9552503</v>
      </c>
      <c r="B39" s="15" t="str" cm="1">
        <f t="array" ref="B39">_xlfn.SWITCH(LEFT(Tasks[[#This Row],[Status]],1),"O","Opened","C","Completed","S","Signed Off", "V", "Signed Off","ERROR")</f>
        <v>Opened</v>
      </c>
      <c r="C39" s="15" t="str" cm="1">
        <f t="array" ref="C39">_xlfn.SWITCH(LEFT(Tasks[[#This Row],[Type]], 3), "Fie", "Field Report", "Con", "Contractor QC", "Gen", "Contractor QC", "Pun", "Contractor QC", "Qua", "Contractor QC", "Fin", "Punch List")</f>
        <v>Field Report</v>
      </c>
      <c r="D39" s="15" t="str">
        <f>_xlfn.LET(
_xlpm.leftValue, TRIM(LEFT(Tasks[[#This Row],[Description]], 45)),
IF(LEN(_xlpm.leftValue) &lt; 40, _xlpm.leftValue, _xlfn.CONCAT(_xlpm.leftValue, "…"))
)</f>
        <v>ARW 67-8: Clip connecting level 0.5 LVL and l…</v>
      </c>
      <c r="E39" s="15" t="str" cm="1">
        <f t="array" ref="E39">_xlfn.LET(
_xlpm.inTower, COUNTIF(Tower_Num_Table[Tower Rm Numbers], LEFT(Task_Summary_Table[[#This Row],[Area/Room]], 3)) &gt; 0,
_xlpm.typeResult, _xlfn.SWITCH(LEFT(Tasks[[#This Row],[Page]], 2), "Hi", "Historic", "An", "Annex", "Si", "Site", "S5", "Project Task", "SWITCH ERROR"),
IF(_xlpm.inTower, "West Tower", _xlpm.typeResult)
)</f>
        <v>Historic</v>
      </c>
      <c r="F39" s="12" t="str">
        <f>IFERROR(MID(Tasks[[#This Row],[Page]], FIND("Level", Tasks[[#This Row],[Page]]), 7), IF(ISNUMBER(FIND("Roof", Tasks[[#This Row],[Page]])), "Roof",  IF(ISNUMBER(FIND("S590", Tasks[[#This Row],[Page]])), "",  IF(ISNUMBER(FIND("Site", Tasks[[#This Row],[Page]])), "", "ERROR"))))</f>
        <v>Level 2</v>
      </c>
      <c r="G39" s="12" t="str">
        <f>IF(Tasks[[#This Row],[Location]]=0, "", Tasks[[#This Row],[Location]])</f>
        <v/>
      </c>
      <c r="H39" s="12" t="str">
        <f>Tasks[[#This Row],[To Package]]</f>
        <v>Wood Framing</v>
      </c>
      <c r="I39" s="12" t="str">
        <f>Tasks[[#This Row],[To Organisation]]</f>
        <v>Rockhill Construction</v>
      </c>
    </row>
    <row r="40" spans="1:9" ht="15.5" x14ac:dyDescent="0.35">
      <c r="A40" s="14" t="str">
        <f>HYPERLINK(_xlfn.CONCAT(Edit_URL,Tasks[[#This Row],[Ref]]),Tasks[[#This Row],[Ref]])</f>
        <v>T1.9552504</v>
      </c>
      <c r="B40" s="15" t="str" cm="1">
        <f t="array" ref="B40">_xlfn.SWITCH(LEFT(Tasks[[#This Row],[Status]],1),"O","Opened","C","Completed","S","Signed Off", "V", "Signed Off","ERROR")</f>
        <v>Opened</v>
      </c>
      <c r="C40" s="15" t="str" cm="1">
        <f t="array" ref="C40">_xlfn.SWITCH(LEFT(Tasks[[#This Row],[Type]], 3), "Fie", "Field Report", "Con", "Contractor QC", "Gen", "Contractor QC", "Pun", "Contractor QC", "Qua", "Contractor QC", "Fin", "Punch List")</f>
        <v>Field Report</v>
      </c>
      <c r="D40" s="15" t="str">
        <f>_xlfn.LET(
_xlpm.leftValue, TRIM(LEFT(Tasks[[#This Row],[Description]], 45)),
IF(LEN(_xlpm.leftValue) &lt; 40, _xlpm.leftValue, _xlfn.CONCAT(_xlpm.leftValue, "…"))
)</f>
        <v>ARW 68-3: Concrete beam to concrete column co…</v>
      </c>
      <c r="E40" s="15" t="str" cm="1">
        <f t="array" ref="E40">_xlfn.LET(
_xlpm.inTower, COUNTIF(Tower_Num_Table[Tower Rm Numbers], LEFT(Task_Summary_Table[[#This Row],[Area/Room]], 3)) &gt; 0,
_xlpm.typeResult, _xlfn.SWITCH(LEFT(Tasks[[#This Row],[Page]], 2), "Hi", "Historic", "An", "Annex", "Si", "Site", "S5", "Project Task", "SWITCH ERROR"),
IF(_xlpm.inTower, "West Tower", _xlpm.typeResult)
)</f>
        <v>Historic</v>
      </c>
      <c r="F40" s="12" t="str">
        <f>IFERROR(MID(Tasks[[#This Row],[Page]], FIND("Level", Tasks[[#This Row],[Page]]), 7), IF(ISNUMBER(FIND("Roof", Tasks[[#This Row],[Page]])), "Roof",  IF(ISNUMBER(FIND("S590", Tasks[[#This Row],[Page]])), "",  IF(ISNUMBER(FIND("Site", Tasks[[#This Row],[Page]])), "", "ERROR"))))</f>
        <v>Level 2</v>
      </c>
      <c r="G40" s="12" t="str">
        <f>IF(Tasks[[#This Row],[Location]]=0, "", Tasks[[#This Row],[Location]])</f>
        <v/>
      </c>
      <c r="H40" s="12" t="str">
        <f>Tasks[[#This Row],[To Package]]</f>
        <v>Concrete</v>
      </c>
      <c r="I40" s="12" t="str">
        <f>Tasks[[#This Row],[To Organisation]]</f>
        <v>Innovative Concrete, LLC</v>
      </c>
    </row>
    <row r="41" spans="1:9" ht="15.5" x14ac:dyDescent="0.35">
      <c r="A41" s="14" t="str">
        <f>HYPERLINK(_xlfn.CONCAT(Edit_URL,Tasks[[#This Row],[Ref]]),Tasks[[#This Row],[Ref]])</f>
        <v>T1.9556204</v>
      </c>
      <c r="B41" s="15" t="str" cm="1">
        <f t="array" ref="B41">_xlfn.SWITCH(LEFT(Tasks[[#This Row],[Status]],1),"O","Opened","C","Completed","S","Signed Off", "V", "Signed Off","ERROR")</f>
        <v>Opened</v>
      </c>
      <c r="C41" s="15" t="str" cm="1">
        <f t="array" ref="C41">_xlfn.SWITCH(LEFT(Tasks[[#This Row],[Type]], 3), "Fie", "Field Report", "Con", "Contractor QC", "Gen", "Contractor QC", "Pun", "Contractor QC", "Qua", "Contractor QC", "Fin", "Punch List")</f>
        <v>Field Report</v>
      </c>
      <c r="D41" s="15" t="str">
        <f>_xlfn.LET(
_xlpm.leftValue, TRIM(LEFT(Tasks[[#This Row],[Description]], 45)),
IF(LEN(_xlpm.leftValue) &lt; 40, _xlpm.leftValue, _xlfn.CONCAT(_xlpm.leftValue, "…"))
)</f>
        <v>ARW 70-1: LVL sister for 2nd level Sealing Ro…</v>
      </c>
      <c r="E41" s="15" t="str" cm="1">
        <f t="array" ref="E41">_xlfn.LET(
_xlpm.inTower, COUNTIF(Tower_Num_Table[Tower Rm Numbers], LEFT(Task_Summary_Table[[#This Row],[Area/Room]], 3)) &gt; 0,
_xlpm.typeResult, _xlfn.SWITCH(LEFT(Tasks[[#This Row],[Page]], 2), "Hi", "Historic", "An", "Annex", "Si", "Site", "S5", "Project Task", "SWITCH ERROR"),
IF(_xlpm.inTower, "West Tower", _xlpm.typeResult)
)</f>
        <v>Historic</v>
      </c>
      <c r="F41" s="12" t="str">
        <f>IFERROR(MID(Tasks[[#This Row],[Page]], FIND("Level", Tasks[[#This Row],[Page]]), 7), IF(ISNUMBER(FIND("Roof", Tasks[[#This Row],[Page]])), "Roof",  IF(ISNUMBER(FIND("S590", Tasks[[#This Row],[Page]])), "",  IF(ISNUMBER(FIND("Site", Tasks[[#This Row],[Page]])), "", "ERROR"))))</f>
        <v>Level 2</v>
      </c>
      <c r="G41" s="12" t="str">
        <f>IF(Tasks[[#This Row],[Location]]=0, "", Tasks[[#This Row],[Location]])</f>
        <v/>
      </c>
      <c r="H41" s="12" t="str">
        <f>Tasks[[#This Row],[To Package]]</f>
        <v>Wood Framing</v>
      </c>
      <c r="I41" s="12" t="str">
        <f>Tasks[[#This Row],[To Organisation]]</f>
        <v>Rockhill Construction</v>
      </c>
    </row>
    <row r="42" spans="1:9" ht="15.5" x14ac:dyDescent="0.35">
      <c r="A42" s="14" t="str">
        <f>HYPERLINK(_xlfn.CONCAT(Edit_URL,Tasks[[#This Row],[Ref]]),Tasks[[#This Row],[Ref]])</f>
        <v>T1.9552522</v>
      </c>
      <c r="B42" s="15" t="str" cm="1">
        <f t="array" ref="B42">_xlfn.SWITCH(LEFT(Tasks[[#This Row],[Status]],1),"O","Opened","C","Completed","S","Signed Off", "V", "Signed Off","ERROR")</f>
        <v>Opened</v>
      </c>
      <c r="C42" s="15" t="str" cm="1">
        <f t="array" ref="C42">_xlfn.SWITCH(LEFT(Tasks[[#This Row],[Type]], 3), "Fie", "Field Report", "Con", "Contractor QC", "Gen", "Contractor QC", "Pun", "Contractor QC", "Qua", "Contractor QC", "Fin", "Punch List")</f>
        <v>Field Report</v>
      </c>
      <c r="D42" s="15" t="str">
        <f>_xlfn.LET(
_xlpm.leftValue, TRIM(LEFT(Tasks[[#This Row],[Description]], 45)),
IF(LEN(_xlpm.leftValue) &lt; 40, _xlpm.leftValue, _xlfn.CONCAT(_xlpm.leftValue, "…"))
)</f>
        <v>ARW 69-10: Various steel beams throughout the…</v>
      </c>
      <c r="E42" s="15" t="str" cm="1">
        <f t="array" ref="E42">_xlfn.LET(
_xlpm.inTower, COUNTIF(Tower_Num_Table[Tower Rm Numbers], LEFT(Task_Summary_Table[[#This Row],[Area/Room]], 3)) &gt; 0,
_xlpm.typeResult, _xlfn.SWITCH(LEFT(Tasks[[#This Row],[Page]], 2), "Hi", "Historic", "An", "Annex", "Si", "Site", "S5", "Project Task", "SWITCH ERROR"),
IF(_xlpm.inTower, "West Tower", _xlpm.typeResult)
)</f>
        <v>Historic</v>
      </c>
      <c r="F42" s="12" t="str">
        <f>IFERROR(MID(Tasks[[#This Row],[Page]], FIND("Level", Tasks[[#This Row],[Page]]), 7), IF(ISNUMBER(FIND("Roof", Tasks[[#This Row],[Page]])), "Roof",  IF(ISNUMBER(FIND("S590", Tasks[[#This Row],[Page]])), "",  IF(ISNUMBER(FIND("Site", Tasks[[#This Row],[Page]])), "", "ERROR"))))</f>
        <v>Level 1</v>
      </c>
      <c r="G42" s="12" t="str">
        <f>IF(Tasks[[#This Row],[Location]]=0, "", Tasks[[#This Row],[Location]])</f>
        <v/>
      </c>
      <c r="H42" s="12" t="str">
        <f>Tasks[[#This Row],[To Package]]</f>
        <v>Concrete</v>
      </c>
      <c r="I42" s="12" t="str">
        <f>Tasks[[#This Row],[To Organisation]]</f>
        <v>Innovative Concrete, LLC</v>
      </c>
    </row>
    <row r="43" spans="1:9" ht="15.5" x14ac:dyDescent="0.35">
      <c r="A43" s="14" t="str">
        <f>HYPERLINK(_xlfn.CONCAT(Edit_URL,Tasks[[#This Row],[Ref]]),Tasks[[#This Row],[Ref]])</f>
        <v>T1.9552499</v>
      </c>
      <c r="B43" s="15" t="str" cm="1">
        <f t="array" ref="B43">_xlfn.SWITCH(LEFT(Tasks[[#This Row],[Status]],1),"O","Opened","C","Completed","S","Signed Off", "V", "Signed Off","ERROR")</f>
        <v>Opened</v>
      </c>
      <c r="C43" s="15" t="str" cm="1">
        <f t="array" ref="C43">_xlfn.SWITCH(LEFT(Tasks[[#This Row],[Type]], 3), "Fie", "Field Report", "Con", "Contractor QC", "Gen", "Contractor QC", "Pun", "Contractor QC", "Qua", "Contractor QC", "Fin", "Punch List")</f>
        <v>Field Report</v>
      </c>
      <c r="D43" s="15" t="str">
        <f>_xlfn.LET(
_xlpm.leftValue, TRIM(LEFT(Tasks[[#This Row],[Description]], 45)),
IF(LEN(_xlpm.leftValue) &lt; 40, _xlpm.leftValue, _xlfn.CONCAT(_xlpm.leftValue, "…"))
)</f>
        <v>ARW 67-6: Grout to be placed behind HSS, arou…</v>
      </c>
      <c r="E43" s="15" t="str" cm="1">
        <f t="array" ref="E43">_xlfn.LET(
_xlpm.inTower, COUNTIF(Tower_Num_Table[Tower Rm Numbers], LEFT(Task_Summary_Table[[#This Row],[Area/Room]], 3)) &gt; 0,
_xlpm.typeResult, _xlfn.SWITCH(LEFT(Tasks[[#This Row],[Page]], 2), "Hi", "Historic", "An", "Annex", "Si", "Site", "S5", "Project Task", "SWITCH ERROR"),
IF(_xlpm.inTower, "West Tower", _xlpm.typeResult)
)</f>
        <v>Historic</v>
      </c>
      <c r="F43" s="12" t="str">
        <f>IFERROR(MID(Tasks[[#This Row],[Page]], FIND("Level", Tasks[[#This Row],[Page]]), 7), IF(ISNUMBER(FIND("Roof", Tasks[[#This Row],[Page]])), "Roof",  IF(ISNUMBER(FIND("S590", Tasks[[#This Row],[Page]])), "",  IF(ISNUMBER(FIND("Site", Tasks[[#This Row],[Page]])), "", "ERROR"))))</f>
        <v>Level 1</v>
      </c>
      <c r="G43" s="12" t="str">
        <f>IF(Tasks[[#This Row],[Location]]=0, "", Tasks[[#This Row],[Location]])</f>
        <v/>
      </c>
      <c r="H43" s="12" t="str">
        <f>Tasks[[#This Row],[To Package]]</f>
        <v>Concrete</v>
      </c>
      <c r="I43" s="12" t="str">
        <f>Tasks[[#This Row],[To Organisation]]</f>
        <v>Innovative Concrete, LLC</v>
      </c>
    </row>
    <row r="44" spans="1:9" ht="15.5" x14ac:dyDescent="0.35">
      <c r="A44" s="14" t="str">
        <f>HYPERLINK(_xlfn.CONCAT(Edit_URL,Tasks[[#This Row],[Ref]]),Tasks[[#This Row],[Ref]])</f>
        <v>T1.9552501</v>
      </c>
      <c r="B44" s="15" t="str" cm="1">
        <f t="array" ref="B44">_xlfn.SWITCH(LEFT(Tasks[[#This Row],[Status]],1),"O","Opened","C","Completed","S","Signed Off", "V", "Signed Off","ERROR")</f>
        <v>Opened</v>
      </c>
      <c r="C44" s="15" t="str" cm="1">
        <f t="array" ref="C44">_xlfn.SWITCH(LEFT(Tasks[[#This Row],[Type]], 3), "Fie", "Field Report", "Con", "Contractor QC", "Gen", "Contractor QC", "Pun", "Contractor QC", "Qua", "Contractor QC", "Fin", "Punch List")</f>
        <v>Field Report</v>
      </c>
      <c r="D44" s="15" t="str">
        <f>_xlfn.LET(
_xlpm.leftValue, TRIM(LEFT(Tasks[[#This Row],[Description]], 45)),
IF(LEN(_xlpm.leftValue) &lt; 40, _xlpm.leftValue, _xlfn.CONCAT(_xlpm.leftValue, "…"))
)</f>
        <v>ARW 67-7: LVL wall between foyer and baptist…</v>
      </c>
      <c r="E44" s="15" t="str" cm="1">
        <f t="array" ref="E44">_xlfn.LET(
_xlpm.inTower, COUNTIF(Tower_Num_Table[Tower Rm Numbers], LEFT(Task_Summary_Table[[#This Row],[Area/Room]], 3)) &gt; 0,
_xlpm.typeResult, _xlfn.SWITCH(LEFT(Tasks[[#This Row],[Page]], 2), "Hi", "Historic", "An", "Annex", "Si", "Site", "S5", "Project Task", "SWITCH ERROR"),
IF(_xlpm.inTower, "West Tower", _xlpm.typeResult)
)</f>
        <v>Historic</v>
      </c>
      <c r="F44" s="12" t="str">
        <f>IFERROR(MID(Tasks[[#This Row],[Page]], FIND("Level", Tasks[[#This Row],[Page]]), 7), IF(ISNUMBER(FIND("Roof", Tasks[[#This Row],[Page]])), "Roof",  IF(ISNUMBER(FIND("S590", Tasks[[#This Row],[Page]])), "",  IF(ISNUMBER(FIND("Site", Tasks[[#This Row],[Page]])), "", "ERROR"))))</f>
        <v>Level 1</v>
      </c>
      <c r="G44" s="12" t="str">
        <f>IF(Tasks[[#This Row],[Location]]=0, "", Tasks[[#This Row],[Location]])</f>
        <v/>
      </c>
      <c r="H44" s="12" t="str">
        <f>Tasks[[#This Row],[To Package]]</f>
        <v>Wood Framing</v>
      </c>
      <c r="I44" s="12" t="str">
        <f>Tasks[[#This Row],[To Organisation]]</f>
        <v>Rockhill Construction</v>
      </c>
    </row>
    <row r="45" spans="1:9" ht="15.5" x14ac:dyDescent="0.35">
      <c r="A45" s="14" t="str">
        <f>HYPERLINK(_xlfn.CONCAT(Edit_URL,Tasks[[#This Row],[Ref]]),Tasks[[#This Row],[Ref]])</f>
        <v>T1.9552510</v>
      </c>
      <c r="B45" s="15" t="str" cm="1">
        <f t="array" ref="B45">_xlfn.SWITCH(LEFT(Tasks[[#This Row],[Status]],1),"O","Opened","C","Completed","S","Signed Off", "V", "Signed Off","ERROR")</f>
        <v>Opened</v>
      </c>
      <c r="C45" s="15" t="str" cm="1">
        <f t="array" ref="C45">_xlfn.SWITCH(LEFT(Tasks[[#This Row],[Type]], 3), "Fie", "Field Report", "Con", "Contractor QC", "Gen", "Contractor QC", "Pun", "Contractor QC", "Qua", "Contractor QC", "Fin", "Punch List")</f>
        <v>Field Report</v>
      </c>
      <c r="D45" s="15" t="str">
        <f>_xlfn.LET(
_xlpm.leftValue, TRIM(LEFT(Tasks[[#This Row],[Description]], 45)),
IF(LEN(_xlpm.leftValue) &lt; 40, _xlpm.leftValue, _xlfn.CONCAT(_xlpm.leftValue, "…"))
)</f>
        <v>ARW 69-2: Discussed the placement of the supp…</v>
      </c>
      <c r="E45" s="15" t="str" cm="1">
        <f t="array" ref="E45">_xlfn.LET(
_xlpm.inTower, COUNTIF(Tower_Num_Table[Tower Rm Numbers], LEFT(Task_Summary_Table[[#This Row],[Area/Room]], 3)) &gt; 0,
_xlpm.typeResult, _xlfn.SWITCH(LEFT(Tasks[[#This Row],[Page]], 2), "Hi", "Historic", "An", "Annex", "Si", "Site", "S5", "Project Task", "SWITCH ERROR"),
IF(_xlpm.inTower, "West Tower", _xlpm.typeResult)
)</f>
        <v>Historic</v>
      </c>
      <c r="F45" s="12" t="str">
        <f>IFERROR(MID(Tasks[[#This Row],[Page]], FIND("Level", Tasks[[#This Row],[Page]]), 7), IF(ISNUMBER(FIND("Roof", Tasks[[#This Row],[Page]])), "Roof",  IF(ISNUMBER(FIND("S590", Tasks[[#This Row],[Page]])), "",  IF(ISNUMBER(FIND("Site", Tasks[[#This Row],[Page]])), "", "ERROR"))))</f>
        <v>Level 1</v>
      </c>
      <c r="G45" s="12" t="str">
        <f>IF(Tasks[[#This Row],[Location]]=0, "", Tasks[[#This Row],[Location]])</f>
        <v/>
      </c>
      <c r="H45" s="12" t="str">
        <f>Tasks[[#This Row],[To Package]]</f>
        <v>Structural Steel</v>
      </c>
      <c r="I45" s="12" t="str">
        <f>Tasks[[#This Row],[To Organisation]]</f>
        <v>Glassey Steel Works</v>
      </c>
    </row>
    <row r="46" spans="1:9" ht="15.5" x14ac:dyDescent="0.35">
      <c r="A46" s="14" t="str">
        <f>HYPERLINK(_xlfn.CONCAT(Edit_URL,Tasks[[#This Row],[Ref]]),Tasks[[#This Row],[Ref]])</f>
        <v>T1.9552514</v>
      </c>
      <c r="B46" s="15" t="str" cm="1">
        <f t="array" ref="B46">_xlfn.SWITCH(LEFT(Tasks[[#This Row],[Status]],1),"O","Opened","C","Completed","S","Signed Off", "V", "Signed Off","ERROR")</f>
        <v>Opened</v>
      </c>
      <c r="C46" s="15" t="str" cm="1">
        <f t="array" ref="C46">_xlfn.SWITCH(LEFT(Tasks[[#This Row],[Type]], 3), "Fie", "Field Report", "Con", "Contractor QC", "Gen", "Contractor QC", "Pun", "Contractor QC", "Qua", "Contractor QC", "Fin", "Punch List")</f>
        <v>Field Report</v>
      </c>
      <c r="D46" s="15" t="str">
        <f>_xlfn.LET(
_xlpm.leftValue, TRIM(LEFT(Tasks[[#This Row],[Description]], 45)),
IF(LEN(_xlpm.leftValue) &lt; 40, _xlpm.leftValue, _xlfn.CONCAT(_xlpm.leftValue, "…"))
)</f>
        <v>ARW 69-3: The stair framing for the stair at…</v>
      </c>
      <c r="E46" s="15" t="str" cm="1">
        <f t="array" ref="E46">_xlfn.LET(
_xlpm.inTower, COUNTIF(Tower_Num_Table[Tower Rm Numbers], LEFT(Task_Summary_Table[[#This Row],[Area/Room]], 3)) &gt; 0,
_xlpm.typeResult, _xlfn.SWITCH(LEFT(Tasks[[#This Row],[Page]], 2), "Hi", "Historic", "An", "Annex", "Si", "Site", "S5", "Project Task", "SWITCH ERROR"),
IF(_xlpm.inTower, "West Tower", _xlpm.typeResult)
)</f>
        <v>Historic</v>
      </c>
      <c r="F46" s="12" t="str">
        <f>IFERROR(MID(Tasks[[#This Row],[Page]], FIND("Level", Tasks[[#This Row],[Page]]), 7), IF(ISNUMBER(FIND("Roof", Tasks[[#This Row],[Page]])), "Roof",  IF(ISNUMBER(FIND("S590", Tasks[[#This Row],[Page]])), "",  IF(ISNUMBER(FIND("Site", Tasks[[#This Row],[Page]])), "", "ERROR"))))</f>
        <v>Level 1</v>
      </c>
      <c r="G46" s="12" t="str">
        <f>IF(Tasks[[#This Row],[Location]]=0, "", Tasks[[#This Row],[Location]])</f>
        <v/>
      </c>
      <c r="H46" s="12" t="str">
        <f>Tasks[[#This Row],[To Package]]</f>
        <v>Structural Steel</v>
      </c>
      <c r="I46" s="12" t="str">
        <f>Tasks[[#This Row],[To Organisation]]</f>
        <v>Glassey Steel Works</v>
      </c>
    </row>
    <row r="47" spans="1:9" ht="15.5" x14ac:dyDescent="0.35">
      <c r="A47" s="14" t="str">
        <f>HYPERLINK(_xlfn.CONCAT(Edit_URL,Tasks[[#This Row],[Ref]]),Tasks[[#This Row],[Ref]])</f>
        <v>T1.9552516</v>
      </c>
      <c r="B47" s="15" t="str" cm="1">
        <f t="array" ref="B47">_xlfn.SWITCH(LEFT(Tasks[[#This Row],[Status]],1),"O","Opened","C","Completed","S","Signed Off", "V", "Signed Off","ERROR")</f>
        <v>Opened</v>
      </c>
      <c r="C47" s="15" t="str" cm="1">
        <f t="array" ref="C47">_xlfn.SWITCH(LEFT(Tasks[[#This Row],[Type]], 3), "Fie", "Field Report", "Con", "Contractor QC", "Gen", "Contractor QC", "Pun", "Contractor QC", "Qua", "Contractor QC", "Fin", "Punch List")</f>
        <v>Field Report</v>
      </c>
      <c r="D47" s="15" t="str">
        <f>_xlfn.LET(
_xlpm.leftValue, TRIM(LEFT(Tasks[[#This Row],[Description]], 45)),
IF(LEN(_xlpm.leftValue) &lt; 40, _xlpm.leftValue, _xlfn.CONCAT(_xlpm.leftValue, "…"))
)</f>
        <v>ARW 69-4: One of the columns fabricated for t…</v>
      </c>
      <c r="E47" s="15" t="str" cm="1">
        <f t="array" ref="E47">_xlfn.LET(
_xlpm.inTower, COUNTIF(Tower_Num_Table[Tower Rm Numbers], LEFT(Task_Summary_Table[[#This Row],[Area/Room]], 3)) &gt; 0,
_xlpm.typeResult, _xlfn.SWITCH(LEFT(Tasks[[#This Row],[Page]], 2), "Hi", "Historic", "An", "Annex", "Si", "Site", "S5", "Project Task", "SWITCH ERROR"),
IF(_xlpm.inTower, "West Tower", _xlpm.typeResult)
)</f>
        <v>Historic</v>
      </c>
      <c r="F47" s="12" t="str">
        <f>IFERROR(MID(Tasks[[#This Row],[Page]], FIND("Level", Tasks[[#This Row],[Page]]), 7), IF(ISNUMBER(FIND("Roof", Tasks[[#This Row],[Page]])), "Roof",  IF(ISNUMBER(FIND("S590", Tasks[[#This Row],[Page]])), "",  IF(ISNUMBER(FIND("Site", Tasks[[#This Row],[Page]])), "", "ERROR"))))</f>
        <v>Level 1</v>
      </c>
      <c r="G47" s="12" t="str">
        <f>IF(Tasks[[#This Row],[Location]]=0, "", Tasks[[#This Row],[Location]])</f>
        <v/>
      </c>
      <c r="H47" s="12" t="str">
        <f>Tasks[[#This Row],[To Package]]</f>
        <v>Structural Steel</v>
      </c>
      <c r="I47" s="12" t="str">
        <f>Tasks[[#This Row],[To Organisation]]</f>
        <v>Glassey Steel Works</v>
      </c>
    </row>
    <row r="48" spans="1:9" ht="15.5" x14ac:dyDescent="0.35">
      <c r="A48" s="14" t="str">
        <f>HYPERLINK(_xlfn.CONCAT(Edit_URL,Tasks[[#This Row],[Ref]]),Tasks[[#This Row],[Ref]])</f>
        <v>T1.9552517</v>
      </c>
      <c r="B48" s="15" t="str" cm="1">
        <f t="array" ref="B48">_xlfn.SWITCH(LEFT(Tasks[[#This Row],[Status]],1),"O","Opened","C","Completed","S","Signed Off", "V", "Signed Off","ERROR")</f>
        <v>Opened</v>
      </c>
      <c r="C48" s="15" t="str" cm="1">
        <f t="array" ref="C48">_xlfn.SWITCH(LEFT(Tasks[[#This Row],[Type]], 3), "Fie", "Field Report", "Con", "Contractor QC", "Gen", "Contractor QC", "Pun", "Contractor QC", "Qua", "Contractor QC", "Fin", "Punch List")</f>
        <v>Field Report</v>
      </c>
      <c r="D48" s="15" t="str">
        <f>_xlfn.LET(
_xlpm.leftValue, TRIM(LEFT(Tasks[[#This Row],[Description]], 45)),
IF(LEN(_xlpm.leftValue) &lt; 40, _xlpm.leftValue, _xlfn.CONCAT(_xlpm.leftValue, "…"))
)</f>
        <v>ARW 69-5: At the bride’s entry stair area one…</v>
      </c>
      <c r="E48" s="15" t="str" cm="1">
        <f t="array" ref="E48">_xlfn.LET(
_xlpm.inTower, COUNTIF(Tower_Num_Table[Tower Rm Numbers], LEFT(Task_Summary_Table[[#This Row],[Area/Room]], 3)) &gt; 0,
_xlpm.typeResult, _xlfn.SWITCH(LEFT(Tasks[[#This Row],[Page]], 2), "Hi", "Historic", "An", "Annex", "Si", "Site", "S5", "Project Task", "SWITCH ERROR"),
IF(_xlpm.inTower, "West Tower", _xlpm.typeResult)
)</f>
        <v>Historic</v>
      </c>
      <c r="F48" s="12" t="str">
        <f>IFERROR(MID(Tasks[[#This Row],[Page]], FIND("Level", Tasks[[#This Row],[Page]]), 7), IF(ISNUMBER(FIND("Roof", Tasks[[#This Row],[Page]])), "Roof",  IF(ISNUMBER(FIND("S590", Tasks[[#This Row],[Page]])), "",  IF(ISNUMBER(FIND("Site", Tasks[[#This Row],[Page]])), "", "ERROR"))))</f>
        <v>Level 1</v>
      </c>
      <c r="G48" s="12" t="str">
        <f>IF(Tasks[[#This Row],[Location]]=0, "", Tasks[[#This Row],[Location]])</f>
        <v/>
      </c>
      <c r="H48" s="12" t="str">
        <f>Tasks[[#This Row],[To Package]]</f>
        <v>Structural Steel</v>
      </c>
      <c r="I48" s="12" t="str">
        <f>Tasks[[#This Row],[To Organisation]]</f>
        <v>Glassey Steel Works</v>
      </c>
    </row>
    <row r="49" spans="1:9" ht="15.5" x14ac:dyDescent="0.35">
      <c r="A49" s="14" t="str">
        <f>HYPERLINK(_xlfn.CONCAT(Edit_URL,Tasks[[#This Row],[Ref]]),Tasks[[#This Row],[Ref]])</f>
        <v>T1.9552518</v>
      </c>
      <c r="B49" s="15" t="str" cm="1">
        <f t="array" ref="B49">_xlfn.SWITCH(LEFT(Tasks[[#This Row],[Status]],1),"O","Opened","C","Completed","S","Signed Off", "V", "Signed Off","ERROR")</f>
        <v>Opened</v>
      </c>
      <c r="C49" s="15" t="str" cm="1">
        <f t="array" ref="C49">_xlfn.SWITCH(LEFT(Tasks[[#This Row],[Type]], 3), "Fie", "Field Report", "Con", "Contractor QC", "Gen", "Contractor QC", "Pun", "Contractor QC", "Qua", "Contractor QC", "Fin", "Punch List")</f>
        <v>Field Report</v>
      </c>
      <c r="D49" s="15" t="str">
        <f>_xlfn.LET(
_xlpm.leftValue, TRIM(LEFT(Tasks[[#This Row],[Description]], 45)),
IF(LEN(_xlpm.leftValue) &lt; 40, _xlpm.leftValue, _xlfn.CONCAT(_xlpm.leftValue, "…"))
)</f>
        <v>ARW 69-6: The upper stair run at the bride’s…</v>
      </c>
      <c r="E49" s="15" t="str" cm="1">
        <f t="array" ref="E49">_xlfn.LET(
_xlpm.inTower, COUNTIF(Tower_Num_Table[Tower Rm Numbers], LEFT(Task_Summary_Table[[#This Row],[Area/Room]], 3)) &gt; 0,
_xlpm.typeResult, _xlfn.SWITCH(LEFT(Tasks[[#This Row],[Page]], 2), "Hi", "Historic", "An", "Annex", "Si", "Site", "S5", "Project Task", "SWITCH ERROR"),
IF(_xlpm.inTower, "West Tower", _xlpm.typeResult)
)</f>
        <v>Historic</v>
      </c>
      <c r="F49" s="12" t="str">
        <f>IFERROR(MID(Tasks[[#This Row],[Page]], FIND("Level", Tasks[[#This Row],[Page]]), 7), IF(ISNUMBER(FIND("Roof", Tasks[[#This Row],[Page]])), "Roof",  IF(ISNUMBER(FIND("S590", Tasks[[#This Row],[Page]])), "",  IF(ISNUMBER(FIND("Site", Tasks[[#This Row],[Page]])), "", "ERROR"))))</f>
        <v>Level 1</v>
      </c>
      <c r="G49" s="12" t="str">
        <f>IF(Tasks[[#This Row],[Location]]=0, "", Tasks[[#This Row],[Location]])</f>
        <v/>
      </c>
      <c r="H49" s="12" t="str">
        <f>Tasks[[#This Row],[To Package]]</f>
        <v>Structural Steel</v>
      </c>
      <c r="I49" s="12" t="str">
        <f>Tasks[[#This Row],[To Organisation]]</f>
        <v>Glassey Steel Works</v>
      </c>
    </row>
    <row r="50" spans="1:9" ht="15.5" x14ac:dyDescent="0.35">
      <c r="A50" s="14" t="str">
        <f>HYPERLINK(_xlfn.CONCAT(Edit_URL,Tasks[[#This Row],[Ref]]),Tasks[[#This Row],[Ref]])</f>
        <v>T1.9552495</v>
      </c>
      <c r="B50" s="15" t="str" cm="1">
        <f t="array" ref="B50">_xlfn.SWITCH(LEFT(Tasks[[#This Row],[Status]],1),"O","Opened","C","Completed","S","Signed Off", "V", "Signed Off","ERROR")</f>
        <v>Opened</v>
      </c>
      <c r="C50" s="15" t="str" cm="1">
        <f t="array" ref="C50">_xlfn.SWITCH(LEFT(Tasks[[#This Row],[Type]], 3), "Fie", "Field Report", "Con", "Contractor QC", "Gen", "Contractor QC", "Pun", "Contractor QC", "Qua", "Contractor QC", "Fin", "Punch List")</f>
        <v>Field Report</v>
      </c>
      <c r="D50" s="15" t="str">
        <f>_xlfn.LET(
_xlpm.leftValue, TRIM(LEFT(Tasks[[#This Row],[Description]], 45)),
IF(LEN(_xlpm.leftValue) &lt; 40, _xlpm.leftValue, _xlfn.CONCAT(_xlpm.leftValue, "…"))
)</f>
        <v>ARW 67-3: Header for opening between Baptistr…</v>
      </c>
      <c r="E50" s="15" t="str" cm="1">
        <f t="array" ref="E50">_xlfn.LET(
_xlpm.inTower, COUNTIF(Tower_Num_Table[Tower Rm Numbers], LEFT(Task_Summary_Table[[#This Row],[Area/Room]], 3)) &gt; 0,
_xlpm.typeResult, _xlfn.SWITCH(LEFT(Tasks[[#This Row],[Page]], 2), "Hi", "Historic", "An", "Annex", "Si", "Site", "S5", "Project Task", "SWITCH ERROR"),
IF(_xlpm.inTower, "West Tower", _xlpm.typeResult)
)</f>
        <v>Historic</v>
      </c>
      <c r="F50" s="12" t="str">
        <f>IFERROR(MID(Tasks[[#This Row],[Page]], FIND("Level", Tasks[[#This Row],[Page]]), 7), IF(ISNUMBER(FIND("Roof", Tasks[[#This Row],[Page]])), "Roof",  IF(ISNUMBER(FIND("S590", Tasks[[#This Row],[Page]])), "",  IF(ISNUMBER(FIND("Site", Tasks[[#This Row],[Page]])), "", "ERROR"))))</f>
        <v>Level 1</v>
      </c>
      <c r="G50" s="12" t="str">
        <f>IF(Tasks[[#This Row],[Location]]=0, "", Tasks[[#This Row],[Location]])</f>
        <v/>
      </c>
      <c r="H50" s="12" t="str">
        <f>Tasks[[#This Row],[To Package]]</f>
        <v>Concrete</v>
      </c>
      <c r="I50" s="12" t="str">
        <f>Tasks[[#This Row],[To Organisation]]</f>
        <v>Innovative Concrete, LLC</v>
      </c>
    </row>
    <row r="51" spans="1:9" ht="15.5" x14ac:dyDescent="0.35">
      <c r="A51" s="14" t="str">
        <f>HYPERLINK(_xlfn.CONCAT(Edit_URL,Tasks[[#This Row],[Ref]]),Tasks[[#This Row],[Ref]])</f>
        <v>T1.9652846</v>
      </c>
      <c r="B51" s="15" t="str" cm="1">
        <f t="array" ref="B51">_xlfn.SWITCH(LEFT(Tasks[[#This Row],[Status]],1),"O","Opened","C","Completed","S","Signed Off", "V", "Signed Off","ERROR")</f>
        <v>Opened</v>
      </c>
      <c r="C51" s="15" t="str" cm="1">
        <f t="array" ref="C51">_xlfn.SWITCH(LEFT(Tasks[[#This Row],[Type]], 3), "Fie", "Field Report", "Con", "Contractor QC", "Gen", "Contractor QC", "Pun", "Contractor QC", "Qua", "Contractor QC", "Fin", "Punch List")</f>
        <v>Field Report</v>
      </c>
      <c r="D51" s="15" t="str">
        <f>_xlfn.LET(
_xlpm.leftValue, TRIM(LEFT(Tasks[[#This Row],[Description]], 45)),
IF(LEN(_xlpm.leftValue) &lt; 40, _xlpm.leftValue, _xlfn.CONCAT(_xlpm.leftValue, "…"))
)</f>
        <v>CxA Site Visit Report 20220706, Item 03: Shut…</v>
      </c>
      <c r="E51" s="15" t="str" cm="1">
        <f t="array" ref="E51">_xlfn.LET(
_xlpm.inTower, COUNTIF(Tower_Num_Table[Tower Rm Numbers], LEFT(Task_Summary_Table[[#This Row],[Area/Room]], 3)) &gt; 0,
_xlpm.typeResult, _xlfn.SWITCH(LEFT(Tasks[[#This Row],[Page]], 2), "Hi", "Historic", "An", "Annex", "Si", "Site", "S5", "Project Task", "SWITCH ERROR"),
IF(_xlpm.inTower, "West Tower", _xlpm.typeResult)
)</f>
        <v>Historic</v>
      </c>
      <c r="F51" s="12" t="str">
        <f>IFERROR(MID(Tasks[[#This Row],[Page]], FIND("Level", Tasks[[#This Row],[Page]]), 7), IF(ISNUMBER(FIND("Roof", Tasks[[#This Row],[Page]])), "Roof",  IF(ISNUMBER(FIND("S590", Tasks[[#This Row],[Page]])), "",  IF(ISNUMBER(FIND("Site", Tasks[[#This Row],[Page]])), "", "ERROR"))))</f>
        <v>Level 2</v>
      </c>
      <c r="G51" s="12" t="str">
        <f>IF(Tasks[[#This Row],[Location]]=0, "", Tasks[[#This Row],[Location]])</f>
        <v/>
      </c>
      <c r="H51" s="12" t="str">
        <f>Tasks[[#This Row],[To Package]]</f>
        <v>Plumbing</v>
      </c>
      <c r="I51" s="12" t="str">
        <f>Tasks[[#This Row],[To Organisation]]</f>
        <v>US Mechanical</v>
      </c>
    </row>
    <row r="52" spans="1:9" ht="15.5" x14ac:dyDescent="0.35">
      <c r="A52" s="14" t="str">
        <f>HYPERLINK(_xlfn.CONCAT(Edit_URL,Tasks[[#This Row],[Ref]]),Tasks[[#This Row],[Ref]])</f>
        <v>T1.9652847</v>
      </c>
      <c r="B52" s="15" t="str" cm="1">
        <f t="array" ref="B52">_xlfn.SWITCH(LEFT(Tasks[[#This Row],[Status]],1),"O","Opened","C","Completed","S","Signed Off", "V", "Signed Off","ERROR")</f>
        <v>Opened</v>
      </c>
      <c r="C52" s="15" t="str" cm="1">
        <f t="array" ref="C52">_xlfn.SWITCH(LEFT(Tasks[[#This Row],[Type]], 3), "Fie", "Field Report", "Con", "Contractor QC", "Gen", "Contractor QC", "Pun", "Contractor QC", "Qua", "Contractor QC", "Fin", "Punch List")</f>
        <v>Field Report</v>
      </c>
      <c r="D52" s="15" t="str">
        <f>_xlfn.LET(
_xlpm.leftValue, TRIM(LEFT(Tasks[[#This Row],[Description]], 45)),
IF(LEN(_xlpm.leftValue) &lt; 40, _xlpm.leftValue, _xlfn.CONCAT(_xlpm.leftValue, "…"))
)</f>
        <v>CxA Site Visit Report 20220706, Item 04: Floo…</v>
      </c>
      <c r="E52" s="15" t="str" cm="1">
        <f t="array" ref="E52">_xlfn.LET(
_xlpm.inTower, COUNTIF(Tower_Num_Table[Tower Rm Numbers], LEFT(Task_Summary_Table[[#This Row],[Area/Room]], 3)) &gt; 0,
_xlpm.typeResult, _xlfn.SWITCH(LEFT(Tasks[[#This Row],[Page]], 2), "Hi", "Historic", "An", "Annex", "Si", "Site", "S5", "Project Task", "SWITCH ERROR"),
IF(_xlpm.inTower, "West Tower", _xlpm.typeResult)
)</f>
        <v>Historic</v>
      </c>
      <c r="F52" s="12" t="str">
        <f>IFERROR(MID(Tasks[[#This Row],[Page]], FIND("Level", Tasks[[#This Row],[Page]]), 7), IF(ISNUMBER(FIND("Roof", Tasks[[#This Row],[Page]])), "Roof",  IF(ISNUMBER(FIND("S590", Tasks[[#This Row],[Page]])), "",  IF(ISNUMBER(FIND("Site", Tasks[[#This Row],[Page]])), "", "ERROR"))))</f>
        <v>Level 3</v>
      </c>
      <c r="G52" s="12" t="str">
        <f>IF(Tasks[[#This Row],[Location]]=0, "", Tasks[[#This Row],[Location]])</f>
        <v/>
      </c>
      <c r="H52" s="12" t="str">
        <f>Tasks[[#This Row],[To Package]]</f>
        <v>Plumbing</v>
      </c>
      <c r="I52" s="12" t="str">
        <f>Tasks[[#This Row],[To Organisation]]</f>
        <v>US Mechanical</v>
      </c>
    </row>
    <row r="53" spans="1:9" ht="15.5" x14ac:dyDescent="0.35">
      <c r="A53" s="14" t="str">
        <f>HYPERLINK(_xlfn.CONCAT(Edit_URL,Tasks[[#This Row],[Ref]]),Tasks[[#This Row],[Ref]])</f>
        <v>T1.9556207</v>
      </c>
      <c r="B53" s="15" t="str" cm="1">
        <f t="array" ref="B53">_xlfn.SWITCH(LEFT(Tasks[[#This Row],[Status]],1),"O","Opened","C","Completed","S","Signed Off", "V", "Signed Off","ERROR")</f>
        <v>Opened</v>
      </c>
      <c r="C53" s="15" t="str" cm="1">
        <f t="array" ref="C53">_xlfn.SWITCH(LEFT(Tasks[[#This Row],[Type]], 3), "Fie", "Field Report", "Con", "Contractor QC", "Gen", "Contractor QC", "Pun", "Contractor QC", "Qua", "Contractor QC", "Fin", "Punch List")</f>
        <v>Field Report</v>
      </c>
      <c r="D53" s="15" t="str">
        <f>_xlfn.LET(
_xlpm.leftValue, TRIM(LEFT(Tasks[[#This Row],[Description]], 45)),
IF(LEN(_xlpm.leftValue) &lt; 40, _xlpm.leftValue, _xlfn.CONCAT(_xlpm.leftValue, "…"))
)</f>
        <v>ARW 70-2: Floor joist conflict with can light…</v>
      </c>
      <c r="E53" s="15" t="str" cm="1">
        <f t="array" ref="E53">_xlfn.LET(
_xlpm.inTower, COUNTIF(Tower_Num_Table[Tower Rm Numbers], LEFT(Task_Summary_Table[[#This Row],[Area/Room]], 3)) &gt; 0,
_xlpm.typeResult, _xlfn.SWITCH(LEFT(Tasks[[#This Row],[Page]], 2), "Hi", "Historic", "An", "Annex", "Si", "Site", "S5", "Project Task", "SWITCH ERROR"),
IF(_xlpm.inTower, "West Tower", _xlpm.typeResult)
)</f>
        <v>Historic</v>
      </c>
      <c r="F53" s="12" t="str">
        <f>IFERROR(MID(Tasks[[#This Row],[Page]], FIND("Level", Tasks[[#This Row],[Page]]), 7), IF(ISNUMBER(FIND("Roof", Tasks[[#This Row],[Page]])), "Roof",  IF(ISNUMBER(FIND("S590", Tasks[[#This Row],[Page]])), "",  IF(ISNUMBER(FIND("Site", Tasks[[#This Row],[Page]])), "", "ERROR"))))</f>
        <v>Level 3</v>
      </c>
      <c r="G53" s="12" t="str">
        <f>IF(Tasks[[#This Row],[Location]]=0, "", Tasks[[#This Row],[Location]])</f>
        <v/>
      </c>
      <c r="H53" s="12" t="str">
        <f>Tasks[[#This Row],[To Package]]</f>
        <v>Wood Framing</v>
      </c>
      <c r="I53" s="12" t="str">
        <f>Tasks[[#This Row],[To Organisation]]</f>
        <v>Rockhill Construction</v>
      </c>
    </row>
    <row r="54" spans="1:9" ht="15.5" x14ac:dyDescent="0.35">
      <c r="A54" s="14" t="str">
        <f>HYPERLINK(_xlfn.CONCAT(Edit_URL,Tasks[[#This Row],[Ref]]),Tasks[[#This Row],[Ref]])</f>
        <v>T1.9542509</v>
      </c>
      <c r="B54" s="15" t="str" cm="1">
        <f t="array" ref="B54">_xlfn.SWITCH(LEFT(Tasks[[#This Row],[Status]],1),"O","Opened","C","Completed","S","Signed Off", "V", "Signed Off","ERROR")</f>
        <v>Opened</v>
      </c>
      <c r="C54" s="15" t="str" cm="1">
        <f t="array" ref="C54">_xlfn.SWITCH(LEFT(Tasks[[#This Row],[Type]], 3), "Fie", "Field Report", "Con", "Contractor QC", "Gen", "Contractor QC", "Pun", "Contractor QC", "Qua", "Contractor QC", "Fin", "Punch List")</f>
        <v>Field Report</v>
      </c>
      <c r="D54" s="15" t="str">
        <f>_xlfn.LET(
_xlpm.leftValue, TRIM(LEFT(Tasks[[#This Row],[Description]], 45)),
IF(LEN(_xlpm.leftValue) &lt; 40, _xlpm.leftValue, _xlfn.CONCAT(_xlpm.leftValue, "…"))
)</f>
        <v>CRSA 11-6 3rd floor colonettes at the 3rd flo…</v>
      </c>
      <c r="E54" s="15" t="str" cm="1">
        <f t="array" ref="E54">_xlfn.LET(
_xlpm.inTower, COUNTIF(Tower_Num_Table[Tower Rm Numbers], LEFT(Task_Summary_Table[[#This Row],[Area/Room]], 3)) &gt; 0,
_xlpm.typeResult, _xlfn.SWITCH(LEFT(Tasks[[#This Row],[Page]], 2), "Hi", "Historic", "An", "Annex", "Si", "Site", "S5", "Project Task", "SWITCH ERROR"),
IF(_xlpm.inTower, "West Tower", _xlpm.typeResult)
)</f>
        <v>Historic</v>
      </c>
      <c r="F54" s="12" t="str">
        <f>IFERROR(MID(Tasks[[#This Row],[Page]], FIND("Level", Tasks[[#This Row],[Page]]), 7), IF(ISNUMBER(FIND("Roof", Tasks[[#This Row],[Page]])), "Roof",  IF(ISNUMBER(FIND("S590", Tasks[[#This Row],[Page]])), "",  IF(ISNUMBER(FIND("Site", Tasks[[#This Row],[Page]])), "", "ERROR"))))</f>
        <v>Level 3</v>
      </c>
      <c r="G54" s="12" t="str">
        <f>IF(Tasks[[#This Row],[Location]]=0, "", Tasks[[#This Row],[Location]])</f>
        <v/>
      </c>
      <c r="H54" s="12" t="str">
        <f>Tasks[[#This Row],[To Package]]</f>
        <v xml:space="preserve">Finish Carpentry </v>
      </c>
      <c r="I54" s="12" t="str">
        <f>Tasks[[#This Row],[To Organisation]]</f>
        <v>Fetzers' Inc.</v>
      </c>
    </row>
    <row r="55" spans="1:9" ht="15.5" x14ac:dyDescent="0.35">
      <c r="A55" s="14" t="str">
        <f>HYPERLINK(_xlfn.CONCAT(Edit_URL,Tasks[[#This Row],[Ref]]),Tasks[[#This Row],[Ref]])</f>
        <v>T1.9541258</v>
      </c>
      <c r="B55" s="15" t="str" cm="1">
        <f t="array" ref="B55">_xlfn.SWITCH(LEFT(Tasks[[#This Row],[Status]],1),"O","Opened","C","Completed","S","Signed Off", "V", "Signed Off","ERROR")</f>
        <v>Opened</v>
      </c>
      <c r="C55" s="15" t="str" cm="1">
        <f t="array" ref="C55">_xlfn.SWITCH(LEFT(Tasks[[#This Row],[Type]], 3), "Fie", "Field Report", "Con", "Contractor QC", "Gen", "Contractor QC", "Pun", "Contractor QC", "Qua", "Contractor QC", "Fin", "Punch List")</f>
        <v>Field Report</v>
      </c>
      <c r="D55" s="15" t="str">
        <f>_xlfn.LET(
_xlpm.leftValue, TRIM(LEFT(Tasks[[#This Row],[Description]], 45)),
IF(LEN(_xlpm.leftValue) &lt; 40, _xlpm.leftValue, _xlfn.CONCAT(_xlpm.leftValue, "…"))
)</f>
        <v>ARW 63-5 At Level 4 along Grid H2 and H4 new…</v>
      </c>
      <c r="E55" s="15" t="str" cm="1">
        <f t="array" ref="E55">_xlfn.LET(
_xlpm.inTower, COUNTIF(Tower_Num_Table[Tower Rm Numbers], LEFT(Task_Summary_Table[[#This Row],[Area/Room]], 3)) &gt; 0,
_xlpm.typeResult, _xlfn.SWITCH(LEFT(Tasks[[#This Row],[Page]], 2), "Hi", "Historic", "An", "Annex", "Si", "Site", "S5", "Project Task", "SWITCH ERROR"),
IF(_xlpm.inTower, "West Tower", _xlpm.typeResult)
)</f>
        <v>Historic</v>
      </c>
      <c r="F55" s="12" t="str">
        <f>IFERROR(MID(Tasks[[#This Row],[Page]], FIND("Level", Tasks[[#This Row],[Page]]), 7), IF(ISNUMBER(FIND("Roof", Tasks[[#This Row],[Page]])), "Roof",  IF(ISNUMBER(FIND("S590", Tasks[[#This Row],[Page]])), "",  IF(ISNUMBER(FIND("Site", Tasks[[#This Row],[Page]])), "", "ERROR"))))</f>
        <v>Level 4</v>
      </c>
      <c r="G55" s="12" t="str">
        <f>IF(Tasks[[#This Row],[Location]]=0, "", Tasks[[#This Row],[Location]])</f>
        <v/>
      </c>
      <c r="H55" s="12" t="str">
        <f>Tasks[[#This Row],[To Package]]</f>
        <v>Metal Stud / Drywall</v>
      </c>
      <c r="I55" s="12" t="str">
        <f>Tasks[[#This Row],[To Organisation]]</f>
        <v>Pete King Construction</v>
      </c>
    </row>
    <row r="56" spans="1:9" ht="15.5" x14ac:dyDescent="0.35">
      <c r="A56" s="14" t="str">
        <f>HYPERLINK(_xlfn.CONCAT(Edit_URL,Tasks[[#This Row],[Ref]]),Tasks[[#This Row],[Ref]])</f>
        <v>T1.9541263</v>
      </c>
      <c r="B56" s="15" t="str" cm="1">
        <f t="array" ref="B56">_xlfn.SWITCH(LEFT(Tasks[[#This Row],[Status]],1),"O","Opened","C","Completed","S","Signed Off", "V", "Signed Off","ERROR")</f>
        <v>Opened</v>
      </c>
      <c r="C56" s="15" t="str" cm="1">
        <f t="array" ref="C56">_xlfn.SWITCH(LEFT(Tasks[[#This Row],[Type]], 3), "Fie", "Field Report", "Con", "Contractor QC", "Gen", "Contractor QC", "Pun", "Contractor QC", "Qua", "Contractor QC", "Fin", "Punch List")</f>
        <v>Field Report</v>
      </c>
      <c r="D56" s="15" t="str">
        <f>_xlfn.LET(
_xlpm.leftValue, TRIM(LEFT(Tasks[[#This Row],[Description]], 45)),
IF(LEN(_xlpm.leftValue) &lt; 40, _xlpm.leftValue, _xlfn.CONCAT(_xlpm.leftValue, "…"))
)</f>
        <v>ARW 64-3 Level 5 opening infill at east tower…</v>
      </c>
      <c r="E56" s="15" t="str" cm="1">
        <f t="array" ref="E56">_xlfn.LET(
_xlpm.inTower, COUNTIF(Tower_Num_Table[Tower Rm Numbers], LEFT(Task_Summary_Table[[#This Row],[Area/Room]], 3)) &gt; 0,
_xlpm.typeResult, _xlfn.SWITCH(LEFT(Tasks[[#This Row],[Page]], 2), "Hi", "Historic", "An", "Annex", "Si", "Site", "S5", "Project Task", "SWITCH ERROR"),
IF(_xlpm.inTower, "West Tower", _xlpm.typeResult)
)</f>
        <v>Historic</v>
      </c>
      <c r="F56" s="12" t="str">
        <f>IFERROR(MID(Tasks[[#This Row],[Page]], FIND("Level", Tasks[[#This Row],[Page]]), 7), IF(ISNUMBER(FIND("Roof", Tasks[[#This Row],[Page]])), "Roof",  IF(ISNUMBER(FIND("S590", Tasks[[#This Row],[Page]])), "",  IF(ISNUMBER(FIND("Site", Tasks[[#This Row],[Page]])), "", "ERROR"))))</f>
        <v>Level 5</v>
      </c>
      <c r="G56" s="12" t="str">
        <f>IF(Tasks[[#This Row],[Location]]=0, "", Tasks[[#This Row],[Location]])</f>
        <v/>
      </c>
      <c r="H56" s="12" t="str">
        <f>Tasks[[#This Row],[To Package]]</f>
        <v>Concrete</v>
      </c>
      <c r="I56" s="12" t="str">
        <f>Tasks[[#This Row],[To Organisation]]</f>
        <v>Innovative Concrete, LLC</v>
      </c>
    </row>
    <row r="57" spans="1:9" ht="15.5" x14ac:dyDescent="0.35">
      <c r="A57" s="14" t="str">
        <f>HYPERLINK(_xlfn.CONCAT(Edit_URL,Tasks[[#This Row],[Ref]]),Tasks[[#This Row],[Ref]])</f>
        <v>T1.9618558</v>
      </c>
      <c r="B57" s="15" t="str" cm="1">
        <f t="array" ref="B57">_xlfn.SWITCH(LEFT(Tasks[[#This Row],[Status]],1),"O","Opened","C","Completed","S","Signed Off", "V", "Signed Off","ERROR")</f>
        <v>Opened</v>
      </c>
      <c r="C57" s="15" t="str" cm="1">
        <f t="array" ref="C57">_xlfn.SWITCH(LEFT(Tasks[[#This Row],[Type]], 3), "Fie", "Field Report", "Con", "Contractor QC", "Gen", "Contractor QC", "Pun", "Contractor QC", "Qua", "Contractor QC", "Fin", "Punch List")</f>
        <v>Field Report</v>
      </c>
      <c r="D57" s="15" t="str">
        <f>_xlfn.LET(
_xlpm.leftValue, TRIM(LEFT(Tasks[[#This Row],[Description]], 45)),
IF(LEN(_xlpm.leftValue) &lt; 40, _xlpm.leftValue, _xlfn.CONCAT(_xlpm.leftValue, "…"))
)</f>
        <v>StGeorge Site Visit Report 20220223, Item 4:
…</v>
      </c>
      <c r="E57" s="15" t="str" cm="1">
        <f t="array" ref="E5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57" s="12" t="str">
        <f>IFERROR(MID(Tasks[[#This Row],[Page]], FIND("Level", Tasks[[#This Row],[Page]]), 7), IF(ISNUMBER(FIND("Roof", Tasks[[#This Row],[Page]])), "Roof",  IF(ISNUMBER(FIND("S590", Tasks[[#This Row],[Page]])), "",  IF(ISNUMBER(FIND("Site", Tasks[[#This Row],[Page]])), "", "ERROR"))))</f>
        <v/>
      </c>
      <c r="G57" s="12" t="str">
        <f>IF(Tasks[[#This Row],[Location]]=0, "", Tasks[[#This Row],[Location]])</f>
        <v/>
      </c>
      <c r="H57" s="12" t="str">
        <f>Tasks[[#This Row],[To Package]]</f>
        <v>Plumbing</v>
      </c>
      <c r="I57" s="12" t="str">
        <f>Tasks[[#This Row],[To Organisation]]</f>
        <v>US Mechanical</v>
      </c>
    </row>
    <row r="58" spans="1:9" ht="15.5" x14ac:dyDescent="0.35">
      <c r="A58" s="14" t="str">
        <f>HYPERLINK(_xlfn.CONCAT(Edit_URL,Tasks[[#This Row],[Ref]]),Tasks[[#This Row],[Ref]])</f>
        <v>T1.9618559</v>
      </c>
      <c r="B58" s="15" t="str" cm="1">
        <f t="array" ref="B58">_xlfn.SWITCH(LEFT(Tasks[[#This Row],[Status]],1),"O","Opened","C","Completed","S","Signed Off", "V", "Signed Off","ERROR")</f>
        <v>Opened</v>
      </c>
      <c r="C58" s="15" t="str" cm="1">
        <f t="array" ref="C58">_xlfn.SWITCH(LEFT(Tasks[[#This Row],[Type]], 3), "Fie", "Field Report", "Con", "Contractor QC", "Gen", "Contractor QC", "Pun", "Contractor QC", "Qua", "Contractor QC", "Fin", "Punch List")</f>
        <v>Field Report</v>
      </c>
      <c r="D58" s="15" t="str">
        <f>_xlfn.LET(
_xlpm.leftValue, TRIM(LEFT(Tasks[[#This Row],[Description]], 45)),
IF(LEN(_xlpm.leftValue) &lt; 40, _xlpm.leftValue, _xlfn.CONCAT(_xlpm.leftValue, "…"))
)</f>
        <v>StGeorge Site Visit Report 20220223, Item 5:
…</v>
      </c>
      <c r="E58" s="15" t="str" cm="1">
        <f t="array" ref="E58">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58" s="12" t="str">
        <f>IFERROR(MID(Tasks[[#This Row],[Page]], FIND("Level", Tasks[[#This Row],[Page]]), 7), IF(ISNUMBER(FIND("Roof", Tasks[[#This Row],[Page]])), "Roof",  IF(ISNUMBER(FIND("S590", Tasks[[#This Row],[Page]])), "",  IF(ISNUMBER(FIND("Site", Tasks[[#This Row],[Page]])), "", "ERROR"))))</f>
        <v/>
      </c>
      <c r="G58" s="12" t="str">
        <f>IF(Tasks[[#This Row],[Location]]=0, "", Tasks[[#This Row],[Location]])</f>
        <v/>
      </c>
      <c r="H58" s="12" t="str">
        <f>Tasks[[#This Row],[To Package]]</f>
        <v>HVAC</v>
      </c>
      <c r="I58" s="12" t="str">
        <f>Tasks[[#This Row],[To Organisation]]</f>
        <v>US Mechanical</v>
      </c>
    </row>
    <row r="59" spans="1:9" ht="15.5" x14ac:dyDescent="0.35">
      <c r="A59" s="14" t="str">
        <f>HYPERLINK(_xlfn.CONCAT(Edit_URL,Tasks[[#This Row],[Ref]]),Tasks[[#This Row],[Ref]])</f>
        <v>T1.9618560</v>
      </c>
      <c r="B59" s="15" t="str" cm="1">
        <f t="array" ref="B59">_xlfn.SWITCH(LEFT(Tasks[[#This Row],[Status]],1),"O","Opened","C","Completed","S","Signed Off", "V", "Signed Off","ERROR")</f>
        <v>Opened</v>
      </c>
      <c r="C59" s="15" t="str" cm="1">
        <f t="array" ref="C59">_xlfn.SWITCH(LEFT(Tasks[[#This Row],[Type]], 3), "Fie", "Field Report", "Con", "Contractor QC", "Gen", "Contractor QC", "Pun", "Contractor QC", "Qua", "Contractor QC", "Fin", "Punch List")</f>
        <v>Field Report</v>
      </c>
      <c r="D59" s="15" t="str">
        <f>_xlfn.LET(
_xlpm.leftValue, TRIM(LEFT(Tasks[[#This Row],[Description]], 45)),
IF(LEN(_xlpm.leftValue) &lt; 40, _xlpm.leftValue, _xlfn.CONCAT(_xlpm.leftValue, "…"))
)</f>
        <v>StGeorge Site Visit Report 20220223, Item 6:
…</v>
      </c>
      <c r="E59" s="15" t="str" cm="1">
        <f t="array" ref="E5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59" s="12" t="str">
        <f>IFERROR(MID(Tasks[[#This Row],[Page]], FIND("Level", Tasks[[#This Row],[Page]]), 7), IF(ISNUMBER(FIND("Roof", Tasks[[#This Row],[Page]])), "Roof",  IF(ISNUMBER(FIND("S590", Tasks[[#This Row],[Page]])), "",  IF(ISNUMBER(FIND("Site", Tasks[[#This Row],[Page]])), "", "ERROR"))))</f>
        <v/>
      </c>
      <c r="G59" s="12" t="str">
        <f>IF(Tasks[[#This Row],[Location]]=0, "", Tasks[[#This Row],[Location]])</f>
        <v/>
      </c>
      <c r="H59" s="12" t="str">
        <f>Tasks[[#This Row],[To Package]]</f>
        <v>Plumbing</v>
      </c>
      <c r="I59" s="12" t="str">
        <f>Tasks[[#This Row],[To Organisation]]</f>
        <v>US Mechanical</v>
      </c>
    </row>
    <row r="60" spans="1:9" ht="15.5" x14ac:dyDescent="0.35">
      <c r="A60" s="14" t="str">
        <f>HYPERLINK(_xlfn.CONCAT(Edit_URL,Tasks[[#This Row],[Ref]]),Tasks[[#This Row],[Ref]])</f>
        <v>T1.9618556</v>
      </c>
      <c r="B60" s="15" t="str" cm="1">
        <f t="array" ref="B60">_xlfn.SWITCH(LEFT(Tasks[[#This Row],[Status]],1),"O","Opened","C","Completed","S","Signed Off", "V", "Signed Off","ERROR")</f>
        <v>Opened</v>
      </c>
      <c r="C60" s="15" t="str" cm="1">
        <f t="array" ref="C60">_xlfn.SWITCH(LEFT(Tasks[[#This Row],[Type]], 3), "Fie", "Field Report", "Con", "Contractor QC", "Gen", "Contractor QC", "Pun", "Contractor QC", "Qua", "Contractor QC", "Fin", "Punch List")</f>
        <v>Field Report</v>
      </c>
      <c r="D60" s="15" t="str">
        <f>_xlfn.LET(
_xlpm.leftValue, TRIM(LEFT(Tasks[[#This Row],[Description]], 45)),
IF(LEN(_xlpm.leftValue) &lt; 40, _xlpm.leftValue, _xlfn.CONCAT(_xlpm.leftValue, "…"))
)</f>
        <v>StGeorge Site Visit Report 20220223, Item 1:
…</v>
      </c>
      <c r="E60" s="15" t="str" cm="1">
        <f t="array" ref="E6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60" s="12" t="str">
        <f>IFERROR(MID(Tasks[[#This Row],[Page]], FIND("Level", Tasks[[#This Row],[Page]]), 7), IF(ISNUMBER(FIND("Roof", Tasks[[#This Row],[Page]])), "Roof",  IF(ISNUMBER(FIND("S590", Tasks[[#This Row],[Page]])), "",  IF(ISNUMBER(FIND("Site", Tasks[[#This Row],[Page]])), "", "ERROR"))))</f>
        <v/>
      </c>
      <c r="G60" s="12" t="str">
        <f>IF(Tasks[[#This Row],[Location]]=0, "", Tasks[[#This Row],[Location]])</f>
        <v/>
      </c>
      <c r="H60" s="12" t="str">
        <f>Tasks[[#This Row],[To Package]]</f>
        <v>Plumbing</v>
      </c>
      <c r="I60" s="12" t="str">
        <f>Tasks[[#This Row],[To Organisation]]</f>
        <v>US Mechanical</v>
      </c>
    </row>
    <row r="61" spans="1:9" ht="15.5" x14ac:dyDescent="0.35">
      <c r="A61" s="14" t="str">
        <f>HYPERLINK(_xlfn.CONCAT(Edit_URL,Tasks[[#This Row],[Ref]]),Tasks[[#This Row],[Ref]])</f>
        <v>T1.9646166</v>
      </c>
      <c r="B61" s="15" t="str" cm="1">
        <f t="array" ref="B61">_xlfn.SWITCH(LEFT(Tasks[[#This Row],[Status]],1),"O","Opened","C","Completed","S","Signed Off", "V", "Signed Off","ERROR")</f>
        <v>Opened</v>
      </c>
      <c r="C61" s="15" t="str" cm="1">
        <f t="array" ref="C61">_xlfn.SWITCH(LEFT(Tasks[[#This Row],[Type]], 3), "Fie", "Field Report", "Con", "Contractor QC", "Gen", "Contractor QC", "Pun", "Contractor QC", "Qua", "Contractor QC", "Fin", "Punch List")</f>
        <v>Field Report</v>
      </c>
      <c r="D61" s="15" t="str">
        <f>_xlfn.LET(
_xlpm.leftValue, TRIM(LEFT(Tasks[[#This Row],[Description]], 45)),
IF(LEN(_xlpm.leftValue) &lt; 40, _xlpm.leftValue, _xlfn.CONCAT(_xlpm.leftValue, "…"))
)</f>
        <v>Form joints at the precast panels have become…</v>
      </c>
      <c r="E61" s="15" t="str" cm="1">
        <f t="array" ref="E61">_xlfn.LET(
_xlpm.inTower, COUNTIF(Tower_Num_Table[Tower Rm Numbers], LEFT(Task_Summary_Table[[#This Row],[Area/Room]], 3)) &gt; 0,
_xlpm.typeResult, _xlfn.SWITCH(LEFT(Tasks[[#This Row],[Page]], 2), "Hi", "Historic", "An", "Annex", "Si", "Site", "S5", "Project Task", "SWITCH ERROR"),
IF(_xlpm.inTower, "West Tower", _xlpm.typeResult)
)</f>
        <v>Annex</v>
      </c>
      <c r="F61" s="12" t="str">
        <f>IFERROR(MID(Tasks[[#This Row],[Page]], FIND("Level", Tasks[[#This Row],[Page]]), 7), IF(ISNUMBER(FIND("Roof", Tasks[[#This Row],[Page]])), "Roof",  IF(ISNUMBER(FIND("S590", Tasks[[#This Row],[Page]])), "",  IF(ISNUMBER(FIND("Site", Tasks[[#This Row],[Page]])), "", "ERROR"))))</f>
        <v>Level 1</v>
      </c>
      <c r="G61" s="12" t="str">
        <f>IF(Tasks[[#This Row],[Location]]=0, "", Tasks[[#This Row],[Location]])</f>
        <v/>
      </c>
      <c r="H61" s="12" t="str">
        <f>Tasks[[#This Row],[To Package]]</f>
        <v>Paint</v>
      </c>
      <c r="I61" s="12" t="str">
        <f>Tasks[[#This Row],[To Organisation]]</f>
        <v>Accent Painting and Special Coatings, LLC</v>
      </c>
    </row>
    <row r="62" spans="1:9" ht="15.5" x14ac:dyDescent="0.35">
      <c r="A62" s="14" t="str">
        <f>HYPERLINK(_xlfn.CONCAT(Edit_URL,Tasks[[#This Row],[Ref]]),Tasks[[#This Row],[Ref]])</f>
        <v>T1.9612545</v>
      </c>
      <c r="B62" s="15" t="str" cm="1">
        <f t="array" ref="B62">_xlfn.SWITCH(LEFT(Tasks[[#This Row],[Status]],1),"O","Opened","C","Completed","S","Signed Off", "V", "Signed Off","ERROR")</f>
        <v>Opened</v>
      </c>
      <c r="C62" s="15" t="str" cm="1">
        <f t="array" ref="C62">_xlfn.SWITCH(LEFT(Tasks[[#This Row],[Type]], 3), "Fie", "Field Report", "Con", "Contractor QC", "Gen", "Contractor QC", "Pun", "Contractor QC", "Qua", "Contractor QC", "Fin", "Punch List")</f>
        <v>Field Report</v>
      </c>
      <c r="D62" s="15" t="str">
        <f>_xlfn.LET(
_xlpm.leftValue, TRIM(LEFT(Tasks[[#This Row],[Description]], 45)),
IF(LEN(_xlpm.leftValue) &lt; 40, _xlpm.leftValue, _xlfn.CONCAT(_xlpm.leftValue, "…"))
)</f>
        <v>CxA Field Report 20220113, Item 3:
Pipe Insul…</v>
      </c>
      <c r="E62" s="15" t="str" cm="1">
        <f t="array" ref="E62">_xlfn.LET(
_xlpm.inTower, COUNTIF(Tower_Num_Table[Tower Rm Numbers], LEFT(Task_Summary_Table[[#This Row],[Area/Room]], 3)) &gt; 0,
_xlpm.typeResult, _xlfn.SWITCH(LEFT(Tasks[[#This Row],[Page]], 2), "Hi", "Historic", "An", "Annex", "Si", "Site", "S5", "Project Task", "SWITCH ERROR"),
IF(_xlpm.inTower, "West Tower", _xlpm.typeResult)
)</f>
        <v>Annex</v>
      </c>
      <c r="F62" s="12" t="str">
        <f>IFERROR(MID(Tasks[[#This Row],[Page]], FIND("Level", Tasks[[#This Row],[Page]]), 7), IF(ISNUMBER(FIND("Roof", Tasks[[#This Row],[Page]])), "Roof",  IF(ISNUMBER(FIND("S590", Tasks[[#This Row],[Page]])), "",  IF(ISNUMBER(FIND("Site", Tasks[[#This Row],[Page]])), "", "ERROR"))))</f>
        <v>Level 1</v>
      </c>
      <c r="G62" s="12" t="str">
        <f>IF(Tasks[[#This Row],[Location]]=0, "", Tasks[[#This Row],[Location]])</f>
        <v/>
      </c>
      <c r="H62" s="12" t="str">
        <f>Tasks[[#This Row],[To Package]]</f>
        <v>Plumbing</v>
      </c>
      <c r="I62" s="12" t="str">
        <f>Tasks[[#This Row],[To Organisation]]</f>
        <v>US Mechanical</v>
      </c>
    </row>
    <row r="63" spans="1:9" ht="15.5" x14ac:dyDescent="0.35">
      <c r="A63" s="14" t="str">
        <f>HYPERLINK(_xlfn.CONCAT(Edit_URL,Tasks[[#This Row],[Ref]]),Tasks[[#This Row],[Ref]])</f>
        <v>T1.9599817</v>
      </c>
      <c r="B63" s="15" t="str" cm="1">
        <f t="array" ref="B63">_xlfn.SWITCH(LEFT(Tasks[[#This Row],[Status]],1),"O","Opened","C","Completed","S","Signed Off", "V", "Signed Off","ERROR")</f>
        <v>Opened</v>
      </c>
      <c r="C63" s="15" t="str" cm="1">
        <f t="array" ref="C63">_xlfn.SWITCH(LEFT(Tasks[[#This Row],[Type]], 3), "Fie", "Field Report", "Con", "Contractor QC", "Gen", "Contractor QC", "Pun", "Contractor QC", "Qua", "Contractor QC", "Fin", "Punch List")</f>
        <v>Field Report</v>
      </c>
      <c r="D63" s="15" t="str">
        <f>_xlfn.LET(
_xlpm.leftValue, TRIM(LEFT(Tasks[[#This Row],[Description]], 45)),
IF(LEN(_xlpm.leftValue) &lt; 40, _xlpm.leftValue, _xlfn.CONCAT(_xlpm.leftValue, "…"))
)</f>
        <v>SiteVisitReport 20211015, Item 3. 
Excess sed…</v>
      </c>
      <c r="E63" s="15" t="str" cm="1">
        <f t="array" ref="E63">_xlfn.LET(
_xlpm.inTower, COUNTIF(Tower_Num_Table[Tower Rm Numbers], LEFT(Task_Summary_Table[[#This Row],[Area/Room]], 3)) &gt; 0,
_xlpm.typeResult, _xlfn.SWITCH(LEFT(Tasks[[#This Row],[Page]], 2), "Hi", "Historic", "An", "Annex", "Si", "Site", "S5", "Project Task", "SWITCH ERROR"),
IF(_xlpm.inTower, "West Tower", _xlpm.typeResult)
)</f>
        <v>Annex</v>
      </c>
      <c r="F63" s="12" t="str">
        <f>IFERROR(MID(Tasks[[#This Row],[Page]], FIND("Level", Tasks[[#This Row],[Page]]), 7), IF(ISNUMBER(FIND("Roof", Tasks[[#This Row],[Page]])), "Roof",  IF(ISNUMBER(FIND("S590", Tasks[[#This Row],[Page]])), "",  IF(ISNUMBER(FIND("Site", Tasks[[#This Row],[Page]])), "", "ERROR"))))</f>
        <v>Level 1</v>
      </c>
      <c r="G63" s="12" t="str">
        <f>IF(Tasks[[#This Row],[Location]]=0, "", Tasks[[#This Row],[Location]])</f>
        <v/>
      </c>
      <c r="H63" s="12" t="str">
        <f>Tasks[[#This Row],[To Package]]</f>
        <v>Plumbing</v>
      </c>
      <c r="I63" s="12" t="str">
        <f>Tasks[[#This Row],[To Organisation]]</f>
        <v>US Mechanical</v>
      </c>
    </row>
    <row r="64" spans="1:9" ht="15.5" x14ac:dyDescent="0.35">
      <c r="A64" s="14" t="str">
        <f>HYPERLINK(_xlfn.CONCAT(Edit_URL,Tasks[[#This Row],[Ref]]),Tasks[[#This Row],[Ref]])</f>
        <v>T1.9556218</v>
      </c>
      <c r="B64" s="15" t="str" cm="1">
        <f t="array" ref="B64">_xlfn.SWITCH(LEFT(Tasks[[#This Row],[Status]],1),"O","Opened","C","Completed","S","Signed Off", "V", "Signed Off","ERROR")</f>
        <v>Opened</v>
      </c>
      <c r="C64" s="15" t="str" cm="1">
        <f t="array" ref="C64">_xlfn.SWITCH(LEFT(Tasks[[#This Row],[Type]], 3), "Fie", "Field Report", "Con", "Contractor QC", "Gen", "Contractor QC", "Pun", "Contractor QC", "Qua", "Contractor QC", "Fin", "Punch List")</f>
        <v>Field Report</v>
      </c>
      <c r="D64" s="15" t="str">
        <f>_xlfn.LET(
_xlpm.leftValue, TRIM(LEFT(Tasks[[#This Row],[Description]], 45)),
IF(LEN(_xlpm.leftValue) &lt; 40, _xlpm.leftValue, _xlfn.CONCAT(_xlpm.leftValue, "…"))
)</f>
        <v>ARW 70-9: Locker room ceiling bracing - Ceili…</v>
      </c>
      <c r="E64" s="15" t="str" cm="1">
        <f t="array" ref="E64">_xlfn.LET(
_xlpm.inTower, COUNTIF(Tower_Num_Table[Tower Rm Numbers], LEFT(Task_Summary_Table[[#This Row],[Area/Room]], 3)) &gt; 0,
_xlpm.typeResult, _xlfn.SWITCH(LEFT(Tasks[[#This Row],[Page]], 2), "Hi", "Historic", "An", "Annex", "Si", "Site", "S5", "Project Task", "SWITCH ERROR"),
IF(_xlpm.inTower, "West Tower", _xlpm.typeResult)
)</f>
        <v>Annex</v>
      </c>
      <c r="F64" s="12" t="str">
        <f>IFERROR(MID(Tasks[[#This Row],[Page]], FIND("Level", Tasks[[#This Row],[Page]]), 7), IF(ISNUMBER(FIND("Roof", Tasks[[#This Row],[Page]])), "Roof",  IF(ISNUMBER(FIND("S590", Tasks[[#This Row],[Page]])), "",  IF(ISNUMBER(FIND("Site", Tasks[[#This Row],[Page]])), "", "ERROR"))))</f>
        <v>Level 1</v>
      </c>
      <c r="G64" s="12" t="str">
        <f>IF(Tasks[[#This Row],[Location]]=0, "", Tasks[[#This Row],[Location]])</f>
        <v/>
      </c>
      <c r="H64" s="12" t="str">
        <f>Tasks[[#This Row],[To Package]]</f>
        <v>Acoustical Ceilings</v>
      </c>
      <c r="I64" s="12" t="str">
        <f>Tasks[[#This Row],[To Organisation]]</f>
        <v>Design West Acoustics</v>
      </c>
    </row>
    <row r="65" spans="1:9" ht="15.5" x14ac:dyDescent="0.35">
      <c r="A65" s="14" t="str">
        <f>HYPERLINK(_xlfn.CONCAT(Edit_URL,Tasks[[#This Row],[Ref]]),Tasks[[#This Row],[Ref]])</f>
        <v>T1.9552428</v>
      </c>
      <c r="B65" s="15" t="str" cm="1">
        <f t="array" ref="B65">_xlfn.SWITCH(LEFT(Tasks[[#This Row],[Status]],1),"O","Opened","C","Completed","S","Signed Off", "V", "Signed Off","ERROR")</f>
        <v>Opened</v>
      </c>
      <c r="C65" s="15" t="str" cm="1">
        <f t="array" ref="C65">_xlfn.SWITCH(LEFT(Tasks[[#This Row],[Type]], 3), "Fie", "Field Report", "Con", "Contractor QC", "Gen", "Contractor QC", "Pun", "Contractor QC", "Qua", "Contractor QC", "Fin", "Punch List")</f>
        <v>Field Report</v>
      </c>
      <c r="D65" s="15" t="str">
        <f>_xlfn.LET(
_xlpm.leftValue, TRIM(LEFT(Tasks[[#This Row],[Description]], 45)),
IF(LEN(_xlpm.leftValue) &lt; 40, _xlpm.leftValue, _xlfn.CONCAT(_xlpm.leftValue, "…"))
)</f>
        <v>ARW 65-3: The majority of the mat slab horizo…</v>
      </c>
      <c r="E65" s="15" t="str" cm="1">
        <f t="array" ref="E65">_xlfn.LET(
_xlpm.inTower, COUNTIF(Tower_Num_Table[Tower Rm Numbers], LEFT(Task_Summary_Table[[#This Row],[Area/Room]], 3)) &gt; 0,
_xlpm.typeResult, _xlfn.SWITCH(LEFT(Tasks[[#This Row],[Page]], 2), "Hi", "Historic", "An", "Annex", "Si", "Site", "S5", "Project Task", "SWITCH ERROR"),
IF(_xlpm.inTower, "West Tower", _xlpm.typeResult)
)</f>
        <v>Annex</v>
      </c>
      <c r="F65" s="12" t="str">
        <f>IFERROR(MID(Tasks[[#This Row],[Page]], FIND("Level", Tasks[[#This Row],[Page]]), 7), IF(ISNUMBER(FIND("Roof", Tasks[[#This Row],[Page]])), "Roof",  IF(ISNUMBER(FIND("S590", Tasks[[#This Row],[Page]])), "",  IF(ISNUMBER(FIND("Site", Tasks[[#This Row],[Page]])), "", "ERROR"))))</f>
        <v>Level 1</v>
      </c>
      <c r="G65" s="12" t="str">
        <f>IF(Tasks[[#This Row],[Location]]=0, "", Tasks[[#This Row],[Location]])</f>
        <v/>
      </c>
      <c r="H65" s="12" t="str">
        <f>Tasks[[#This Row],[To Package]]</f>
        <v>Concrete</v>
      </c>
      <c r="I65" s="12" t="str">
        <f>Tasks[[#This Row],[To Organisation]]</f>
        <v>Innovative Concrete, LLC</v>
      </c>
    </row>
    <row r="66" spans="1:9" ht="15.5" x14ac:dyDescent="0.35">
      <c r="A66" s="14" t="str">
        <f>HYPERLINK(_xlfn.CONCAT(Edit_URL,Tasks[[#This Row],[Ref]]),Tasks[[#This Row],[Ref]])</f>
        <v>T1.9552437</v>
      </c>
      <c r="B66" s="15" t="str" cm="1">
        <f t="array" ref="B66">_xlfn.SWITCH(LEFT(Tasks[[#This Row],[Status]],1),"O","Opened","C","Completed","S","Signed Off", "V", "Signed Off","ERROR")</f>
        <v>Opened</v>
      </c>
      <c r="C66" s="15" t="str" cm="1">
        <f t="array" ref="C66">_xlfn.SWITCH(LEFT(Tasks[[#This Row],[Type]], 3), "Fie", "Field Report", "Con", "Contractor QC", "Gen", "Contractor QC", "Pun", "Contractor QC", "Qua", "Contractor QC", "Fin", "Punch List")</f>
        <v>Field Report</v>
      </c>
      <c r="D66" s="15" t="str">
        <f>_xlfn.LET(
_xlpm.leftValue, TRIM(LEFT(Tasks[[#This Row],[Description]], 45)),
IF(LEN(_xlpm.leftValue) &lt; 40, _xlpm.leftValue, _xlfn.CONCAT(_xlpm.leftValue, "…"))
)</f>
        <v>ARW 66-7: 
Reinforcing steel for the walls s…</v>
      </c>
      <c r="E66" s="15" t="str" cm="1">
        <f t="array" ref="E66">_xlfn.LET(
_xlpm.inTower, COUNTIF(Tower_Num_Table[Tower Rm Numbers], LEFT(Task_Summary_Table[[#This Row],[Area/Room]], 3)) &gt; 0,
_xlpm.typeResult, _xlfn.SWITCH(LEFT(Tasks[[#This Row],[Page]], 2), "Hi", "Historic", "An", "Annex", "Si", "Site", "S5", "Project Task", "SWITCH ERROR"),
IF(_xlpm.inTower, "West Tower", _xlpm.typeResult)
)</f>
        <v>Annex</v>
      </c>
      <c r="F66" s="12" t="str">
        <f>IFERROR(MID(Tasks[[#This Row],[Page]], FIND("Level", Tasks[[#This Row],[Page]]), 7), IF(ISNUMBER(FIND("Roof", Tasks[[#This Row],[Page]])), "Roof",  IF(ISNUMBER(FIND("S590", Tasks[[#This Row],[Page]])), "",  IF(ISNUMBER(FIND("Site", Tasks[[#This Row],[Page]])), "", "ERROR"))))</f>
        <v>Level 1</v>
      </c>
      <c r="G66" s="12" t="str">
        <f>IF(Tasks[[#This Row],[Location]]=0, "", Tasks[[#This Row],[Location]])</f>
        <v/>
      </c>
      <c r="H66" s="12" t="str">
        <f>Tasks[[#This Row],[To Package]]</f>
        <v>Concrete</v>
      </c>
      <c r="I66" s="12" t="str">
        <f>Tasks[[#This Row],[To Organisation]]</f>
        <v>Innovative Concrete, LLC</v>
      </c>
    </row>
    <row r="67" spans="1:9" ht="15.5" x14ac:dyDescent="0.35">
      <c r="A67" s="14" t="str">
        <f>HYPERLINK(_xlfn.CONCAT(Edit_URL,Tasks[[#This Row],[Ref]]),Tasks[[#This Row],[Ref]])</f>
        <v>T1.9552493</v>
      </c>
      <c r="B67" s="15" t="str" cm="1">
        <f t="array" ref="B67">_xlfn.SWITCH(LEFT(Tasks[[#This Row],[Status]],1),"O","Opened","C","Completed","S","Signed Off", "V", "Signed Off","ERROR")</f>
        <v>Opened</v>
      </c>
      <c r="C67" s="15" t="str" cm="1">
        <f t="array" ref="C67">_xlfn.SWITCH(LEFT(Tasks[[#This Row],[Type]], 3), "Fie", "Field Report", "Con", "Contractor QC", "Gen", "Contractor QC", "Pun", "Contractor QC", "Qua", "Contractor QC", "Fin", "Punch List")</f>
        <v>Field Report</v>
      </c>
      <c r="D67" s="15" t="str">
        <f>_xlfn.LET(
_xlpm.leftValue, TRIM(LEFT(Tasks[[#This Row],[Description]], 45)),
IF(LEN(_xlpm.leftValue) &lt; 40, _xlpm.leftValue, _xlfn.CONCAT(_xlpm.leftValue, "…"))
)</f>
        <v>ARW 67-1: Entry stud framing at duct chase -D…</v>
      </c>
      <c r="E67" s="15" t="str" cm="1">
        <f t="array" ref="E67">_xlfn.LET(
_xlpm.inTower, COUNTIF(Tower_Num_Table[Tower Rm Numbers], LEFT(Task_Summary_Table[[#This Row],[Area/Room]], 3)) &gt; 0,
_xlpm.typeResult, _xlfn.SWITCH(LEFT(Tasks[[#This Row],[Page]], 2), "Hi", "Historic", "An", "Annex", "Si", "Site", "S5", "Project Task", "SWITCH ERROR"),
IF(_xlpm.inTower, "West Tower", _xlpm.typeResult)
)</f>
        <v>Annex</v>
      </c>
      <c r="F67" s="12" t="str">
        <f>IFERROR(MID(Tasks[[#This Row],[Page]], FIND("Level", Tasks[[#This Row],[Page]]), 7), IF(ISNUMBER(FIND("Roof", Tasks[[#This Row],[Page]])), "Roof",  IF(ISNUMBER(FIND("S590", Tasks[[#This Row],[Page]])), "",  IF(ISNUMBER(FIND("Site", Tasks[[#This Row],[Page]])), "", "ERROR"))))</f>
        <v>Level 1</v>
      </c>
      <c r="G67" s="12" t="str">
        <f>IF(Tasks[[#This Row],[Location]]=0, "", Tasks[[#This Row],[Location]])</f>
        <v/>
      </c>
      <c r="H67" s="12" t="str">
        <f>Tasks[[#This Row],[To Package]]</f>
        <v>Metal Stud / Drywall</v>
      </c>
      <c r="I67" s="12" t="str">
        <f>Tasks[[#This Row],[To Organisation]]</f>
        <v>Pete King Construction</v>
      </c>
    </row>
    <row r="68" spans="1:9" ht="15.5" x14ac:dyDescent="0.35">
      <c r="A68" s="14" t="str">
        <f>HYPERLINK(_xlfn.CONCAT(Edit_URL,Tasks[[#This Row],[Ref]]),Tasks[[#This Row],[Ref]])</f>
        <v>T1.9552498</v>
      </c>
      <c r="B68" s="15" t="str" cm="1">
        <f t="array" ref="B68">_xlfn.SWITCH(LEFT(Tasks[[#This Row],[Status]],1),"O","Opened","C","Completed","S","Signed Off", "V", "Signed Off","ERROR")</f>
        <v>Opened</v>
      </c>
      <c r="C68" s="15" t="str" cm="1">
        <f t="array" ref="C68">_xlfn.SWITCH(LEFT(Tasks[[#This Row],[Type]], 3), "Fie", "Field Report", "Con", "Contractor QC", "Gen", "Contractor QC", "Pun", "Contractor QC", "Qua", "Contractor QC", "Fin", "Punch List")</f>
        <v>Field Report</v>
      </c>
      <c r="D68" s="15" t="str">
        <f>_xlfn.LET(
_xlpm.leftValue, TRIM(LEFT(Tasks[[#This Row],[Description]], 45)),
IF(LEN(_xlpm.leftValue) &lt; 40, _xlpm.leftValue, _xlfn.CONCAT(_xlpm.leftValue, "…"))
)</f>
        <v>ARW 67-5: Concrete to be placed below existin…</v>
      </c>
      <c r="E68" s="15" t="str" cm="1">
        <f t="array" ref="E68">_xlfn.LET(
_xlpm.inTower, COUNTIF(Tower_Num_Table[Tower Rm Numbers], LEFT(Task_Summary_Table[[#This Row],[Area/Room]], 3)) &gt; 0,
_xlpm.typeResult, _xlfn.SWITCH(LEFT(Tasks[[#This Row],[Page]], 2), "Hi", "Historic", "An", "Annex", "Si", "Site", "S5", "Project Task", "SWITCH ERROR"),
IF(_xlpm.inTower, "West Tower", _xlpm.typeResult)
)</f>
        <v>Annex</v>
      </c>
      <c r="F68" s="12" t="str">
        <f>IFERROR(MID(Tasks[[#This Row],[Page]], FIND("Level", Tasks[[#This Row],[Page]]), 7), IF(ISNUMBER(FIND("Roof", Tasks[[#This Row],[Page]])), "Roof",  IF(ISNUMBER(FIND("S590", Tasks[[#This Row],[Page]])), "",  IF(ISNUMBER(FIND("Site", Tasks[[#This Row],[Page]])), "", "ERROR"))))</f>
        <v>Level 1</v>
      </c>
      <c r="G68" s="12" t="str">
        <f>IF(Tasks[[#This Row],[Location]]=0, "", Tasks[[#This Row],[Location]])</f>
        <v/>
      </c>
      <c r="H68" s="12" t="str">
        <f>Tasks[[#This Row],[To Package]]</f>
        <v>Concrete</v>
      </c>
      <c r="I68" s="12" t="str">
        <f>Tasks[[#This Row],[To Organisation]]</f>
        <v>Innovative Concrete, LLC</v>
      </c>
    </row>
    <row r="69" spans="1:9" ht="15.5" x14ac:dyDescent="0.35">
      <c r="A69" s="14" t="str">
        <f>HYPERLINK(_xlfn.CONCAT(Edit_URL,Tasks[[#This Row],[Ref]]),Tasks[[#This Row],[Ref]])</f>
        <v>T1.9599815</v>
      </c>
      <c r="B69" s="15" t="str" cm="1">
        <f t="array" ref="B69">_xlfn.SWITCH(LEFT(Tasks[[#This Row],[Status]],1),"O","Opened","C","Completed","S","Signed Off", "V", "Signed Off","ERROR")</f>
        <v>Opened</v>
      </c>
      <c r="C69" s="15" t="str" cm="1">
        <f t="array" ref="C69">_xlfn.SWITCH(LEFT(Tasks[[#This Row],[Type]], 3), "Fie", "Field Report", "Con", "Contractor QC", "Gen", "Contractor QC", "Pun", "Contractor QC", "Qua", "Contractor QC", "Fin", "Punch List")</f>
        <v>Field Report</v>
      </c>
      <c r="D69" s="15" t="str">
        <f>_xlfn.LET(
_xlpm.leftValue, TRIM(LEFT(Tasks[[#This Row],[Description]], 45)),
IF(LEN(_xlpm.leftValue) &lt; 40, _xlpm.leftValue, _xlfn.CONCAT(_xlpm.leftValue, "…"))
)</f>
        <v>SiteVisitReport 20211015, Item2. 
The baptism…</v>
      </c>
      <c r="E69" s="15" t="str" cm="1">
        <f t="array" ref="E69">_xlfn.LET(
_xlpm.inTower, COUNTIF(Tower_Num_Table[Tower Rm Numbers], LEFT(Task_Summary_Table[[#This Row],[Area/Room]], 3)) &gt; 0,
_xlpm.typeResult, _xlfn.SWITCH(LEFT(Tasks[[#This Row],[Page]], 2), "Hi", "Historic", "An", "Annex", "Si", "Site", "S5", "Project Task", "SWITCH ERROR"),
IF(_xlpm.inTower, "West Tower", _xlpm.typeResult)
)</f>
        <v>Historic</v>
      </c>
      <c r="F69" s="12" t="str">
        <f>IFERROR(MID(Tasks[[#This Row],[Page]], FIND("Level", Tasks[[#This Row],[Page]]), 7), IF(ISNUMBER(FIND("Roof", Tasks[[#This Row],[Page]])), "Roof",  IF(ISNUMBER(FIND("S590", Tasks[[#This Row],[Page]])), "",  IF(ISNUMBER(FIND("Site", Tasks[[#This Row],[Page]])), "", "ERROR"))))</f>
        <v>Level 0</v>
      </c>
      <c r="G69" s="12" t="str">
        <f>IF(Tasks[[#This Row],[Location]]=0, "", Tasks[[#This Row],[Location]])</f>
        <v/>
      </c>
      <c r="H69" s="12" t="str">
        <f>Tasks[[#This Row],[To Package]]</f>
        <v>Plumbing</v>
      </c>
      <c r="I69" s="12" t="str">
        <f>Tasks[[#This Row],[To Organisation]]</f>
        <v>US Mechanical</v>
      </c>
    </row>
    <row r="70" spans="1:9" ht="15.5" x14ac:dyDescent="0.35">
      <c r="A70" s="14" t="str">
        <f>HYPERLINK(_xlfn.CONCAT(Edit_URL,Tasks[[#This Row],[Ref]]),Tasks[[#This Row],[Ref]])</f>
        <v>T1.9541212</v>
      </c>
      <c r="B70" s="15" t="str" cm="1">
        <f t="array" ref="B70">_xlfn.SWITCH(LEFT(Tasks[[#This Row],[Status]],1),"O","Opened","C","Completed","S","Signed Off", "V", "Signed Off","ERROR")</f>
        <v>Opened</v>
      </c>
      <c r="C70" s="15" t="str" cm="1">
        <f t="array" ref="C70">_xlfn.SWITCH(LEFT(Tasks[[#This Row],[Type]], 3), "Fie", "Field Report", "Con", "Contractor QC", "Gen", "Contractor QC", "Pun", "Contractor QC", "Qua", "Contractor QC", "Fin", "Punch List")</f>
        <v>Field Report</v>
      </c>
      <c r="D70" s="15" t="str">
        <f>_xlfn.LET(
_xlpm.leftValue, TRIM(LEFT(Tasks[[#This Row],[Description]], 45)),
IF(LEN(_xlpm.leftValue) &lt; 40, _xlpm.leftValue, _xlfn.CONCAT(_xlpm.leftValue, "…"))
)</f>
        <v>ARW 62-1 The headers in the confirmation roo…</v>
      </c>
      <c r="E70" s="15" t="str" cm="1">
        <f t="array" ref="E70">_xlfn.LET(
_xlpm.inTower, COUNTIF(Tower_Num_Table[Tower Rm Numbers], LEFT(Task_Summary_Table[[#This Row],[Area/Room]], 3)) &gt; 0,
_xlpm.typeResult, _xlfn.SWITCH(LEFT(Tasks[[#This Row],[Page]], 2), "Hi", "Historic", "An", "Annex", "Si", "Site", "S5", "Project Task", "SWITCH ERROR"),
IF(_xlpm.inTower, "West Tower", _xlpm.typeResult)
)</f>
        <v>Historic</v>
      </c>
      <c r="F70" s="12" t="str">
        <f>IFERROR(MID(Tasks[[#This Row],[Page]], FIND("Level", Tasks[[#This Row],[Page]]), 7), IF(ISNUMBER(FIND("Roof", Tasks[[#This Row],[Page]])), "Roof",  IF(ISNUMBER(FIND("S590", Tasks[[#This Row],[Page]])), "",  IF(ISNUMBER(FIND("Site", Tasks[[#This Row],[Page]])), "", "ERROR"))))</f>
        <v>Level 0</v>
      </c>
      <c r="G70" s="12" t="str">
        <f>IF(Tasks[[#This Row],[Location]]=0, "", Tasks[[#This Row],[Location]])</f>
        <v/>
      </c>
      <c r="H70" s="12" t="str">
        <f>Tasks[[#This Row],[To Package]]</f>
        <v>Concrete</v>
      </c>
      <c r="I70" s="12" t="str">
        <f>Tasks[[#This Row],[To Organisation]]</f>
        <v>Innovative Concrete, LLC</v>
      </c>
    </row>
    <row r="71" spans="1:9" ht="15.5" x14ac:dyDescent="0.35">
      <c r="A71" s="14" t="str">
        <f>HYPERLINK(_xlfn.CONCAT(Edit_URL,Tasks[[#This Row],[Ref]]),Tasks[[#This Row],[Ref]])</f>
        <v>T1.9541248</v>
      </c>
      <c r="B71" s="15" t="str" cm="1">
        <f t="array" ref="B71">_xlfn.SWITCH(LEFT(Tasks[[#This Row],[Status]],1),"O","Opened","C","Completed","S","Signed Off", "V", "Signed Off","ERROR")</f>
        <v>Opened</v>
      </c>
      <c r="C71" s="15" t="str" cm="1">
        <f t="array" ref="C71">_xlfn.SWITCH(LEFT(Tasks[[#This Row],[Type]], 3), "Fie", "Field Report", "Con", "Contractor QC", "Gen", "Contractor QC", "Pun", "Contractor QC", "Qua", "Contractor QC", "Fin", "Punch List")</f>
        <v>Field Report</v>
      </c>
      <c r="D71" s="15" t="str">
        <f>_xlfn.LET(
_xlpm.leftValue, TRIM(LEFT(Tasks[[#This Row],[Description]], 45)),
IF(LEN(_xlpm.leftValue) &lt; 40, _xlpm.leftValue, _xlfn.CONCAT(_xlpm.leftValue, "…"))
)</f>
        <v>ARW 62-2 I had a conversation with Rockhill f…</v>
      </c>
      <c r="E71" s="15" t="str" cm="1">
        <f t="array" ref="E71">_xlfn.LET(
_xlpm.inTower, COUNTIF(Tower_Num_Table[Tower Rm Numbers], LEFT(Task_Summary_Table[[#This Row],[Area/Room]], 3)) &gt; 0,
_xlpm.typeResult, _xlfn.SWITCH(LEFT(Tasks[[#This Row],[Page]], 2), "Hi", "Historic", "An", "Annex", "Si", "Site", "S5", "Project Task", "SWITCH ERROR"),
IF(_xlpm.inTower, "West Tower", _xlpm.typeResult)
)</f>
        <v>Historic</v>
      </c>
      <c r="F71" s="12" t="str">
        <f>IFERROR(MID(Tasks[[#This Row],[Page]], FIND("Level", Tasks[[#This Row],[Page]]), 7), IF(ISNUMBER(FIND("Roof", Tasks[[#This Row],[Page]])), "Roof",  IF(ISNUMBER(FIND("S590", Tasks[[#This Row],[Page]])), "",  IF(ISNUMBER(FIND("Site", Tasks[[#This Row],[Page]])), "", "ERROR"))))</f>
        <v>Level 0</v>
      </c>
      <c r="G71" s="12" t="str">
        <f>IF(Tasks[[#This Row],[Location]]=0, "", Tasks[[#This Row],[Location]])</f>
        <v/>
      </c>
      <c r="H71" s="12" t="str">
        <f>Tasks[[#This Row],[To Package]]</f>
        <v>Wood Framing</v>
      </c>
      <c r="I71" s="12" t="str">
        <f>Tasks[[#This Row],[To Organisation]]</f>
        <v>Rockhill Construction</v>
      </c>
    </row>
    <row r="72" spans="1:9" ht="15.5" x14ac:dyDescent="0.35">
      <c r="A72" s="14" t="str">
        <f>HYPERLINK(_xlfn.CONCAT(Edit_URL,Tasks[[#This Row],[Ref]]),Tasks[[#This Row],[Ref]])</f>
        <v>T1.9541249</v>
      </c>
      <c r="B72" s="15" t="str" cm="1">
        <f t="array" ref="B72">_xlfn.SWITCH(LEFT(Tasks[[#This Row],[Status]],1),"O","Opened","C","Completed","S","Signed Off", "V", "Signed Off","ERROR")</f>
        <v>Opened</v>
      </c>
      <c r="C72" s="15" t="str" cm="1">
        <f t="array" ref="C72">_xlfn.SWITCH(LEFT(Tasks[[#This Row],[Type]], 3), "Fie", "Field Report", "Con", "Contractor QC", "Gen", "Contractor QC", "Pun", "Contractor QC", "Qua", "Contractor QC", "Fin", "Punch List")</f>
        <v>Field Report</v>
      </c>
      <c r="D72" s="15" t="str">
        <f>_xlfn.LET(
_xlpm.leftValue, TRIM(LEFT(Tasks[[#This Row],[Description]], 45)),
IF(LEN(_xlpm.leftValue) &lt; 40, _xlpm.leftValue, _xlfn.CONCAT(_xlpm.leftValue, "…"))
)</f>
        <v>ARW 62-5 North addition clothing drop opening…</v>
      </c>
      <c r="E72" s="15" t="str" cm="1">
        <f t="array" ref="E72">_xlfn.LET(
_xlpm.inTower, COUNTIF(Tower_Num_Table[Tower Rm Numbers], LEFT(Task_Summary_Table[[#This Row],[Area/Room]], 3)) &gt; 0,
_xlpm.typeResult, _xlfn.SWITCH(LEFT(Tasks[[#This Row],[Page]], 2), "Hi", "Historic", "An", "Annex", "Si", "Site", "S5", "Project Task", "SWITCH ERROR"),
IF(_xlpm.inTower, "West Tower", _xlpm.typeResult)
)</f>
        <v>Historic</v>
      </c>
      <c r="F72" s="12" t="str">
        <f>IFERROR(MID(Tasks[[#This Row],[Page]], FIND("Level", Tasks[[#This Row],[Page]]), 7), IF(ISNUMBER(FIND("Roof", Tasks[[#This Row],[Page]])), "Roof",  IF(ISNUMBER(FIND("S590", Tasks[[#This Row],[Page]])), "",  IF(ISNUMBER(FIND("Site", Tasks[[#This Row],[Page]])), "", "ERROR"))))</f>
        <v>Level 0</v>
      </c>
      <c r="G72" s="12" t="str">
        <f>IF(Tasks[[#This Row],[Location]]=0, "", Tasks[[#This Row],[Location]])</f>
        <v/>
      </c>
      <c r="H72" s="12" t="str">
        <f>Tasks[[#This Row],[To Package]]</f>
        <v>Structural Steel</v>
      </c>
      <c r="I72" s="12" t="str">
        <f>Tasks[[#This Row],[To Organisation]]</f>
        <v>Glassey Steel Works</v>
      </c>
    </row>
    <row r="73" spans="1:9" ht="15.5" x14ac:dyDescent="0.35">
      <c r="A73" s="14" t="str">
        <f>HYPERLINK(_xlfn.CONCAT(Edit_URL,Tasks[[#This Row],[Ref]]),Tasks[[#This Row],[Ref]])</f>
        <v>T1.9552438</v>
      </c>
      <c r="B73" s="15" t="str" cm="1">
        <f t="array" ref="B73">_xlfn.SWITCH(LEFT(Tasks[[#This Row],[Status]],1),"O","Opened","C","Completed","S","Signed Off", "V", "Signed Off","ERROR")</f>
        <v>Opened</v>
      </c>
      <c r="C73" s="15" t="str" cm="1">
        <f t="array" ref="C73">_xlfn.SWITCH(LEFT(Tasks[[#This Row],[Type]], 3), "Fie", "Field Report", "Con", "Contractor QC", "Gen", "Contractor QC", "Pun", "Contractor QC", "Qua", "Contractor QC", "Fin", "Punch List")</f>
        <v>Field Report</v>
      </c>
      <c r="D73" s="15" t="str">
        <f>_xlfn.LET(
_xlpm.leftValue, TRIM(LEFT(Tasks[[#This Row],[Description]], 45)),
IF(LEN(_xlpm.leftValue) &lt; 40, _xlpm.leftValue, _xlfn.CONCAT(_xlpm.leftValue, "…"))
)</f>
        <v>ARW 66-8: At duct openings in the concrete on…</v>
      </c>
      <c r="E73" s="15" t="str" cm="1">
        <f t="array" ref="E73">_xlfn.LET(
_xlpm.inTower, COUNTIF(Tower_Num_Table[Tower Rm Numbers], LEFT(Task_Summary_Table[[#This Row],[Area/Room]], 3)) &gt; 0,
_xlpm.typeResult, _xlfn.SWITCH(LEFT(Tasks[[#This Row],[Page]], 2), "Hi", "Historic", "An", "Annex", "Si", "Site", "S5", "Project Task", "SWITCH ERROR"),
IF(_xlpm.inTower, "West Tower", _xlpm.typeResult)
)</f>
        <v>Historic</v>
      </c>
      <c r="F73" s="12" t="str">
        <f>IFERROR(MID(Tasks[[#This Row],[Page]], FIND("Level", Tasks[[#This Row],[Page]]), 7), IF(ISNUMBER(FIND("Roof", Tasks[[#This Row],[Page]])), "Roof",  IF(ISNUMBER(FIND("S590", Tasks[[#This Row],[Page]])), "",  IF(ISNUMBER(FIND("Site", Tasks[[#This Row],[Page]])), "", "ERROR"))))</f>
        <v>Level 0</v>
      </c>
      <c r="G73" s="12" t="str">
        <f>IF(Tasks[[#This Row],[Location]]=0, "", Tasks[[#This Row],[Location]])</f>
        <v/>
      </c>
      <c r="H73" s="12" t="str">
        <f>Tasks[[#This Row],[To Package]]</f>
        <v>Concrete</v>
      </c>
      <c r="I73" s="12" t="str">
        <f>Tasks[[#This Row],[To Organisation]]</f>
        <v>Innovative Concrete, LLC</v>
      </c>
    </row>
    <row r="74" spans="1:9" ht="15.5" x14ac:dyDescent="0.35">
      <c r="A74" s="14" t="str">
        <f>HYPERLINK(_xlfn.CONCAT(Edit_URL,Tasks[[#This Row],[Ref]]),Tasks[[#This Row],[Ref]])</f>
        <v>T1.9556209</v>
      </c>
      <c r="B74" s="15" t="str" cm="1">
        <f t="array" ref="B74">_xlfn.SWITCH(LEFT(Tasks[[#This Row],[Status]],1),"O","Opened","C","Completed","S","Signed Off", "V", "Signed Off","ERROR")</f>
        <v>Opened</v>
      </c>
      <c r="C74" s="15" t="str" cm="1">
        <f t="array" ref="C74">_xlfn.SWITCH(LEFT(Tasks[[#This Row],[Type]], 3), "Fie", "Field Report", "Con", "Contractor QC", "Gen", "Contractor QC", "Pun", "Contractor QC", "Qua", "Contractor QC", "Fin", "Punch List")</f>
        <v>Field Report</v>
      </c>
      <c r="D74" s="15" t="str">
        <f>_xlfn.LET(
_xlpm.leftValue, TRIM(LEFT(Tasks[[#This Row],[Description]], 45)),
IF(LEN(_xlpm.leftValue) &lt; 40, _xlpm.leftValue, _xlfn.CONCAT(_xlpm.leftValue, "…"))
)</f>
        <v>ARW 70-3: Gap above stud filler at west wall…</v>
      </c>
      <c r="E74" s="15" t="str" cm="1">
        <f t="array" ref="E74">_xlfn.LET(
_xlpm.inTower, COUNTIF(Tower_Num_Table[Tower Rm Numbers], LEFT(Task_Summary_Table[[#This Row],[Area/Room]], 3)) &gt; 0,
_xlpm.typeResult, _xlfn.SWITCH(LEFT(Tasks[[#This Row],[Page]], 2), "Hi", "Historic", "An", "Annex", "Si", "Site", "S5", "Project Task", "SWITCH ERROR"),
IF(_xlpm.inTower, "West Tower", _xlpm.typeResult)
)</f>
        <v>Historic</v>
      </c>
      <c r="F74" s="12" t="str">
        <f>IFERROR(MID(Tasks[[#This Row],[Page]], FIND("Level", Tasks[[#This Row],[Page]]), 7), IF(ISNUMBER(FIND("Roof", Tasks[[#This Row],[Page]])), "Roof",  IF(ISNUMBER(FIND("S590", Tasks[[#This Row],[Page]])), "",  IF(ISNUMBER(FIND("Site", Tasks[[#This Row],[Page]])), "", "ERROR"))))</f>
        <v>Level 0</v>
      </c>
      <c r="G74" s="12" t="str">
        <f>IF(Tasks[[#This Row],[Location]]=0, "", Tasks[[#This Row],[Location]])</f>
        <v/>
      </c>
      <c r="H74" s="12" t="str">
        <f>Tasks[[#This Row],[To Package]]</f>
        <v>Wood Framing</v>
      </c>
      <c r="I74" s="12" t="str">
        <f>Tasks[[#This Row],[To Organisation]]</f>
        <v>Rockhill Construction</v>
      </c>
    </row>
    <row r="75" spans="1:9" ht="15.5" x14ac:dyDescent="0.35">
      <c r="A75" s="14" t="str">
        <f>HYPERLINK(_xlfn.CONCAT(Edit_URL,Tasks[[#This Row],[Ref]]),Tasks[[#This Row],[Ref]])</f>
        <v>T1.9556210</v>
      </c>
      <c r="B75" s="15" t="str" cm="1">
        <f t="array" ref="B75">_xlfn.SWITCH(LEFT(Tasks[[#This Row],[Status]],1),"O","Opened","C","Completed","S","Signed Off", "V", "Signed Off","ERROR")</f>
        <v>Opened</v>
      </c>
      <c r="C75" s="15" t="str" cm="1">
        <f t="array" ref="C75">_xlfn.SWITCH(LEFT(Tasks[[#This Row],[Type]], 3), "Fie", "Field Report", "Con", "Contractor QC", "Gen", "Contractor QC", "Pun", "Contractor QC", "Qua", "Contractor QC", "Fin", "Punch List")</f>
        <v>Field Report</v>
      </c>
      <c r="D75" s="15" t="str">
        <f>_xlfn.LET(
_xlpm.leftValue, TRIM(LEFT(Tasks[[#This Row],[Description]], 45)),
IF(LEN(_xlpm.leftValue) &lt; 40, _xlpm.leftValue, _xlfn.CONCAT(_xlpm.leftValue, "…"))
)</f>
        <v>ARW 70-4: Level 0.5 stud connection at top of…</v>
      </c>
      <c r="E75" s="15" t="str" cm="1">
        <f t="array" ref="E75">_xlfn.LET(
_xlpm.inTower, COUNTIF(Tower_Num_Table[Tower Rm Numbers], LEFT(Task_Summary_Table[[#This Row],[Area/Room]], 3)) &gt; 0,
_xlpm.typeResult, _xlfn.SWITCH(LEFT(Tasks[[#This Row],[Page]], 2), "Hi", "Historic", "An", "Annex", "Si", "Site", "S5", "Project Task", "SWITCH ERROR"),
IF(_xlpm.inTower, "West Tower", _xlpm.typeResult)
)</f>
        <v>Historic</v>
      </c>
      <c r="F75" s="12" t="str">
        <f>IFERROR(MID(Tasks[[#This Row],[Page]], FIND("Level", Tasks[[#This Row],[Page]]), 7), IF(ISNUMBER(FIND("Roof", Tasks[[#This Row],[Page]])), "Roof",  IF(ISNUMBER(FIND("S590", Tasks[[#This Row],[Page]])), "",  IF(ISNUMBER(FIND("Site", Tasks[[#This Row],[Page]])), "", "ERROR"))))</f>
        <v>Level 0</v>
      </c>
      <c r="G75" s="12" t="str">
        <f>IF(Tasks[[#This Row],[Location]]=0, "", Tasks[[#This Row],[Location]])</f>
        <v/>
      </c>
      <c r="H75" s="12" t="str">
        <f>Tasks[[#This Row],[To Package]]</f>
        <v>Wood Framing</v>
      </c>
      <c r="I75" s="12" t="str">
        <f>Tasks[[#This Row],[To Organisation]]</f>
        <v>Rockhill Construction</v>
      </c>
    </row>
    <row r="76" spans="1:9" ht="15.5" x14ac:dyDescent="0.35">
      <c r="A76" s="14" t="str">
        <f>HYPERLINK(_xlfn.CONCAT(Edit_URL,Tasks[[#This Row],[Ref]]),Tasks[[#This Row],[Ref]])</f>
        <v>T1.9612544</v>
      </c>
      <c r="B76" s="15" t="str" cm="1">
        <f t="array" ref="B76">_xlfn.SWITCH(LEFT(Tasks[[#This Row],[Status]],1),"O","Opened","C","Completed","S","Signed Off", "V", "Signed Off","ERROR")</f>
        <v>Opened</v>
      </c>
      <c r="C76" s="15" t="str" cm="1">
        <f t="array" ref="C76">_xlfn.SWITCH(LEFT(Tasks[[#This Row],[Type]], 3), "Fie", "Field Report", "Con", "Contractor QC", "Gen", "Contractor QC", "Pun", "Contractor QC", "Qua", "Contractor QC", "Fin", "Punch List")</f>
        <v>Field Report</v>
      </c>
      <c r="D76" s="15" t="str">
        <f>_xlfn.LET(
_xlpm.leftValue, TRIM(LEFT(Tasks[[#This Row],[Description]], 45)),
IF(LEN(_xlpm.leftValue) &lt; 40, _xlpm.leftValue, _xlfn.CONCAT(_xlpm.leftValue, "…"))
)</f>
        <v>CxA Field Report 20220113, Item 2: 
Pipe Insu…</v>
      </c>
      <c r="E76" s="15" t="str" cm="1">
        <f t="array" ref="E76">_xlfn.LET(
_xlpm.inTower, COUNTIF(Tower_Num_Table[Tower Rm Numbers], LEFT(Task_Summary_Table[[#This Row],[Area/Room]], 3)) &gt; 0,
_xlpm.typeResult, _xlfn.SWITCH(LEFT(Tasks[[#This Row],[Page]], 2), "Hi", "Historic", "An", "Annex", "Si", "Site", "S5", "Project Task", "SWITCH ERROR"),
IF(_xlpm.inTower, "West Tower", _xlpm.typeResult)
)</f>
        <v>Annex</v>
      </c>
      <c r="F76" s="12" t="str">
        <f>IFERROR(MID(Tasks[[#This Row],[Page]], FIND("Level", Tasks[[#This Row],[Page]]), 7), IF(ISNUMBER(FIND("Roof", Tasks[[#This Row],[Page]])), "Roof",  IF(ISNUMBER(FIND("S590", Tasks[[#This Row],[Page]])), "",  IF(ISNUMBER(FIND("Site", Tasks[[#This Row],[Page]])), "", "ERROR"))))</f>
        <v>Level 0</v>
      </c>
      <c r="G76" s="12" t="str">
        <f>IF(Tasks[[#This Row],[Location]]=0, "", Tasks[[#This Row],[Location]])</f>
        <v/>
      </c>
      <c r="H76" s="12" t="str">
        <f>Tasks[[#This Row],[To Package]]</f>
        <v>HVAC</v>
      </c>
      <c r="I76" s="12" t="str">
        <f>Tasks[[#This Row],[To Organisation]]</f>
        <v>US Mechanical</v>
      </c>
    </row>
    <row r="77" spans="1:9" ht="15.5" x14ac:dyDescent="0.35">
      <c r="A77" s="14" t="str">
        <f>HYPERLINK(_xlfn.CONCAT(Edit_URL,Tasks[[#This Row],[Ref]]),Tasks[[#This Row],[Ref]])</f>
        <v>T1.9629037</v>
      </c>
      <c r="B77" s="15" t="str" cm="1">
        <f t="array" ref="B77">_xlfn.SWITCH(LEFT(Tasks[[#This Row],[Status]],1),"O","Opened","C","Completed","S","Signed Off", "V", "Signed Off","ERROR")</f>
        <v>Opened</v>
      </c>
      <c r="C77" s="15" t="str" cm="1">
        <f t="array" ref="C77">_xlfn.SWITCH(LEFT(Tasks[[#This Row],[Type]], 3), "Fie", "Field Report", "Con", "Contractor QC", "Gen", "Contractor QC", "Pun", "Contractor QC", "Qua", "Contractor QC", "Fin", "Punch List")</f>
        <v>Field Report</v>
      </c>
      <c r="D77" s="15" t="str">
        <f>_xlfn.LET(
_xlpm.leftValue, TRIM(LEFT(Tasks[[#This Row],[Description]], 45)),
IF(LEN(_xlpm.leftValue) &lt; 40, _xlpm.leftValue, _xlfn.CONCAT(_xlpm.leftValue, "…"))
)</f>
        <v>CxA Site Visit Report 20220324, Item 2:
Pipe…</v>
      </c>
      <c r="E77" s="15" t="str" cm="1">
        <f t="array" ref="E77">_xlfn.LET(
_xlpm.inTower, COUNTIF(Tower_Num_Table[Tower Rm Numbers], LEFT(Task_Summary_Table[[#This Row],[Area/Room]], 3)) &gt; 0,
_xlpm.typeResult, _xlfn.SWITCH(LEFT(Tasks[[#This Row],[Page]], 2), "Hi", "Historic", "An", "Annex", "Si", "Site", "S5", "Project Task", "SWITCH ERROR"),
IF(_xlpm.inTower, "West Tower", _xlpm.typeResult)
)</f>
        <v>Annex</v>
      </c>
      <c r="F77" s="12" t="str">
        <f>IFERROR(MID(Tasks[[#This Row],[Page]], FIND("Level", Tasks[[#This Row],[Page]]), 7), IF(ISNUMBER(FIND("Roof", Tasks[[#This Row],[Page]])), "Roof",  IF(ISNUMBER(FIND("S590", Tasks[[#This Row],[Page]])), "",  IF(ISNUMBER(FIND("Site", Tasks[[#This Row],[Page]])), "", "ERROR"))))</f>
        <v>Level 0</v>
      </c>
      <c r="G77" s="12" t="str">
        <f>IF(Tasks[[#This Row],[Location]]=0, "", Tasks[[#This Row],[Location]])</f>
        <v/>
      </c>
      <c r="H77" s="12" t="str">
        <f>Tasks[[#This Row],[To Package]]</f>
        <v>Plumbing</v>
      </c>
      <c r="I77" s="12" t="str">
        <f>Tasks[[#This Row],[To Organisation]]</f>
        <v>US Mechanical</v>
      </c>
    </row>
    <row r="78" spans="1:9" ht="15.5" x14ac:dyDescent="0.35">
      <c r="A78" s="14" t="str">
        <f>HYPERLINK(_xlfn.CONCAT(Edit_URL,Tasks[[#This Row],[Ref]]),Tasks[[#This Row],[Ref]])</f>
        <v>T1.9552509</v>
      </c>
      <c r="B78" s="15" t="str" cm="1">
        <f t="array" ref="B78">_xlfn.SWITCH(LEFT(Tasks[[#This Row],[Status]],1),"O","Opened","C","Completed","S","Signed Off", "V", "Signed Off","ERROR")</f>
        <v>Opened</v>
      </c>
      <c r="C78" s="15" t="str" cm="1">
        <f t="array" ref="C78">_xlfn.SWITCH(LEFT(Tasks[[#This Row],[Type]], 3), "Fie", "Field Report", "Con", "Contractor QC", "Gen", "Contractor QC", "Pun", "Contractor QC", "Qua", "Contractor QC", "Fin", "Punch List")</f>
        <v>Field Report</v>
      </c>
      <c r="D78" s="15" t="str">
        <f>_xlfn.LET(
_xlpm.leftValue, TRIM(LEFT(Tasks[[#This Row],[Description]], 45)),
IF(LEN(_xlpm.leftValue) &lt; 40, _xlpm.leftValue, _xlfn.CONCAT(_xlpm.leftValue, "…"))
)</f>
        <v>ARW 69-1: Dion and Josh had questions regardi…</v>
      </c>
      <c r="E78" s="15" t="str" cm="1">
        <f t="array" ref="E78">_xlfn.LET(
_xlpm.inTower, COUNTIF(Tower_Num_Table[Tower Rm Numbers], LEFT(Task_Summary_Table[[#This Row],[Area/Room]], 3)) &gt; 0,
_xlpm.typeResult, _xlfn.SWITCH(LEFT(Tasks[[#This Row],[Page]], 2), "Hi", "Historic", "An", "Annex", "Si", "Site", "S5", "Project Task", "SWITCH ERROR"),
IF(_xlpm.inTower, "West Tower", _xlpm.typeResult)
)</f>
        <v>Historic</v>
      </c>
      <c r="F78" s="12" t="str">
        <f>IFERROR(MID(Tasks[[#This Row],[Page]], FIND("Level", Tasks[[#This Row],[Page]]), 7), IF(ISNUMBER(FIND("Roof", Tasks[[#This Row],[Page]])), "Roof",  IF(ISNUMBER(FIND("S590", Tasks[[#This Row],[Page]])), "",  IF(ISNUMBER(FIND("Site", Tasks[[#This Row],[Page]])), "", "ERROR"))))</f>
        <v>Roof</v>
      </c>
      <c r="G78" s="12" t="str">
        <f>IF(Tasks[[#This Row],[Location]]=0, "", Tasks[[#This Row],[Location]])</f>
        <v/>
      </c>
      <c r="H78" s="12" t="str">
        <f>Tasks[[#This Row],[To Package]]</f>
        <v>Structural Steel</v>
      </c>
      <c r="I78" s="12" t="str">
        <f>Tasks[[#This Row],[To Organisation]]</f>
        <v>Glassey Steel Works</v>
      </c>
    </row>
    <row r="79" spans="1:9" ht="15.5" x14ac:dyDescent="0.35">
      <c r="A79" s="14" t="str">
        <f>HYPERLINK(_xlfn.CONCAT(Edit_URL,Tasks[[#This Row],[Ref]]),Tasks[[#This Row],[Ref]])</f>
        <v>T1.9606597</v>
      </c>
      <c r="B79" s="15" t="str" cm="1">
        <f t="array" ref="B79">_xlfn.SWITCH(LEFT(Tasks[[#This Row],[Status]],1),"O","Opened","C","Completed","S","Signed Off", "V", "Signed Off","ERROR")</f>
        <v>Opened</v>
      </c>
      <c r="C79" s="15" t="str" cm="1">
        <f t="array" ref="C79">_xlfn.SWITCH(LEFT(Tasks[[#This Row],[Type]], 3), "Fie", "Field Report", "Con", "Contractor QC", "Gen", "Contractor QC", "Pun", "Contractor QC", "Qua", "Contractor QC", "Fin", "Punch List")</f>
        <v>Field Report</v>
      </c>
      <c r="D79" s="15" t="str">
        <f>_xlfn.LET(
_xlpm.leftValue, TRIM(LEFT(Tasks[[#This Row],[Description]], 45)),
IF(LEN(_xlpm.leftValue) &lt; 40, _xlpm.leftValue, _xlfn.CONCAT(_xlpm.leftValue, "…"))
)</f>
        <v>CxA Report 11.30.2021 - Item 2: 
Boiler Start…</v>
      </c>
      <c r="E79" s="15" t="str" cm="1">
        <f t="array" ref="E79">_xlfn.LET(
_xlpm.inTower, COUNTIF(Tower_Num_Table[Tower Rm Numbers], LEFT(Task_Summary_Table[[#This Row],[Area/Room]], 3)) &gt; 0,
_xlpm.typeResult, _xlfn.SWITCH(LEFT(Tasks[[#This Row],[Page]], 2), "Hi", "Historic", "An", "Annex", "Si", "Site", "S5", "Project Task", "SWITCH ERROR"),
IF(_xlpm.inTower, "West Tower", _xlpm.typeResult)
)</f>
        <v>Annex</v>
      </c>
      <c r="F79" s="12" t="str">
        <f>IFERROR(MID(Tasks[[#This Row],[Page]], FIND("Level", Tasks[[#This Row],[Page]]), 7), IF(ISNUMBER(FIND("Roof", Tasks[[#This Row],[Page]])), "Roof",  IF(ISNUMBER(FIND("S590", Tasks[[#This Row],[Page]])), "",  IF(ISNUMBER(FIND("Site", Tasks[[#This Row],[Page]])), "", "ERROR"))))</f>
        <v>Level 0</v>
      </c>
      <c r="G79" s="12" t="str">
        <f>IF(Tasks[[#This Row],[Location]]=0, "", Tasks[[#This Row],[Location]])</f>
        <v/>
      </c>
      <c r="H79" s="12" t="str">
        <f>Tasks[[#This Row],[To Package]]</f>
        <v>Plumbing</v>
      </c>
      <c r="I79" s="12" t="str">
        <f>Tasks[[#This Row],[To Organisation]]</f>
        <v>US Mechanical</v>
      </c>
    </row>
    <row r="80" spans="1:9" ht="15.5" x14ac:dyDescent="0.35">
      <c r="A80" s="14" t="str">
        <f>HYPERLINK(_xlfn.CONCAT(Edit_URL,Tasks[[#This Row],[Ref]]),Tasks[[#This Row],[Ref]])</f>
        <v>T1.9652844</v>
      </c>
      <c r="B80" s="15" t="str" cm="1">
        <f t="array" ref="B80">_xlfn.SWITCH(LEFT(Tasks[[#This Row],[Status]],1),"O","Opened","C","Completed","S","Signed Off", "V", "Signed Off","ERROR")</f>
        <v>Opened</v>
      </c>
      <c r="C80" s="15" t="str" cm="1">
        <f t="array" ref="C80">_xlfn.SWITCH(LEFT(Tasks[[#This Row],[Type]], 3), "Fie", "Field Report", "Con", "Contractor QC", "Gen", "Contractor QC", "Pun", "Contractor QC", "Qua", "Contractor QC", "Fin", "Punch List")</f>
        <v>Field Report</v>
      </c>
      <c r="D80" s="15" t="str">
        <f>_xlfn.LET(
_xlpm.leftValue, TRIM(LEFT(Tasks[[#This Row],[Description]], 45)),
IF(LEN(_xlpm.leftValue) &lt; 40, _xlpm.leftValue, _xlfn.CONCAT(_xlpm.leftValue, "…"))
)</f>
        <v>CxA Site Visit Report 20220706, Item 01: Miss…</v>
      </c>
      <c r="E80" s="15" t="str" cm="1">
        <f t="array" ref="E80">_xlfn.LET(
_xlpm.inTower, COUNTIF(Tower_Num_Table[Tower Rm Numbers], LEFT(Task_Summary_Table[[#This Row],[Area/Room]], 3)) &gt; 0,
_xlpm.typeResult, _xlfn.SWITCH(LEFT(Tasks[[#This Row],[Page]], 2), "Hi", "Historic", "An", "Annex", "Si", "Site", "S5", "Project Task", "SWITCH ERROR"),
IF(_xlpm.inTower, "West Tower", _xlpm.typeResult)
)</f>
        <v>Annex</v>
      </c>
      <c r="F80" s="12" t="str">
        <f>IFERROR(MID(Tasks[[#This Row],[Page]], FIND("Level", Tasks[[#This Row],[Page]]), 7), IF(ISNUMBER(FIND("Roof", Tasks[[#This Row],[Page]])), "Roof",  IF(ISNUMBER(FIND("S590", Tasks[[#This Row],[Page]])), "",  IF(ISNUMBER(FIND("Site", Tasks[[#This Row],[Page]])), "", "ERROR"))))</f>
        <v>Level 0</v>
      </c>
      <c r="G80" s="12" t="str">
        <f>IF(Tasks[[#This Row],[Location]]=0, "", Tasks[[#This Row],[Location]])</f>
        <v/>
      </c>
      <c r="H80" s="12" t="str">
        <f>Tasks[[#This Row],[To Package]]</f>
        <v>Plumbing</v>
      </c>
      <c r="I80" s="12" t="str">
        <f>Tasks[[#This Row],[To Organisation]]</f>
        <v>US Mechanical</v>
      </c>
    </row>
    <row r="81" spans="1:9" ht="15.5" x14ac:dyDescent="0.35">
      <c r="A81" s="14" t="str">
        <f>HYPERLINK(_xlfn.CONCAT(Edit_URL,Tasks[[#This Row],[Ref]]),Tasks[[#This Row],[Ref]])</f>
        <v>T1.9652845</v>
      </c>
      <c r="B81" s="15" t="str" cm="1">
        <f t="array" ref="B81">_xlfn.SWITCH(LEFT(Tasks[[#This Row],[Status]],1),"O","Opened","C","Completed","S","Signed Off", "V", "Signed Off","ERROR")</f>
        <v>Opened</v>
      </c>
      <c r="C81" s="15" t="str" cm="1">
        <f t="array" ref="C81">_xlfn.SWITCH(LEFT(Tasks[[#This Row],[Type]], 3), "Fie", "Field Report", "Con", "Contractor QC", "Gen", "Contractor QC", "Pun", "Contractor QC", "Qua", "Contractor QC", "Fin", "Punch List")</f>
        <v>Field Report</v>
      </c>
      <c r="D81" s="15" t="str">
        <f>_xlfn.LET(
_xlpm.leftValue, TRIM(LEFT(Tasks[[#This Row],[Description]], 45)),
IF(LEN(_xlpm.leftValue) &lt; 40, _xlpm.leftValue, _xlfn.CONCAT(_xlpm.leftValue, "…"))
)</f>
        <v>CxA Site Visit Report 20220706, Item 02: Pipe…</v>
      </c>
      <c r="E81" s="15" t="str" cm="1">
        <f t="array" ref="E81">_xlfn.LET(
_xlpm.inTower, COUNTIF(Tower_Num_Table[Tower Rm Numbers], LEFT(Task_Summary_Table[[#This Row],[Area/Room]], 3)) &gt; 0,
_xlpm.typeResult, _xlfn.SWITCH(LEFT(Tasks[[#This Row],[Page]], 2), "Hi", "Historic", "An", "Annex", "Si", "Site", "S5", "Project Task", "SWITCH ERROR"),
IF(_xlpm.inTower, "West Tower", _xlpm.typeResult)
)</f>
        <v>Annex</v>
      </c>
      <c r="F81" s="12" t="str">
        <f>IFERROR(MID(Tasks[[#This Row],[Page]], FIND("Level", Tasks[[#This Row],[Page]]), 7), IF(ISNUMBER(FIND("Roof", Tasks[[#This Row],[Page]])), "Roof",  IF(ISNUMBER(FIND("S590", Tasks[[#This Row],[Page]])), "",  IF(ISNUMBER(FIND("Site", Tasks[[#This Row],[Page]])), "", "ERROR"))))</f>
        <v>Level 0</v>
      </c>
      <c r="G81" s="12" t="str">
        <f>IF(Tasks[[#This Row],[Location]]=0, "", Tasks[[#This Row],[Location]])</f>
        <v/>
      </c>
      <c r="H81" s="12" t="str">
        <f>Tasks[[#This Row],[To Package]]</f>
        <v>Plumbing</v>
      </c>
      <c r="I81" s="12" t="str">
        <f>Tasks[[#This Row],[To Organisation]]</f>
        <v>US Mechanical</v>
      </c>
    </row>
    <row r="82" spans="1:9" ht="15.5" x14ac:dyDescent="0.35">
      <c r="A82" s="14" t="str">
        <f>HYPERLINK(_xlfn.CONCAT(Edit_URL,Tasks[[#This Row],[Ref]]),Tasks[[#This Row],[Ref]])</f>
        <v>T1.9556213</v>
      </c>
      <c r="B82" s="15" t="str" cm="1">
        <f t="array" ref="B82">_xlfn.SWITCH(LEFT(Tasks[[#This Row],[Status]],1),"O","Opened","C","Completed","S","Signed Off", "V", "Signed Off","ERROR")</f>
        <v>Opened</v>
      </c>
      <c r="C82" s="15" t="str" cm="1">
        <f t="array" ref="C82">_xlfn.SWITCH(LEFT(Tasks[[#This Row],[Type]], 3), "Fie", "Field Report", "Con", "Contractor QC", "Gen", "Contractor QC", "Pun", "Contractor QC", "Qua", "Contractor QC", "Fin", "Punch List")</f>
        <v>Field Report</v>
      </c>
      <c r="D82" s="15" t="str">
        <f>_xlfn.LET(
_xlpm.leftValue, TRIM(LEFT(Tasks[[#This Row],[Description]], 45)),
IF(LEN(_xlpm.leftValue) &lt; 40, _xlpm.leftValue, _xlfn.CONCAT(_xlpm.leftValue, "…"))
)</f>
        <v>ARW 70-7: Stud connections at the entry wall…</v>
      </c>
      <c r="E82" s="15" t="str" cm="1">
        <f t="array" ref="E82">_xlfn.LET(
_xlpm.inTower, COUNTIF(Tower_Num_Table[Tower Rm Numbers], LEFT(Task_Summary_Table[[#This Row],[Area/Room]], 3)) &gt; 0,
_xlpm.typeResult, _xlfn.SWITCH(LEFT(Tasks[[#This Row],[Page]], 2), "Hi", "Historic", "An", "Annex", "Si", "Site", "S5", "Project Task", "SWITCH ERROR"),
IF(_xlpm.inTower, "West Tower", _xlpm.typeResult)
)</f>
        <v>Annex</v>
      </c>
      <c r="F82" s="12" t="str">
        <f>IFERROR(MID(Tasks[[#This Row],[Page]], FIND("Level", Tasks[[#This Row],[Page]]), 7), IF(ISNUMBER(FIND("Roof", Tasks[[#This Row],[Page]])), "Roof",  IF(ISNUMBER(FIND("S590", Tasks[[#This Row],[Page]])), "",  IF(ISNUMBER(FIND("Site", Tasks[[#This Row],[Page]])), "", "ERROR"))))</f>
        <v>Level 1</v>
      </c>
      <c r="G82" s="12" t="str">
        <f>IF(Tasks[[#This Row],[Location]]=0, "", Tasks[[#This Row],[Location]])</f>
        <v/>
      </c>
      <c r="H82" s="12" t="str">
        <f>Tasks[[#This Row],[To Package]]</f>
        <v>Metal Stud / Drywall</v>
      </c>
      <c r="I82" s="12" t="str">
        <f>Tasks[[#This Row],[To Organisation]]</f>
        <v>Pete King Construction</v>
      </c>
    </row>
    <row r="83" spans="1:9" ht="15.5" x14ac:dyDescent="0.35">
      <c r="A83" s="14" t="str">
        <f>HYPERLINK(_xlfn.CONCAT(Edit_URL,Tasks[[#This Row],[Ref]]),Tasks[[#This Row],[Ref]])</f>
        <v>T1.9556214</v>
      </c>
      <c r="B83" s="15" t="str" cm="1">
        <f t="array" ref="B83">_xlfn.SWITCH(LEFT(Tasks[[#This Row],[Status]],1),"O","Opened","C","Completed","S","Signed Off", "V", "Signed Off","ERROR")</f>
        <v>Opened</v>
      </c>
      <c r="C83" s="15" t="str" cm="1">
        <f t="array" ref="C83">_xlfn.SWITCH(LEFT(Tasks[[#This Row],[Type]], 3), "Fie", "Field Report", "Con", "Contractor QC", "Gen", "Contractor QC", "Pun", "Contractor QC", "Qua", "Contractor QC", "Fin", "Punch List")</f>
        <v>Field Report</v>
      </c>
      <c r="D83" s="15" t="str">
        <f>_xlfn.LET(
_xlpm.leftValue, TRIM(LEFT(Tasks[[#This Row],[Description]], 45)),
IF(LEN(_xlpm.leftValue) &lt; 40, _xlpm.leftValue, _xlfn.CONCAT(_xlpm.leftValue, "…"))
)</f>
        <v>ARW 70-7: Loading dock topping. Jay asked if…</v>
      </c>
      <c r="E83" s="15" t="str" cm="1">
        <f t="array" ref="E83">_xlfn.LET(
_xlpm.inTower, COUNTIF(Tower_Num_Table[Tower Rm Numbers], LEFT(Task_Summary_Table[[#This Row],[Area/Room]], 3)) &gt; 0,
_xlpm.typeResult, _xlfn.SWITCH(LEFT(Tasks[[#This Row],[Page]], 2), "Hi", "Historic", "An", "Annex", "Si", "Site", "S5", "Project Task", "SWITCH ERROR"),
IF(_xlpm.inTower, "West Tower", _xlpm.typeResult)
)</f>
        <v>Annex</v>
      </c>
      <c r="F83" s="12" t="str">
        <f>IFERROR(MID(Tasks[[#This Row],[Page]], FIND("Level", Tasks[[#This Row],[Page]]), 7), IF(ISNUMBER(FIND("Roof", Tasks[[#This Row],[Page]])), "Roof",  IF(ISNUMBER(FIND("S590", Tasks[[#This Row],[Page]])), "",  IF(ISNUMBER(FIND("Site", Tasks[[#This Row],[Page]])), "", "ERROR"))))</f>
        <v>Level 1</v>
      </c>
      <c r="G83" s="12" t="str">
        <f>IF(Tasks[[#This Row],[Location]]=0, "", Tasks[[#This Row],[Location]])</f>
        <v/>
      </c>
      <c r="H83" s="12" t="str">
        <f>Tasks[[#This Row],[To Package]]</f>
        <v>Concrete</v>
      </c>
      <c r="I83" s="12" t="str">
        <f>Tasks[[#This Row],[To Organisation]]</f>
        <v>Innovative Concrete, LLC</v>
      </c>
    </row>
    <row r="84" spans="1:9" ht="15.5" x14ac:dyDescent="0.35">
      <c r="A84" s="14" t="str">
        <f>HYPERLINK(_xlfn.CONCAT(Edit_URL,Tasks[[#This Row],[Ref]]),Tasks[[#This Row],[Ref]])</f>
        <v>T1.9541096</v>
      </c>
      <c r="B84" s="15" t="str" cm="1">
        <f t="array" ref="B84">_xlfn.SWITCH(LEFT(Tasks[[#This Row],[Status]],1),"O","Opened","C","Completed","S","Signed Off", "V", "Signed Off","ERROR")</f>
        <v>Opened</v>
      </c>
      <c r="C84" s="15" t="str" cm="1">
        <f t="array" ref="C84">_xlfn.SWITCH(LEFT(Tasks[[#This Row],[Type]], 3), "Fie", "Field Report", "Con", "Contractor QC", "Gen", "Contractor QC", "Pun", "Contractor QC", "Qua", "Contractor QC", "Fin", "Punch List")</f>
        <v>Field Report</v>
      </c>
      <c r="D84" s="15" t="str">
        <f>_xlfn.LET(
_xlpm.leftValue, TRIM(LEFT(Tasks[[#This Row],[Description]], 45)),
IF(LEN(_xlpm.leftValue) &lt; 40, _xlpm.leftValue, _xlfn.CONCAT(_xlpm.leftValue, "…"))
)</f>
        <v>ARW 61-6 Duct opening at level 5 Noted a gap…</v>
      </c>
      <c r="E84" s="15" t="str" cm="1">
        <f t="array" ref="E84">_xlfn.LET(
_xlpm.inTower, COUNTIF(Tower_Num_Table[Tower Rm Numbers], LEFT(Task_Summary_Table[[#This Row],[Area/Room]], 3)) &gt; 0,
_xlpm.typeResult, _xlfn.SWITCH(LEFT(Tasks[[#This Row],[Page]], 2), "Hi", "Historic", "An", "Annex", "Si", "Site", "S5", "Project Task", "SWITCH ERROR"),
IF(_xlpm.inTower, "West Tower", _xlpm.typeResult)
)</f>
        <v>Historic</v>
      </c>
      <c r="F84" s="12" t="str">
        <f>IFERROR(MID(Tasks[[#This Row],[Page]], FIND("Level", Tasks[[#This Row],[Page]]), 7), IF(ISNUMBER(FIND("Roof", Tasks[[#This Row],[Page]])), "Roof",  IF(ISNUMBER(FIND("S590", Tasks[[#This Row],[Page]])), "",  IF(ISNUMBER(FIND("Site", Tasks[[#This Row],[Page]])), "", "ERROR"))))</f>
        <v>Level 5</v>
      </c>
      <c r="G84" s="12" t="str">
        <f>IF(Tasks[[#This Row],[Location]]=0, "", Tasks[[#This Row],[Location]])</f>
        <v/>
      </c>
      <c r="H84" s="12" t="str">
        <f>Tasks[[#This Row],[To Package]]</f>
        <v>Concrete</v>
      </c>
      <c r="I84" s="12" t="str">
        <f>Tasks[[#This Row],[To Organisation]]</f>
        <v>Innovative Concrete, LLC</v>
      </c>
    </row>
    <row r="85" spans="1:9" ht="15.5" x14ac:dyDescent="0.35">
      <c r="A85" s="14" t="str">
        <f>HYPERLINK(_xlfn.CONCAT(Edit_URL,Tasks[[#This Row],[Ref]]),Tasks[[#This Row],[Ref]])</f>
        <v>T1.9629064</v>
      </c>
      <c r="B85" s="15" t="str" cm="1">
        <f t="array" ref="B85">_xlfn.SWITCH(LEFT(Tasks[[#This Row],[Status]],1),"O","Opened","C","Completed","S","Signed Off", "V", "Signed Off","ERROR")</f>
        <v>Opened</v>
      </c>
      <c r="C85" s="15" t="str" cm="1">
        <f t="array" ref="C85">_xlfn.SWITCH(LEFT(Tasks[[#This Row],[Type]], 3), "Fie", "Field Report", "Con", "Contractor QC", "Gen", "Contractor QC", "Pun", "Contractor QC", "Qua", "Contractor QC", "Fin", "Punch List")</f>
        <v>Field Report</v>
      </c>
      <c r="D85" s="15" t="str">
        <f>_xlfn.LET(
_xlpm.leftValue, TRIM(LEFT(Tasks[[#This Row],[Description]], 45)),
IF(LEN(_xlpm.leftValue) &lt; 40, _xlpm.leftValue, _xlfn.CONCAT(_xlpm.leftValue, "…"))
)</f>
        <v>CxA Site Visit Report 20220324, Item 10:
Cool…</v>
      </c>
      <c r="E85" s="15" t="str" cm="1">
        <f t="array" ref="E85">_xlfn.LET(
_xlpm.inTower, COUNTIF(Tower_Num_Table[Tower Rm Numbers], LEFT(Task_Summary_Table[[#This Row],[Area/Room]], 3)) &gt; 0,
_xlpm.typeResult, _xlfn.SWITCH(LEFT(Tasks[[#This Row],[Page]], 2), "Hi", "Historic", "An", "Annex", "Si", "Site", "S5", "Project Task", "SWITCH ERROR"),
IF(_xlpm.inTower, "West Tower", _xlpm.typeResult)
)</f>
        <v>Annex</v>
      </c>
      <c r="F85" s="12" t="str">
        <f>IFERROR(MID(Tasks[[#This Row],[Page]], FIND("Level", Tasks[[#This Row],[Page]]), 7), IF(ISNUMBER(FIND("Roof", Tasks[[#This Row],[Page]])), "Roof",  IF(ISNUMBER(FIND("S590", Tasks[[#This Row],[Page]])), "",  IF(ISNUMBER(FIND("Site", Tasks[[#This Row],[Page]])), "", "ERROR"))))</f>
        <v>Level 0</v>
      </c>
      <c r="G85" s="12" t="str">
        <f>IF(Tasks[[#This Row],[Location]]=0, "", Tasks[[#This Row],[Location]])</f>
        <v/>
      </c>
      <c r="H85" s="12" t="str">
        <f>Tasks[[#This Row],[To Package]]</f>
        <v>Plumbing</v>
      </c>
      <c r="I85" s="12" t="str">
        <f>Tasks[[#This Row],[To Organisation]]</f>
        <v>US Mechanical</v>
      </c>
    </row>
    <row r="86" spans="1:9" ht="15.5" x14ac:dyDescent="0.35">
      <c r="A86" s="14" t="str">
        <f>HYPERLINK(_xlfn.CONCAT(Edit_URL,Tasks[[#This Row],[Ref]]),Tasks[[#This Row],[Ref]])</f>
        <v>T1.9541088</v>
      </c>
      <c r="B86" s="15" t="str" cm="1">
        <f t="array" ref="B86">_xlfn.SWITCH(LEFT(Tasks[[#This Row],[Status]],1),"O","Opened","C","Completed","S","Signed Off", "V", "Signed Off","ERROR")</f>
        <v>Opened</v>
      </c>
      <c r="C86" s="15" t="str" cm="1">
        <f t="array" ref="C86">_xlfn.SWITCH(LEFT(Tasks[[#This Row],[Type]], 3), "Fie", "Field Report", "Con", "Contractor QC", "Gen", "Contractor QC", "Pun", "Contractor QC", "Qua", "Contractor QC", "Fin", "Punch List")</f>
        <v>Field Report</v>
      </c>
      <c r="D86" s="15" t="str">
        <f>_xlfn.LET(
_xlpm.leftValue, TRIM(LEFT(Tasks[[#This Row],[Description]], 45)),
IF(LEN(_xlpm.leftValue) &lt; 40, _xlpm.leftValue, _xlfn.CONCAT(_xlpm.leftValue, "…"))
)</f>
        <v>ARW 59.2 - The LVL wall on the 2nd floor on G…</v>
      </c>
      <c r="E86" s="15" t="str" cm="1">
        <f t="array" ref="E86">_xlfn.LET(
_xlpm.inTower, COUNTIF(Tower_Num_Table[Tower Rm Numbers], LEFT(Task_Summary_Table[[#This Row],[Area/Room]], 3)) &gt; 0,
_xlpm.typeResult, _xlfn.SWITCH(LEFT(Tasks[[#This Row],[Page]], 2), "Hi", "Historic", "An", "Annex", "Si", "Site", "S5", "Project Task", "SWITCH ERROR"),
IF(_xlpm.inTower, "West Tower", _xlpm.typeResult)
)</f>
        <v>Historic</v>
      </c>
      <c r="F86" s="12" t="str">
        <f>IFERROR(MID(Tasks[[#This Row],[Page]], FIND("Level", Tasks[[#This Row],[Page]]), 7), IF(ISNUMBER(FIND("Roof", Tasks[[#This Row],[Page]])), "Roof",  IF(ISNUMBER(FIND("S590", Tasks[[#This Row],[Page]])), "",  IF(ISNUMBER(FIND("Site", Tasks[[#This Row],[Page]])), "", "ERROR"))))</f>
        <v>Level 2</v>
      </c>
      <c r="G86" s="12" t="str">
        <f>IF(Tasks[[#This Row],[Location]]=0, "", Tasks[[#This Row],[Location]])</f>
        <v>211 - Instruction Room B</v>
      </c>
      <c r="H86" s="12" t="str">
        <f>Tasks[[#This Row],[To Package]]</f>
        <v>Wood Framing</v>
      </c>
      <c r="I86" s="12" t="str">
        <f>Tasks[[#This Row],[To Organisation]]</f>
        <v>Rockhill Construction</v>
      </c>
    </row>
    <row r="87" spans="1:9" ht="15.5" x14ac:dyDescent="0.35">
      <c r="A87" s="14" t="str">
        <f>HYPERLINK(_xlfn.CONCAT(Edit_URL,Tasks[[#This Row],[Ref]]),Tasks[[#This Row],[Ref]])</f>
        <v>T1.9541250</v>
      </c>
      <c r="B87" s="15" t="str" cm="1">
        <f t="array" ref="B87">_xlfn.SWITCH(LEFT(Tasks[[#This Row],[Status]],1),"O","Opened","C","Completed","S","Signed Off", "V", "Signed Off","ERROR")</f>
        <v>Opened</v>
      </c>
      <c r="C87" s="15" t="str" cm="1">
        <f t="array" ref="C87">_xlfn.SWITCH(LEFT(Tasks[[#This Row],[Type]], 3), "Fie", "Field Report", "Con", "Contractor QC", "Gen", "Contractor QC", "Pun", "Contractor QC", "Qua", "Contractor QC", "Fin", "Punch List")</f>
        <v>Field Report</v>
      </c>
      <c r="D87" s="15" t="str">
        <f>_xlfn.LET(
_xlpm.leftValue, TRIM(LEFT(Tasks[[#This Row],[Description]], 45)),
IF(LEN(_xlpm.leftValue) &lt; 40, _xlpm.leftValue, _xlfn.CONCAT(_xlpm.leftValue, "…"))
)</f>
        <v>ARW 62-6 The double LVL joist supporting the…</v>
      </c>
      <c r="E87" s="15" t="str" cm="1">
        <f t="array" ref="E87">_xlfn.LET(
_xlpm.inTower, COUNTIF(Tower_Num_Table[Tower Rm Numbers], LEFT(Task_Summary_Table[[#This Row],[Area/Room]], 3)) &gt; 0,
_xlpm.typeResult, _xlfn.SWITCH(LEFT(Tasks[[#This Row],[Page]], 2), "Hi", "Historic", "An", "Annex", "Si", "Site", "S5", "Project Task", "SWITCH ERROR"),
IF(_xlpm.inTower, "West Tower", _xlpm.typeResult)
)</f>
        <v>Historic</v>
      </c>
      <c r="F87" s="12" t="str">
        <f>IFERROR(MID(Tasks[[#This Row],[Page]], FIND("Level", Tasks[[#This Row],[Page]]), 7), IF(ISNUMBER(FIND("Roof", Tasks[[#This Row],[Page]])), "Roof",  IF(ISNUMBER(FIND("S590", Tasks[[#This Row],[Page]])), "",  IF(ISNUMBER(FIND("Site", Tasks[[#This Row],[Page]])), "", "ERROR"))))</f>
        <v>Level 2</v>
      </c>
      <c r="G87" s="12" t="str">
        <f>IF(Tasks[[#This Row],[Location]]=0, "", Tasks[[#This Row],[Location]])</f>
        <v/>
      </c>
      <c r="H87" s="12" t="str">
        <f>Tasks[[#This Row],[To Package]]</f>
        <v>Wood Framing</v>
      </c>
      <c r="I87" s="12" t="str">
        <f>Tasks[[#This Row],[To Organisation]]</f>
        <v>Rockhill Construction</v>
      </c>
    </row>
    <row r="88" spans="1:9" ht="15.5" x14ac:dyDescent="0.35">
      <c r="A88" s="14" t="str">
        <f>HYPERLINK(_xlfn.CONCAT(Edit_URL,Tasks[[#This Row],[Ref]]),Tasks[[#This Row],[Ref]])</f>
        <v>T1.9606604</v>
      </c>
      <c r="B88" s="15" t="str" cm="1">
        <f t="array" ref="B88">_xlfn.SWITCH(LEFT(Tasks[[#This Row],[Status]],1),"O","Opened","C","Completed","S","Signed Off", "V", "Signed Off","ERROR")</f>
        <v>Completed</v>
      </c>
      <c r="C88" s="15" t="str" cm="1">
        <f t="array" ref="C88">_xlfn.SWITCH(LEFT(Tasks[[#This Row],[Type]], 3), "Fie", "Field Report", "Con", "Contractor QC", "Gen", "Contractor QC", "Pun", "Contractor QC", "Qua", "Contractor QC", "Fin", "Punch List")</f>
        <v>Field Report</v>
      </c>
      <c r="D88" s="15" t="str">
        <f>_xlfn.LET(
_xlpm.leftValue, TRIM(LEFT(Tasks[[#This Row],[Description]], 45)),
IF(LEN(_xlpm.leftValue) &lt; 40, _xlpm.leftValue, _xlfn.CONCAT(_xlpm.leftValue, "…"))
)</f>
        <v>CxA Report 11.30.2021 Item 5:
Ductwork Covers…</v>
      </c>
      <c r="E88" s="15" t="str" cm="1">
        <f t="array" ref="E88">_xlfn.LET(
_xlpm.inTower, COUNTIF(Tower_Num_Table[Tower Rm Numbers], LEFT(Task_Summary_Table[[#This Row],[Area/Room]], 3)) &gt; 0,
_xlpm.typeResult, _xlfn.SWITCH(LEFT(Tasks[[#This Row],[Page]], 2), "Hi", "Historic", "An", "Annex", "Si", "Site", "S5", "Project Task", "SWITCH ERROR"),
IF(_xlpm.inTower, "West Tower", _xlpm.typeResult)
)</f>
        <v>Historic</v>
      </c>
      <c r="F88" s="12" t="str">
        <f>IFERROR(MID(Tasks[[#This Row],[Page]], FIND("Level", Tasks[[#This Row],[Page]]), 7), IF(ISNUMBER(FIND("Roof", Tasks[[#This Row],[Page]])), "Roof",  IF(ISNUMBER(FIND("S590", Tasks[[#This Row],[Page]])), "",  IF(ISNUMBER(FIND("Site", Tasks[[#This Row],[Page]])), "", "ERROR"))))</f>
        <v>Level 0</v>
      </c>
      <c r="G88" s="12" t="str">
        <f>IF(Tasks[[#This Row],[Location]]=0, "", Tasks[[#This Row],[Location]])</f>
        <v/>
      </c>
      <c r="H88" s="12" t="str">
        <f>Tasks[[#This Row],[To Package]]</f>
        <v>HVAC</v>
      </c>
      <c r="I88" s="12" t="str">
        <f>Tasks[[#This Row],[To Organisation]]</f>
        <v>US Mechanical</v>
      </c>
    </row>
    <row r="89" spans="1:9" ht="15.5" x14ac:dyDescent="0.35">
      <c r="A89" s="14" t="str">
        <f>HYPERLINK(_xlfn.CONCAT(Edit_URL,Tasks[[#This Row],[Ref]]),Tasks[[#This Row],[Ref]])</f>
        <v>T1.9552505</v>
      </c>
      <c r="B89" s="15" t="str" cm="1">
        <f t="array" ref="B89">_xlfn.SWITCH(LEFT(Tasks[[#This Row],[Status]],1),"O","Opened","C","Completed","S","Signed Off", "V", "Signed Off","ERROR")</f>
        <v>Completed</v>
      </c>
      <c r="C89" s="15" t="str" cm="1">
        <f t="array" ref="C89">_xlfn.SWITCH(LEFT(Tasks[[#This Row],[Type]], 3), "Fie", "Field Report", "Con", "Contractor QC", "Gen", "Contractor QC", "Pun", "Contractor QC", "Qua", "Contractor QC", "Fin", "Punch List")</f>
        <v>Field Report</v>
      </c>
      <c r="D89" s="15" t="str">
        <f>_xlfn.LET(
_xlpm.leftValue, TRIM(LEFT(Tasks[[#This Row],[Description]], 45)),
IF(LEN(_xlpm.leftValue) &lt; 40, _xlpm.leftValue, _xlfn.CONCAT(_xlpm.leftValue, "…"))
)</f>
        <v>ARW 68-5: The water stop at the mat footing a…</v>
      </c>
      <c r="E89" s="15" t="str" cm="1">
        <f t="array" ref="E89">_xlfn.LET(
_xlpm.inTower, COUNTIF(Tower_Num_Table[Tower Rm Numbers], LEFT(Task_Summary_Table[[#This Row],[Area/Room]], 3)) &gt; 0,
_xlpm.typeResult, _xlfn.SWITCH(LEFT(Tasks[[#This Row],[Page]], 2), "Hi", "Historic", "An", "Annex", "Si", "Site", "S5", "Project Task", "SWITCH ERROR"),
IF(_xlpm.inTower, "West Tower", _xlpm.typeResult)
)</f>
        <v>Annex</v>
      </c>
      <c r="F89" s="12" t="str">
        <f>IFERROR(MID(Tasks[[#This Row],[Page]], FIND("Level", Tasks[[#This Row],[Page]]), 7), IF(ISNUMBER(FIND("Roof", Tasks[[#This Row],[Page]])), "Roof",  IF(ISNUMBER(FIND("S590", Tasks[[#This Row],[Page]])), "",  IF(ISNUMBER(FIND("Site", Tasks[[#This Row],[Page]])), "", "ERROR"))))</f>
        <v>Level 1</v>
      </c>
      <c r="G89" s="12" t="str">
        <f>IF(Tasks[[#This Row],[Location]]=0, "", Tasks[[#This Row],[Location]])</f>
        <v/>
      </c>
      <c r="H89" s="12" t="str">
        <f>Tasks[[#This Row],[To Package]]</f>
        <v>Concrete</v>
      </c>
      <c r="I89" s="12" t="str">
        <f>Tasks[[#This Row],[To Organisation]]</f>
        <v>Innovative Concrete, LLC</v>
      </c>
    </row>
    <row r="90" spans="1:9" ht="15.5" x14ac:dyDescent="0.35">
      <c r="A90" s="14" t="str">
        <f>HYPERLINK(_xlfn.CONCAT(Edit_URL,Tasks[[#This Row],[Ref]]),Tasks[[#This Row],[Ref]])</f>
        <v>T1.9552506</v>
      </c>
      <c r="B90" s="15" t="str" cm="1">
        <f t="array" ref="B90">_xlfn.SWITCH(LEFT(Tasks[[#This Row],[Status]],1),"O","Opened","C","Completed","S","Signed Off", "V", "Signed Off","ERROR")</f>
        <v>Completed</v>
      </c>
      <c r="C90" s="15" t="str" cm="1">
        <f t="array" ref="C90">_xlfn.SWITCH(LEFT(Tasks[[#This Row],[Type]], 3), "Fie", "Field Report", "Con", "Contractor QC", "Gen", "Contractor QC", "Pun", "Contractor QC", "Qua", "Contractor QC", "Fin", "Punch List")</f>
        <v>Field Report</v>
      </c>
      <c r="D90" s="15" t="str">
        <f>_xlfn.LET(
_xlpm.leftValue, TRIM(LEFT(Tasks[[#This Row],[Description]], 45)),
IF(LEN(_xlpm.leftValue) &lt; 40, _xlpm.leftValue, _xlfn.CONCAT(_xlpm.leftValue, "…"))
)</f>
        <v>ARW 68-6: Concrete columns are specified to b…</v>
      </c>
      <c r="E90" s="15" t="str" cm="1">
        <f t="array" ref="E90">_xlfn.LET(
_xlpm.inTower, COUNTIF(Tower_Num_Table[Tower Rm Numbers], LEFT(Task_Summary_Table[[#This Row],[Area/Room]], 3)) &gt; 0,
_xlpm.typeResult, _xlfn.SWITCH(LEFT(Tasks[[#This Row],[Page]], 2), "Hi", "Historic", "An", "Annex", "Si", "Site", "S5", "Project Task", "SWITCH ERROR"),
IF(_xlpm.inTower, "West Tower", _xlpm.typeResult)
)</f>
        <v>Annex</v>
      </c>
      <c r="F90" s="12" t="str">
        <f>IFERROR(MID(Tasks[[#This Row],[Page]], FIND("Level", Tasks[[#This Row],[Page]]), 7), IF(ISNUMBER(FIND("Roof", Tasks[[#This Row],[Page]])), "Roof",  IF(ISNUMBER(FIND("S590", Tasks[[#This Row],[Page]])), "",  IF(ISNUMBER(FIND("Site", Tasks[[#This Row],[Page]])), "", "ERROR"))))</f>
        <v>Level 1</v>
      </c>
      <c r="G90" s="12" t="str">
        <f>IF(Tasks[[#This Row],[Location]]=0, "", Tasks[[#This Row],[Location]])</f>
        <v/>
      </c>
      <c r="H90" s="12" t="str">
        <f>Tasks[[#This Row],[To Package]]</f>
        <v>Concrete</v>
      </c>
      <c r="I90" s="12" t="str">
        <f>Tasks[[#This Row],[To Organisation]]</f>
        <v>Innovative Concrete, LLC</v>
      </c>
    </row>
    <row r="91" spans="1:9" ht="15.5" x14ac:dyDescent="0.35">
      <c r="A91" s="14" t="str">
        <f>HYPERLINK(_xlfn.CONCAT(Edit_URL,Tasks[[#This Row],[Ref]]),Tasks[[#This Row],[Ref]])</f>
        <v>T1.9596685</v>
      </c>
      <c r="B91" s="15" t="str" cm="1">
        <f t="array" ref="B91">_xlfn.SWITCH(LEFT(Tasks[[#This Row],[Status]],1),"O","Opened","C","Completed","S","Signed Off", "V", "Signed Off","ERROR")</f>
        <v>Completed</v>
      </c>
      <c r="C91" s="15" t="str" cm="1">
        <f t="array" ref="C91">_xlfn.SWITCH(LEFT(Tasks[[#This Row],[Type]], 3), "Fie", "Field Report", "Con", "Contractor QC", "Gen", "Contractor QC", "Pun", "Contractor QC", "Qua", "Contractor QC", "Fin", "Punch List")</f>
        <v>Field Report</v>
      </c>
      <c r="D91" s="15" t="str">
        <f>_xlfn.LET(
_xlpm.leftValue, TRIM(LEFT(Tasks[[#This Row],[Description]], 45)),
IF(LEN(_xlpm.leftValue) &lt; 40, _xlpm.leftValue, _xlfn.CONCAT(_xlpm.leftValue, "…"))
)</f>
        <v>EOR 2021.09.09, Item 17:
Annex – LV 1 
NEC…</v>
      </c>
      <c r="E91" s="15" t="str" cm="1">
        <f t="array" ref="E91">_xlfn.LET(
_xlpm.inTower, COUNTIF(Tower_Num_Table[Tower Rm Numbers], LEFT(Task_Summary_Table[[#This Row],[Area/Room]], 3)) &gt; 0,
_xlpm.typeResult, _xlfn.SWITCH(LEFT(Tasks[[#This Row],[Page]], 2), "Hi", "Historic", "An", "Annex", "Si", "Site", "S5", "Project Task", "SWITCH ERROR"),
IF(_xlpm.inTower, "West Tower", _xlpm.typeResult)
)</f>
        <v>Annex</v>
      </c>
      <c r="F91" s="12" t="str">
        <f>IFERROR(MID(Tasks[[#This Row],[Page]], FIND("Level", Tasks[[#This Row],[Page]]), 7), IF(ISNUMBER(FIND("Roof", Tasks[[#This Row],[Page]])), "Roof",  IF(ISNUMBER(FIND("S590", Tasks[[#This Row],[Page]])), "",  IF(ISNUMBER(FIND("Site", Tasks[[#This Row],[Page]])), "", "ERROR"))))</f>
        <v>Level 1</v>
      </c>
      <c r="G91" s="12" t="str">
        <f>IF(Tasks[[#This Row],[Location]]=0, "", Tasks[[#This Row],[Location]])</f>
        <v/>
      </c>
      <c r="H91" s="12" t="str">
        <f>Tasks[[#This Row],[To Package]]</f>
        <v>Electrical</v>
      </c>
      <c r="I91" s="12" t="str">
        <f>Tasks[[#This Row],[To Organisation]]</f>
        <v>Wilkinson Electric Inc</v>
      </c>
    </row>
    <row r="92" spans="1:9" ht="15.5" x14ac:dyDescent="0.35">
      <c r="A92" s="14" t="str">
        <f>HYPERLINK(_xlfn.CONCAT(Edit_URL,Tasks[[#This Row],[Ref]]),Tasks[[#This Row],[Ref]])</f>
        <v>T1.9596686</v>
      </c>
      <c r="B92" s="15" t="str" cm="1">
        <f t="array" ref="B92">_xlfn.SWITCH(LEFT(Tasks[[#This Row],[Status]],1),"O","Opened","C","Completed","S","Signed Off", "V", "Signed Off","ERROR")</f>
        <v>Signed Off</v>
      </c>
      <c r="C92" s="15" t="str" cm="1">
        <f t="array" ref="C92">_xlfn.SWITCH(LEFT(Tasks[[#This Row],[Type]], 3), "Fie", "Field Report", "Con", "Contractor QC", "Gen", "Contractor QC", "Pun", "Contractor QC", "Qua", "Contractor QC", "Fin", "Punch List")</f>
        <v>Field Report</v>
      </c>
      <c r="D92" s="15" t="str">
        <f>_xlfn.LET(
_xlpm.leftValue, TRIM(LEFT(Tasks[[#This Row],[Description]], 45)),
IF(LEN(_xlpm.leftValue) &lt; 40, _xlpm.leftValue, _xlfn.CONCAT(_xlpm.leftValue, "…"))
)</f>
        <v>EOR 2021.09.09, Item 18:
Annex – LV1 
MC ca…</v>
      </c>
      <c r="E92" s="15" t="str" cm="1">
        <f t="array" ref="E92">_xlfn.LET(
_xlpm.inTower, COUNTIF(Tower_Num_Table[Tower Rm Numbers], LEFT(Task_Summary_Table[[#This Row],[Area/Room]], 3)) &gt; 0,
_xlpm.typeResult, _xlfn.SWITCH(LEFT(Tasks[[#This Row],[Page]], 2), "Hi", "Historic", "An", "Annex", "Si", "Site", "S5", "Project Task", "SWITCH ERROR"),
IF(_xlpm.inTower, "West Tower", _xlpm.typeResult)
)</f>
        <v>Annex</v>
      </c>
      <c r="F92" s="12" t="str">
        <f>IFERROR(MID(Tasks[[#This Row],[Page]], FIND("Level", Tasks[[#This Row],[Page]]), 7), IF(ISNUMBER(FIND("Roof", Tasks[[#This Row],[Page]])), "Roof",  IF(ISNUMBER(FIND("S590", Tasks[[#This Row],[Page]])), "",  IF(ISNUMBER(FIND("Site", Tasks[[#This Row],[Page]])), "", "ERROR"))))</f>
        <v>Level 1</v>
      </c>
      <c r="G92" s="12" t="str">
        <f>IF(Tasks[[#This Row],[Location]]=0, "", Tasks[[#This Row],[Location]])</f>
        <v/>
      </c>
      <c r="H92" s="12" t="str">
        <f>Tasks[[#This Row],[To Package]]</f>
        <v>Electrical</v>
      </c>
      <c r="I92" s="12" t="str">
        <f>Tasks[[#This Row],[To Organisation]]</f>
        <v>Wilkinson Electric Inc</v>
      </c>
    </row>
    <row r="93" spans="1:9" ht="15.5" x14ac:dyDescent="0.35">
      <c r="A93" s="14" t="str">
        <f>HYPERLINK(_xlfn.CONCAT(Edit_URL,Tasks[[#This Row],[Ref]]),Tasks[[#This Row],[Ref]])</f>
        <v>T1.9596687</v>
      </c>
      <c r="B93" s="15" t="str" cm="1">
        <f t="array" ref="B93">_xlfn.SWITCH(LEFT(Tasks[[#This Row],[Status]],1),"O","Opened","C","Completed","S","Signed Off", "V", "Signed Off","ERROR")</f>
        <v>Signed Off</v>
      </c>
      <c r="C93" s="15" t="str" cm="1">
        <f t="array" ref="C93">_xlfn.SWITCH(LEFT(Tasks[[#This Row],[Type]], 3), "Fie", "Field Report", "Con", "Contractor QC", "Gen", "Contractor QC", "Pun", "Contractor QC", "Qua", "Contractor QC", "Fin", "Punch List")</f>
        <v>Field Report</v>
      </c>
      <c r="D93" s="15" t="str">
        <f>_xlfn.LET(
_xlpm.leftValue, TRIM(LEFT(Tasks[[#This Row],[Description]], 45)),
IF(LEN(_xlpm.leftValue) &lt; 40, _xlpm.leftValue, _xlfn.CONCAT(_xlpm.leftValue, "…"))
)</f>
        <v>EOR 2021.09.09, Item 19: 
Annex – LV1 
Cabl…</v>
      </c>
      <c r="E93" s="15" t="str" cm="1">
        <f t="array" ref="E93">_xlfn.LET(
_xlpm.inTower, COUNTIF(Tower_Num_Table[Tower Rm Numbers], LEFT(Task_Summary_Table[[#This Row],[Area/Room]], 3)) &gt; 0,
_xlpm.typeResult, _xlfn.SWITCH(LEFT(Tasks[[#This Row],[Page]], 2), "Hi", "Historic", "An", "Annex", "Si", "Site", "S5", "Project Task", "SWITCH ERROR"),
IF(_xlpm.inTower, "West Tower", _xlpm.typeResult)
)</f>
        <v>Annex</v>
      </c>
      <c r="F93" s="12" t="str">
        <f>IFERROR(MID(Tasks[[#This Row],[Page]], FIND("Level", Tasks[[#This Row],[Page]]), 7), IF(ISNUMBER(FIND("Roof", Tasks[[#This Row],[Page]])), "Roof",  IF(ISNUMBER(FIND("S590", Tasks[[#This Row],[Page]])), "",  IF(ISNUMBER(FIND("Site", Tasks[[#This Row],[Page]])), "", "ERROR"))))</f>
        <v>Level 1</v>
      </c>
      <c r="G93" s="12" t="str">
        <f>IF(Tasks[[#This Row],[Location]]=0, "", Tasks[[#This Row],[Location]])</f>
        <v/>
      </c>
      <c r="H93" s="12" t="str">
        <f>Tasks[[#This Row],[To Package]]</f>
        <v>Electrical</v>
      </c>
      <c r="I93" s="12" t="str">
        <f>Tasks[[#This Row],[To Organisation]]</f>
        <v>Wilkinson Electric Inc</v>
      </c>
    </row>
    <row r="94" spans="1:9" ht="15.5" x14ac:dyDescent="0.35">
      <c r="A94" s="14" t="str">
        <f>HYPERLINK(_xlfn.CONCAT(Edit_URL,Tasks[[#This Row],[Ref]]),Tasks[[#This Row],[Ref]])</f>
        <v>T1.9606607</v>
      </c>
      <c r="B94" s="15" t="str" cm="1">
        <f t="array" ref="B94">_xlfn.SWITCH(LEFT(Tasks[[#This Row],[Status]],1),"O","Opened","C","Completed","S","Signed Off", "V", "Signed Off","ERROR")</f>
        <v>Completed</v>
      </c>
      <c r="C94" s="15" t="str" cm="1">
        <f t="array" ref="C94">_xlfn.SWITCH(LEFT(Tasks[[#This Row],[Type]], 3), "Fie", "Field Report", "Con", "Contractor QC", "Gen", "Contractor QC", "Pun", "Contractor QC", "Qua", "Contractor QC", "Fin", "Punch List")</f>
        <v>Field Report</v>
      </c>
      <c r="D94" s="15" t="str">
        <f>_xlfn.LET(
_xlpm.leftValue, TRIM(LEFT(Tasks[[#This Row],[Description]], 45)),
IF(LEN(_xlpm.leftValue) &lt; 40, _xlpm.leftValue, _xlfn.CONCAT(_xlpm.leftValue, "…"))
)</f>
        <v>CxA Report 11.30.2021 Item 7: 
AHUs Return Fi…</v>
      </c>
      <c r="E94" s="15" t="str" cm="1">
        <f t="array" ref="E94">_xlfn.LET(
_xlpm.inTower, COUNTIF(Tower_Num_Table[Tower Rm Numbers], LEFT(Task_Summary_Table[[#This Row],[Area/Room]], 3)) &gt; 0,
_xlpm.typeResult, _xlfn.SWITCH(LEFT(Tasks[[#This Row],[Page]], 2), "Hi", "Historic", "An", "Annex", "Si", "Site", "S5", "Project Task", "SWITCH ERROR"),
IF(_xlpm.inTower, "West Tower", _xlpm.typeResult)
)</f>
        <v>Annex</v>
      </c>
      <c r="F94" s="12" t="str">
        <f>IFERROR(MID(Tasks[[#This Row],[Page]], FIND("Level", Tasks[[#This Row],[Page]]), 7), IF(ISNUMBER(FIND("Roof", Tasks[[#This Row],[Page]])), "Roof",  IF(ISNUMBER(FIND("S590", Tasks[[#This Row],[Page]])), "",  IF(ISNUMBER(FIND("Site", Tasks[[#This Row],[Page]])), "", "ERROR"))))</f>
        <v>Level 0</v>
      </c>
      <c r="G94" s="12" t="str">
        <f>IF(Tasks[[#This Row],[Location]]=0, "", Tasks[[#This Row],[Location]])</f>
        <v/>
      </c>
      <c r="H94" s="12" t="str">
        <f>Tasks[[#This Row],[To Package]]</f>
        <v>HVAC</v>
      </c>
      <c r="I94" s="12" t="str">
        <f>Tasks[[#This Row],[To Organisation]]</f>
        <v>US Mechanical</v>
      </c>
    </row>
    <row r="95" spans="1:9" ht="15.5" x14ac:dyDescent="0.35">
      <c r="A95" s="14" t="str">
        <f>HYPERLINK(_xlfn.CONCAT(Edit_URL,Tasks[[#This Row],[Ref]]),Tasks[[#This Row],[Ref]])</f>
        <v>T1.9606606</v>
      </c>
      <c r="B95" s="15" t="str" cm="1">
        <f t="array" ref="B95">_xlfn.SWITCH(LEFT(Tasks[[#This Row],[Status]],1),"O","Opened","C","Completed","S","Signed Off", "V", "Signed Off","ERROR")</f>
        <v>Completed</v>
      </c>
      <c r="C95" s="15" t="str" cm="1">
        <f t="array" ref="C95">_xlfn.SWITCH(LEFT(Tasks[[#This Row],[Type]], 3), "Fie", "Field Report", "Con", "Contractor QC", "Gen", "Contractor QC", "Pun", "Contractor QC", "Qua", "Contractor QC", "Fin", "Punch List")</f>
        <v>Field Report</v>
      </c>
      <c r="D95" s="15" t="str">
        <f>_xlfn.LET(
_xlpm.leftValue, TRIM(LEFT(Tasks[[#This Row],[Description]], 45)),
IF(LEN(_xlpm.leftValue) &lt; 40, _xlpm.leftValue, _xlfn.CONCAT(_xlpm.leftValue, "…"))
)</f>
        <v>CxA Report 11.30.2021 Item 6:
Damaged AHU coi…</v>
      </c>
      <c r="E95" s="15" t="str" cm="1">
        <f t="array" ref="E95">_xlfn.LET(
_xlpm.inTower, COUNTIF(Tower_Num_Table[Tower Rm Numbers], LEFT(Task_Summary_Table[[#This Row],[Area/Room]], 3)) &gt; 0,
_xlpm.typeResult, _xlfn.SWITCH(LEFT(Tasks[[#This Row],[Page]], 2), "Hi", "Historic", "An", "Annex", "Si", "Site", "S5", "Project Task", "SWITCH ERROR"),
IF(_xlpm.inTower, "West Tower", _xlpm.typeResult)
)</f>
        <v>Annex</v>
      </c>
      <c r="F95" s="12" t="str">
        <f>IFERROR(MID(Tasks[[#This Row],[Page]], FIND("Level", Tasks[[#This Row],[Page]]), 7), IF(ISNUMBER(FIND("Roof", Tasks[[#This Row],[Page]])), "Roof",  IF(ISNUMBER(FIND("S590", Tasks[[#This Row],[Page]])), "",  IF(ISNUMBER(FIND("Site", Tasks[[#This Row],[Page]])), "", "ERROR"))))</f>
        <v>Level 0</v>
      </c>
      <c r="G95" s="12" t="str">
        <f>IF(Tasks[[#This Row],[Location]]=0, "", Tasks[[#This Row],[Location]])</f>
        <v/>
      </c>
      <c r="H95" s="12" t="str">
        <f>Tasks[[#This Row],[To Package]]</f>
        <v>HVAC</v>
      </c>
      <c r="I95" s="12" t="str">
        <f>Tasks[[#This Row],[To Organisation]]</f>
        <v>US Mechanical</v>
      </c>
    </row>
    <row r="96" spans="1:9" ht="15.5" x14ac:dyDescent="0.35">
      <c r="A96" s="14" t="str">
        <f>HYPERLINK(_xlfn.CONCAT(Edit_URL,Tasks[[#This Row],[Ref]]),Tasks[[#This Row],[Ref]])</f>
        <v>T1.9596668</v>
      </c>
      <c r="B96" s="15" t="str" cm="1">
        <f t="array" ref="B96">_xlfn.SWITCH(LEFT(Tasks[[#This Row],[Status]],1),"O","Opened","C","Completed","S","Signed Off", "V", "Signed Off","ERROR")</f>
        <v>Completed</v>
      </c>
      <c r="C96" s="15" t="str" cm="1">
        <f t="array" ref="C96">_xlfn.SWITCH(LEFT(Tasks[[#This Row],[Type]], 3), "Fie", "Field Report", "Con", "Contractor QC", "Gen", "Contractor QC", "Pun", "Contractor QC", "Qua", "Contractor QC", "Fin", "Punch List")</f>
        <v>Field Report</v>
      </c>
      <c r="D96" s="15" t="str">
        <f>_xlfn.LET(
_xlpm.leftValue, TRIM(LEFT(Tasks[[#This Row],[Description]], 45)),
IF(LEN(_xlpm.leftValue) &lt; 40, _xlpm.leftValue, _xlfn.CONCAT(_xlpm.leftValue, "…"))
)</f>
        <v>Annex – Basement and other areas throughout 
…</v>
      </c>
      <c r="E96" s="15" t="str" cm="1">
        <f t="array" ref="E96">_xlfn.LET(
_xlpm.inTower, COUNTIF(Tower_Num_Table[Tower Rm Numbers], LEFT(Task_Summary_Table[[#This Row],[Area/Room]], 3)) &gt; 0,
_xlpm.typeResult, _xlfn.SWITCH(LEFT(Tasks[[#This Row],[Page]], 2), "Hi", "Historic", "An", "Annex", "Si", "Site", "S5", "Project Task", "SWITCH ERROR"),
IF(_xlpm.inTower, "West Tower", _xlpm.typeResult)
)</f>
        <v>Annex</v>
      </c>
      <c r="F96" s="12" t="str">
        <f>IFERROR(MID(Tasks[[#This Row],[Page]], FIND("Level", Tasks[[#This Row],[Page]]), 7), IF(ISNUMBER(FIND("Roof", Tasks[[#This Row],[Page]])), "Roof",  IF(ISNUMBER(FIND("S590", Tasks[[#This Row],[Page]])), "",  IF(ISNUMBER(FIND("Site", Tasks[[#This Row],[Page]])), "", "ERROR"))))</f>
        <v>Level 0</v>
      </c>
      <c r="G96" s="12" t="str">
        <f>IF(Tasks[[#This Row],[Location]]=0, "", Tasks[[#This Row],[Location]])</f>
        <v/>
      </c>
      <c r="H96" s="12" t="str">
        <f>Tasks[[#This Row],[To Package]]</f>
        <v>Electrical</v>
      </c>
      <c r="I96" s="12" t="str">
        <f>Tasks[[#This Row],[To Organisation]]</f>
        <v>Wilkinson Electric Inc</v>
      </c>
    </row>
    <row r="97" spans="1:9" ht="15.5" x14ac:dyDescent="0.35">
      <c r="A97" s="14" t="str">
        <f>HYPERLINK(_xlfn.CONCAT(Edit_URL,Tasks[[#This Row],[Ref]]),Tasks[[#This Row],[Ref]])</f>
        <v>T1.9596684</v>
      </c>
      <c r="B97" s="15" t="str" cm="1">
        <f t="array" ref="B97">_xlfn.SWITCH(LEFT(Tasks[[#This Row],[Status]],1),"O","Opened","C","Completed","S","Signed Off", "V", "Signed Off","ERROR")</f>
        <v>Completed</v>
      </c>
      <c r="C97" s="15" t="str" cm="1">
        <f t="array" ref="C97">_xlfn.SWITCH(LEFT(Tasks[[#This Row],[Type]], 3), "Fie", "Field Report", "Con", "Contractor QC", "Gen", "Contractor QC", "Pun", "Contractor QC", "Qua", "Contractor QC", "Fin", "Punch List")</f>
        <v>Field Report</v>
      </c>
      <c r="D97" s="15" t="str">
        <f>_xlfn.LET(
_xlpm.leftValue, TRIM(LEFT(Tasks[[#This Row],[Description]], 45)),
IF(LEN(_xlpm.leftValue) &lt; 40, _xlpm.leftValue, _xlfn.CONCAT(_xlpm.leftValue, "…"))
)</f>
        <v>EOR 2021.09.09, Item 15: Annex – Basement 
…</v>
      </c>
      <c r="E97" s="15" t="str" cm="1">
        <f t="array" ref="E97">_xlfn.LET(
_xlpm.inTower, COUNTIF(Tower_Num_Table[Tower Rm Numbers], LEFT(Task_Summary_Table[[#This Row],[Area/Room]], 3)) &gt; 0,
_xlpm.typeResult, _xlfn.SWITCH(LEFT(Tasks[[#This Row],[Page]], 2), "Hi", "Historic", "An", "Annex", "Si", "Site", "S5", "Project Task", "SWITCH ERROR"),
IF(_xlpm.inTower, "West Tower", _xlpm.typeResult)
)</f>
        <v>Annex</v>
      </c>
      <c r="F97" s="12" t="str">
        <f>IFERROR(MID(Tasks[[#This Row],[Page]], FIND("Level", Tasks[[#This Row],[Page]]), 7), IF(ISNUMBER(FIND("Roof", Tasks[[#This Row],[Page]])), "Roof",  IF(ISNUMBER(FIND("S590", Tasks[[#This Row],[Page]])), "",  IF(ISNUMBER(FIND("Site", Tasks[[#This Row],[Page]])), "", "ERROR"))))</f>
        <v>Level 0</v>
      </c>
      <c r="G97" s="12" t="str">
        <f>IF(Tasks[[#This Row],[Location]]=0, "", Tasks[[#This Row],[Location]])</f>
        <v/>
      </c>
      <c r="H97" s="12" t="str">
        <f>Tasks[[#This Row],[To Package]]</f>
        <v>Electrical</v>
      </c>
      <c r="I97" s="12" t="str">
        <f>Tasks[[#This Row],[To Organisation]]</f>
        <v>Wilkinson Electric Inc</v>
      </c>
    </row>
    <row r="98" spans="1:9" ht="15.5" x14ac:dyDescent="0.35">
      <c r="A98" s="14" t="str">
        <f>HYPERLINK(_xlfn.CONCAT(Edit_URL,Tasks[[#This Row],[Ref]]),Tasks[[#This Row],[Ref]])</f>
        <v>T1.9606598</v>
      </c>
      <c r="B98" s="15" t="str" cm="1">
        <f t="array" ref="B98">_xlfn.SWITCH(LEFT(Tasks[[#This Row],[Status]],1),"O","Opened","C","Completed","S","Signed Off", "V", "Signed Off","ERROR")</f>
        <v>Completed</v>
      </c>
      <c r="C98" s="15" t="str" cm="1">
        <f t="array" ref="C98">_xlfn.SWITCH(LEFT(Tasks[[#This Row],[Type]], 3), "Fie", "Field Report", "Con", "Contractor QC", "Gen", "Contractor QC", "Pun", "Contractor QC", "Qua", "Contractor QC", "Fin", "Punch List")</f>
        <v>Field Report</v>
      </c>
      <c r="D98" s="15" t="str">
        <f>_xlfn.LET(
_xlpm.leftValue, TRIM(LEFT(Tasks[[#This Row],[Description]], 45)),
IF(LEN(_xlpm.leftValue) &lt; 40, _xlpm.leftValue, _xlfn.CONCAT(_xlpm.leftValue, "…"))
)</f>
        <v>CxA Report 11.30.2021 - Item 3: 
Boiler Vent…</v>
      </c>
      <c r="E98" s="15" t="str" cm="1">
        <f t="array" ref="E98">_xlfn.LET(
_xlpm.inTower, COUNTIF(Tower_Num_Table[Tower Rm Numbers], LEFT(Task_Summary_Table[[#This Row],[Area/Room]], 3)) &gt; 0,
_xlpm.typeResult, _xlfn.SWITCH(LEFT(Tasks[[#This Row],[Page]], 2), "Hi", "Historic", "An", "Annex", "Si", "Site", "S5", "Project Task", "SWITCH ERROR"),
IF(_xlpm.inTower, "West Tower", _xlpm.typeResult)
)</f>
        <v>Annex</v>
      </c>
      <c r="F98" s="12" t="str">
        <f>IFERROR(MID(Tasks[[#This Row],[Page]], FIND("Level", Tasks[[#This Row],[Page]]), 7), IF(ISNUMBER(FIND("Roof", Tasks[[#This Row],[Page]])), "Roof",  IF(ISNUMBER(FIND("S590", Tasks[[#This Row],[Page]])), "",  IF(ISNUMBER(FIND("Site", Tasks[[#This Row],[Page]])), "", "ERROR"))))</f>
        <v>Level 0</v>
      </c>
      <c r="G98" s="12" t="str">
        <f>IF(Tasks[[#This Row],[Location]]=0, "", Tasks[[#This Row],[Location]])</f>
        <v/>
      </c>
      <c r="H98" s="12" t="str">
        <f>Tasks[[#This Row],[To Package]]</f>
        <v>HVAC</v>
      </c>
      <c r="I98" s="12" t="str">
        <f>Tasks[[#This Row],[To Organisation]]</f>
        <v>US Mechanical</v>
      </c>
    </row>
    <row r="99" spans="1:9" ht="15.5" x14ac:dyDescent="0.35">
      <c r="A99" s="14" t="str">
        <f>HYPERLINK(_xlfn.CONCAT(Edit_URL,Tasks[[#This Row],[Ref]]),Tasks[[#This Row],[Ref]])</f>
        <v>T1.9612543</v>
      </c>
      <c r="B99" s="15" t="str" cm="1">
        <f t="array" ref="B99">_xlfn.SWITCH(LEFT(Tasks[[#This Row],[Status]],1),"O","Opened","C","Completed","S","Signed Off", "V", "Signed Off","ERROR")</f>
        <v>Completed</v>
      </c>
      <c r="C99" s="15" t="str" cm="1">
        <f t="array" ref="C99">_xlfn.SWITCH(LEFT(Tasks[[#This Row],[Type]], 3), "Fie", "Field Report", "Con", "Contractor QC", "Gen", "Contractor QC", "Pun", "Contractor QC", "Qua", "Contractor QC", "Fin", "Punch List")</f>
        <v>Field Report</v>
      </c>
      <c r="D99" s="15" t="str">
        <f>_xlfn.LET(
_xlpm.leftValue, TRIM(LEFT(Tasks[[#This Row],[Description]], 45)),
IF(LEN(_xlpm.leftValue) &lt; 40, _xlpm.leftValue, _xlfn.CONCAT(_xlpm.leftValue, "…"))
)</f>
        <v>CxA Field Report 20220113, Item 1: 
Fire Smok…</v>
      </c>
      <c r="E99" s="15" t="str" cm="1">
        <f t="array" ref="E99">_xlfn.LET(
_xlpm.inTower, COUNTIF(Tower_Num_Table[Tower Rm Numbers], LEFT(Task_Summary_Table[[#This Row],[Area/Room]], 3)) &gt; 0,
_xlpm.typeResult, _xlfn.SWITCH(LEFT(Tasks[[#This Row],[Page]], 2), "Hi", "Historic", "An", "Annex", "Si", "Site", "S5", "Project Task", "SWITCH ERROR"),
IF(_xlpm.inTower, "West Tower", _xlpm.typeResult)
)</f>
        <v>Historic</v>
      </c>
      <c r="F99" s="12" t="str">
        <f>IFERROR(MID(Tasks[[#This Row],[Page]], FIND("Level", Tasks[[#This Row],[Page]]), 7), IF(ISNUMBER(FIND("Roof", Tasks[[#This Row],[Page]])), "Roof",  IF(ISNUMBER(FIND("S590", Tasks[[#This Row],[Page]])), "",  IF(ISNUMBER(FIND("Site", Tasks[[#This Row],[Page]])), "", "ERROR"))))</f>
        <v>Level 0</v>
      </c>
      <c r="G99" s="12" t="str">
        <f>IF(Tasks[[#This Row],[Location]]=0, "", Tasks[[#This Row],[Location]])</f>
        <v/>
      </c>
      <c r="H99" s="12" t="str">
        <f>Tasks[[#This Row],[To Package]]</f>
        <v>HVAC</v>
      </c>
      <c r="I99" s="12" t="str">
        <f>Tasks[[#This Row],[To Organisation]]</f>
        <v>US Mechanical</v>
      </c>
    </row>
    <row r="100" spans="1:9" ht="15.5" x14ac:dyDescent="0.35">
      <c r="A100" s="14" t="str">
        <f>HYPERLINK(_xlfn.CONCAT(Edit_URL,Tasks[[#This Row],[Ref]]),Tasks[[#This Row],[Ref]])</f>
        <v>T1.9596670</v>
      </c>
      <c r="B100" s="15" t="str" cm="1">
        <f t="array" ref="B100">_xlfn.SWITCH(LEFT(Tasks[[#This Row],[Status]],1),"O","Opened","C","Completed","S","Signed Off", "V", "Signed Off","ERROR")</f>
        <v>Signed Off</v>
      </c>
      <c r="C100" s="15" t="str" cm="1">
        <f t="array" ref="C100">_xlfn.SWITCH(LEFT(Tasks[[#This Row],[Type]], 3), "Fie", "Field Report", "Con", "Contractor QC", "Gen", "Contractor QC", "Pun", "Contractor QC", "Qua", "Contractor QC", "Fin", "Punch List")</f>
        <v>Field Report</v>
      </c>
      <c r="D100" s="15" t="str">
        <f>_xlfn.LET(
_xlpm.leftValue, TRIM(LEFT(Tasks[[#This Row],[Description]], 45)),
IF(LEN(_xlpm.leftValue) &lt; 40, _xlpm.leftValue, _xlfn.CONCAT(_xlpm.leftValue, "…"))
)</f>
        <v>Cabling for outlets at “grab &amp; go” room appea…</v>
      </c>
      <c r="E100" s="15" t="str" cm="1">
        <f t="array" ref="E100">_xlfn.LET(
_xlpm.inTower, COUNTIF(Tower_Num_Table[Tower Rm Numbers], LEFT(Task_Summary_Table[[#This Row],[Area/Room]], 3)) &gt; 0,
_xlpm.typeResult, _xlfn.SWITCH(LEFT(Tasks[[#This Row],[Page]], 2), "Hi", "Historic", "An", "Annex", "Si", "Site", "S5", "Project Task", "SWITCH ERROR"),
IF(_xlpm.inTower, "West Tower", _xlpm.typeResult)
)</f>
        <v>Annex</v>
      </c>
      <c r="F100" s="12" t="str">
        <f>IFERROR(MID(Tasks[[#This Row],[Page]], FIND("Level", Tasks[[#This Row],[Page]]), 7), IF(ISNUMBER(FIND("Roof", Tasks[[#This Row],[Page]])), "Roof",  IF(ISNUMBER(FIND("S590", Tasks[[#This Row],[Page]])), "",  IF(ISNUMBER(FIND("Site", Tasks[[#This Row],[Page]])), "", "ERROR"))))</f>
        <v>Level 0</v>
      </c>
      <c r="G100" s="12" t="str">
        <f>IF(Tasks[[#This Row],[Location]]=0, "", Tasks[[#This Row],[Location]])</f>
        <v>011 - GRAB-N-GO</v>
      </c>
      <c r="H100" s="12" t="str">
        <f>Tasks[[#This Row],[To Package]]</f>
        <v>Electrical</v>
      </c>
      <c r="I100" s="12" t="str">
        <f>Tasks[[#This Row],[To Organisation]]</f>
        <v>Wilkinson Electric Inc</v>
      </c>
    </row>
    <row r="101" spans="1:9" ht="15.5" x14ac:dyDescent="0.35">
      <c r="A101" s="14" t="str">
        <f>HYPERLINK(_xlfn.CONCAT(Edit_URL,Tasks[[#This Row],[Ref]]),Tasks[[#This Row],[Ref]])</f>
        <v>T1.9552426</v>
      </c>
      <c r="B101" s="15" t="str" cm="1">
        <f t="array" ref="B101">_xlfn.SWITCH(LEFT(Tasks[[#This Row],[Status]],1),"O","Opened","C","Completed","S","Signed Off", "V", "Signed Off","ERROR")</f>
        <v>Signed Off</v>
      </c>
      <c r="C101" s="15" t="str" cm="1">
        <f t="array" ref="C101">_xlfn.SWITCH(LEFT(Tasks[[#This Row],[Type]], 3), "Fie", "Field Report", "Con", "Contractor QC", "Gen", "Contractor QC", "Pun", "Contractor QC", "Qua", "Contractor QC", "Fin", "Punch List")</f>
        <v>Field Report</v>
      </c>
      <c r="D101" s="15" t="str">
        <f>_xlfn.LET(
_xlpm.leftValue, TRIM(LEFT(Tasks[[#This Row],[Description]], 45)),
IF(LEN(_xlpm.leftValue) &lt; 40, _xlpm.leftValue, _xlfn.CONCAT(_xlpm.leftValue, "…"))
)</f>
        <v>ARW 65-1: The windows near the brides exit ne…</v>
      </c>
      <c r="E101" s="15" t="str" cm="1">
        <f t="array" ref="E101">_xlfn.LET(
_xlpm.inTower, COUNTIF(Tower_Num_Table[Tower Rm Numbers], LEFT(Task_Summary_Table[[#This Row],[Area/Room]], 3)) &gt; 0,
_xlpm.typeResult, _xlfn.SWITCH(LEFT(Tasks[[#This Row],[Page]], 2), "Hi", "Historic", "An", "Annex", "Si", "Site", "S5", "Project Task", "SWITCH ERROR"),
IF(_xlpm.inTower, "West Tower", _xlpm.typeResult)
)</f>
        <v>Historic</v>
      </c>
      <c r="F101" s="12" t="str">
        <f>IFERROR(MID(Tasks[[#This Row],[Page]], FIND("Level", Tasks[[#This Row],[Page]]), 7), IF(ISNUMBER(FIND("Roof", Tasks[[#This Row],[Page]])), "Roof",  IF(ISNUMBER(FIND("S590", Tasks[[#This Row],[Page]])), "",  IF(ISNUMBER(FIND("Site", Tasks[[#This Row],[Page]])), "", "ERROR"))))</f>
        <v>Level 1</v>
      </c>
      <c r="G101" s="12" t="str">
        <f>IF(Tasks[[#This Row],[Location]]=0, "", Tasks[[#This Row],[Location]])</f>
        <v/>
      </c>
      <c r="H101" s="12" t="str">
        <f>Tasks[[#This Row],[To Package]]</f>
        <v>Concrete</v>
      </c>
      <c r="I101" s="12" t="str">
        <f>Tasks[[#This Row],[To Organisation]]</f>
        <v>Innovative Concrete, LLC</v>
      </c>
    </row>
    <row r="102" spans="1:9" ht="15.5" x14ac:dyDescent="0.35">
      <c r="A102" s="14" t="str">
        <f>HYPERLINK(_xlfn.CONCAT(Edit_URL,Tasks[[#This Row],[Ref]]),Tasks[[#This Row],[Ref]])</f>
        <v>T1.9552433</v>
      </c>
      <c r="B102" s="15" t="str" cm="1">
        <f t="array" ref="B102">_xlfn.SWITCH(LEFT(Tasks[[#This Row],[Status]],1),"O","Opened","C","Completed","S","Signed Off", "V", "Signed Off","ERROR")</f>
        <v>Signed Off</v>
      </c>
      <c r="C102" s="15" t="str" cm="1">
        <f t="array" ref="C102">_xlfn.SWITCH(LEFT(Tasks[[#This Row],[Type]], 3), "Fie", "Field Report", "Con", "Contractor QC", "Gen", "Contractor QC", "Pun", "Contractor QC", "Qua", "Contractor QC", "Fin", "Punch List")</f>
        <v>Field Report</v>
      </c>
      <c r="D102" s="15" t="str">
        <f>_xlfn.LET(
_xlpm.leftValue, TRIM(LEFT(Tasks[[#This Row],[Description]], 45)),
IF(LEN(_xlpm.leftValue) &lt; 40, _xlpm.leftValue, _xlfn.CONCAT(_xlpm.leftValue, "…"))
)</f>
        <v>ARW 66-3: Embeds to support steel wide flange…</v>
      </c>
      <c r="E102" s="15" t="str" cm="1">
        <f t="array" ref="E102">_xlfn.LET(
_xlpm.inTower, COUNTIF(Tower_Num_Table[Tower Rm Numbers], LEFT(Task_Summary_Table[[#This Row],[Area/Room]], 3)) &gt; 0,
_xlpm.typeResult, _xlfn.SWITCH(LEFT(Tasks[[#This Row],[Page]], 2), "Hi", "Historic", "An", "Annex", "Si", "Site", "S5", "Project Task", "SWITCH ERROR"),
IF(_xlpm.inTower, "West Tower", _xlpm.typeResult)
)</f>
        <v>Historic</v>
      </c>
      <c r="F102" s="12" t="str">
        <f>IFERROR(MID(Tasks[[#This Row],[Page]], FIND("Level", Tasks[[#This Row],[Page]]), 7), IF(ISNUMBER(FIND("Roof", Tasks[[#This Row],[Page]])), "Roof",  IF(ISNUMBER(FIND("S590", Tasks[[#This Row],[Page]])), "",  IF(ISNUMBER(FIND("Site", Tasks[[#This Row],[Page]])), "", "ERROR"))))</f>
        <v>Level 1</v>
      </c>
      <c r="G102" s="12" t="str">
        <f>IF(Tasks[[#This Row],[Location]]=0, "", Tasks[[#This Row],[Location]])</f>
        <v/>
      </c>
      <c r="H102" s="12" t="str">
        <f>Tasks[[#This Row],[To Package]]</f>
        <v>Concrete</v>
      </c>
      <c r="I102" s="12" t="str">
        <f>Tasks[[#This Row],[To Organisation]]</f>
        <v>Innovative Concrete, LLC</v>
      </c>
    </row>
    <row r="103" spans="1:9" ht="15.5" x14ac:dyDescent="0.35">
      <c r="A103" s="14" t="str">
        <f>HYPERLINK(_xlfn.CONCAT(Edit_URL,Tasks[[#This Row],[Ref]]),Tasks[[#This Row],[Ref]])</f>
        <v>T1.9596688</v>
      </c>
      <c r="B103" s="15" t="str" cm="1">
        <f t="array" ref="B103">_xlfn.SWITCH(LEFT(Tasks[[#This Row],[Status]],1),"O","Opened","C","Completed","S","Signed Off", "V", "Signed Off","ERROR")</f>
        <v>Signed Off</v>
      </c>
      <c r="C103" s="15" t="str" cm="1">
        <f t="array" ref="C103">_xlfn.SWITCH(LEFT(Tasks[[#This Row],[Type]], 3), "Fie", "Field Report", "Con", "Contractor QC", "Gen", "Contractor QC", "Pun", "Contractor QC", "Qua", "Contractor QC", "Fin", "Punch List")</f>
        <v>Field Report</v>
      </c>
      <c r="D103" s="15" t="str">
        <f>_xlfn.LET(
_xlpm.leftValue, TRIM(LEFT(Tasks[[#This Row],[Description]], 45)),
IF(LEN(_xlpm.leftValue) &lt; 40, _xlpm.leftValue, _xlfn.CONCAT(_xlpm.leftValue, "…"))
)</f>
        <v>EOR 2021.09.09, Item 20:
Temple – LV2 
A cr…</v>
      </c>
      <c r="E103" s="15" t="str" cm="1">
        <f t="array" ref="E103">_xlfn.LET(
_xlpm.inTower, COUNTIF(Tower_Num_Table[Tower Rm Numbers], LEFT(Task_Summary_Table[[#This Row],[Area/Room]], 3)) &gt; 0,
_xlpm.typeResult, _xlfn.SWITCH(LEFT(Tasks[[#This Row],[Page]], 2), "Hi", "Historic", "An", "Annex", "Si", "Site", "S5", "Project Task", "SWITCH ERROR"),
IF(_xlpm.inTower, "West Tower", _xlpm.typeResult)
)</f>
        <v>Historic</v>
      </c>
      <c r="F103" s="12" t="str">
        <f>IFERROR(MID(Tasks[[#This Row],[Page]], FIND("Level", Tasks[[#This Row],[Page]]), 7), IF(ISNUMBER(FIND("Roof", Tasks[[#This Row],[Page]])), "Roof",  IF(ISNUMBER(FIND("S590", Tasks[[#This Row],[Page]])), "",  IF(ISNUMBER(FIND("Site", Tasks[[#This Row],[Page]])), "", "ERROR"))))</f>
        <v>Level 2</v>
      </c>
      <c r="G103" s="12" t="str">
        <f>IF(Tasks[[#This Row],[Location]]=0, "", Tasks[[#This Row],[Location]])</f>
        <v/>
      </c>
      <c r="H103" s="12" t="str">
        <f>Tasks[[#This Row],[To Package]]</f>
        <v>Electrical</v>
      </c>
      <c r="I103" s="12" t="str">
        <f>Tasks[[#This Row],[To Organisation]]</f>
        <v>Wilkinson Electric Inc</v>
      </c>
    </row>
    <row r="104" spans="1:9" ht="15.5" x14ac:dyDescent="0.35">
      <c r="A104" s="14" t="str">
        <f>HYPERLINK(_xlfn.CONCAT(Edit_URL,Tasks[[#This Row],[Ref]]),Tasks[[#This Row],[Ref]])</f>
        <v>T1.9539631</v>
      </c>
      <c r="B104" s="15" t="str" cm="1">
        <f t="array" ref="B104">_xlfn.SWITCH(LEFT(Tasks[[#This Row],[Status]],1),"O","Opened","C","Completed","S","Signed Off", "V", "Signed Off","ERROR")</f>
        <v>Signed Off</v>
      </c>
      <c r="C104" s="15" t="str" cm="1">
        <f t="array" ref="C104">_xlfn.SWITCH(LEFT(Tasks[[#This Row],[Type]], 3), "Fie", "Field Report", "Con", "Contractor QC", "Gen", "Contractor QC", "Pun", "Contractor QC", "Qua", "Contractor QC", "Fin", "Punch List")</f>
        <v>Field Report</v>
      </c>
      <c r="D104" s="15" t="str">
        <f>_xlfn.LET(
_xlpm.leftValue, TRIM(LEFT(Tasks[[#This Row],[Description]], 45)),
IF(LEN(_xlpm.leftValue) &lt; 40, _xlpm.leftValue, _xlfn.CONCAT(_xlpm.leftValue, "…"))
)</f>
        <v>Electrical Observation Report: 4/16/2021; Ite…</v>
      </c>
      <c r="E104" s="15" t="str" cm="1">
        <f t="array" ref="E104">_xlfn.LET(
_xlpm.inTower, COUNTIF(Tower_Num_Table[Tower Rm Numbers], LEFT(Task_Summary_Table[[#This Row],[Area/Room]], 3)) &gt; 0,
_xlpm.typeResult, _xlfn.SWITCH(LEFT(Tasks[[#This Row],[Page]], 2), "Hi", "Historic", "An", "Annex", "Si", "Site", "S5", "Project Task", "SWITCH ERROR"),
IF(_xlpm.inTower, "West Tower", _xlpm.typeResult)
)</f>
        <v>Historic</v>
      </c>
      <c r="F104" s="12" t="str">
        <f>IFERROR(MID(Tasks[[#This Row],[Page]], FIND("Level", Tasks[[#This Row],[Page]]), 7), IF(ISNUMBER(FIND("Roof", Tasks[[#This Row],[Page]])), "Roof",  IF(ISNUMBER(FIND("S590", Tasks[[#This Row],[Page]])), "",  IF(ISNUMBER(FIND("Site", Tasks[[#This Row],[Page]])), "", "ERROR"))))</f>
        <v>Level 3</v>
      </c>
      <c r="G104" s="12" t="str">
        <f>IF(Tasks[[#This Row],[Location]]=0, "", Tasks[[#This Row],[Location]])</f>
        <v/>
      </c>
      <c r="H104" s="12" t="str">
        <f>Tasks[[#This Row],[To Package]]</f>
        <v>Electrical</v>
      </c>
      <c r="I104" s="12" t="str">
        <f>Tasks[[#This Row],[To Organisation]]</f>
        <v>Wilkinson Electric Inc</v>
      </c>
    </row>
    <row r="105" spans="1:9" ht="15.5" x14ac:dyDescent="0.35">
      <c r="A105" s="14" t="str">
        <f>HYPERLINK(_xlfn.CONCAT(Edit_URL,Tasks[[#This Row],[Ref]]),Tasks[[#This Row],[Ref]])</f>
        <v>T1.9596669</v>
      </c>
      <c r="B105" s="15" t="str" cm="1">
        <f t="array" ref="B105">_xlfn.SWITCH(LEFT(Tasks[[#This Row],[Status]],1),"O","Opened","C","Completed","S","Signed Off", "V", "Signed Off","ERROR")</f>
        <v>Signed Off</v>
      </c>
      <c r="C105" s="15" t="str" cm="1">
        <f t="array" ref="C105">_xlfn.SWITCH(LEFT(Tasks[[#This Row],[Type]], 3), "Fie", "Field Report", "Con", "Contractor QC", "Gen", "Contractor QC", "Pun", "Contractor QC", "Qua", "Contractor QC", "Fin", "Punch List")</f>
        <v>Field Report</v>
      </c>
      <c r="D105" s="15" t="str">
        <f>_xlfn.LET(
_xlpm.leftValue, TRIM(LEFT(Tasks[[#This Row],[Description]], 45)),
IF(LEN(_xlpm.leftValue) &lt; 40, _xlpm.leftValue, _xlfn.CONCAT(_xlpm.leftValue, "…"))
)</f>
        <v>Annex - Basement 
Cabling appears to be ro…</v>
      </c>
      <c r="E105" s="15" t="str" cm="1">
        <f t="array" ref="E105">_xlfn.LET(
_xlpm.inTower, COUNTIF(Tower_Num_Table[Tower Rm Numbers], LEFT(Task_Summary_Table[[#This Row],[Area/Room]], 3)) &gt; 0,
_xlpm.typeResult, _xlfn.SWITCH(LEFT(Tasks[[#This Row],[Page]], 2), "Hi", "Historic", "An", "Annex", "Si", "Site", "S5", "Project Task", "SWITCH ERROR"),
IF(_xlpm.inTower, "West Tower", _xlpm.typeResult)
)</f>
        <v>Annex</v>
      </c>
      <c r="F105" s="12" t="str">
        <f>IFERROR(MID(Tasks[[#This Row],[Page]], FIND("Level", Tasks[[#This Row],[Page]]), 7), IF(ISNUMBER(FIND("Roof", Tasks[[#This Row],[Page]])), "Roof",  IF(ISNUMBER(FIND("S590", Tasks[[#This Row],[Page]])), "",  IF(ISNUMBER(FIND("Site", Tasks[[#This Row],[Page]])), "", "ERROR"))))</f>
        <v>Level 0</v>
      </c>
      <c r="G105" s="12" t="str">
        <f>IF(Tasks[[#This Row],[Location]]=0, "", Tasks[[#This Row],[Location]])</f>
        <v/>
      </c>
      <c r="H105" s="12" t="str">
        <f>Tasks[[#This Row],[To Package]]</f>
        <v>Electrical</v>
      </c>
      <c r="I105" s="12" t="str">
        <f>Tasks[[#This Row],[To Organisation]]</f>
        <v>Wilkinson Electric Inc</v>
      </c>
    </row>
    <row r="106" spans="1:9" ht="15.5" x14ac:dyDescent="0.35">
      <c r="A106" s="14" t="str">
        <f>HYPERLINK(_xlfn.CONCAT(Edit_URL,Tasks[[#This Row],[Ref]]),Tasks[[#This Row],[Ref]])</f>
        <v>T1.9596676</v>
      </c>
      <c r="B106" s="15" t="str" cm="1">
        <f t="array" ref="B106">_xlfn.SWITCH(LEFT(Tasks[[#This Row],[Status]],1),"O","Opened","C","Completed","S","Signed Off", "V", "Signed Off","ERROR")</f>
        <v>Signed Off</v>
      </c>
      <c r="C106" s="15" t="str" cm="1">
        <f t="array" ref="C106">_xlfn.SWITCH(LEFT(Tasks[[#This Row],[Type]], 3), "Fie", "Field Report", "Con", "Contractor QC", "Gen", "Contractor QC", "Pun", "Contractor QC", "Qua", "Contractor QC", "Fin", "Punch List")</f>
        <v>Field Report</v>
      </c>
      <c r="D106" s="15" t="str">
        <f>_xlfn.LET(
_xlpm.leftValue, TRIM(LEFT(Tasks[[#This Row],[Description]], 45)),
IF(LEN(_xlpm.leftValue) &lt; 40, _xlpm.leftValue, _xlfn.CONCAT(_xlpm.leftValue, "…"))
)</f>
        <v>EOR 2021.09.09, Item 12: Annex – Basement and…</v>
      </c>
      <c r="E106" s="15" t="str" cm="1">
        <f t="array" ref="E106">_xlfn.LET(
_xlpm.inTower, COUNTIF(Tower_Num_Table[Tower Rm Numbers], LEFT(Task_Summary_Table[[#This Row],[Area/Room]], 3)) &gt; 0,
_xlpm.typeResult, _xlfn.SWITCH(LEFT(Tasks[[#This Row],[Page]], 2), "Hi", "Historic", "An", "Annex", "Si", "Site", "S5", "Project Task", "SWITCH ERROR"),
IF(_xlpm.inTower, "West Tower", _xlpm.typeResult)
)</f>
        <v>Annex</v>
      </c>
      <c r="F106" s="12" t="str">
        <f>IFERROR(MID(Tasks[[#This Row],[Page]], FIND("Level", Tasks[[#This Row],[Page]]), 7), IF(ISNUMBER(FIND("Roof", Tasks[[#This Row],[Page]])), "Roof",  IF(ISNUMBER(FIND("S590", Tasks[[#This Row],[Page]])), "",  IF(ISNUMBER(FIND("Site", Tasks[[#This Row],[Page]])), "", "ERROR"))))</f>
        <v>Level 0</v>
      </c>
      <c r="G106" s="12" t="str">
        <f>IF(Tasks[[#This Row],[Location]]=0, "", Tasks[[#This Row],[Location]])</f>
        <v/>
      </c>
      <c r="H106" s="12" t="str">
        <f>Tasks[[#This Row],[To Package]]</f>
        <v>Electrical</v>
      </c>
      <c r="I106" s="12" t="str">
        <f>Tasks[[#This Row],[To Organisation]]</f>
        <v>Wilkinson Electric Inc</v>
      </c>
    </row>
    <row r="107" spans="1:9" ht="15.5" x14ac:dyDescent="0.35">
      <c r="A107" s="14" t="str">
        <f>HYPERLINK(_xlfn.CONCAT(Edit_URL,Tasks[[#This Row],[Ref]]),Tasks[[#This Row],[Ref]])</f>
        <v>T1.9596683</v>
      </c>
      <c r="B107" s="15" t="str" cm="1">
        <f t="array" ref="B107">_xlfn.SWITCH(LEFT(Tasks[[#This Row],[Status]],1),"O","Opened","C","Completed","S","Signed Off", "V", "Signed Off","ERROR")</f>
        <v>Signed Off</v>
      </c>
      <c r="C107" s="15" t="str" cm="1">
        <f t="array" ref="C107">_xlfn.SWITCH(LEFT(Tasks[[#This Row],[Type]], 3), "Fie", "Field Report", "Con", "Contractor QC", "Gen", "Contractor QC", "Pun", "Contractor QC", "Qua", "Contractor QC", "Fin", "Punch List")</f>
        <v>Field Report</v>
      </c>
      <c r="D107" s="15" t="str">
        <f>_xlfn.LET(
_xlpm.leftValue, TRIM(LEFT(Tasks[[#This Row],[Description]], 45)),
IF(LEN(_xlpm.leftValue) &lt; 40, _xlpm.leftValue, _xlfn.CONCAT(_xlpm.leftValue, "…"))
)</f>
        <v>EOR 2021.09.09, Item 13: Annex – Basement 
…</v>
      </c>
      <c r="E107" s="15" t="str" cm="1">
        <f t="array" ref="E107">_xlfn.LET(
_xlpm.inTower, COUNTIF(Tower_Num_Table[Tower Rm Numbers], LEFT(Task_Summary_Table[[#This Row],[Area/Room]], 3)) &gt; 0,
_xlpm.typeResult, _xlfn.SWITCH(LEFT(Tasks[[#This Row],[Page]], 2), "Hi", "Historic", "An", "Annex", "Si", "Site", "S5", "Project Task", "SWITCH ERROR"),
IF(_xlpm.inTower, "West Tower", _xlpm.typeResult)
)</f>
        <v>Annex</v>
      </c>
      <c r="F107" s="12" t="str">
        <f>IFERROR(MID(Tasks[[#This Row],[Page]], FIND("Level", Tasks[[#This Row],[Page]]), 7), IF(ISNUMBER(FIND("Roof", Tasks[[#This Row],[Page]])), "Roof",  IF(ISNUMBER(FIND("S590", Tasks[[#This Row],[Page]])), "",  IF(ISNUMBER(FIND("Site", Tasks[[#This Row],[Page]])), "", "ERROR"))))</f>
        <v>Level 0</v>
      </c>
      <c r="G107" s="12" t="str">
        <f>IF(Tasks[[#This Row],[Location]]=0, "", Tasks[[#This Row],[Location]])</f>
        <v/>
      </c>
      <c r="H107" s="12" t="str">
        <f>Tasks[[#This Row],[To Package]]</f>
        <v>Electrical</v>
      </c>
      <c r="I107" s="12" t="str">
        <f>Tasks[[#This Row],[To Organisation]]</f>
        <v>Wilkinson Electric Inc</v>
      </c>
    </row>
    <row r="108" spans="1:9" ht="15.5" x14ac:dyDescent="0.35">
      <c r="A108" s="14" t="str">
        <f>HYPERLINK(_xlfn.CONCAT(Edit_URL,Tasks[[#This Row],[Ref]]),Tasks[[#This Row],[Ref]])</f>
        <v>T1.9596673</v>
      </c>
      <c r="B108" s="15" t="str" cm="1">
        <f t="array" ref="B108">_xlfn.SWITCH(LEFT(Tasks[[#This Row],[Status]],1),"O","Opened","C","Completed","S","Signed Off", "V", "Signed Off","ERROR")</f>
        <v>Signed Off</v>
      </c>
      <c r="C108" s="15" t="str" cm="1">
        <f t="array" ref="C108">_xlfn.SWITCH(LEFT(Tasks[[#This Row],[Type]], 3), "Fie", "Field Report", "Con", "Contractor QC", "Gen", "Contractor QC", "Pun", "Contractor QC", "Qua", "Contractor QC", "Fin", "Punch List")</f>
        <v>Field Report</v>
      </c>
      <c r="D108" s="15" t="str">
        <f>_xlfn.LET(
_xlpm.leftValue, TRIM(LEFT(Tasks[[#This Row],[Description]], 45)),
IF(LEN(_xlpm.leftValue) &lt; 40, _xlpm.leftValue, _xlfn.CONCAT(_xlpm.leftValue, "…"))
)</f>
        <v>EOR 2021.09.09, Item 9: Annex – Basement 
P…</v>
      </c>
      <c r="E108" s="15" t="str" cm="1">
        <f t="array" ref="E108">_xlfn.LET(
_xlpm.inTower, COUNTIF(Tower_Num_Table[Tower Rm Numbers], LEFT(Task_Summary_Table[[#This Row],[Area/Room]], 3)) &gt; 0,
_xlpm.typeResult, _xlfn.SWITCH(LEFT(Tasks[[#This Row],[Page]], 2), "Hi", "Historic", "An", "Annex", "Si", "Site", "S5", "Project Task", "SWITCH ERROR"),
IF(_xlpm.inTower, "West Tower", _xlpm.typeResult)
)</f>
        <v>Annex</v>
      </c>
      <c r="F108" s="12" t="str">
        <f>IFERROR(MID(Tasks[[#This Row],[Page]], FIND("Level", Tasks[[#This Row],[Page]]), 7), IF(ISNUMBER(FIND("Roof", Tasks[[#This Row],[Page]])), "Roof",  IF(ISNUMBER(FIND("S590", Tasks[[#This Row],[Page]])), "",  IF(ISNUMBER(FIND("Site", Tasks[[#This Row],[Page]])), "", "ERROR"))))</f>
        <v>Level 0</v>
      </c>
      <c r="G108" s="12" t="str">
        <f>IF(Tasks[[#This Row],[Location]]=0, "", Tasks[[#This Row],[Location]])</f>
        <v/>
      </c>
      <c r="H108" s="12" t="str">
        <f>Tasks[[#This Row],[To Package]]</f>
        <v>Electrical</v>
      </c>
      <c r="I108" s="12" t="str">
        <f>Tasks[[#This Row],[To Organisation]]</f>
        <v>Wilkinson Electric Inc</v>
      </c>
    </row>
    <row r="109" spans="1:9" ht="15.5" x14ac:dyDescent="0.35">
      <c r="A109" s="14" t="str">
        <f>HYPERLINK(_xlfn.CONCAT(Edit_URL,Tasks[[#This Row],[Ref]]),Tasks[[#This Row],[Ref]])</f>
        <v>T1.9596672</v>
      </c>
      <c r="B109" s="15" t="str" cm="1">
        <f t="array" ref="B109">_xlfn.SWITCH(LEFT(Tasks[[#This Row],[Status]],1),"O","Opened","C","Completed","S","Signed Off", "V", "Signed Off","ERROR")</f>
        <v>Signed Off</v>
      </c>
      <c r="C109" s="15" t="str" cm="1">
        <f t="array" ref="C109">_xlfn.SWITCH(LEFT(Tasks[[#This Row],[Type]], 3), "Fie", "Field Report", "Con", "Contractor QC", "Gen", "Contractor QC", "Pun", "Contractor QC", "Qua", "Contractor QC", "Fin", "Punch List")</f>
        <v>Field Report</v>
      </c>
      <c r="D109" s="15" t="str">
        <f>_xlfn.LET(
_xlpm.leftValue, TRIM(LEFT(Tasks[[#This Row],[Description]], 45)),
IF(LEN(_xlpm.leftValue) &lt; 40, _xlpm.leftValue, _xlfn.CONCAT(_xlpm.leftValue, "…"))
)</f>
        <v>EOR 2021.09.09 
Annex – Basement 
Unscreene…</v>
      </c>
      <c r="E109" s="15" t="str" cm="1">
        <f t="array" ref="E109">_xlfn.LET(
_xlpm.inTower, COUNTIF(Tower_Num_Table[Tower Rm Numbers], LEFT(Task_Summary_Table[[#This Row],[Area/Room]], 3)) &gt; 0,
_xlpm.typeResult, _xlfn.SWITCH(LEFT(Tasks[[#This Row],[Page]], 2), "Hi", "Historic", "An", "Annex", "Si", "Site", "S5", "Project Task", "SWITCH ERROR"),
IF(_xlpm.inTower, "West Tower", _xlpm.typeResult)
)</f>
        <v>Annex</v>
      </c>
      <c r="F109" s="12" t="str">
        <f>IFERROR(MID(Tasks[[#This Row],[Page]], FIND("Level", Tasks[[#This Row],[Page]]), 7), IF(ISNUMBER(FIND("Roof", Tasks[[#This Row],[Page]])), "Roof",  IF(ISNUMBER(FIND("S590", Tasks[[#This Row],[Page]])), "",  IF(ISNUMBER(FIND("Site", Tasks[[#This Row],[Page]])), "", "ERROR"))))</f>
        <v>Level 0</v>
      </c>
      <c r="G109" s="12" t="str">
        <f>IF(Tasks[[#This Row],[Location]]=0, "", Tasks[[#This Row],[Location]])</f>
        <v/>
      </c>
      <c r="H109" s="12" t="str">
        <f>Tasks[[#This Row],[To Package]]</f>
        <v>Electrical</v>
      </c>
      <c r="I109" s="12" t="str">
        <f>Tasks[[#This Row],[To Organisation]]</f>
        <v>Wilkinson Electric Inc</v>
      </c>
    </row>
    <row r="110" spans="1:9" ht="15.5" x14ac:dyDescent="0.35">
      <c r="A110" s="14" t="str">
        <f>HYPERLINK(_xlfn.CONCAT(Edit_URL,Tasks[[#This Row],[Ref]]),Tasks[[#This Row],[Ref]])</f>
        <v>T1.9596671</v>
      </c>
      <c r="B110" s="15" t="str" cm="1">
        <f t="array" ref="B110">_xlfn.SWITCH(LEFT(Tasks[[#This Row],[Status]],1),"O","Opened","C","Completed","S","Signed Off", "V", "Signed Off","ERROR")</f>
        <v>Signed Off</v>
      </c>
      <c r="C110" s="15" t="str" cm="1">
        <f t="array" ref="C110">_xlfn.SWITCH(LEFT(Tasks[[#This Row],[Type]], 3), "Fie", "Field Report", "Con", "Contractor QC", "Gen", "Contractor QC", "Pun", "Contractor QC", "Qua", "Contractor QC", "Fin", "Punch List")</f>
        <v>Field Report</v>
      </c>
      <c r="D110" s="15" t="str">
        <f>_xlfn.LET(
_xlpm.leftValue, TRIM(LEFT(Tasks[[#This Row],[Description]], 45)),
IF(LEN(_xlpm.leftValue) &lt; 40, _xlpm.leftValue, _xlfn.CONCAT(_xlpm.leftValue, "…"))
)</f>
        <v>Annex – Basement 
Cabling for bathroom outl…</v>
      </c>
      <c r="E110" s="15" t="str" cm="1">
        <f t="array" ref="E110">_xlfn.LET(
_xlpm.inTower, COUNTIF(Tower_Num_Table[Tower Rm Numbers], LEFT(Task_Summary_Table[[#This Row],[Area/Room]], 3)) &gt; 0,
_xlpm.typeResult, _xlfn.SWITCH(LEFT(Tasks[[#This Row],[Page]], 2), "Hi", "Historic", "An", "Annex", "Si", "Site", "S5", "Project Task", "SWITCH ERROR"),
IF(_xlpm.inTower, "West Tower", _xlpm.typeResult)
)</f>
        <v>Annex</v>
      </c>
      <c r="F110" s="12" t="str">
        <f>IFERROR(MID(Tasks[[#This Row],[Page]], FIND("Level", Tasks[[#This Row],[Page]]), 7), IF(ISNUMBER(FIND("Roof", Tasks[[#This Row],[Page]])), "Roof",  IF(ISNUMBER(FIND("S590", Tasks[[#This Row],[Page]])), "",  IF(ISNUMBER(FIND("Site", Tasks[[#This Row],[Page]])), "", "ERROR"))))</f>
        <v>Level 0</v>
      </c>
      <c r="G110" s="12" t="str">
        <f>IF(Tasks[[#This Row],[Location]]=0, "", Tasks[[#This Row],[Location]])</f>
        <v/>
      </c>
      <c r="H110" s="12" t="str">
        <f>Tasks[[#This Row],[To Package]]</f>
        <v>Electrical</v>
      </c>
      <c r="I110" s="12" t="str">
        <f>Tasks[[#This Row],[To Organisation]]</f>
        <v>Wilkinson Electric Inc</v>
      </c>
    </row>
    <row r="111" spans="1:9" ht="15.5" x14ac:dyDescent="0.35">
      <c r="A111" s="14" t="str">
        <f>HYPERLINK(_xlfn.CONCAT(Edit_URL,Tasks[[#This Row],[Ref]]),Tasks[[#This Row],[Ref]])</f>
        <v>T1.9539626</v>
      </c>
      <c r="B111" s="15" t="str" cm="1">
        <f t="array" ref="B111">_xlfn.SWITCH(LEFT(Tasks[[#This Row],[Status]],1),"O","Opened","C","Completed","S","Signed Off", "V", "Signed Off","ERROR")</f>
        <v>Signed Off</v>
      </c>
      <c r="C111" s="15" t="str" cm="1">
        <f t="array" ref="C111">_xlfn.SWITCH(LEFT(Tasks[[#This Row],[Type]], 3), "Fie", "Field Report", "Con", "Contractor QC", "Gen", "Contractor QC", "Pun", "Contractor QC", "Qua", "Contractor QC", "Fin", "Punch List")</f>
        <v>Field Report</v>
      </c>
      <c r="D111" s="15" t="str">
        <f>_xlfn.LET(
_xlpm.leftValue, TRIM(LEFT(Tasks[[#This Row],[Description]], 45)),
IF(LEN(_xlpm.leftValue) &lt; 40, _xlpm.leftValue, _xlfn.CONCAT(_xlpm.leftValue, "…"))
)</f>
        <v>Electrical Observation Report: 4/16/2021; Ite…</v>
      </c>
      <c r="E111" s="15" t="str" cm="1">
        <f t="array" ref="E111">_xlfn.LET(
_xlpm.inTower, COUNTIF(Tower_Num_Table[Tower Rm Numbers], LEFT(Task_Summary_Table[[#This Row],[Area/Room]], 3)) &gt; 0,
_xlpm.typeResult, _xlfn.SWITCH(LEFT(Tasks[[#This Row],[Page]], 2), "Hi", "Historic", "An", "Annex", "Si", "Site", "S5", "Project Task", "SWITCH ERROR"),
IF(_xlpm.inTower, "West Tower", _xlpm.typeResult)
)</f>
        <v>Annex</v>
      </c>
      <c r="F111" s="12" t="str">
        <f>IFERROR(MID(Tasks[[#This Row],[Page]], FIND("Level", Tasks[[#This Row],[Page]]), 7), IF(ISNUMBER(FIND("Roof", Tasks[[#This Row],[Page]])), "Roof",  IF(ISNUMBER(FIND("S590", Tasks[[#This Row],[Page]])), "",  IF(ISNUMBER(FIND("Site", Tasks[[#This Row],[Page]])), "", "ERROR"))))</f>
        <v>Level 0</v>
      </c>
      <c r="G111" s="12" t="str">
        <f>IF(Tasks[[#This Row],[Location]]=0, "", Tasks[[#This Row],[Location]])</f>
        <v/>
      </c>
      <c r="H111" s="12" t="str">
        <f>Tasks[[#This Row],[To Package]]</f>
        <v>Electrical</v>
      </c>
      <c r="I111" s="12" t="str">
        <f>Tasks[[#This Row],[To Organisation]]</f>
        <v>Wilkinson Electric Inc</v>
      </c>
    </row>
    <row r="112" spans="1:9" ht="15.5" x14ac:dyDescent="0.35">
      <c r="A112" s="14" t="str">
        <f>HYPERLINK(_xlfn.CONCAT(Edit_URL,Tasks[[#This Row],[Ref]]),Tasks[[#This Row],[Ref]])</f>
        <v>T1.9556215</v>
      </c>
      <c r="B112" s="15" t="str" cm="1">
        <f t="array" ref="B112">_xlfn.SWITCH(LEFT(Tasks[[#This Row],[Status]],1),"O","Opened","C","Completed","S","Signed Off", "V", "Signed Off","ERROR")</f>
        <v>Signed Off</v>
      </c>
      <c r="C112" s="15" t="str" cm="1">
        <f t="array" ref="C112">_xlfn.SWITCH(LEFT(Tasks[[#This Row],[Type]], 3), "Fie", "Field Report", "Con", "Contractor QC", "Gen", "Contractor QC", "Pun", "Contractor QC", "Qua", "Contractor QC", "Fin", "Punch List")</f>
        <v>Field Report</v>
      </c>
      <c r="D112" s="15" t="str">
        <f>_xlfn.LET(
_xlpm.leftValue, TRIM(LEFT(Tasks[[#This Row],[Description]], 45)),
IF(LEN(_xlpm.leftValue) &lt; 40, _xlpm.leftValue, _xlfn.CONCAT(_xlpm.leftValue, "…"))
)</f>
        <v>ARW 70-8: Areaway wall gap. Jay asked if Styr…</v>
      </c>
      <c r="E112" s="15" t="str" cm="1">
        <f t="array" ref="E112">_xlfn.LET(
_xlpm.inTower, COUNTIF(Tower_Num_Table[Tower Rm Numbers], LEFT(Task_Summary_Table[[#This Row],[Area/Room]], 3)) &gt; 0,
_xlpm.typeResult, _xlfn.SWITCH(LEFT(Tasks[[#This Row],[Page]], 2), "Hi", "Historic", "An", "Annex", "Si", "Site", "S5", "Project Task", "SWITCH ERROR"),
IF(_xlpm.inTower, "West Tower", _xlpm.typeResult)
)</f>
        <v>Annex</v>
      </c>
      <c r="F112" s="12" t="str">
        <f>IFERROR(MID(Tasks[[#This Row],[Page]], FIND("Level", Tasks[[#This Row],[Page]]), 7), IF(ISNUMBER(FIND("Roof", Tasks[[#This Row],[Page]])), "Roof",  IF(ISNUMBER(FIND("S590", Tasks[[#This Row],[Page]])), "",  IF(ISNUMBER(FIND("Site", Tasks[[#This Row],[Page]])), "", "ERROR"))))</f>
        <v>Level 1</v>
      </c>
      <c r="G112" s="12" t="str">
        <f>IF(Tasks[[#This Row],[Location]]=0, "", Tasks[[#This Row],[Location]])</f>
        <v/>
      </c>
      <c r="H112" s="12" t="str">
        <f>Tasks[[#This Row],[To Package]]</f>
        <v>Metal Stud / Drywall</v>
      </c>
      <c r="I112" s="12" t="str">
        <f>Tasks[[#This Row],[To Organisation]]</f>
        <v>Pete King Construction</v>
      </c>
    </row>
    <row r="113" spans="1:9" ht="15.5" x14ac:dyDescent="0.35">
      <c r="A113" s="14" t="str">
        <f>HYPERLINK(_xlfn.CONCAT(Edit_URL,Tasks[[#This Row],[Ref]]),Tasks[[#This Row],[Ref]])</f>
        <v>T1.9539621</v>
      </c>
      <c r="B113" s="15" t="str" cm="1">
        <f t="array" ref="B113">_xlfn.SWITCH(LEFT(Tasks[[#This Row],[Status]],1),"O","Opened","C","Completed","S","Signed Off", "V", "Signed Off","ERROR")</f>
        <v>Signed Off</v>
      </c>
      <c r="C113" s="15" t="str" cm="1">
        <f t="array" ref="C113">_xlfn.SWITCH(LEFT(Tasks[[#This Row],[Type]], 3), "Fie", "Field Report", "Con", "Contractor QC", "Gen", "Contractor QC", "Pun", "Contractor QC", "Qua", "Contractor QC", "Fin", "Punch List")</f>
        <v>Field Report</v>
      </c>
      <c r="D113" s="15" t="str">
        <f>_xlfn.LET(
_xlpm.leftValue, TRIM(LEFT(Tasks[[#This Row],[Description]], 45)),
IF(LEN(_xlpm.leftValue) &lt; 40, _xlpm.leftValue, _xlfn.CONCAT(_xlpm.leftValue, "…"))
)</f>
        <v>Electrical Observation Report: 4/16/2021; ite…</v>
      </c>
      <c r="E113" s="15" t="str" cm="1">
        <f t="array" ref="E113">_xlfn.LET(
_xlpm.inTower, COUNTIF(Tower_Num_Table[Tower Rm Numbers], LEFT(Task_Summary_Table[[#This Row],[Area/Room]], 3)) &gt; 0,
_xlpm.typeResult, _xlfn.SWITCH(LEFT(Tasks[[#This Row],[Page]], 2), "Hi", "Historic", "An", "Annex", "Si", "Site", "S5", "Project Task", "SWITCH ERROR"),
IF(_xlpm.inTower, "West Tower", _xlpm.typeResult)
)</f>
        <v>Annex</v>
      </c>
      <c r="F113" s="12" t="str">
        <f>IFERROR(MID(Tasks[[#This Row],[Page]], FIND("Level", Tasks[[#This Row],[Page]]), 7), IF(ISNUMBER(FIND("Roof", Tasks[[#This Row],[Page]])), "Roof",  IF(ISNUMBER(FIND("S590", Tasks[[#This Row],[Page]])), "",  IF(ISNUMBER(FIND("Site", Tasks[[#This Row],[Page]])), "", "ERROR"))))</f>
        <v>Level 0</v>
      </c>
      <c r="G113" s="12" t="str">
        <f>IF(Tasks[[#This Row],[Location]]=0, "", Tasks[[#This Row],[Location]])</f>
        <v/>
      </c>
      <c r="H113" s="12" t="str">
        <f>Tasks[[#This Row],[To Package]]</f>
        <v>Electrical</v>
      </c>
      <c r="I113" s="12" t="str">
        <f>Tasks[[#This Row],[To Organisation]]</f>
        <v>Wilkinson Electric Inc</v>
      </c>
    </row>
    <row r="114" spans="1:9" ht="15.5" x14ac:dyDescent="0.35">
      <c r="A114" s="14" t="str">
        <f>HYPERLINK(_xlfn.CONCAT(Edit_URL,Tasks[[#This Row],[Ref]]),Tasks[[#This Row],[Ref]])</f>
        <v>T1.9672969</v>
      </c>
      <c r="B114" s="15" t="str" cm="1">
        <f t="array" ref="B114">_xlfn.SWITCH(LEFT(Tasks[[#This Row],[Status]],1),"O","Opened","C","Completed","S","Signed Off", "V", "Signed Off","ERROR")</f>
        <v>Signed Off</v>
      </c>
      <c r="C114" s="15" t="str" cm="1">
        <f t="array" ref="C114">_xlfn.SWITCH(LEFT(Tasks[[#This Row],[Type]], 3), "Fie", "Field Report", "Con", "Contractor QC", "Gen", "Contractor QC", "Pun", "Contractor QC", "Qua", "Contractor QC", "Fin", "Punch List")</f>
        <v>Field Report</v>
      </c>
      <c r="D114" s="15" t="str">
        <f>_xlfn.LET(
_xlpm.leftValue, TRIM(LEFT(Tasks[[#This Row],[Description]], 45)),
IF(LEN(_xlpm.leftValue) &lt; 40, _xlpm.leftValue, _xlfn.CONCAT(_xlpm.leftValue, "…"))
)</f>
        <v>DEA 31-2. North Entry Plaza “Wagon Wheel” has…</v>
      </c>
      <c r="E114" s="15" t="str" cm="1">
        <f t="array" ref="E114">_xlfn.LET(
_xlpm.inTower, COUNTIF(Tower_Num_Table[Tower Rm Numbers], LEFT(Task_Summary_Table[[#This Row],[Area/Room]], 3)) &gt; 0,
_xlpm.typeResult, _xlfn.SWITCH(LEFT(Tasks[[#This Row],[Page]], 2), "Hi", "Historic", "An", "Annex", "Si", "Site", "S5", "Project Task", "SWITCH ERROR"),
IF(_xlpm.inTower, "West Tower", _xlpm.typeResult)
)</f>
        <v>Site</v>
      </c>
      <c r="F114" s="12" t="str">
        <f>IFERROR(MID(Tasks[[#This Row],[Page]], FIND("Level", Tasks[[#This Row],[Page]]), 7), IF(ISNUMBER(FIND("Roof", Tasks[[#This Row],[Page]])), "Roof",  IF(ISNUMBER(FIND("S590", Tasks[[#This Row],[Page]])), "",  IF(ISNUMBER(FIND("Site", Tasks[[#This Row],[Page]])), "", "ERROR"))))</f>
        <v/>
      </c>
      <c r="G114" s="12" t="str">
        <f>IF(Tasks[[#This Row],[Location]]=0, "", Tasks[[#This Row],[Location]])</f>
        <v>Site Area K</v>
      </c>
      <c r="H114" s="12" t="str">
        <f>Tasks[[#This Row],[To Package]]</f>
        <v>Concrete</v>
      </c>
      <c r="I114" s="12" t="str">
        <f>Tasks[[#This Row],[To Organisation]]</f>
        <v>Innovative Concrete, LLC</v>
      </c>
    </row>
    <row r="115" spans="1:9" ht="15.5" x14ac:dyDescent="0.35">
      <c r="A115" s="14" t="str">
        <f>HYPERLINK(_xlfn.CONCAT(Edit_URL,Tasks[[#This Row],[Ref]]),Tasks[[#This Row],[Ref]])</f>
        <v>T1.9539622</v>
      </c>
      <c r="B115" s="15" t="str" cm="1">
        <f t="array" ref="B115">_xlfn.SWITCH(LEFT(Tasks[[#This Row],[Status]],1),"O","Opened","C","Completed","S","Signed Off", "V", "Signed Off","ERROR")</f>
        <v>Signed Off</v>
      </c>
      <c r="C115" s="15" t="str" cm="1">
        <f t="array" ref="C115">_xlfn.SWITCH(LEFT(Tasks[[#This Row],[Type]], 3), "Fie", "Field Report", "Con", "Contractor QC", "Gen", "Contractor QC", "Pun", "Contractor QC", "Qua", "Contractor QC", "Fin", "Punch List")</f>
        <v>Field Report</v>
      </c>
      <c r="D115" s="15" t="str">
        <f>_xlfn.LET(
_xlpm.leftValue, TRIM(LEFT(Tasks[[#This Row],[Description]], 45)),
IF(LEN(_xlpm.leftValue) &lt; 40, _xlpm.leftValue, _xlfn.CONCAT(_xlpm.leftValue, "…"))
)</f>
        <v>Electrical Observation Report: 4/16/2021: Ite…</v>
      </c>
      <c r="E115" s="15" t="str" cm="1">
        <f t="array" ref="E115">_xlfn.LET(
_xlpm.inTower, COUNTIF(Tower_Num_Table[Tower Rm Numbers], LEFT(Task_Summary_Table[[#This Row],[Area/Room]], 3)) &gt; 0,
_xlpm.typeResult, _xlfn.SWITCH(LEFT(Tasks[[#This Row],[Page]], 2), "Hi", "Historic", "An", "Annex", "Si", "Site", "S5", "Project Task", "SWITCH ERROR"),
IF(_xlpm.inTower, "West Tower", _xlpm.typeResult)
)</f>
        <v>Annex</v>
      </c>
      <c r="F115" s="12" t="str">
        <f>IFERROR(MID(Tasks[[#This Row],[Page]], FIND("Level", Tasks[[#This Row],[Page]]), 7), IF(ISNUMBER(FIND("Roof", Tasks[[#This Row],[Page]])), "Roof",  IF(ISNUMBER(FIND("S590", Tasks[[#This Row],[Page]])), "",  IF(ISNUMBER(FIND("Site", Tasks[[#This Row],[Page]])), "", "ERROR"))))</f>
        <v>Level 0</v>
      </c>
      <c r="G115" s="12" t="str">
        <f>IF(Tasks[[#This Row],[Location]]=0, "", Tasks[[#This Row],[Location]])</f>
        <v/>
      </c>
      <c r="H115" s="12" t="str">
        <f>Tasks[[#This Row],[To Package]]</f>
        <v>Electrical</v>
      </c>
      <c r="I115" s="12" t="str">
        <f>Tasks[[#This Row],[To Organisation]]</f>
        <v>Wilkinson Electric Inc</v>
      </c>
    </row>
    <row r="116" spans="1:9" ht="15.5" x14ac:dyDescent="0.35">
      <c r="A116" s="14" t="str">
        <f>HYPERLINK(_xlfn.CONCAT(Edit_URL,Tasks[[#This Row],[Ref]]),Tasks[[#This Row],[Ref]])</f>
        <v>T1.9539624</v>
      </c>
      <c r="B116" s="15" t="str" cm="1">
        <f t="array" ref="B116">_xlfn.SWITCH(LEFT(Tasks[[#This Row],[Status]],1),"O","Opened","C","Completed","S","Signed Off", "V", "Signed Off","ERROR")</f>
        <v>Signed Off</v>
      </c>
      <c r="C116" s="15" t="str" cm="1">
        <f t="array" ref="C116">_xlfn.SWITCH(LEFT(Tasks[[#This Row],[Type]], 3), "Fie", "Field Report", "Con", "Contractor QC", "Gen", "Contractor QC", "Pun", "Contractor QC", "Qua", "Contractor QC", "Fin", "Punch List")</f>
        <v>Field Report</v>
      </c>
      <c r="D116" s="15" t="str">
        <f>_xlfn.LET(
_xlpm.leftValue, TRIM(LEFT(Tasks[[#This Row],[Description]], 45)),
IF(LEN(_xlpm.leftValue) &lt; 40, _xlpm.leftValue, _xlfn.CONCAT(_xlpm.leftValue, "…"))
)</f>
        <v>Electrical Observation Report: 4/16/2021; Ite…</v>
      </c>
      <c r="E116" s="15" t="str" cm="1">
        <f t="array" ref="E116">_xlfn.LET(
_xlpm.inTower, COUNTIF(Tower_Num_Table[Tower Rm Numbers], LEFT(Task_Summary_Table[[#This Row],[Area/Room]], 3)) &gt; 0,
_xlpm.typeResult, _xlfn.SWITCH(LEFT(Tasks[[#This Row],[Page]], 2), "Hi", "Historic", "An", "Annex", "Si", "Site", "S5", "Project Task", "SWITCH ERROR"),
IF(_xlpm.inTower, "West Tower", _xlpm.typeResult)
)</f>
        <v>Annex</v>
      </c>
      <c r="F116" s="12" t="str">
        <f>IFERROR(MID(Tasks[[#This Row],[Page]], FIND("Level", Tasks[[#This Row],[Page]]), 7), IF(ISNUMBER(FIND("Roof", Tasks[[#This Row],[Page]])), "Roof",  IF(ISNUMBER(FIND("S590", Tasks[[#This Row],[Page]])), "",  IF(ISNUMBER(FIND("Site", Tasks[[#This Row],[Page]])), "", "ERROR"))))</f>
        <v>Level 0</v>
      </c>
      <c r="G116" s="12" t="str">
        <f>IF(Tasks[[#This Row],[Location]]=0, "", Tasks[[#This Row],[Location]])</f>
        <v/>
      </c>
      <c r="H116" s="12" t="str">
        <f>Tasks[[#This Row],[To Package]]</f>
        <v>Electrical</v>
      </c>
      <c r="I116" s="12" t="str">
        <f>Tasks[[#This Row],[To Organisation]]</f>
        <v>Wilkinson Electric Inc</v>
      </c>
    </row>
    <row r="117" spans="1:9" ht="15.5" x14ac:dyDescent="0.35">
      <c r="A117" s="14" t="str">
        <f>HYPERLINK(_xlfn.CONCAT(Edit_URL,Tasks[[#This Row],[Ref]]),Tasks[[#This Row],[Ref]])</f>
        <v>T1.9539630</v>
      </c>
      <c r="B117" s="15" t="str" cm="1">
        <f t="array" ref="B117">_xlfn.SWITCH(LEFT(Tasks[[#This Row],[Status]],1),"O","Opened","C","Completed","S","Signed Off", "V", "Signed Off","ERROR")</f>
        <v>Signed Off</v>
      </c>
      <c r="C117" s="15" t="str" cm="1">
        <f t="array" ref="C117">_xlfn.SWITCH(LEFT(Tasks[[#This Row],[Type]], 3), "Fie", "Field Report", "Con", "Contractor QC", "Gen", "Contractor QC", "Pun", "Contractor QC", "Qua", "Contractor QC", "Fin", "Punch List")</f>
        <v>Field Report</v>
      </c>
      <c r="D117" s="15" t="str">
        <f>_xlfn.LET(
_xlpm.leftValue, TRIM(LEFT(Tasks[[#This Row],[Description]], 45)),
IF(LEN(_xlpm.leftValue) &lt; 40, _xlpm.leftValue, _xlfn.CONCAT(_xlpm.leftValue, "…"))
)</f>
        <v>Electrical Observation Report: 4/16/2021; Ite…</v>
      </c>
      <c r="E117" s="15" t="str" cm="1">
        <f t="array" ref="E117">_xlfn.LET(
_xlpm.inTower, COUNTIF(Tower_Num_Table[Tower Rm Numbers], LEFT(Task_Summary_Table[[#This Row],[Area/Room]], 3)) &gt; 0,
_xlpm.typeResult, _xlfn.SWITCH(LEFT(Tasks[[#This Row],[Page]], 2), "Hi", "Historic", "An", "Annex", "Si", "Site", "S5", "Project Task", "SWITCH ERROR"),
IF(_xlpm.inTower, "West Tower", _xlpm.typeResult)
)</f>
        <v>Historic</v>
      </c>
      <c r="F117" s="12" t="str">
        <f>IFERROR(MID(Tasks[[#This Row],[Page]], FIND("Level", Tasks[[#This Row],[Page]]), 7), IF(ISNUMBER(FIND("Roof", Tasks[[#This Row],[Page]])), "Roof",  IF(ISNUMBER(FIND("S590", Tasks[[#This Row],[Page]])), "",  IF(ISNUMBER(FIND("Site", Tasks[[#This Row],[Page]])), "", "ERROR"))))</f>
        <v>Level 3</v>
      </c>
      <c r="G117" s="12" t="str">
        <f>IF(Tasks[[#This Row],[Location]]=0, "", Tasks[[#This Row],[Location]])</f>
        <v/>
      </c>
      <c r="H117" s="12" t="str">
        <f>Tasks[[#This Row],[To Package]]</f>
        <v>Electrical</v>
      </c>
      <c r="I117" s="12" t="str">
        <f>Tasks[[#This Row],[To Organisation]]</f>
        <v>Wilkinson Electric Inc</v>
      </c>
    </row>
    <row r="118" spans="1:9" ht="15.5" x14ac:dyDescent="0.35">
      <c r="A118" s="14" t="str">
        <f>HYPERLINK(_xlfn.CONCAT(Edit_URL,Tasks[[#This Row],[Ref]]),Tasks[[#This Row],[Ref]])</f>
        <v>T77292.2</v>
      </c>
      <c r="B118" s="15" t="str" cm="1">
        <f t="array" ref="B118">_xlfn.SWITCH(LEFT(Tasks[[#This Row],[Status]],1),"O","Opened","C","Completed","S","Signed Off", "V", "Signed Off","ERROR")</f>
        <v>Signed Off</v>
      </c>
      <c r="C118" s="15" t="str" cm="1">
        <f t="array" ref="C118">_xlfn.SWITCH(LEFT(Tasks[[#This Row],[Type]], 3), "Fie", "Field Report", "Con", "Contractor QC", "Gen", "Contractor QC", "Pun", "Contractor QC", "Qua", "Contractor QC", "Fin", "Punch List")</f>
        <v>Field Report</v>
      </c>
      <c r="D118" s="15" t="str">
        <f>_xlfn.LET(
_xlpm.leftValue, TRIM(LEFT(Tasks[[#This Row],[Description]], 45)),
IF(LEN(_xlpm.leftValue) &lt; 40, _xlpm.leftValue, _xlfn.CONCAT(_xlpm.leftValue, "…"))
)</f>
        <v>Move Exit Sign up to above the door ccd forth…</v>
      </c>
      <c r="E118" s="15" t="str" cm="1">
        <f t="array" ref="E118">_xlfn.LET(
_xlpm.inTower, COUNTIF(Tower_Num_Table[Tower Rm Numbers], LEFT(Task_Summary_Table[[#This Row],[Area/Room]], 3)) &gt; 0,
_xlpm.typeResult, _xlfn.SWITCH(LEFT(Tasks[[#This Row],[Page]], 2), "Hi", "Historic", "An", "Annex", "Si", "Site", "S5", "Project Task", "SWITCH ERROR"),
IF(_xlpm.inTower, "West Tower", _xlpm.typeResult)
)</f>
        <v>Annex</v>
      </c>
      <c r="F118" s="12" t="str">
        <f>IFERROR(MID(Tasks[[#This Row],[Page]], FIND("Level", Tasks[[#This Row],[Page]]), 7), IF(ISNUMBER(FIND("Roof", Tasks[[#This Row],[Page]])), "Roof",  IF(ISNUMBER(FIND("S590", Tasks[[#This Row],[Page]])), "",  IF(ISNUMBER(FIND("Site", Tasks[[#This Row],[Page]])), "", "ERROR"))))</f>
        <v>Level 1</v>
      </c>
      <c r="G118" s="12" t="str">
        <f>IF(Tasks[[#This Row],[Location]]=0, "", Tasks[[#This Row],[Location]])</f>
        <v>141 - Dressing Men</v>
      </c>
      <c r="H118" s="12" t="str">
        <f>Tasks[[#This Row],[To Package]]</f>
        <v>Electrical</v>
      </c>
      <c r="I118" s="12" t="str">
        <f>Tasks[[#This Row],[To Organisation]]</f>
        <v>Wilkinson Electric Inc</v>
      </c>
    </row>
    <row r="119" spans="1:9" ht="15.5" x14ac:dyDescent="0.35">
      <c r="A119" s="14" t="str">
        <f>HYPERLINK(_xlfn.CONCAT(Edit_URL,Tasks[[#This Row],[Ref]]),Tasks[[#This Row],[Ref]])</f>
        <v>T77292.3</v>
      </c>
      <c r="B119" s="15" t="str" cm="1">
        <f t="array" ref="B119">_xlfn.SWITCH(LEFT(Tasks[[#This Row],[Status]],1),"O","Opened","C","Completed","S","Signed Off", "V", "Signed Off","ERROR")</f>
        <v>Signed Off</v>
      </c>
      <c r="C119" s="15" t="str" cm="1">
        <f t="array" ref="C119">_xlfn.SWITCH(LEFT(Tasks[[#This Row],[Type]], 3), "Fie", "Field Report", "Con", "Contractor QC", "Gen", "Contractor QC", "Pun", "Contractor QC", "Qua", "Contractor QC", "Fin", "Punch List")</f>
        <v>Field Report</v>
      </c>
      <c r="D119" s="15" t="str">
        <f>_xlfn.LET(
_xlpm.leftValue, TRIM(LEFT(Tasks[[#This Row],[Description]], 45)),
IF(LEN(_xlpm.leftValue) &lt; 40, _xlpm.leftValue, _xlfn.CONCAT(_xlpm.leftValue, "…"))
)</f>
        <v>Move Exit Sign up to above the door ccd forth…</v>
      </c>
      <c r="E119" s="15" t="str" cm="1">
        <f t="array" ref="E119">_xlfn.LET(
_xlpm.inTower, COUNTIF(Tower_Num_Table[Tower Rm Numbers], LEFT(Task_Summary_Table[[#This Row],[Area/Room]], 3)) &gt; 0,
_xlpm.typeResult, _xlfn.SWITCH(LEFT(Tasks[[#This Row],[Page]], 2), "Hi", "Historic", "An", "Annex", "Si", "Site", "S5", "Project Task", "SWITCH ERROR"),
IF(_xlpm.inTower, "West Tower", _xlpm.typeResult)
)</f>
        <v>Annex</v>
      </c>
      <c r="F119" s="12" t="str">
        <f>IFERROR(MID(Tasks[[#This Row],[Page]], FIND("Level", Tasks[[#This Row],[Page]]), 7), IF(ISNUMBER(FIND("Roof", Tasks[[#This Row],[Page]])), "Roof",  IF(ISNUMBER(FIND("S590", Tasks[[#This Row],[Page]])), "",  IF(ISNUMBER(FIND("Site", Tasks[[#This Row],[Page]])), "", "ERROR"))))</f>
        <v>Level 1</v>
      </c>
      <c r="G119" s="12" t="str">
        <f>IF(Tasks[[#This Row],[Location]]=0, "", Tasks[[#This Row],[Location]])</f>
        <v>141 - Dressing Men</v>
      </c>
      <c r="H119" s="12" t="str">
        <f>Tasks[[#This Row],[To Package]]</f>
        <v>Electrical</v>
      </c>
      <c r="I119" s="12" t="str">
        <f>Tasks[[#This Row],[To Organisation]]</f>
        <v>Wilkinson Electric Inc</v>
      </c>
    </row>
    <row r="120" spans="1:9" ht="15.5" x14ac:dyDescent="0.35">
      <c r="A120" s="14" t="str">
        <f>HYPERLINK(_xlfn.CONCAT(Edit_URL,Tasks[[#This Row],[Ref]]),Tasks[[#This Row],[Ref]])</f>
        <v>T77292.4</v>
      </c>
      <c r="B120" s="15" t="str" cm="1">
        <f t="array" ref="B120">_xlfn.SWITCH(LEFT(Tasks[[#This Row],[Status]],1),"O","Opened","C","Completed","S","Signed Off", "V", "Signed Off","ERROR")</f>
        <v>Signed Off</v>
      </c>
      <c r="C120" s="15" t="str" cm="1">
        <f t="array" ref="C120">_xlfn.SWITCH(LEFT(Tasks[[#This Row],[Type]], 3), "Fie", "Field Report", "Con", "Contractor QC", "Gen", "Contractor QC", "Pun", "Contractor QC", "Qua", "Contractor QC", "Fin", "Punch List")</f>
        <v>Field Report</v>
      </c>
      <c r="D120" s="15" t="str">
        <f>_xlfn.LET(
_xlpm.leftValue, TRIM(LEFT(Tasks[[#This Row],[Description]], 45)),
IF(LEN(_xlpm.leftValue) &lt; 40, _xlpm.leftValue, _xlfn.CONCAT(_xlpm.leftValue, "…"))
)</f>
        <v>Move Exit Sign up to above the door ccd forth…</v>
      </c>
      <c r="E120" s="15" t="str" cm="1">
        <f t="array" ref="E120">_xlfn.LET(
_xlpm.inTower, COUNTIF(Tower_Num_Table[Tower Rm Numbers], LEFT(Task_Summary_Table[[#This Row],[Area/Room]], 3)) &gt; 0,
_xlpm.typeResult, _xlfn.SWITCH(LEFT(Tasks[[#This Row],[Page]], 2), "Hi", "Historic", "An", "Annex", "Si", "Site", "S5", "Project Task", "SWITCH ERROR"),
IF(_xlpm.inTower, "West Tower", _xlpm.typeResult)
)</f>
        <v>Annex</v>
      </c>
      <c r="F120" s="12" t="str">
        <f>IFERROR(MID(Tasks[[#This Row],[Page]], FIND("Level", Tasks[[#This Row],[Page]]), 7), IF(ISNUMBER(FIND("Roof", Tasks[[#This Row],[Page]])), "Roof",  IF(ISNUMBER(FIND("S590", Tasks[[#This Row],[Page]])), "",  IF(ISNUMBER(FIND("Site", Tasks[[#This Row],[Page]])), "", "ERROR"))))</f>
        <v>Level 1</v>
      </c>
      <c r="G120" s="12" t="str">
        <f>IF(Tasks[[#This Row],[Location]]=0, "", Tasks[[#This Row],[Location]])</f>
        <v>141 - Dressing Men</v>
      </c>
      <c r="H120" s="12" t="str">
        <f>Tasks[[#This Row],[To Package]]</f>
        <v>Electrical</v>
      </c>
      <c r="I120" s="12" t="str">
        <f>Tasks[[#This Row],[To Organisation]]</f>
        <v>Wilkinson Electric Inc</v>
      </c>
    </row>
    <row r="121" spans="1:9" ht="15.5" x14ac:dyDescent="0.35">
      <c r="A121" s="14" t="str">
        <f>HYPERLINK(_xlfn.CONCAT(Edit_URL,Tasks[[#This Row],[Ref]]),Tasks[[#This Row],[Ref]])</f>
        <v>T1.9539627</v>
      </c>
      <c r="B121" s="15" t="str" cm="1">
        <f t="array" ref="B121">_xlfn.SWITCH(LEFT(Tasks[[#This Row],[Status]],1),"O","Opened","C","Completed","S","Signed Off", "V", "Signed Off","ERROR")</f>
        <v>Signed Off</v>
      </c>
      <c r="C121" s="15" t="str" cm="1">
        <f t="array" ref="C121">_xlfn.SWITCH(LEFT(Tasks[[#This Row],[Type]], 3), "Fie", "Field Report", "Con", "Contractor QC", "Gen", "Contractor QC", "Pun", "Contractor QC", "Qua", "Contractor QC", "Fin", "Punch List")</f>
        <v>Field Report</v>
      </c>
      <c r="D121" s="15" t="str">
        <f>_xlfn.LET(
_xlpm.leftValue, TRIM(LEFT(Tasks[[#This Row],[Description]], 45)),
IF(LEN(_xlpm.leftValue) &lt; 40, _xlpm.leftValue, _xlfn.CONCAT(_xlpm.leftValue, "…"))
)</f>
        <v>Electrical Observation Report: 4/16/2021; Ite…</v>
      </c>
      <c r="E121" s="15" t="str" cm="1">
        <f t="array" ref="E121">_xlfn.LET(
_xlpm.inTower, COUNTIF(Tower_Num_Table[Tower Rm Numbers], LEFT(Task_Summary_Table[[#This Row],[Area/Room]], 3)) &gt; 0,
_xlpm.typeResult, _xlfn.SWITCH(LEFT(Tasks[[#This Row],[Page]], 2), "Hi", "Historic", "An", "Annex", "Si", "Site", "S5", "Project Task", "SWITCH ERROR"),
IF(_xlpm.inTower, "West Tower", _xlpm.typeResult)
)</f>
        <v>Annex</v>
      </c>
      <c r="F121" s="12" t="str">
        <f>IFERROR(MID(Tasks[[#This Row],[Page]], FIND("Level", Tasks[[#This Row],[Page]]), 7), IF(ISNUMBER(FIND("Roof", Tasks[[#This Row],[Page]])), "Roof",  IF(ISNUMBER(FIND("S590", Tasks[[#This Row],[Page]])), "",  IF(ISNUMBER(FIND("Site", Tasks[[#This Row],[Page]])), "", "ERROR"))))</f>
        <v>Level 1</v>
      </c>
      <c r="G121" s="12" t="str">
        <f>IF(Tasks[[#This Row],[Location]]=0, "", Tasks[[#This Row],[Location]])</f>
        <v/>
      </c>
      <c r="H121" s="12" t="str">
        <f>Tasks[[#This Row],[To Package]]</f>
        <v>Electrical</v>
      </c>
      <c r="I121" s="12" t="str">
        <f>Tasks[[#This Row],[To Organisation]]</f>
        <v>Wilkinson Electric Inc</v>
      </c>
    </row>
    <row r="122" spans="1:9" ht="15.5" x14ac:dyDescent="0.35">
      <c r="A122" s="14" t="str">
        <f>HYPERLINK(_xlfn.CONCAT(Edit_URL,Tasks[[#This Row],[Ref]]),Tasks[[#This Row],[Ref]])</f>
        <v>T1.9539628</v>
      </c>
      <c r="B122" s="15" t="str" cm="1">
        <f t="array" ref="B122">_xlfn.SWITCH(LEFT(Tasks[[#This Row],[Status]],1),"O","Opened","C","Completed","S","Signed Off", "V", "Signed Off","ERROR")</f>
        <v>Signed Off</v>
      </c>
      <c r="C122" s="15" t="str" cm="1">
        <f t="array" ref="C122">_xlfn.SWITCH(LEFT(Tasks[[#This Row],[Type]], 3), "Fie", "Field Report", "Con", "Contractor QC", "Gen", "Contractor QC", "Pun", "Contractor QC", "Qua", "Contractor QC", "Fin", "Punch List")</f>
        <v>Field Report</v>
      </c>
      <c r="D122" s="15" t="str">
        <f>_xlfn.LET(
_xlpm.leftValue, TRIM(LEFT(Tasks[[#This Row],[Description]], 45)),
IF(LEN(_xlpm.leftValue) &lt; 40, _xlpm.leftValue, _xlfn.CONCAT(_xlpm.leftValue, "…"))
)</f>
        <v>Electrical Observation Report: 4/16/2021; Ite…</v>
      </c>
      <c r="E122" s="15" t="str" cm="1">
        <f t="array" ref="E122">_xlfn.LET(
_xlpm.inTower, COUNTIF(Tower_Num_Table[Tower Rm Numbers], LEFT(Task_Summary_Table[[#This Row],[Area/Room]], 3)) &gt; 0,
_xlpm.typeResult, _xlfn.SWITCH(LEFT(Tasks[[#This Row],[Page]], 2), "Hi", "Historic", "An", "Annex", "Si", "Site", "S5", "Project Task", "SWITCH ERROR"),
IF(_xlpm.inTower, "West Tower", _xlpm.typeResult)
)</f>
        <v>Annex</v>
      </c>
      <c r="F122" s="12" t="str">
        <f>IFERROR(MID(Tasks[[#This Row],[Page]], FIND("Level", Tasks[[#This Row],[Page]]), 7), IF(ISNUMBER(FIND("Roof", Tasks[[#This Row],[Page]])), "Roof",  IF(ISNUMBER(FIND("S590", Tasks[[#This Row],[Page]])), "",  IF(ISNUMBER(FIND("Site", Tasks[[#This Row],[Page]])), "", "ERROR"))))</f>
        <v>Level 1</v>
      </c>
      <c r="G122" s="12" t="str">
        <f>IF(Tasks[[#This Row],[Location]]=0, "", Tasks[[#This Row],[Location]])</f>
        <v/>
      </c>
      <c r="H122" s="12" t="str">
        <f>Tasks[[#This Row],[To Package]]</f>
        <v>Electrical</v>
      </c>
      <c r="I122" s="12" t="str">
        <f>Tasks[[#This Row],[To Organisation]]</f>
        <v>Wilkinson Electric Inc</v>
      </c>
    </row>
    <row r="123" spans="1:9" ht="15.5" x14ac:dyDescent="0.35">
      <c r="A123" s="14" t="str">
        <f>HYPERLINK(_xlfn.CONCAT(Edit_URL,Tasks[[#This Row],[Ref]]),Tasks[[#This Row],[Ref]])</f>
        <v>T1.9606601</v>
      </c>
      <c r="B123" s="15" t="str" cm="1">
        <f t="array" ref="B123">_xlfn.SWITCH(LEFT(Tasks[[#This Row],[Status]],1),"O","Opened","C","Completed","S","Signed Off", "V", "Signed Off","ERROR")</f>
        <v>Completed</v>
      </c>
      <c r="C123" s="15" t="str" cm="1">
        <f t="array" ref="C123">_xlfn.SWITCH(LEFT(Tasks[[#This Row],[Type]], 3), "Fie", "Field Report", "Con", "Contractor QC", "Gen", "Contractor QC", "Pun", "Contractor QC", "Qua", "Contractor QC", "Fin", "Punch List")</f>
        <v>Field Report</v>
      </c>
      <c r="D123" s="15" t="str">
        <f>_xlfn.LET(
_xlpm.leftValue, TRIM(LEFT(Tasks[[#This Row],[Description]], 45)),
IF(LEN(_xlpm.leftValue) &lt; 40, _xlpm.leftValue, _xlfn.CONCAT(_xlpm.leftValue, "…"))
)</f>
        <v>CxA Report 11.30.2021 Item 4:
Mechanical Room…</v>
      </c>
      <c r="E123" s="15" t="str" cm="1">
        <f t="array" ref="E123">_xlfn.LET(
_xlpm.inTower, COUNTIF(Tower_Num_Table[Tower Rm Numbers], LEFT(Task_Summary_Table[[#This Row],[Area/Room]], 3)) &gt; 0,
_xlpm.typeResult, _xlfn.SWITCH(LEFT(Tasks[[#This Row],[Page]], 2), "Hi", "Historic", "An", "Annex", "Si", "Site", "S5", "Project Task", "SWITCH ERROR"),
IF(_xlpm.inTower, "West Tower", _xlpm.typeResult)
)</f>
        <v>Annex</v>
      </c>
      <c r="F123" s="12" t="str">
        <f>IFERROR(MID(Tasks[[#This Row],[Page]], FIND("Level", Tasks[[#This Row],[Page]]), 7), IF(ISNUMBER(FIND("Roof", Tasks[[#This Row],[Page]])), "Roof",  IF(ISNUMBER(FIND("S590", Tasks[[#This Row],[Page]])), "",  IF(ISNUMBER(FIND("Site", Tasks[[#This Row],[Page]])), "", "ERROR"))))</f>
        <v>Level 0</v>
      </c>
      <c r="G123" s="12" t="str">
        <f>IF(Tasks[[#This Row],[Location]]=0, "", Tasks[[#This Row],[Location]])</f>
        <v/>
      </c>
      <c r="H123" s="12" t="str">
        <f>Tasks[[#This Row],[To Package]]</f>
        <v>Plumbing</v>
      </c>
      <c r="I123" s="12" t="str">
        <f>Tasks[[#This Row],[To Organisation]]</f>
        <v>US Mechanical</v>
      </c>
    </row>
    <row r="124" spans="1:9" ht="15.5" x14ac:dyDescent="0.35">
      <c r="A124" s="14" t="str">
        <f>HYPERLINK(_xlfn.CONCAT(Edit_URL,Tasks[[#This Row],[Ref]]),Tasks[[#This Row],[Ref]])</f>
        <v>T1.9672974</v>
      </c>
      <c r="B124" s="15" t="str" cm="1">
        <f t="array" ref="B124">_xlfn.SWITCH(LEFT(Tasks[[#This Row],[Status]],1),"O","Opened","C","Completed","S","Signed Off", "V", "Signed Off","ERROR")</f>
        <v>Opened</v>
      </c>
      <c r="C124" s="15" t="str" cm="1">
        <f t="array" ref="C124">_xlfn.SWITCH(LEFT(Tasks[[#This Row],[Type]], 3), "Fie", "Field Report", "Con", "Contractor QC", "Gen", "Contractor QC", "Pun", "Contractor QC", "Qua", "Contractor QC", "Fin", "Punch List")</f>
        <v>Field Report</v>
      </c>
      <c r="D124" s="15" t="str">
        <f>_xlfn.LET(
_xlpm.leftValue, TRIM(LEFT(Tasks[[#This Row],[Description]], 45)),
IF(LEN(_xlpm.leftValue) &lt; 40, _xlpm.leftValue, _xlfn.CONCAT(_xlpm.leftValue, "…"))
)</f>
        <v>DEA 31-7. Balustrade at the 5th floor was ins…</v>
      </c>
      <c r="E124" s="15" t="str" cm="1">
        <f t="array" ref="E124">_xlfn.LET(
_xlpm.inTower, COUNTIF(Tower_Num_Table[Tower Rm Numbers], LEFT(Task_Summary_Table[[#This Row],[Area/Room]], 3)) &gt; 0,
_xlpm.typeResult, _xlfn.SWITCH(LEFT(Tasks[[#This Row],[Page]], 2), "Hi", "Historic", "An", "Annex", "Si", "Site", "S5", "Project Task", "SWITCH ERROR"),
IF(_xlpm.inTower, "West Tower", _xlpm.typeResult)
)</f>
        <v>Historic</v>
      </c>
      <c r="F124" s="12" t="str">
        <f>IFERROR(MID(Tasks[[#This Row],[Page]], FIND("Level", Tasks[[#This Row],[Page]]), 7), IF(ISNUMBER(FIND("Roof", Tasks[[#This Row],[Page]])), "Roof",  IF(ISNUMBER(FIND("S590", Tasks[[#This Row],[Page]])), "",  IF(ISNUMBER(FIND("Site", Tasks[[#This Row],[Page]])), "", "ERROR"))))</f>
        <v>Level 5</v>
      </c>
      <c r="G124" s="12" t="str">
        <f>IF(Tasks[[#This Row],[Location]]=0, "", Tasks[[#This Row],[Location]])</f>
        <v>518 - Study</v>
      </c>
      <c r="H124" s="12" t="str">
        <f>Tasks[[#This Row],[To Package]]</f>
        <v xml:space="preserve">Finish Carpentry </v>
      </c>
      <c r="I124" s="12" t="str">
        <f>Tasks[[#This Row],[To Organisation]]</f>
        <v>Fetzers' Inc.</v>
      </c>
    </row>
    <row r="125" spans="1:9" ht="15.5" x14ac:dyDescent="0.35">
      <c r="A125" s="14" t="str">
        <f>HYPERLINK(_xlfn.CONCAT(Edit_URL,Tasks[[#This Row],[Ref]]),Tasks[[#This Row],[Ref]])</f>
        <v>T1.9599807</v>
      </c>
      <c r="B125" s="15" t="str" cm="1">
        <f t="array" ref="B125">_xlfn.SWITCH(LEFT(Tasks[[#This Row],[Status]],1),"O","Opened","C","Completed","S","Signed Off", "V", "Signed Off","ERROR")</f>
        <v>Signed Off</v>
      </c>
      <c r="C125" s="15" t="str" cm="1">
        <f t="array" ref="C125">_xlfn.SWITCH(LEFT(Tasks[[#This Row],[Type]], 3), "Fie", "Field Report", "Con", "Contractor QC", "Gen", "Contractor QC", "Pun", "Contractor QC", "Qua", "Contractor QC", "Fin", "Punch List")</f>
        <v>Field Report</v>
      </c>
      <c r="D125" s="15" t="str">
        <f>_xlfn.LET(
_xlpm.leftValue, TRIM(LEFT(Tasks[[#This Row],[Description]], 45)),
IF(LEN(_xlpm.leftValue) &lt; 40, _xlpm.leftValue, _xlfn.CONCAT(_xlpm.leftValue, "…"))
)</f>
        <v>Site Visit Report 20211015, Item 1:
There is…</v>
      </c>
      <c r="E125" s="15" t="str" cm="1">
        <f t="array" ref="E125">_xlfn.LET(
_xlpm.inTower, COUNTIF(Tower_Num_Table[Tower Rm Numbers], LEFT(Task_Summary_Table[[#This Row],[Area/Room]], 3)) &gt; 0,
_xlpm.typeResult, _xlfn.SWITCH(LEFT(Tasks[[#This Row],[Page]], 2), "Hi", "Historic", "An", "Annex", "Si", "Site", "S5", "Project Task", "SWITCH ERROR"),
IF(_xlpm.inTower, "West Tower", _xlpm.typeResult)
)</f>
        <v>Annex</v>
      </c>
      <c r="F125" s="12" t="str">
        <f>IFERROR(MID(Tasks[[#This Row],[Page]], FIND("Level", Tasks[[#This Row],[Page]]), 7), IF(ISNUMBER(FIND("Roof", Tasks[[#This Row],[Page]])), "Roof",  IF(ISNUMBER(FIND("S590", Tasks[[#This Row],[Page]])), "",  IF(ISNUMBER(FIND("Site", Tasks[[#This Row],[Page]])), "", "ERROR"))))</f>
        <v>Level 1</v>
      </c>
      <c r="G125" s="12" t="str">
        <f>IF(Tasks[[#This Row],[Location]]=0, "", Tasks[[#This Row],[Location]])</f>
        <v/>
      </c>
      <c r="H125" s="12" t="str">
        <f>Tasks[[#This Row],[To Package]]</f>
        <v>HVAC</v>
      </c>
      <c r="I125" s="12" t="str">
        <f>Tasks[[#This Row],[To Organisation]]</f>
        <v>US Mechanical</v>
      </c>
    </row>
    <row r="126" spans="1:9" ht="15.5" x14ac:dyDescent="0.35">
      <c r="A126" s="14" t="str">
        <f>HYPERLINK(_xlfn.CONCAT(Edit_URL,Tasks[[#This Row],[Ref]]),Tasks[[#This Row],[Ref]])</f>
        <v>T1.9539629</v>
      </c>
      <c r="B126" s="15" t="str" cm="1">
        <f t="array" ref="B126">_xlfn.SWITCH(LEFT(Tasks[[#This Row],[Status]],1),"O","Opened","C","Completed","S","Signed Off", "V", "Signed Off","ERROR")</f>
        <v>Signed Off</v>
      </c>
      <c r="C126" s="15" t="str" cm="1">
        <f t="array" ref="C126">_xlfn.SWITCH(LEFT(Tasks[[#This Row],[Type]], 3), "Fie", "Field Report", "Con", "Contractor QC", "Gen", "Contractor QC", "Pun", "Contractor QC", "Qua", "Contractor QC", "Fin", "Punch List")</f>
        <v>Field Report</v>
      </c>
      <c r="D126" s="15" t="str">
        <f>_xlfn.LET(
_xlpm.leftValue, TRIM(LEFT(Tasks[[#This Row],[Description]], 45)),
IF(LEN(_xlpm.leftValue) &lt; 40, _xlpm.leftValue, _xlfn.CONCAT(_xlpm.leftValue, "…"))
)</f>
        <v>Electrical Observation Report: 4/16/2021; Ite…</v>
      </c>
      <c r="E126" s="15" t="str" cm="1">
        <f t="array" ref="E126">_xlfn.LET(
_xlpm.inTower, COUNTIF(Tower_Num_Table[Tower Rm Numbers], LEFT(Task_Summary_Table[[#This Row],[Area/Room]], 3)) &gt; 0,
_xlpm.typeResult, _xlfn.SWITCH(LEFT(Tasks[[#This Row],[Page]], 2), "Hi", "Historic", "An", "Annex", "Si", "Site", "S5", "Project Task", "SWITCH ERROR"),
IF(_xlpm.inTower, "West Tower", _xlpm.typeResult)
)</f>
        <v>Historic</v>
      </c>
      <c r="F126" s="12" t="str">
        <f>IFERROR(MID(Tasks[[#This Row],[Page]], FIND("Level", Tasks[[#This Row],[Page]]), 7), IF(ISNUMBER(FIND("Roof", Tasks[[#This Row],[Page]])), "Roof",  IF(ISNUMBER(FIND("S590", Tasks[[#This Row],[Page]])), "",  IF(ISNUMBER(FIND("Site", Tasks[[#This Row],[Page]])), "", "ERROR"))))</f>
        <v>Level 0</v>
      </c>
      <c r="G126" s="12" t="str">
        <f>IF(Tasks[[#This Row],[Location]]=0, "", Tasks[[#This Row],[Location]])</f>
        <v/>
      </c>
      <c r="H126" s="12" t="str">
        <f>Tasks[[#This Row],[To Package]]</f>
        <v>Electrical</v>
      </c>
      <c r="I126" s="12" t="str">
        <f>Tasks[[#This Row],[To Organisation]]</f>
        <v>Wilkinson Electric Inc</v>
      </c>
    </row>
    <row r="127" spans="1:9" ht="15.5" x14ac:dyDescent="0.35">
      <c r="A127" s="14" t="str">
        <f>HYPERLINK(_xlfn.CONCAT(Edit_URL,Tasks[[#This Row],[Ref]]),Tasks[[#This Row],[Ref]])</f>
        <v>T1.9541251</v>
      </c>
      <c r="B127" s="15" t="str" cm="1">
        <f t="array" ref="B127">_xlfn.SWITCH(LEFT(Tasks[[#This Row],[Status]],1),"O","Opened","C","Completed","S","Signed Off", "V", "Signed Off","ERROR")</f>
        <v>Opened</v>
      </c>
      <c r="C127" s="15" t="str" cm="1">
        <f t="array" ref="C127">_xlfn.SWITCH(LEFT(Tasks[[#This Row],[Type]], 3), "Fie", "Field Report", "Con", "Contractor QC", "Gen", "Contractor QC", "Pun", "Contractor QC", "Qua", "Contractor QC", "Fin", "Punch List")</f>
        <v>Field Report</v>
      </c>
      <c r="D127" s="15" t="str">
        <f>_xlfn.LET(
_xlpm.leftValue, TRIM(LEFT(Tasks[[#This Row],[Description]], 45)),
IF(LEN(_xlpm.leftValue) &lt; 40, _xlpm.leftValue, _xlfn.CONCAT(_xlpm.leftValue, "…"))
)</f>
        <v>ARW 63-1 At Grids HC / H2 there is an HSS col…</v>
      </c>
      <c r="E127" s="15" t="str" cm="1">
        <f t="array" ref="E127">_xlfn.LET(
_xlpm.inTower, COUNTIF(Tower_Num_Table[Tower Rm Numbers], LEFT(Task_Summary_Table[[#This Row],[Area/Room]], 3)) &gt; 0,
_xlpm.typeResult, _xlfn.SWITCH(LEFT(Tasks[[#This Row],[Page]], 2), "Hi", "Historic", "An", "Annex", "Si", "Site", "S5", "Project Task", "SWITCH ERROR"),
IF(_xlpm.inTower, "West Tower", _xlpm.typeResult)
)</f>
        <v>Historic</v>
      </c>
      <c r="F127" s="12" t="str">
        <f>IFERROR(MID(Tasks[[#This Row],[Page]], FIND("Level", Tasks[[#This Row],[Page]]), 7), IF(ISNUMBER(FIND("Roof", Tasks[[#This Row],[Page]])), "Roof",  IF(ISNUMBER(FIND("S590", Tasks[[#This Row],[Page]])), "",  IF(ISNUMBER(FIND("Site", Tasks[[#This Row],[Page]])), "", "ERROR"))))</f>
        <v>Level 2</v>
      </c>
      <c r="G127" s="12" t="str">
        <f>IF(Tasks[[#This Row],[Location]]=0, "", Tasks[[#This Row],[Location]])</f>
        <v/>
      </c>
      <c r="H127" s="12" t="str">
        <f>Tasks[[#This Row],[To Package]]</f>
        <v>Structural Steel</v>
      </c>
      <c r="I127" s="12" t="str">
        <f>Tasks[[#This Row],[To Organisation]]</f>
        <v>Glassey Steel Works</v>
      </c>
    </row>
    <row r="128" spans="1:9" ht="15.5" x14ac:dyDescent="0.35">
      <c r="A128" s="14" t="str">
        <f>HYPERLINK(_xlfn.CONCAT(Edit_URL,Tasks[[#This Row],[Ref]]),Tasks[[#This Row],[Ref]])</f>
        <v>T1.9542507</v>
      </c>
      <c r="B128" s="15" t="str" cm="1">
        <f t="array" ref="B128">_xlfn.SWITCH(LEFT(Tasks[[#This Row],[Status]],1),"O","Opened","C","Completed","S","Signed Off", "V", "Signed Off","ERROR")</f>
        <v>Signed Off</v>
      </c>
      <c r="C128" s="15" t="str" cm="1">
        <f t="array" ref="C128">_xlfn.SWITCH(LEFT(Tasks[[#This Row],[Type]], 3), "Fie", "Field Report", "Con", "Contractor QC", "Gen", "Contractor QC", "Pun", "Contractor QC", "Qua", "Contractor QC", "Fin", "Punch List")</f>
        <v>Field Report</v>
      </c>
      <c r="D128" s="15" t="str">
        <f>_xlfn.LET(
_xlpm.leftValue, TRIM(LEFT(Tasks[[#This Row],[Description]], 45)),
IF(LEN(_xlpm.leftValue) &lt; 40, _xlpm.leftValue, _xlfn.CONCAT(_xlpm.leftValue, "…"))
)</f>
        <v>CRSA 11-1 Switch in the North Addition Laundr…</v>
      </c>
      <c r="E128" s="15" t="str" cm="1">
        <f t="array" ref="E128">_xlfn.LET(
_xlpm.inTower, COUNTIF(Tower_Num_Table[Tower Rm Numbers], LEFT(Task_Summary_Table[[#This Row],[Area/Room]], 3)) &gt; 0,
_xlpm.typeResult, _xlfn.SWITCH(LEFT(Tasks[[#This Row],[Page]], 2), "Hi", "Historic", "An", "Annex", "Si", "Site", "S5", "Project Task", "SWITCH ERROR"),
IF(_xlpm.inTower, "West Tower", _xlpm.typeResult)
)</f>
        <v>Annex</v>
      </c>
      <c r="F128" s="12" t="str">
        <f>IFERROR(MID(Tasks[[#This Row],[Page]], FIND("Level", Tasks[[#This Row],[Page]]), 7), IF(ISNUMBER(FIND("Roof", Tasks[[#This Row],[Page]])), "Roof",  IF(ISNUMBER(FIND("S590", Tasks[[#This Row],[Page]])), "",  IF(ISNUMBER(FIND("Site", Tasks[[#This Row],[Page]])), "", "ERROR"))))</f>
        <v>Level 1</v>
      </c>
      <c r="G128" s="12" t="str">
        <f>IF(Tasks[[#This Row],[Location]]=0, "", Tasks[[#This Row],[Location]])</f>
        <v/>
      </c>
      <c r="H128" s="12" t="str">
        <f>Tasks[[#This Row],[To Package]]</f>
        <v>Electrical</v>
      </c>
      <c r="I128" s="12" t="str">
        <f>Tasks[[#This Row],[To Organisation]]</f>
        <v>Wilkinson Electric Inc</v>
      </c>
    </row>
    <row r="129" spans="1:9" ht="15.5" x14ac:dyDescent="0.35">
      <c r="A129" s="14" t="str">
        <f>HYPERLINK(_xlfn.CONCAT(Edit_URL,Tasks[[#This Row],[Ref]]),Tasks[[#This Row],[Ref]])</f>
        <v>T1.9629076</v>
      </c>
      <c r="B129" s="15" t="str" cm="1">
        <f t="array" ref="B129">_xlfn.SWITCH(LEFT(Tasks[[#This Row],[Status]],1),"O","Opened","C","Completed","S","Signed Off", "V", "Signed Off","ERROR")</f>
        <v>Completed</v>
      </c>
      <c r="C129" s="15" t="str" cm="1">
        <f t="array" ref="C129">_xlfn.SWITCH(LEFT(Tasks[[#This Row],[Type]], 3), "Fie", "Field Report", "Con", "Contractor QC", "Gen", "Contractor QC", "Pun", "Contractor QC", "Qua", "Contractor QC", "Fin", "Punch List")</f>
        <v>Field Report</v>
      </c>
      <c r="D129" s="15" t="str">
        <f>_xlfn.LET(
_xlpm.leftValue, TRIM(LEFT(Tasks[[#This Row],[Description]], 45)),
IF(LEN(_xlpm.leftValue) &lt; 40, _xlpm.leftValue, _xlfn.CONCAT(_xlpm.leftValue, "…"))
)</f>
        <v>CxA Site Visit Report 20220324, Item 16:
Loos…</v>
      </c>
      <c r="E129" s="15" t="str" cm="1">
        <f t="array" ref="E129">_xlfn.LET(
_xlpm.inTower, COUNTIF(Tower_Num_Table[Tower Rm Numbers], LEFT(Task_Summary_Table[[#This Row],[Area/Room]], 3)) &gt; 0,
_xlpm.typeResult, _xlfn.SWITCH(LEFT(Tasks[[#This Row],[Page]], 2), "Hi", "Historic", "An", "Annex", "Si", "Site", "S5", "Project Task", "SWITCH ERROR"),
IF(_xlpm.inTower, "West Tower", _xlpm.typeResult)
)</f>
        <v>Historic</v>
      </c>
      <c r="F129" s="12" t="str">
        <f>IFERROR(MID(Tasks[[#This Row],[Page]], FIND("Level", Tasks[[#This Row],[Page]]), 7), IF(ISNUMBER(FIND("Roof", Tasks[[#This Row],[Page]])), "Roof",  IF(ISNUMBER(FIND("S590", Tasks[[#This Row],[Page]])), "",  IF(ISNUMBER(FIND("Site", Tasks[[#This Row],[Page]])), "", "ERROR"))))</f>
        <v>Level 0</v>
      </c>
      <c r="G129" s="12" t="str">
        <f>IF(Tasks[[#This Row],[Location]]=0, "", Tasks[[#This Row],[Location]])</f>
        <v/>
      </c>
      <c r="H129" s="12" t="str">
        <f>Tasks[[#This Row],[To Package]]</f>
        <v>HVAC</v>
      </c>
      <c r="I129" s="12" t="str">
        <f>Tasks[[#This Row],[To Organisation]]</f>
        <v>US Mechanical</v>
      </c>
    </row>
    <row r="130" spans="1:9" ht="15.5" x14ac:dyDescent="0.35">
      <c r="A130" s="14" t="str">
        <f>HYPERLINK(_xlfn.CONCAT(Edit_URL,Tasks[[#This Row],[Ref]]),Tasks[[#This Row],[Ref]])</f>
        <v>T1.9629077</v>
      </c>
      <c r="B130" s="15" t="str" cm="1">
        <f t="array" ref="B130">_xlfn.SWITCH(LEFT(Tasks[[#This Row],[Status]],1),"O","Opened","C","Completed","S","Signed Off", "V", "Signed Off","ERROR")</f>
        <v>Completed</v>
      </c>
      <c r="C130" s="15" t="str" cm="1">
        <f t="array" ref="C130">_xlfn.SWITCH(LEFT(Tasks[[#This Row],[Type]], 3), "Fie", "Field Report", "Con", "Contractor QC", "Gen", "Contractor QC", "Pun", "Contractor QC", "Qua", "Contractor QC", "Fin", "Punch List")</f>
        <v>Field Report</v>
      </c>
      <c r="D130" s="15" t="str">
        <f>_xlfn.LET(
_xlpm.leftValue, TRIM(LEFT(Tasks[[#This Row],[Description]], 45)),
IF(LEN(_xlpm.leftValue) &lt; 40, _xlpm.leftValue, _xlfn.CONCAT(_xlpm.leftValue, "…"))
)</f>
        <v>CxA Site Visit Report 20220324, Item 17:
Miss…</v>
      </c>
      <c r="E130" s="15" t="str" cm="1">
        <f t="array" ref="E130">_xlfn.LET(
_xlpm.inTower, COUNTIF(Tower_Num_Table[Tower Rm Numbers], LEFT(Task_Summary_Table[[#This Row],[Area/Room]], 3)) &gt; 0,
_xlpm.typeResult, _xlfn.SWITCH(LEFT(Tasks[[#This Row],[Page]], 2), "Hi", "Historic", "An", "Annex", "Si", "Site", "S5", "Project Task", "SWITCH ERROR"),
IF(_xlpm.inTower, "West Tower", _xlpm.typeResult)
)</f>
        <v>Historic</v>
      </c>
      <c r="F130" s="12" t="str">
        <f>IFERROR(MID(Tasks[[#This Row],[Page]], FIND("Level", Tasks[[#This Row],[Page]]), 7), IF(ISNUMBER(FIND("Roof", Tasks[[#This Row],[Page]])), "Roof",  IF(ISNUMBER(FIND("S590", Tasks[[#This Row],[Page]])), "",  IF(ISNUMBER(FIND("Site", Tasks[[#This Row],[Page]])), "", "ERROR"))))</f>
        <v>Level 0</v>
      </c>
      <c r="G130" s="12" t="str">
        <f>IF(Tasks[[#This Row],[Location]]=0, "", Tasks[[#This Row],[Location]])</f>
        <v/>
      </c>
      <c r="H130" s="12" t="str">
        <f>Tasks[[#This Row],[To Package]]</f>
        <v>HVAC</v>
      </c>
      <c r="I130" s="12" t="str">
        <f>Tasks[[#This Row],[To Organisation]]</f>
        <v>US Mechanical</v>
      </c>
    </row>
    <row r="131" spans="1:9" ht="15.5" x14ac:dyDescent="0.35">
      <c r="A131" s="14" t="str">
        <f>HYPERLINK(_xlfn.CONCAT(Edit_URL,Tasks[[#This Row],[Ref]]),Tasks[[#This Row],[Ref]])</f>
        <v>T1.9629025</v>
      </c>
      <c r="B131" s="15" t="str" cm="1">
        <f t="array" ref="B131">_xlfn.SWITCH(LEFT(Tasks[[#This Row],[Status]],1),"O","Opened","C","Completed","S","Signed Off", "V", "Signed Off","ERROR")</f>
        <v>Completed</v>
      </c>
      <c r="C131" s="15" t="str" cm="1">
        <f t="array" ref="C131">_xlfn.SWITCH(LEFT(Tasks[[#This Row],[Type]], 3), "Fie", "Field Report", "Con", "Contractor QC", "Gen", "Contractor QC", "Pun", "Contractor QC", "Qua", "Contractor QC", "Fin", "Punch List")</f>
        <v>Field Report</v>
      </c>
      <c r="D131" s="15" t="str">
        <f>_xlfn.LET(
_xlpm.leftValue, TRIM(LEFT(Tasks[[#This Row],[Description]], 45)),
IF(LEN(_xlpm.leftValue) &lt; 40, _xlpm.leftValue, _xlfn.CONCAT(_xlpm.leftValue, "…"))
)</f>
        <v>CxA Site Visit Report 2022.03.24, Item 1:
FC-…</v>
      </c>
      <c r="E131" s="15" t="str" cm="1">
        <f t="array" ref="E131">_xlfn.LET(
_xlpm.inTower, COUNTIF(Tower_Num_Table[Tower Rm Numbers], LEFT(Task_Summary_Table[[#This Row],[Area/Room]], 3)) &gt; 0,
_xlpm.typeResult, _xlfn.SWITCH(LEFT(Tasks[[#This Row],[Page]], 2), "Hi", "Historic", "An", "Annex", "Si", "Site", "S5", "Project Task", "SWITCH ERROR"),
IF(_xlpm.inTower, "West Tower", _xlpm.typeResult)
)</f>
        <v>Annex</v>
      </c>
      <c r="F131" s="12" t="str">
        <f>IFERROR(MID(Tasks[[#This Row],[Page]], FIND("Level", Tasks[[#This Row],[Page]]), 7), IF(ISNUMBER(FIND("Roof", Tasks[[#This Row],[Page]])), "Roof",  IF(ISNUMBER(FIND("S590", Tasks[[#This Row],[Page]])), "",  IF(ISNUMBER(FIND("Site", Tasks[[#This Row],[Page]])), "", "ERROR"))))</f>
        <v>Level 0</v>
      </c>
      <c r="G131" s="12" t="str">
        <f>IF(Tasks[[#This Row],[Location]]=0, "", Tasks[[#This Row],[Location]])</f>
        <v/>
      </c>
      <c r="H131" s="12" t="str">
        <f>Tasks[[#This Row],[To Package]]</f>
        <v>HVAC</v>
      </c>
      <c r="I131" s="12" t="str">
        <f>Tasks[[#This Row],[To Organisation]]</f>
        <v>US Mechanical</v>
      </c>
    </row>
    <row r="132" spans="1:9" ht="15.5" x14ac:dyDescent="0.35">
      <c r="A132" s="14" t="str">
        <f>HYPERLINK(_xlfn.CONCAT(Edit_URL,Tasks[[#This Row],[Ref]]),Tasks[[#This Row],[Ref]])</f>
        <v>T1.9629059</v>
      </c>
      <c r="B132" s="15" t="str" cm="1">
        <f t="array" ref="B132">_xlfn.SWITCH(LEFT(Tasks[[#This Row],[Status]],1),"O","Opened","C","Completed","S","Signed Off", "V", "Signed Off","ERROR")</f>
        <v>Completed</v>
      </c>
      <c r="C132" s="15" t="str" cm="1">
        <f t="array" ref="C132">_xlfn.SWITCH(LEFT(Tasks[[#This Row],[Type]], 3), "Fie", "Field Report", "Con", "Contractor QC", "Gen", "Contractor QC", "Pun", "Contractor QC", "Qua", "Contractor QC", "Fin", "Punch List")</f>
        <v>Field Report</v>
      </c>
      <c r="D132" s="15" t="str">
        <f>_xlfn.LET(
_xlpm.leftValue, TRIM(LEFT(Tasks[[#This Row],[Description]], 45)),
IF(LEN(_xlpm.leftValue) &lt; 40, _xlpm.leftValue, _xlfn.CONCAT(_xlpm.leftValue, "…"))
)</f>
        <v>CxA Site Visit Report 20220324, Item 8:
Chill…</v>
      </c>
      <c r="E132" s="15" t="str" cm="1">
        <f t="array" ref="E132">_xlfn.LET(
_xlpm.inTower, COUNTIF(Tower_Num_Table[Tower Rm Numbers], LEFT(Task_Summary_Table[[#This Row],[Area/Room]], 3)) &gt; 0,
_xlpm.typeResult, _xlfn.SWITCH(LEFT(Tasks[[#This Row],[Page]], 2), "Hi", "Historic", "An", "Annex", "Si", "Site", "S5", "Project Task", "SWITCH ERROR"),
IF(_xlpm.inTower, "West Tower", _xlpm.typeResult)
)</f>
        <v>Annex</v>
      </c>
      <c r="F132" s="12" t="str">
        <f>IFERROR(MID(Tasks[[#This Row],[Page]], FIND("Level", Tasks[[#This Row],[Page]]), 7), IF(ISNUMBER(FIND("Roof", Tasks[[#This Row],[Page]])), "Roof",  IF(ISNUMBER(FIND("S590", Tasks[[#This Row],[Page]])), "",  IF(ISNUMBER(FIND("Site", Tasks[[#This Row],[Page]])), "", "ERROR"))))</f>
        <v>Level 0</v>
      </c>
      <c r="G132" s="12" t="str">
        <f>IF(Tasks[[#This Row],[Location]]=0, "", Tasks[[#This Row],[Location]])</f>
        <v/>
      </c>
      <c r="H132" s="12" t="str">
        <f>Tasks[[#This Row],[To Package]]</f>
        <v>HVAC</v>
      </c>
      <c r="I132" s="12" t="str">
        <f>Tasks[[#This Row],[To Organisation]]</f>
        <v>US Mechanical</v>
      </c>
    </row>
    <row r="133" spans="1:9" ht="15.5" x14ac:dyDescent="0.35">
      <c r="A133" s="14" t="str">
        <f>HYPERLINK(_xlfn.CONCAT(Edit_URL,Tasks[[#This Row],[Ref]]),Tasks[[#This Row],[Ref]])</f>
        <v>T1.9629079</v>
      </c>
      <c r="B133" s="15" t="str" cm="1">
        <f t="array" ref="B133">_xlfn.SWITCH(LEFT(Tasks[[#This Row],[Status]],1),"O","Opened","C","Completed","S","Signed Off", "V", "Signed Off","ERROR")</f>
        <v>Completed</v>
      </c>
      <c r="C133" s="15" t="str" cm="1">
        <f t="array" ref="C133">_xlfn.SWITCH(LEFT(Tasks[[#This Row],[Type]], 3), "Fie", "Field Report", "Con", "Contractor QC", "Gen", "Contractor QC", "Pun", "Contractor QC", "Qua", "Contractor QC", "Fin", "Punch List")</f>
        <v>Field Report</v>
      </c>
      <c r="D133" s="15" t="str">
        <f>_xlfn.LET(
_xlpm.leftValue, TRIM(LEFT(Tasks[[#This Row],[Description]], 45)),
IF(LEN(_xlpm.leftValue) &lt; 40, _xlpm.leftValue, _xlfn.CONCAT(_xlpm.leftValue, "…"))
)</f>
        <v>CxA Site Visit Report 20220324, Item 18: 
FC…</v>
      </c>
      <c r="E133" s="15" t="str" cm="1">
        <f t="array" ref="E133">_xlfn.LET(
_xlpm.inTower, COUNTIF(Tower_Num_Table[Tower Rm Numbers], LEFT(Task_Summary_Table[[#This Row],[Area/Room]], 3)) &gt; 0,
_xlpm.typeResult, _xlfn.SWITCH(LEFT(Tasks[[#This Row],[Page]], 2), "Hi", "Historic", "An", "Annex", "Si", "Site", "S5", "Project Task", "SWITCH ERROR"),
IF(_xlpm.inTower, "West Tower", _xlpm.typeResult)
)</f>
        <v>Annex</v>
      </c>
      <c r="F133" s="12" t="str">
        <f>IFERROR(MID(Tasks[[#This Row],[Page]], FIND("Level", Tasks[[#This Row],[Page]]), 7), IF(ISNUMBER(FIND("Roof", Tasks[[#This Row],[Page]])), "Roof",  IF(ISNUMBER(FIND("S590", Tasks[[#This Row],[Page]])), "",  IF(ISNUMBER(FIND("Site", Tasks[[#This Row],[Page]])), "", "ERROR"))))</f>
        <v>Level 0</v>
      </c>
      <c r="G133" s="12" t="str">
        <f>IF(Tasks[[#This Row],[Location]]=0, "", Tasks[[#This Row],[Location]])</f>
        <v/>
      </c>
      <c r="H133" s="12" t="str">
        <f>Tasks[[#This Row],[To Package]]</f>
        <v>HVAC</v>
      </c>
      <c r="I133" s="12" t="str">
        <f>Tasks[[#This Row],[To Organisation]]</f>
        <v>US Mechanical</v>
      </c>
    </row>
    <row r="134" spans="1:9" ht="15.5" x14ac:dyDescent="0.35">
      <c r="A134" s="14" t="str">
        <f>HYPERLINK(_xlfn.CONCAT(Edit_URL,Tasks[[#This Row],[Ref]]),Tasks[[#This Row],[Ref]])</f>
        <v>T1.9629071</v>
      </c>
      <c r="B134" s="15" t="str" cm="1">
        <f t="array" ref="B134">_xlfn.SWITCH(LEFT(Tasks[[#This Row],[Status]],1),"O","Opened","C","Completed","S","Signed Off", "V", "Signed Off","ERROR")</f>
        <v>Completed</v>
      </c>
      <c r="C134" s="15" t="str" cm="1">
        <f t="array" ref="C134">_xlfn.SWITCH(LEFT(Tasks[[#This Row],[Type]], 3), "Fie", "Field Report", "Con", "Contractor QC", "Gen", "Contractor QC", "Pun", "Contractor QC", "Qua", "Contractor QC", "Fin", "Punch List")</f>
        <v>Field Report</v>
      </c>
      <c r="D134" s="15" t="str">
        <f>_xlfn.LET(
_xlpm.leftValue, TRIM(LEFT(Tasks[[#This Row],[Description]], 45)),
IF(LEN(_xlpm.leftValue) &lt; 40, _xlpm.leftValue, _xlfn.CONCAT(_xlpm.leftValue, "…"))
)</f>
        <v>CxA Site Visit Report 20220324, Item 14:
Fire…</v>
      </c>
      <c r="E134" s="15" t="str" cm="1">
        <f t="array" ref="E134">_xlfn.LET(
_xlpm.inTower, COUNTIF(Tower_Num_Table[Tower Rm Numbers], LEFT(Task_Summary_Table[[#This Row],[Area/Room]], 3)) &gt; 0,
_xlpm.typeResult, _xlfn.SWITCH(LEFT(Tasks[[#This Row],[Page]], 2), "Hi", "Historic", "An", "Annex", "Si", "Site", "S5", "Project Task", "SWITCH ERROR"),
IF(_xlpm.inTower, "West Tower", _xlpm.typeResult)
)</f>
        <v>Annex</v>
      </c>
      <c r="F134" s="12" t="str">
        <f>IFERROR(MID(Tasks[[#This Row],[Page]], FIND("Level", Tasks[[#This Row],[Page]]), 7), IF(ISNUMBER(FIND("Roof", Tasks[[#This Row],[Page]])), "Roof",  IF(ISNUMBER(FIND("S590", Tasks[[#This Row],[Page]])), "",  IF(ISNUMBER(FIND("Site", Tasks[[#This Row],[Page]])), "", "ERROR"))))</f>
        <v>Level 0</v>
      </c>
      <c r="G134" s="12" t="str">
        <f>IF(Tasks[[#This Row],[Location]]=0, "", Tasks[[#This Row],[Location]])</f>
        <v/>
      </c>
      <c r="H134" s="12" t="str">
        <f>Tasks[[#This Row],[To Package]]</f>
        <v>Electrical</v>
      </c>
      <c r="I134" s="12" t="str">
        <f>Tasks[[#This Row],[To Organisation]]</f>
        <v>Wilkinson Electric Inc</v>
      </c>
    </row>
    <row r="135" spans="1:9" ht="15.5" x14ac:dyDescent="0.35">
      <c r="A135" s="14" t="str">
        <f>HYPERLINK(_xlfn.CONCAT(Edit_URL,Tasks[[#This Row],[Ref]]),Tasks[[#This Row],[Ref]])</f>
        <v>T1.9629069</v>
      </c>
      <c r="B135" s="15" t="str" cm="1">
        <f t="array" ref="B135">_xlfn.SWITCH(LEFT(Tasks[[#This Row],[Status]],1),"O","Opened","C","Completed","S","Signed Off", "V", "Signed Off","ERROR")</f>
        <v>Completed</v>
      </c>
      <c r="C135" s="15" t="str" cm="1">
        <f t="array" ref="C135">_xlfn.SWITCH(LEFT(Tasks[[#This Row],[Type]], 3), "Fie", "Field Report", "Con", "Contractor QC", "Gen", "Contractor QC", "Pun", "Contractor QC", "Qua", "Contractor QC", "Fin", "Punch List")</f>
        <v>Field Report</v>
      </c>
      <c r="D135" s="15" t="str">
        <f>_xlfn.LET(
_xlpm.leftValue, TRIM(LEFT(Tasks[[#This Row],[Description]], 45)),
IF(LEN(_xlpm.leftValue) &lt; 40, _xlpm.leftValue, _xlfn.CONCAT(_xlpm.leftValue, "…"))
)</f>
        <v>CxA Site Visit Report 20220324, Item 13:
Miss…</v>
      </c>
      <c r="E135" s="15" t="str" cm="1">
        <f t="array" ref="E135">_xlfn.LET(
_xlpm.inTower, COUNTIF(Tower_Num_Table[Tower Rm Numbers], LEFT(Task_Summary_Table[[#This Row],[Area/Room]], 3)) &gt; 0,
_xlpm.typeResult, _xlfn.SWITCH(LEFT(Tasks[[#This Row],[Page]], 2), "Hi", "Historic", "An", "Annex", "Si", "Site", "S5", "Project Task", "SWITCH ERROR"),
IF(_xlpm.inTower, "West Tower", _xlpm.typeResult)
)</f>
        <v>Annex</v>
      </c>
      <c r="F135" s="12" t="str">
        <f>IFERROR(MID(Tasks[[#This Row],[Page]], FIND("Level", Tasks[[#This Row],[Page]]), 7), IF(ISNUMBER(FIND("Roof", Tasks[[#This Row],[Page]])), "Roof",  IF(ISNUMBER(FIND("S590", Tasks[[#This Row],[Page]])), "",  IF(ISNUMBER(FIND("Site", Tasks[[#This Row],[Page]])), "", "ERROR"))))</f>
        <v>Level 0</v>
      </c>
      <c r="G135" s="12" t="str">
        <f>IF(Tasks[[#This Row],[Location]]=0, "", Tasks[[#This Row],[Location]])</f>
        <v/>
      </c>
      <c r="H135" s="12" t="str">
        <f>Tasks[[#This Row],[To Package]]</f>
        <v>Electrical</v>
      </c>
      <c r="I135" s="12" t="str">
        <f>Tasks[[#This Row],[To Organisation]]</f>
        <v>Wilkinson Electric Inc</v>
      </c>
    </row>
    <row r="136" spans="1:9" ht="15.5" x14ac:dyDescent="0.35">
      <c r="A136" s="14" t="str">
        <f>HYPERLINK(_xlfn.CONCAT(Edit_URL,Tasks[[#This Row],[Ref]]),Tasks[[#This Row],[Ref]])</f>
        <v>T1.9672968</v>
      </c>
      <c r="B136" s="15" t="str" cm="1">
        <f t="array" ref="B136">_xlfn.SWITCH(LEFT(Tasks[[#This Row],[Status]],1),"O","Opened","C","Completed","S","Signed Off", "V", "Signed Off","ERROR")</f>
        <v>Opened</v>
      </c>
      <c r="C136" s="15" t="str" cm="1">
        <f t="array" ref="C136">_xlfn.SWITCH(LEFT(Tasks[[#This Row],[Type]], 3), "Fie", "Field Report", "Con", "Contractor QC", "Gen", "Contractor QC", "Pun", "Contractor QC", "Qua", "Contractor QC", "Fin", "Punch List")</f>
        <v>Field Report</v>
      </c>
      <c r="D136" s="15" t="str">
        <f>_xlfn.LET(
_xlpm.leftValue, TRIM(LEFT(Tasks[[#This Row],[Description]], 45)),
IF(LEN(_xlpm.leftValue) &lt; 40, _xlpm.leftValue, _xlfn.CONCAT(_xlpm.leftValue, "…"))
)</f>
        <v>DEA 31-1. Stone Cap at North Entry Plaza have…</v>
      </c>
      <c r="E136" s="15" t="str" cm="1">
        <f t="array" ref="E136">_xlfn.LET(
_xlpm.inTower, COUNTIF(Tower_Num_Table[Tower Rm Numbers], LEFT(Task_Summary_Table[[#This Row],[Area/Room]], 3)) &gt; 0,
_xlpm.typeResult, _xlfn.SWITCH(LEFT(Tasks[[#This Row],[Page]], 2), "Hi", "Historic", "An", "Annex", "Si", "Site", "S5", "Project Task", "SWITCH ERROR"),
IF(_xlpm.inTower, "West Tower", _xlpm.typeResult)
)</f>
        <v>Site</v>
      </c>
      <c r="F136" s="12" t="str">
        <f>IFERROR(MID(Tasks[[#This Row],[Page]], FIND("Level", Tasks[[#This Row],[Page]]), 7), IF(ISNUMBER(FIND("Roof", Tasks[[#This Row],[Page]])), "Roof",  IF(ISNUMBER(FIND("S590", Tasks[[#This Row],[Page]])), "",  IF(ISNUMBER(FIND("Site", Tasks[[#This Row],[Page]])), "", "ERROR"))))</f>
        <v/>
      </c>
      <c r="G136" s="12" t="str">
        <f>IF(Tasks[[#This Row],[Location]]=0, "", Tasks[[#This Row],[Location]])</f>
        <v>Site Area K</v>
      </c>
      <c r="H136" s="12" t="str">
        <f>Tasks[[#This Row],[To Package]]</f>
        <v>Exterior Stone</v>
      </c>
      <c r="I136" s="12" t="str">
        <f>Tasks[[#This Row],[To Organisation]]</f>
        <v>IMS Masonry, Inc.</v>
      </c>
    </row>
    <row r="137" spans="1:9" ht="15.5" x14ac:dyDescent="0.35">
      <c r="A137" s="14" t="str">
        <f>HYPERLINK(_xlfn.CONCAT(Edit_URL,Tasks[[#This Row],[Ref]]),Tasks[[#This Row],[Ref]])</f>
        <v>T1.9672970</v>
      </c>
      <c r="B137" s="15" t="str" cm="1">
        <f t="array" ref="B137">_xlfn.SWITCH(LEFT(Tasks[[#This Row],[Status]],1),"O","Opened","C","Completed","S","Signed Off", "V", "Signed Off","ERROR")</f>
        <v>Opened</v>
      </c>
      <c r="C137" s="15" t="str" cm="1">
        <f t="array" ref="C137">_xlfn.SWITCH(LEFT(Tasks[[#This Row],[Type]], 3), "Fie", "Field Report", "Con", "Contractor QC", "Gen", "Contractor QC", "Pun", "Contractor QC", "Qua", "Contractor QC", "Fin", "Punch List")</f>
        <v>Field Report</v>
      </c>
      <c r="D137" s="15" t="str">
        <f>_xlfn.LET(
_xlpm.leftValue, TRIM(LEFT(Tasks[[#This Row],[Description]], 45)),
IF(LEN(_xlpm.leftValue) &lt; 40, _xlpm.leftValue, _xlfn.CONCAT(_xlpm.leftValue, "…"))
)</f>
        <v>DEA 31-3. North Entry Pavers do not extend to…</v>
      </c>
      <c r="E137" s="15" t="str" cm="1">
        <f t="array" ref="E137">_xlfn.LET(
_xlpm.inTower, COUNTIF(Tower_Num_Table[Tower Rm Numbers], LEFT(Task_Summary_Table[[#This Row],[Area/Room]], 3)) &gt; 0,
_xlpm.typeResult, _xlfn.SWITCH(LEFT(Tasks[[#This Row],[Page]], 2), "Hi", "Historic", "An", "Annex", "Si", "Site", "S5", "Project Task", "SWITCH ERROR"),
IF(_xlpm.inTower, "West Tower", _xlpm.typeResult)
)</f>
        <v>Site</v>
      </c>
      <c r="F137" s="12" t="str">
        <f>IFERROR(MID(Tasks[[#This Row],[Page]], FIND("Level", Tasks[[#This Row],[Page]]), 7), IF(ISNUMBER(FIND("Roof", Tasks[[#This Row],[Page]])), "Roof",  IF(ISNUMBER(FIND("S590", Tasks[[#This Row],[Page]])), "",  IF(ISNUMBER(FIND("Site", Tasks[[#This Row],[Page]])), "", "ERROR"))))</f>
        <v/>
      </c>
      <c r="G137" s="12" t="str">
        <f>IF(Tasks[[#This Row],[Location]]=0, "", Tasks[[#This Row],[Location]])</f>
        <v>Site Area K</v>
      </c>
      <c r="H137" s="12" t="str">
        <f>Tasks[[#This Row],[To Package]]</f>
        <v>Pavers</v>
      </c>
      <c r="I137" s="12" t="str">
        <f>Tasks[[#This Row],[To Organisation]]</f>
        <v>IMS Masonry, Inc.</v>
      </c>
    </row>
    <row r="138" spans="1:9" ht="15.5" x14ac:dyDescent="0.35">
      <c r="A138" s="14" t="str">
        <f>HYPERLINK(_xlfn.CONCAT(Edit_URL,Tasks[[#This Row],[Ref]]),Tasks[[#This Row],[Ref]])</f>
        <v>T1.9672973</v>
      </c>
      <c r="B138" s="15" t="str" cm="1">
        <f t="array" ref="B138">_xlfn.SWITCH(LEFT(Tasks[[#This Row],[Status]],1),"O","Opened","C","Completed","S","Signed Off", "V", "Signed Off","ERROR")</f>
        <v>Opened</v>
      </c>
      <c r="C138" s="15" t="str" cm="1">
        <f t="array" ref="C138">_xlfn.SWITCH(LEFT(Tasks[[#This Row],[Type]], 3), "Fie", "Field Report", "Con", "Contractor QC", "Gen", "Contractor QC", "Pun", "Contractor QC", "Qua", "Contractor QC", "Fin", "Punch List")</f>
        <v>Field Report</v>
      </c>
      <c r="D138" s="15" t="str">
        <f>_xlfn.LET(
_xlpm.leftValue, TRIM(LEFT(Tasks[[#This Row],[Description]], 45)),
IF(LEN(_xlpm.leftValue) &lt; 40, _xlpm.leftValue, _xlfn.CONCAT(_xlpm.leftValue, "…"))
)</f>
        <v>DEA 31-6. Contractor needs to caulk gaps betw…</v>
      </c>
      <c r="E138" s="15" t="str" cm="1">
        <f t="array" ref="E138">_xlfn.LET(
_xlpm.inTower, COUNTIF(Tower_Num_Table[Tower Rm Numbers], LEFT(Task_Summary_Table[[#This Row],[Area/Room]], 3)) &gt; 0,
_xlpm.typeResult, _xlfn.SWITCH(LEFT(Tasks[[#This Row],[Page]], 2), "Hi", "Historic", "An", "Annex", "Si", "Site", "S5", "Project Task", "SWITCH ERROR"),
IF(_xlpm.inTower, "West Tower", _xlpm.typeResult)
)</f>
        <v>Historic</v>
      </c>
      <c r="F138" s="12" t="str">
        <f>IFERROR(MID(Tasks[[#This Row],[Page]], FIND("Level", Tasks[[#This Row],[Page]]), 7), IF(ISNUMBER(FIND("Roof", Tasks[[#This Row],[Page]])), "Roof",  IF(ISNUMBER(FIND("S590", Tasks[[#This Row],[Page]])), "",  IF(ISNUMBER(FIND("Site", Tasks[[#This Row],[Page]])), "", "ERROR"))))</f>
        <v>Level 2</v>
      </c>
      <c r="G138" s="12" t="str">
        <f>IF(Tasks[[#This Row],[Location]]=0, "", Tasks[[#This Row],[Location]])</f>
        <v>222 - Vest</v>
      </c>
      <c r="H138" s="12" t="str">
        <f>Tasks[[#This Row],[To Package]]</f>
        <v>Westland -- Historic</v>
      </c>
      <c r="I138" s="12" t="str">
        <f>Tasks[[#This Row],[To Organisation]]</f>
        <v>Westland Construction, Inc.</v>
      </c>
    </row>
    <row r="139" spans="1:9" ht="15.5" x14ac:dyDescent="0.35">
      <c r="A139" s="14" t="str">
        <f>HYPERLINK(_xlfn.CONCAT(Edit_URL,Tasks[[#This Row],[Ref]]),Tasks[[#This Row],[Ref]])</f>
        <v>T1.9629065</v>
      </c>
      <c r="B139" s="15" t="str" cm="1">
        <f t="array" ref="B139">_xlfn.SWITCH(LEFT(Tasks[[#This Row],[Status]],1),"O","Opened","C","Completed","S","Signed Off", "V", "Signed Off","ERROR")</f>
        <v>Opened</v>
      </c>
      <c r="C139" s="15" t="str" cm="1">
        <f t="array" ref="C139">_xlfn.SWITCH(LEFT(Tasks[[#This Row],[Type]], 3), "Fie", "Field Report", "Con", "Contractor QC", "Gen", "Contractor QC", "Pun", "Contractor QC", "Qua", "Contractor QC", "Fin", "Punch List")</f>
        <v>Field Report</v>
      </c>
      <c r="D139" s="15" t="str">
        <f>_xlfn.LET(
_xlpm.leftValue, TRIM(LEFT(Tasks[[#This Row],[Description]], 45)),
IF(LEN(_xlpm.leftValue) &lt; 40, _xlpm.leftValue, _xlfn.CONCAT(_xlpm.leftValue, "…"))
)</f>
        <v>CxA Site Visit Report 20220324, Item 11:
Cool…</v>
      </c>
      <c r="E139" s="15" t="str" cm="1">
        <f t="array" ref="E139">_xlfn.LET(
_xlpm.inTower, COUNTIF(Tower_Num_Table[Tower Rm Numbers], LEFT(Task_Summary_Table[[#This Row],[Area/Room]], 3)) &gt; 0,
_xlpm.typeResult, _xlfn.SWITCH(LEFT(Tasks[[#This Row],[Page]], 2), "Hi", "Historic", "An", "Annex", "Si", "Site", "S5", "Project Task", "SWITCH ERROR"),
IF(_xlpm.inTower, "West Tower", _xlpm.typeResult)
)</f>
        <v>Annex</v>
      </c>
      <c r="F139" s="12" t="str">
        <f>IFERROR(MID(Tasks[[#This Row],[Page]], FIND("Level", Tasks[[#This Row],[Page]]), 7), IF(ISNUMBER(FIND("Roof", Tasks[[#This Row],[Page]])), "Roof",  IF(ISNUMBER(FIND("S590", Tasks[[#This Row],[Page]])), "",  IF(ISNUMBER(FIND("Site", Tasks[[#This Row],[Page]])), "", "ERROR"))))</f>
        <v>Level 0</v>
      </c>
      <c r="G139" s="12" t="str">
        <f>IF(Tasks[[#This Row],[Location]]=0, "", Tasks[[#This Row],[Location]])</f>
        <v/>
      </c>
      <c r="H139" s="12" t="str">
        <f>Tasks[[#This Row],[To Package]]</f>
        <v>Plumbing</v>
      </c>
      <c r="I139" s="12" t="str">
        <f>Tasks[[#This Row],[To Organisation]]</f>
        <v>US Mechanical</v>
      </c>
    </row>
    <row r="140" spans="1:9" ht="15.5" x14ac:dyDescent="0.35">
      <c r="A140" s="14" t="str">
        <f>HYPERLINK(_xlfn.CONCAT(Edit_URL,Tasks[[#This Row],[Ref]]),Tasks[[#This Row],[Ref]])</f>
        <v>T1.9629068</v>
      </c>
      <c r="B140" s="15" t="str" cm="1">
        <f t="array" ref="B140">_xlfn.SWITCH(LEFT(Tasks[[#This Row],[Status]],1),"O","Opened","C","Completed","S","Signed Off", "V", "Signed Off","ERROR")</f>
        <v>Opened</v>
      </c>
      <c r="C140" s="15" t="str" cm="1">
        <f t="array" ref="C140">_xlfn.SWITCH(LEFT(Tasks[[#This Row],[Type]], 3), "Fie", "Field Report", "Con", "Contractor QC", "Gen", "Contractor QC", "Pun", "Contractor QC", "Qua", "Contractor QC", "Fin", "Punch List")</f>
        <v>Field Report</v>
      </c>
      <c r="D140" s="15" t="str">
        <f>_xlfn.LET(
_xlpm.leftValue, TRIM(LEFT(Tasks[[#This Row],[Description]], 45)),
IF(LEN(_xlpm.leftValue) &lt; 40, _xlpm.leftValue, _xlfn.CONCAT(_xlpm.leftValue, "…"))
)</f>
        <v>CxA Site Visit Report 20220324, Item 12:
Cool…</v>
      </c>
      <c r="E140" s="15" t="str" cm="1">
        <f t="array" ref="E140">_xlfn.LET(
_xlpm.inTower, COUNTIF(Tower_Num_Table[Tower Rm Numbers], LEFT(Task_Summary_Table[[#This Row],[Area/Room]], 3)) &gt; 0,
_xlpm.typeResult, _xlfn.SWITCH(LEFT(Tasks[[#This Row],[Page]], 2), "Hi", "Historic", "An", "Annex", "Si", "Site", "S5", "Project Task", "SWITCH ERROR"),
IF(_xlpm.inTower, "West Tower", _xlpm.typeResult)
)</f>
        <v>Annex</v>
      </c>
      <c r="F140" s="12" t="str">
        <f>IFERROR(MID(Tasks[[#This Row],[Page]], FIND("Level", Tasks[[#This Row],[Page]]), 7), IF(ISNUMBER(FIND("Roof", Tasks[[#This Row],[Page]])), "Roof",  IF(ISNUMBER(FIND("S590", Tasks[[#This Row],[Page]])), "",  IF(ISNUMBER(FIND("Site", Tasks[[#This Row],[Page]])), "", "ERROR"))))</f>
        <v>Level 0</v>
      </c>
      <c r="G140" s="12" t="str">
        <f>IF(Tasks[[#This Row],[Location]]=0, "", Tasks[[#This Row],[Location]])</f>
        <v/>
      </c>
      <c r="H140" s="12" t="str">
        <f>Tasks[[#This Row],[To Package]]</f>
        <v>Plumbing</v>
      </c>
      <c r="I140" s="12" t="str">
        <f>Tasks[[#This Row],[To Organisation]]</f>
        <v>US Mechanical</v>
      </c>
    </row>
    <row r="141" spans="1:9" ht="15.5" x14ac:dyDescent="0.35">
      <c r="A141" s="14" t="str">
        <f>HYPERLINK(_xlfn.CONCAT(Edit_URL,Tasks[[#This Row],[Ref]]),Tasks[[#This Row],[Ref]])</f>
        <v>T1.9629074</v>
      </c>
      <c r="B141" s="15" t="str" cm="1">
        <f t="array" ref="B141">_xlfn.SWITCH(LEFT(Tasks[[#This Row],[Status]],1),"O","Opened","C","Completed","S","Signed Off", "V", "Signed Off","ERROR")</f>
        <v>Opened</v>
      </c>
      <c r="C141" s="15" t="str" cm="1">
        <f t="array" ref="C141">_xlfn.SWITCH(LEFT(Tasks[[#This Row],[Type]], 3), "Fie", "Field Report", "Con", "Contractor QC", "Gen", "Contractor QC", "Pun", "Contractor QC", "Qua", "Contractor QC", "Fin", "Punch List")</f>
        <v>Field Report</v>
      </c>
      <c r="D141" s="15" t="str">
        <f>_xlfn.LET(
_xlpm.leftValue, TRIM(LEFT(Tasks[[#This Row],[Description]], 45)),
IF(LEN(_xlpm.leftValue) &lt; 40, _xlpm.leftValue, _xlfn.CONCAT(_xlpm.leftValue, "…"))
)</f>
        <v>CxA Site Visit Report 20220324, Item 15:
Stea…</v>
      </c>
      <c r="E141" s="15" t="str" cm="1">
        <f t="array" ref="E141">_xlfn.LET(
_xlpm.inTower, COUNTIF(Tower_Num_Table[Tower Rm Numbers], LEFT(Task_Summary_Table[[#This Row],[Area/Room]], 3)) &gt; 0,
_xlpm.typeResult, _xlfn.SWITCH(LEFT(Tasks[[#This Row],[Page]], 2), "Hi", "Historic", "An", "Annex", "Si", "Site", "S5", "Project Task", "SWITCH ERROR"),
IF(_xlpm.inTower, "West Tower", _xlpm.typeResult)
)</f>
        <v>Annex</v>
      </c>
      <c r="F141" s="12" t="str">
        <f>IFERROR(MID(Tasks[[#This Row],[Page]], FIND("Level", Tasks[[#This Row],[Page]]), 7), IF(ISNUMBER(FIND("Roof", Tasks[[#This Row],[Page]])), "Roof",  IF(ISNUMBER(FIND("S590", Tasks[[#This Row],[Page]])), "",  IF(ISNUMBER(FIND("Site", Tasks[[#This Row],[Page]])), "", "ERROR"))))</f>
        <v>Level 0</v>
      </c>
      <c r="G141" s="12" t="str">
        <f>IF(Tasks[[#This Row],[Location]]=0, "", Tasks[[#This Row],[Location]])</f>
        <v/>
      </c>
      <c r="H141" s="12" t="str">
        <f>Tasks[[#This Row],[To Package]]</f>
        <v>Plumbing</v>
      </c>
      <c r="I141" s="12" t="str">
        <f>Tasks[[#This Row],[To Organisation]]</f>
        <v>US Mechanical</v>
      </c>
    </row>
    <row r="142" spans="1:9" ht="15.5" x14ac:dyDescent="0.35">
      <c r="A142" s="14" t="str">
        <f>HYPERLINK(_xlfn.CONCAT(Edit_URL,Tasks[[#This Row],[Ref]]),Tasks[[#This Row],[Ref]])</f>
        <v>T1.9629082</v>
      </c>
      <c r="B142" s="15" t="str" cm="1">
        <f t="array" ref="B142">_xlfn.SWITCH(LEFT(Tasks[[#This Row],[Status]],1),"O","Opened","C","Completed","S","Signed Off", "V", "Signed Off","ERROR")</f>
        <v>Opened</v>
      </c>
      <c r="C142" s="15" t="str" cm="1">
        <f t="array" ref="C142">_xlfn.SWITCH(LEFT(Tasks[[#This Row],[Type]], 3), "Fie", "Field Report", "Con", "Contractor QC", "Gen", "Contractor QC", "Pun", "Contractor QC", "Qua", "Contractor QC", "Fin", "Punch List")</f>
        <v>Field Report</v>
      </c>
      <c r="D142" s="15" t="str">
        <f>_xlfn.LET(
_xlpm.leftValue, TRIM(LEFT(Tasks[[#This Row],[Description]], 45)),
IF(LEN(_xlpm.leftValue) &lt; 40, _xlpm.leftValue, _xlfn.CONCAT(_xlpm.leftValue, "…"))
)</f>
        <v>CxA Site Visit Report 20220324, Item 19:
Font…</v>
      </c>
      <c r="E142" s="15" t="str" cm="1">
        <f t="array" ref="E142">_xlfn.LET(
_xlpm.inTower, COUNTIF(Tower_Num_Table[Tower Rm Numbers], LEFT(Task_Summary_Table[[#This Row],[Area/Room]], 3)) &gt; 0,
_xlpm.typeResult, _xlfn.SWITCH(LEFT(Tasks[[#This Row],[Page]], 2), "Hi", "Historic", "An", "Annex", "Si", "Site", "S5", "Project Task", "SWITCH ERROR"),
IF(_xlpm.inTower, "West Tower", _xlpm.typeResult)
)</f>
        <v>Annex</v>
      </c>
      <c r="F142" s="12" t="str">
        <f>IFERROR(MID(Tasks[[#This Row],[Page]], FIND("Level", Tasks[[#This Row],[Page]]), 7), IF(ISNUMBER(FIND("Roof", Tasks[[#This Row],[Page]])), "Roof",  IF(ISNUMBER(FIND("S590", Tasks[[#This Row],[Page]])), "",  IF(ISNUMBER(FIND("Site", Tasks[[#This Row],[Page]])), "", "ERROR"))))</f>
        <v>Level 0</v>
      </c>
      <c r="G142" s="12" t="str">
        <f>IF(Tasks[[#This Row],[Location]]=0, "", Tasks[[#This Row],[Location]])</f>
        <v/>
      </c>
      <c r="H142" s="12" t="str">
        <f>Tasks[[#This Row],[To Package]]</f>
        <v>Plumbing</v>
      </c>
      <c r="I142" s="12" t="str">
        <f>Tasks[[#This Row],[To Organisation]]</f>
        <v>US Mechanical</v>
      </c>
    </row>
    <row r="143" spans="1:9" ht="15.5" x14ac:dyDescent="0.35">
      <c r="A143" s="14" t="str">
        <f>HYPERLINK(_xlfn.CONCAT(Edit_URL,Tasks[[#This Row],[Ref]]),Tasks[[#This Row],[Ref]])</f>
        <v>T1.9542508</v>
      </c>
      <c r="B143" s="15" t="str" cm="1">
        <f t="array" ref="B143">_xlfn.SWITCH(LEFT(Tasks[[#This Row],[Status]],1),"O","Opened","C","Completed","S","Signed Off", "V", "Signed Off","ERROR")</f>
        <v>Opened</v>
      </c>
      <c r="C143" s="15" t="str" cm="1">
        <f t="array" ref="C143">_xlfn.SWITCH(LEFT(Tasks[[#This Row],[Type]], 3), "Fie", "Field Report", "Con", "Contractor QC", "Gen", "Contractor QC", "Pun", "Contractor QC", "Qua", "Contractor QC", "Fin", "Punch List")</f>
        <v>Field Report</v>
      </c>
      <c r="D143" s="15" t="str">
        <f>_xlfn.LET(
_xlpm.leftValue, TRIM(LEFT(Tasks[[#This Row],[Description]], 45)),
IF(LEN(_xlpm.leftValue) &lt; 40, _xlpm.leftValue, _xlfn.CONCAT(_xlpm.leftValue, "…"))
)</f>
        <v>CRSA 11-2 More cabinets are being installed b…</v>
      </c>
      <c r="E143" s="15" t="str" cm="1">
        <f t="array" ref="E143">_xlfn.LET(
_xlpm.inTower, COUNTIF(Tower_Num_Table[Tower Rm Numbers], LEFT(Task_Summary_Table[[#This Row],[Area/Room]], 3)) &gt; 0,
_xlpm.typeResult, _xlfn.SWITCH(LEFT(Tasks[[#This Row],[Page]], 2), "Hi", "Historic", "An", "Annex", "Si", "Site", "S5", "Project Task", "SWITCH ERROR"),
IF(_xlpm.inTower, "West Tower", _xlpm.typeResult)
)</f>
        <v>Annex</v>
      </c>
      <c r="F143" s="12" t="str">
        <f>IFERROR(MID(Tasks[[#This Row],[Page]], FIND("Level", Tasks[[#This Row],[Page]]), 7), IF(ISNUMBER(FIND("Roof", Tasks[[#This Row],[Page]])), "Roof",  IF(ISNUMBER(FIND("S590", Tasks[[#This Row],[Page]])), "",  IF(ISNUMBER(FIND("Site", Tasks[[#This Row],[Page]])), "", "ERROR"))))</f>
        <v>Level 0</v>
      </c>
      <c r="G143" s="12" t="str">
        <f>IF(Tasks[[#This Row],[Location]]=0, "", Tasks[[#This Row],[Location]])</f>
        <v/>
      </c>
      <c r="H143" s="12" t="str">
        <f>Tasks[[#This Row],[To Package]]</f>
        <v xml:space="preserve">Finish Carpentry </v>
      </c>
      <c r="I143" s="12" t="str">
        <f>Tasks[[#This Row],[To Organisation]]</f>
        <v>Fetzers' Inc.</v>
      </c>
    </row>
    <row r="144" spans="1:9" ht="15.5" x14ac:dyDescent="0.35">
      <c r="A144" s="14" t="str">
        <f>HYPERLINK(_xlfn.CONCAT(Edit_URL,Tasks[[#This Row],[Ref]]),Tasks[[#This Row],[Ref]])</f>
        <v>T1.9629039</v>
      </c>
      <c r="B144" s="15" t="str" cm="1">
        <f t="array" ref="B144">_xlfn.SWITCH(LEFT(Tasks[[#This Row],[Status]],1),"O","Opened","C","Completed","S","Signed Off", "V", "Signed Off","ERROR")</f>
        <v>Opened</v>
      </c>
      <c r="C144" s="15" t="str" cm="1">
        <f t="array" ref="C144">_xlfn.SWITCH(LEFT(Tasks[[#This Row],[Type]], 3), "Fie", "Field Report", "Con", "Contractor QC", "Gen", "Contractor QC", "Pun", "Contractor QC", "Qua", "Contractor QC", "Fin", "Punch List")</f>
        <v>Field Report</v>
      </c>
      <c r="D144" s="15" t="str">
        <f>_xlfn.LET(
_xlpm.leftValue, TRIM(LEFT(Tasks[[#This Row],[Description]], 45)),
IF(LEN(_xlpm.leftValue) &lt; 40, _xlpm.leftValue, _xlfn.CONCAT(_xlpm.leftValue, "…"))
)</f>
        <v>CxA Site Visit Report 20220324, Item 3:
FC 0-…</v>
      </c>
      <c r="E144" s="15" t="str" cm="1">
        <f t="array" ref="E144">_xlfn.LET(
_xlpm.inTower, COUNTIF(Tower_Num_Table[Tower Rm Numbers], LEFT(Task_Summary_Table[[#This Row],[Area/Room]], 3)) &gt; 0,
_xlpm.typeResult, _xlfn.SWITCH(LEFT(Tasks[[#This Row],[Page]], 2), "Hi", "Historic", "An", "Annex", "Si", "Site", "S5", "Project Task", "SWITCH ERROR"),
IF(_xlpm.inTower, "West Tower", _xlpm.typeResult)
)</f>
        <v>Annex</v>
      </c>
      <c r="F144" s="12" t="str">
        <f>IFERROR(MID(Tasks[[#This Row],[Page]], FIND("Level", Tasks[[#This Row],[Page]]), 7), IF(ISNUMBER(FIND("Roof", Tasks[[#This Row],[Page]])), "Roof",  IF(ISNUMBER(FIND("S590", Tasks[[#This Row],[Page]])), "",  IF(ISNUMBER(FIND("Site", Tasks[[#This Row],[Page]])), "", "ERROR"))))</f>
        <v>Level 0</v>
      </c>
      <c r="G144" s="12" t="str">
        <f>IF(Tasks[[#This Row],[Location]]=0, "", Tasks[[#This Row],[Location]])</f>
        <v/>
      </c>
      <c r="H144" s="12" t="str">
        <f>Tasks[[#This Row],[To Package]]</f>
        <v>Plumbing</v>
      </c>
      <c r="I144" s="12" t="str">
        <f>Tasks[[#This Row],[To Organisation]]</f>
        <v>US Mechanical</v>
      </c>
    </row>
    <row r="145" spans="1:9" ht="15.5" x14ac:dyDescent="0.35">
      <c r="A145" s="14" t="str">
        <f>HYPERLINK(_xlfn.CONCAT(Edit_URL,Tasks[[#This Row],[Ref]]),Tasks[[#This Row],[Ref]])</f>
        <v>T1.9629051</v>
      </c>
      <c r="B145" s="15" t="str" cm="1">
        <f t="array" ref="B145">_xlfn.SWITCH(LEFT(Tasks[[#This Row],[Status]],1),"O","Opened","C","Completed","S","Signed Off", "V", "Signed Off","ERROR")</f>
        <v>Opened</v>
      </c>
      <c r="C145" s="15" t="str" cm="1">
        <f t="array" ref="C145">_xlfn.SWITCH(LEFT(Tasks[[#This Row],[Type]], 3), "Fie", "Field Report", "Con", "Contractor QC", "Gen", "Contractor QC", "Pun", "Contractor QC", "Qua", "Contractor QC", "Fin", "Punch List")</f>
        <v>Field Report</v>
      </c>
      <c r="D145" s="15" t="str">
        <f>_xlfn.LET(
_xlpm.leftValue, TRIM(LEFT(Tasks[[#This Row],[Description]], 45)),
IF(LEN(_xlpm.leftValue) &lt; 40, _xlpm.leftValue, _xlfn.CONCAT(_xlpm.leftValue, "…"))
)</f>
        <v>CxA Site Visit Report 20220324, Item 4:
SG-4A…</v>
      </c>
      <c r="E145" s="15" t="str" cm="1">
        <f t="array" ref="E145">_xlfn.LET(
_xlpm.inTower, COUNTIF(Tower_Num_Table[Tower Rm Numbers], LEFT(Task_Summary_Table[[#This Row],[Area/Room]], 3)) &gt; 0,
_xlpm.typeResult, _xlfn.SWITCH(LEFT(Tasks[[#This Row],[Page]], 2), "Hi", "Historic", "An", "Annex", "Si", "Site", "S5", "Project Task", "SWITCH ERROR"),
IF(_xlpm.inTower, "West Tower", _xlpm.typeResult)
)</f>
        <v>Annex</v>
      </c>
      <c r="F145" s="12" t="str">
        <f>IFERROR(MID(Tasks[[#This Row],[Page]], FIND("Level", Tasks[[#This Row],[Page]]), 7), IF(ISNUMBER(FIND("Roof", Tasks[[#This Row],[Page]])), "Roof",  IF(ISNUMBER(FIND("S590", Tasks[[#This Row],[Page]])), "",  IF(ISNUMBER(FIND("Site", Tasks[[#This Row],[Page]])), "", "ERROR"))))</f>
        <v>Level 0</v>
      </c>
      <c r="G145" s="12" t="str">
        <f>IF(Tasks[[#This Row],[Location]]=0, "", Tasks[[#This Row],[Location]])</f>
        <v/>
      </c>
      <c r="H145" s="12" t="str">
        <f>Tasks[[#This Row],[To Package]]</f>
        <v>Plumbing</v>
      </c>
      <c r="I145" s="12" t="str">
        <f>Tasks[[#This Row],[To Organisation]]</f>
        <v>US Mechanical</v>
      </c>
    </row>
    <row r="146" spans="1:9" ht="15.5" x14ac:dyDescent="0.35">
      <c r="A146" s="14" t="str">
        <f>HYPERLINK(_xlfn.CONCAT(Edit_URL,Tasks[[#This Row],[Ref]]),Tasks[[#This Row],[Ref]])</f>
        <v>T1.9629054</v>
      </c>
      <c r="B146" s="15" t="str" cm="1">
        <f t="array" ref="B146">_xlfn.SWITCH(LEFT(Tasks[[#This Row],[Status]],1),"O","Opened","C","Completed","S","Signed Off", "V", "Signed Off","ERROR")</f>
        <v>Opened</v>
      </c>
      <c r="C146" s="15" t="str" cm="1">
        <f t="array" ref="C146">_xlfn.SWITCH(LEFT(Tasks[[#This Row],[Type]], 3), "Fie", "Field Report", "Con", "Contractor QC", "Gen", "Contractor QC", "Pun", "Contractor QC", "Qua", "Contractor QC", "Fin", "Punch List")</f>
        <v>Field Report</v>
      </c>
      <c r="D146" s="15" t="str">
        <f>_xlfn.LET(
_xlpm.leftValue, TRIM(LEFT(Tasks[[#This Row],[Description]], 45)),
IF(LEN(_xlpm.leftValue) &lt; 40, _xlpm.leftValue, _xlfn.CONCAT(_xlpm.leftValue, "…"))
)</f>
        <v>CxA Site Visit Report 20220324, Item 5:
Insul…</v>
      </c>
      <c r="E146" s="15" t="str" cm="1">
        <f t="array" ref="E146">_xlfn.LET(
_xlpm.inTower, COUNTIF(Tower_Num_Table[Tower Rm Numbers], LEFT(Task_Summary_Table[[#This Row],[Area/Room]], 3)) &gt; 0,
_xlpm.typeResult, _xlfn.SWITCH(LEFT(Tasks[[#This Row],[Page]], 2), "Hi", "Historic", "An", "Annex", "Si", "Site", "S5", "Project Task", "SWITCH ERROR"),
IF(_xlpm.inTower, "West Tower", _xlpm.typeResult)
)</f>
        <v>Annex</v>
      </c>
      <c r="F146" s="12" t="str">
        <f>IFERROR(MID(Tasks[[#This Row],[Page]], FIND("Level", Tasks[[#This Row],[Page]]), 7), IF(ISNUMBER(FIND("Roof", Tasks[[#This Row],[Page]])), "Roof",  IF(ISNUMBER(FIND("S590", Tasks[[#This Row],[Page]])), "",  IF(ISNUMBER(FIND("Site", Tasks[[#This Row],[Page]])), "", "ERROR"))))</f>
        <v>Level 0</v>
      </c>
      <c r="G146" s="12" t="str">
        <f>IF(Tasks[[#This Row],[Location]]=0, "", Tasks[[#This Row],[Location]])</f>
        <v/>
      </c>
      <c r="H146" s="12" t="str">
        <f>Tasks[[#This Row],[To Package]]</f>
        <v>Plumbing</v>
      </c>
      <c r="I146" s="12" t="str">
        <f>Tasks[[#This Row],[To Organisation]]</f>
        <v>US Mechanical</v>
      </c>
    </row>
    <row r="147" spans="1:9" ht="15.5" x14ac:dyDescent="0.35">
      <c r="A147" s="14" t="str">
        <f>HYPERLINK(_xlfn.CONCAT(Edit_URL,Tasks[[#This Row],[Ref]]),Tasks[[#This Row],[Ref]])</f>
        <v>T1.9629056</v>
      </c>
      <c r="B147" s="15" t="str" cm="1">
        <f t="array" ref="B147">_xlfn.SWITCH(LEFT(Tasks[[#This Row],[Status]],1),"O","Opened","C","Completed","S","Signed Off", "V", "Signed Off","ERROR")</f>
        <v>Opened</v>
      </c>
      <c r="C147" s="15" t="str" cm="1">
        <f t="array" ref="C147">_xlfn.SWITCH(LEFT(Tasks[[#This Row],[Type]], 3), "Fie", "Field Report", "Con", "Contractor QC", "Gen", "Contractor QC", "Pun", "Contractor QC", "Qua", "Contractor QC", "Fin", "Punch List")</f>
        <v>Field Report</v>
      </c>
      <c r="D147" s="15" t="str">
        <f>_xlfn.LET(
_xlpm.leftValue, TRIM(LEFT(Tasks[[#This Row],[Description]], 45)),
IF(LEN(_xlpm.leftValue) &lt; 40, _xlpm.leftValue, _xlfn.CONCAT(_xlpm.leftValue, "…"))
)</f>
        <v>CxA Site Visit Report 20220324, Item 6:
Elect…</v>
      </c>
      <c r="E147" s="15" t="str" cm="1">
        <f t="array" ref="E147">_xlfn.LET(
_xlpm.inTower, COUNTIF(Tower_Num_Table[Tower Rm Numbers], LEFT(Task_Summary_Table[[#This Row],[Area/Room]], 3)) &gt; 0,
_xlpm.typeResult, _xlfn.SWITCH(LEFT(Tasks[[#This Row],[Page]], 2), "Hi", "Historic", "An", "Annex", "Si", "Site", "S5", "Project Task", "SWITCH ERROR"),
IF(_xlpm.inTower, "West Tower", _xlpm.typeResult)
)</f>
        <v>Annex</v>
      </c>
      <c r="F147" s="12" t="str">
        <f>IFERROR(MID(Tasks[[#This Row],[Page]], FIND("Level", Tasks[[#This Row],[Page]]), 7), IF(ISNUMBER(FIND("Roof", Tasks[[#This Row],[Page]])), "Roof",  IF(ISNUMBER(FIND("S590", Tasks[[#This Row],[Page]])), "",  IF(ISNUMBER(FIND("Site", Tasks[[#This Row],[Page]])), "", "ERROR"))))</f>
        <v>Level 0</v>
      </c>
      <c r="G147" s="12" t="str">
        <f>IF(Tasks[[#This Row],[Location]]=0, "", Tasks[[#This Row],[Location]])</f>
        <v/>
      </c>
      <c r="H147" s="12" t="str">
        <f>Tasks[[#This Row],[To Package]]</f>
        <v>HVAC</v>
      </c>
      <c r="I147" s="12" t="str">
        <f>Tasks[[#This Row],[To Organisation]]</f>
        <v>US Mechanical</v>
      </c>
    </row>
    <row r="148" spans="1:9" ht="15.5" x14ac:dyDescent="0.35">
      <c r="A148" s="14" t="str">
        <f>HYPERLINK(_xlfn.CONCAT(Edit_URL,Tasks[[#This Row],[Ref]]),Tasks[[#This Row],[Ref]])</f>
        <v>T1.9629058</v>
      </c>
      <c r="B148" s="15" t="str" cm="1">
        <f t="array" ref="B148">_xlfn.SWITCH(LEFT(Tasks[[#This Row],[Status]],1),"O","Opened","C","Completed","S","Signed Off", "V", "Signed Off","ERROR")</f>
        <v>Opened</v>
      </c>
      <c r="C148" s="15" t="str" cm="1">
        <f t="array" ref="C148">_xlfn.SWITCH(LEFT(Tasks[[#This Row],[Type]], 3), "Fie", "Field Report", "Con", "Contractor QC", "Gen", "Contractor QC", "Pun", "Contractor QC", "Qua", "Contractor QC", "Fin", "Punch List")</f>
        <v>Field Report</v>
      </c>
      <c r="D148" s="15" t="str">
        <f>_xlfn.LET(
_xlpm.leftValue, TRIM(LEFT(Tasks[[#This Row],[Description]], 45)),
IF(LEN(_xlpm.leftValue) &lt; 40, _xlpm.leftValue, _xlfn.CONCAT(_xlpm.leftValue, "…"))
)</f>
        <v>CxA Site Visit Report 20220324, Item 7:
Chill…</v>
      </c>
      <c r="E148" s="15" t="str" cm="1">
        <f t="array" ref="E148">_xlfn.LET(
_xlpm.inTower, COUNTIF(Tower_Num_Table[Tower Rm Numbers], LEFT(Task_Summary_Table[[#This Row],[Area/Room]], 3)) &gt; 0,
_xlpm.typeResult, _xlfn.SWITCH(LEFT(Tasks[[#This Row],[Page]], 2), "Hi", "Historic", "An", "Annex", "Si", "Site", "S5", "Project Task", "SWITCH ERROR"),
IF(_xlpm.inTower, "West Tower", _xlpm.typeResult)
)</f>
        <v>Annex</v>
      </c>
      <c r="F148" s="12" t="str">
        <f>IFERROR(MID(Tasks[[#This Row],[Page]], FIND("Level", Tasks[[#This Row],[Page]]), 7), IF(ISNUMBER(FIND("Roof", Tasks[[#This Row],[Page]])), "Roof",  IF(ISNUMBER(FIND("S590", Tasks[[#This Row],[Page]])), "",  IF(ISNUMBER(FIND("Site", Tasks[[#This Row],[Page]])), "", "ERROR"))))</f>
        <v>Level 0</v>
      </c>
      <c r="G148" s="12" t="str">
        <f>IF(Tasks[[#This Row],[Location]]=0, "", Tasks[[#This Row],[Location]])</f>
        <v/>
      </c>
      <c r="H148" s="12" t="str">
        <f>Tasks[[#This Row],[To Package]]</f>
        <v>Plumbing</v>
      </c>
      <c r="I148" s="12" t="str">
        <f>Tasks[[#This Row],[To Organisation]]</f>
        <v>US Mechanical</v>
      </c>
    </row>
    <row r="149" spans="1:9" ht="15.5" x14ac:dyDescent="0.35">
      <c r="A149" s="14" t="str">
        <f>HYPERLINK(_xlfn.CONCAT(Edit_URL,Tasks[[#This Row],[Ref]]),Tasks[[#This Row],[Ref]])</f>
        <v>T1.9629063</v>
      </c>
      <c r="B149" s="15" t="str" cm="1">
        <f t="array" ref="B149">_xlfn.SWITCH(LEFT(Tasks[[#This Row],[Status]],1),"O","Opened","C","Completed","S","Signed Off", "V", "Signed Off","ERROR")</f>
        <v>Opened</v>
      </c>
      <c r="C149" s="15" t="str" cm="1">
        <f t="array" ref="C149">_xlfn.SWITCH(LEFT(Tasks[[#This Row],[Type]], 3), "Fie", "Field Report", "Con", "Contractor QC", "Gen", "Contractor QC", "Pun", "Contractor QC", "Qua", "Contractor QC", "Fin", "Punch List")</f>
        <v>Field Report</v>
      </c>
      <c r="D149" s="15" t="str">
        <f>_xlfn.LET(
_xlpm.leftValue, TRIM(LEFT(Tasks[[#This Row],[Description]], 45)),
IF(LEN(_xlpm.leftValue) &lt; 40, _xlpm.leftValue, _xlfn.CONCAT(_xlpm.leftValue, "…"))
)</f>
        <v>CxA Site Visit Report 20220324, Item 9:
Cooli…</v>
      </c>
      <c r="E149" s="15" t="str" cm="1">
        <f t="array" ref="E149">_xlfn.LET(
_xlpm.inTower, COUNTIF(Tower_Num_Table[Tower Rm Numbers], LEFT(Task_Summary_Table[[#This Row],[Area/Room]], 3)) &gt; 0,
_xlpm.typeResult, _xlfn.SWITCH(LEFT(Tasks[[#This Row],[Page]], 2), "Hi", "Historic", "An", "Annex", "Si", "Site", "S5", "Project Task", "SWITCH ERROR"),
IF(_xlpm.inTower, "West Tower", _xlpm.typeResult)
)</f>
        <v>Annex</v>
      </c>
      <c r="F149" s="12" t="str">
        <f>IFERROR(MID(Tasks[[#This Row],[Page]], FIND("Level", Tasks[[#This Row],[Page]]), 7), IF(ISNUMBER(FIND("Roof", Tasks[[#This Row],[Page]])), "Roof",  IF(ISNUMBER(FIND("S590", Tasks[[#This Row],[Page]])), "",  IF(ISNUMBER(FIND("Site", Tasks[[#This Row],[Page]])), "", "ERROR"))))</f>
        <v>Level 0</v>
      </c>
      <c r="G149" s="12" t="str">
        <f>IF(Tasks[[#This Row],[Location]]=0, "", Tasks[[#This Row],[Location]])</f>
        <v/>
      </c>
      <c r="H149" s="12" t="str">
        <f>Tasks[[#This Row],[To Package]]</f>
        <v>Plumbing</v>
      </c>
      <c r="I149" s="12" t="str">
        <f>Tasks[[#This Row],[To Organisation]]</f>
        <v>US Mechanical</v>
      </c>
    </row>
    <row r="150" spans="1:9" ht="15.5" x14ac:dyDescent="0.35">
      <c r="A150" s="14" t="str">
        <f>HYPERLINK(_xlfn.CONCAT(Edit_URL,Tasks[[#This Row],[Ref]]),Tasks[[#This Row],[Ref]])</f>
        <v>T1.9541264</v>
      </c>
      <c r="B150" s="15" t="str" cm="1">
        <f t="array" ref="B150">_xlfn.SWITCH(LEFT(Tasks[[#This Row],[Status]],1),"O","Opened","C","Completed","S","Signed Off", "V", "Signed Off","ERROR")</f>
        <v>Opened</v>
      </c>
      <c r="C150" s="15" t="str" cm="1">
        <f t="array" ref="C150">_xlfn.SWITCH(LEFT(Tasks[[#This Row],[Type]], 3), "Fie", "Field Report", "Con", "Contractor QC", "Gen", "Contractor QC", "Pun", "Contractor QC", "Qua", "Contractor QC", "Fin", "Punch List")</f>
        <v>Field Report</v>
      </c>
      <c r="D150" s="15" t="str">
        <f>_xlfn.LET(
_xlpm.leftValue, TRIM(LEFT(Tasks[[#This Row],[Description]], 45)),
IF(LEN(_xlpm.leftValue) &lt; 40, _xlpm.leftValue, _xlfn.CONCAT(_xlpm.leftValue, "…"))
)</f>
        <v>ARW 64-6 Duct openings from Reviewed duct ope…</v>
      </c>
      <c r="E150" s="15" t="str" cm="1">
        <f t="array" ref="E150">_xlfn.LET(
_xlpm.inTower, COUNTIF(Tower_Num_Table[Tower Rm Numbers], LEFT(Task_Summary_Table[[#This Row],[Area/Room]], 3)) &gt; 0,
_xlpm.typeResult, _xlfn.SWITCH(LEFT(Tasks[[#This Row],[Page]], 2), "Hi", "Historic", "An", "Annex", "Si", "Site", "S5", "Project Task", "SWITCH ERROR"),
IF(_xlpm.inTower, "West Tower", _xlpm.typeResult)
)</f>
        <v>Historic</v>
      </c>
      <c r="F150" s="12" t="str">
        <f>IFERROR(MID(Tasks[[#This Row],[Page]], FIND("Level", Tasks[[#This Row],[Page]]), 7), IF(ISNUMBER(FIND("Roof", Tasks[[#This Row],[Page]])), "Roof",  IF(ISNUMBER(FIND("S590", Tasks[[#This Row],[Page]])), "",  IF(ISNUMBER(FIND("Site", Tasks[[#This Row],[Page]])), "", "ERROR"))))</f>
        <v>Level 5</v>
      </c>
      <c r="G150" s="12" t="str">
        <f>IF(Tasks[[#This Row],[Location]]=0, "", Tasks[[#This Row],[Location]])</f>
        <v/>
      </c>
      <c r="H150" s="12" t="str">
        <f>Tasks[[#This Row],[To Package]]</f>
        <v>Structural Steel</v>
      </c>
      <c r="I150" s="12" t="str">
        <f>Tasks[[#This Row],[To Organisation]]</f>
        <v>Glassey Steel Works</v>
      </c>
    </row>
    <row r="151" spans="1:9" ht="15.5" x14ac:dyDescent="0.35">
      <c r="A151" s="14" t="str">
        <f>HYPERLINK(_xlfn.CONCAT(Edit_URL,Tasks[[#This Row],[Ref]]),Tasks[[#This Row],[Ref]])</f>
        <v>T1.9541097</v>
      </c>
      <c r="B151" s="15" t="str" cm="1">
        <f t="array" ref="B151">_xlfn.SWITCH(LEFT(Tasks[[#This Row],[Status]],1),"O","Opened","C","Completed","S","Signed Off", "V", "Signed Off","ERROR")</f>
        <v>Opened</v>
      </c>
      <c r="C151" s="15" t="str" cm="1">
        <f t="array" ref="C151">_xlfn.SWITCH(LEFT(Tasks[[#This Row],[Type]], 3), "Fie", "Field Report", "Con", "Contractor QC", "Gen", "Contractor QC", "Pun", "Contractor QC", "Qua", "Contractor QC", "Fin", "Punch List")</f>
        <v>Field Report</v>
      </c>
      <c r="D151" s="15" t="str">
        <f>_xlfn.LET(
_xlpm.leftValue, TRIM(LEFT(Tasks[[#This Row],[Description]], 45)),
IF(LEN(_xlpm.leftValue) &lt; 40, _xlpm.leftValue, _xlfn.CONCAT(_xlpm.leftValue, "…"))
)</f>
        <v>ARW 61-9 HSS post clip angles for posts at gr…</v>
      </c>
      <c r="E151" s="15" t="str" cm="1">
        <f t="array" ref="E151">_xlfn.LET(
_xlpm.inTower, COUNTIF(Tower_Num_Table[Tower Rm Numbers], LEFT(Task_Summary_Table[[#This Row],[Area/Room]], 3)) &gt; 0,
_xlpm.typeResult, _xlfn.SWITCH(LEFT(Tasks[[#This Row],[Page]], 2), "Hi", "Historic", "An", "Annex", "Si", "Site", "S5", "Project Task", "SWITCH ERROR"),
IF(_xlpm.inTower, "West Tower", _xlpm.typeResult)
)</f>
        <v>Historic</v>
      </c>
      <c r="F151" s="12" t="str">
        <f>IFERROR(MID(Tasks[[#This Row],[Page]], FIND("Level", Tasks[[#This Row],[Page]]), 7), IF(ISNUMBER(FIND("Roof", Tasks[[#This Row],[Page]])), "Roof",  IF(ISNUMBER(FIND("S590", Tasks[[#This Row],[Page]])), "",  IF(ISNUMBER(FIND("Site", Tasks[[#This Row],[Page]])), "", "ERROR"))))</f>
        <v>Level 0</v>
      </c>
      <c r="G151" s="12" t="str">
        <f>IF(Tasks[[#This Row],[Location]]=0, "", Tasks[[#This Row],[Location]])</f>
        <v/>
      </c>
      <c r="H151" s="12" t="str">
        <f>Tasks[[#This Row],[To Package]]</f>
        <v>Structural Steel</v>
      </c>
      <c r="I151" s="12" t="str">
        <f>Tasks[[#This Row],[To Organisation]]</f>
        <v>Glassey Steel Works</v>
      </c>
    </row>
    <row r="152" spans="1:9" ht="15.5" x14ac:dyDescent="0.35">
      <c r="A152" s="14" t="str">
        <f>HYPERLINK(_xlfn.CONCAT(Edit_URL,Tasks[[#This Row],[Ref]]),Tasks[[#This Row],[Ref]])</f>
        <v>T1.9629083</v>
      </c>
      <c r="B152" s="15" t="str" cm="1">
        <f t="array" ref="B152">_xlfn.SWITCH(LEFT(Tasks[[#This Row],[Status]],1),"O","Opened","C","Completed","S","Signed Off", "V", "Signed Off","ERROR")</f>
        <v>Opened</v>
      </c>
      <c r="C152" s="15" t="str" cm="1">
        <f t="array" ref="C152">_xlfn.SWITCH(LEFT(Tasks[[#This Row],[Type]], 3), "Fie", "Field Report", "Con", "Contractor QC", "Gen", "Contractor QC", "Pun", "Contractor QC", "Qua", "Contractor QC", "Fin", "Punch List")</f>
        <v>Field Report</v>
      </c>
      <c r="D152" s="15" t="str">
        <f>_xlfn.LET(
_xlpm.leftValue, TRIM(LEFT(Tasks[[#This Row],[Description]], 45)),
IF(LEN(_xlpm.leftValue) &lt; 40, _xlpm.leftValue, _xlfn.CONCAT(_xlpm.leftValue, "…"))
)</f>
        <v>CxA Site Visit Report 20220324, Item 20:
Pipe…</v>
      </c>
      <c r="E152" s="15" t="str" cm="1">
        <f t="array" ref="E152">_xlfn.LET(
_xlpm.inTower, COUNTIF(Tower_Num_Table[Tower Rm Numbers], LEFT(Task_Summary_Table[[#This Row],[Area/Room]], 3)) &gt; 0,
_xlpm.typeResult, _xlfn.SWITCH(LEFT(Tasks[[#This Row],[Page]], 2), "Hi", "Historic", "An", "Annex", "Si", "Site", "S5", "Project Task", "SWITCH ERROR"),
IF(_xlpm.inTower, "West Tower", _xlpm.typeResult)
)</f>
        <v>Historic</v>
      </c>
      <c r="F152" s="12" t="str">
        <f>IFERROR(MID(Tasks[[#This Row],[Page]], FIND("Level", Tasks[[#This Row],[Page]]), 7), IF(ISNUMBER(FIND("Roof", Tasks[[#This Row],[Page]])), "Roof",  IF(ISNUMBER(FIND("S590", Tasks[[#This Row],[Page]])), "",  IF(ISNUMBER(FIND("Site", Tasks[[#This Row],[Page]])), "", "ERROR"))))</f>
        <v>Level 0</v>
      </c>
      <c r="G152" s="12" t="str">
        <f>IF(Tasks[[#This Row],[Location]]=0, "", Tasks[[#This Row],[Location]])</f>
        <v/>
      </c>
      <c r="H152" s="12" t="str">
        <f>Tasks[[#This Row],[To Package]]</f>
        <v>Plumbing</v>
      </c>
      <c r="I152" s="12" t="str">
        <f>Tasks[[#This Row],[To Organisation]]</f>
        <v>US Mechanical</v>
      </c>
    </row>
    <row r="153" spans="1:9" ht="15.5" x14ac:dyDescent="0.35">
      <c r="A153" s="14" t="str">
        <f>HYPERLINK(_xlfn.CONCAT(Edit_URL,Tasks[[#This Row],[Ref]]),Tasks[[#This Row],[Ref]])</f>
        <v>T1.9541089</v>
      </c>
      <c r="B153" s="15" t="str" cm="1">
        <f t="array" ref="B153">_xlfn.SWITCH(LEFT(Tasks[[#This Row],[Status]],1),"O","Opened","C","Completed","S","Signed Off", "V", "Signed Off","ERROR")</f>
        <v>Opened</v>
      </c>
      <c r="C153" s="15" t="str" cm="1">
        <f t="array" ref="C153">_xlfn.SWITCH(LEFT(Tasks[[#This Row],[Type]], 3), "Fie", "Field Report", "Con", "Contractor QC", "Gen", "Contractor QC", "Pun", "Contractor QC", "Qua", "Contractor QC", "Fin", "Punch List")</f>
        <v>Field Report</v>
      </c>
      <c r="D153" s="15" t="str">
        <f>_xlfn.LET(
_xlpm.leftValue, TRIM(LEFT(Tasks[[#This Row],[Description]], 45)),
IF(LEN(_xlpm.leftValue) &lt; 40, _xlpm.leftValue, _xlfn.CONCAT(_xlpm.leftValue, "…"))
)</f>
        <v>ARW 59.4 - Level 0.5 closet opening was discu…</v>
      </c>
      <c r="E153" s="15" t="str" cm="1">
        <f t="array" ref="E153">_xlfn.LET(
_xlpm.inTower, COUNTIF(Tower_Num_Table[Tower Rm Numbers], LEFT(Task_Summary_Table[[#This Row],[Area/Room]], 3)) &gt; 0,
_xlpm.typeResult, _xlfn.SWITCH(LEFT(Tasks[[#This Row],[Page]], 2), "Hi", "Historic", "An", "Annex", "Si", "Site", "S5", "Project Task", "SWITCH ERROR"),
IF(_xlpm.inTower, "West Tower", _xlpm.typeResult)
)</f>
        <v>Historic</v>
      </c>
      <c r="F153" s="12" t="str">
        <f>IFERROR(MID(Tasks[[#This Row],[Page]], FIND("Level", Tasks[[#This Row],[Page]]), 7), IF(ISNUMBER(FIND("Roof", Tasks[[#This Row],[Page]])), "Roof",  IF(ISNUMBER(FIND("S590", Tasks[[#This Row],[Page]])), "",  IF(ISNUMBER(FIND("Site", Tasks[[#This Row],[Page]])), "", "ERROR"))))</f>
        <v>Level 0</v>
      </c>
      <c r="G153" s="12" t="str">
        <f>IF(Tasks[[#This Row],[Location]]=0, "", Tasks[[#This Row],[Location]])</f>
        <v/>
      </c>
      <c r="H153" s="12" t="str">
        <f>Tasks[[#This Row],[To Package]]</f>
        <v>Concrete</v>
      </c>
      <c r="I153" s="12" t="str">
        <f>Tasks[[#This Row],[To Organisation]]</f>
        <v>Innovative Concrete, LLC</v>
      </c>
    </row>
    <row r="154" spans="1:9" ht="15.5" x14ac:dyDescent="0.35">
      <c r="A154" s="14" t="str">
        <f>HYPERLINK(_xlfn.CONCAT(Edit_URL,Tasks[[#This Row],[Ref]]),Tasks[[#This Row],[Ref]])</f>
        <v>T1.9541090</v>
      </c>
      <c r="B154" s="15" t="str" cm="1">
        <f t="array" ref="B154">_xlfn.SWITCH(LEFT(Tasks[[#This Row],[Status]],1),"O","Opened","C","Completed","S","Signed Off", "V", "Signed Off","ERROR")</f>
        <v>Opened</v>
      </c>
      <c r="C154" s="15" t="str" cm="1">
        <f t="array" ref="C154">_xlfn.SWITCH(LEFT(Tasks[[#This Row],[Type]], 3), "Fie", "Field Report", "Con", "Contractor QC", "Gen", "Contractor QC", "Pun", "Contractor QC", "Qua", "Contractor QC", "Fin", "Punch List")</f>
        <v>Field Report</v>
      </c>
      <c r="D154" s="15" t="str">
        <f>_xlfn.LET(
_xlpm.leftValue, TRIM(LEFT(Tasks[[#This Row],[Description]], 45)),
IF(LEN(_xlpm.leftValue) &lt; 40, _xlpm.leftValue, _xlfn.CONCAT(_xlpm.leftValue, "…"))
)</f>
        <v>ARW 59.4 – There are several holes in the sto…</v>
      </c>
      <c r="E154" s="15" t="str" cm="1">
        <f t="array" ref="E154">_xlfn.LET(
_xlpm.inTower, COUNTIF(Tower_Num_Table[Tower Rm Numbers], LEFT(Task_Summary_Table[[#This Row],[Area/Room]], 3)) &gt; 0,
_xlpm.typeResult, _xlfn.SWITCH(LEFT(Tasks[[#This Row],[Page]], 2), "Hi", "Historic", "An", "Annex", "Si", "Site", "S5", "Project Task", "SWITCH ERROR"),
IF(_xlpm.inTower, "West Tower", _xlpm.typeResult)
)</f>
        <v>Historic</v>
      </c>
      <c r="F154" s="12" t="str">
        <f>IFERROR(MID(Tasks[[#This Row],[Page]], FIND("Level", Tasks[[#This Row],[Page]]), 7), IF(ISNUMBER(FIND("Roof", Tasks[[#This Row],[Page]])), "Roof",  IF(ISNUMBER(FIND("S590", Tasks[[#This Row],[Page]])), "",  IF(ISNUMBER(FIND("Site", Tasks[[#This Row],[Page]])), "", "ERROR"))))</f>
        <v>Level 0</v>
      </c>
      <c r="G154" s="12" t="str">
        <f>IF(Tasks[[#This Row],[Location]]=0, "", Tasks[[#This Row],[Location]])</f>
        <v/>
      </c>
      <c r="H154" s="12" t="str">
        <f>Tasks[[#This Row],[To Package]]</f>
        <v>Concrete</v>
      </c>
      <c r="I154" s="12" t="str">
        <f>Tasks[[#This Row],[To Organisation]]</f>
        <v>Innovative Concrete, LLC</v>
      </c>
    </row>
    <row r="155" spans="1:9" ht="15.5" x14ac:dyDescent="0.35">
      <c r="A155" s="14" t="str">
        <f>HYPERLINK(_xlfn.CONCAT(Edit_URL,Tasks[[#This Row],[Ref]]),Tasks[[#This Row],[Ref]])</f>
        <v>T1.9541091</v>
      </c>
      <c r="B155" s="15" t="str" cm="1">
        <f t="array" ref="B155">_xlfn.SWITCH(LEFT(Tasks[[#This Row],[Status]],1),"O","Opened","C","Completed","S","Signed Off", "V", "Signed Off","ERROR")</f>
        <v>Opened</v>
      </c>
      <c r="C155" s="15" t="str" cm="1">
        <f t="array" ref="C155">_xlfn.SWITCH(LEFT(Tasks[[#This Row],[Type]], 3), "Fie", "Field Report", "Con", "Contractor QC", "Gen", "Contractor QC", "Pun", "Contractor QC", "Qua", "Contractor QC", "Fin", "Punch List")</f>
        <v>Field Report</v>
      </c>
      <c r="D155" s="15" t="str">
        <f>_xlfn.LET(
_xlpm.leftValue, TRIM(LEFT(Tasks[[#This Row],[Description]], 45)),
IF(LEN(_xlpm.leftValue) &lt; 40, _xlpm.leftValue, _xlfn.CONCAT(_xlpm.leftValue, "…"))
)</f>
        <v>ARW 59.6 – The channel on the east side of th…</v>
      </c>
      <c r="E155" s="15" t="str" cm="1">
        <f t="array" ref="E155">_xlfn.LET(
_xlpm.inTower, COUNTIF(Tower_Num_Table[Tower Rm Numbers], LEFT(Task_Summary_Table[[#This Row],[Area/Room]], 3)) &gt; 0,
_xlpm.typeResult, _xlfn.SWITCH(LEFT(Tasks[[#This Row],[Page]], 2), "Hi", "Historic", "An", "Annex", "Si", "Site", "S5", "Project Task", "SWITCH ERROR"),
IF(_xlpm.inTower, "West Tower", _xlpm.typeResult)
)</f>
        <v>Historic</v>
      </c>
      <c r="F155" s="12" t="str">
        <f>IFERROR(MID(Tasks[[#This Row],[Page]], FIND("Level", Tasks[[#This Row],[Page]]), 7), IF(ISNUMBER(FIND("Roof", Tasks[[#This Row],[Page]])), "Roof",  IF(ISNUMBER(FIND("S590", Tasks[[#This Row],[Page]])), "",  IF(ISNUMBER(FIND("Site", Tasks[[#This Row],[Page]])), "", "ERROR"))))</f>
        <v>Level 0</v>
      </c>
      <c r="G155" s="12" t="str">
        <f>IF(Tasks[[#This Row],[Location]]=0, "", Tasks[[#This Row],[Location]])</f>
        <v/>
      </c>
      <c r="H155" s="12" t="str">
        <f>Tasks[[#This Row],[To Package]]</f>
        <v>Structural Steel</v>
      </c>
      <c r="I155" s="12" t="str">
        <f>Tasks[[#This Row],[To Organisation]]</f>
        <v>Glassey Steel Works</v>
      </c>
    </row>
    <row r="156" spans="1:9" ht="15.5" x14ac:dyDescent="0.35">
      <c r="A156" s="14" t="str">
        <f>HYPERLINK(_xlfn.CONCAT(Edit_URL,Tasks[[#This Row],[Ref]]),Tasks[[#This Row],[Ref]])</f>
        <v>T1.9541092</v>
      </c>
      <c r="B156" s="15" t="str" cm="1">
        <f t="array" ref="B156">_xlfn.SWITCH(LEFT(Tasks[[#This Row],[Status]],1),"O","Opened","C","Completed","S","Signed Off", "V", "Signed Off","ERROR")</f>
        <v>Opened</v>
      </c>
      <c r="C156" s="15" t="str" cm="1">
        <f t="array" ref="C156">_xlfn.SWITCH(LEFT(Tasks[[#This Row],[Type]], 3), "Fie", "Field Report", "Con", "Contractor QC", "Gen", "Contractor QC", "Pun", "Contractor QC", "Qua", "Contractor QC", "Fin", "Punch List")</f>
        <v>Field Report</v>
      </c>
      <c r="D156" s="15" t="str">
        <f>_xlfn.LET(
_xlpm.leftValue, TRIM(LEFT(Tasks[[#This Row],[Description]], 45)),
IF(LEN(_xlpm.leftValue) &lt; 40, _xlpm.leftValue, _xlfn.CONCAT(_xlpm.leftValue, "…"))
)</f>
        <v>ARW 59.7 – The existing ceiling framing of th…</v>
      </c>
      <c r="E156" s="15" t="str" cm="1">
        <f t="array" ref="E156">_xlfn.LET(
_xlpm.inTower, COUNTIF(Tower_Num_Table[Tower Rm Numbers], LEFT(Task_Summary_Table[[#This Row],[Area/Room]], 3)) &gt; 0,
_xlpm.typeResult, _xlfn.SWITCH(LEFT(Tasks[[#This Row],[Page]], 2), "Hi", "Historic", "An", "Annex", "Si", "Site", "S5", "Project Task", "SWITCH ERROR"),
IF(_xlpm.inTower, "West Tower", _xlpm.typeResult)
)</f>
        <v>Historic</v>
      </c>
      <c r="F156" s="12" t="str">
        <f>IFERROR(MID(Tasks[[#This Row],[Page]], FIND("Level", Tasks[[#This Row],[Page]]), 7), IF(ISNUMBER(FIND("Roof", Tasks[[#This Row],[Page]])), "Roof",  IF(ISNUMBER(FIND("S590", Tasks[[#This Row],[Page]])), "",  IF(ISNUMBER(FIND("Site", Tasks[[#This Row],[Page]])), "", "ERROR"))))</f>
        <v>Level 0</v>
      </c>
      <c r="G156" s="12" t="str">
        <f>IF(Tasks[[#This Row],[Location]]=0, "", Tasks[[#This Row],[Location]])</f>
        <v/>
      </c>
      <c r="H156" s="12" t="str">
        <f>Tasks[[#This Row],[To Package]]</f>
        <v>Structural Steel</v>
      </c>
      <c r="I156" s="12" t="str">
        <f>Tasks[[#This Row],[To Organisation]]</f>
        <v>Glassey Steel Works</v>
      </c>
    </row>
    <row r="157" spans="1:9" ht="15.5" x14ac:dyDescent="0.35">
      <c r="A157" s="14" t="str">
        <f>HYPERLINK(_xlfn.CONCAT(Edit_URL,Tasks[[#This Row],[Ref]]),Tasks[[#This Row],[Ref]])</f>
        <v>T1.9541093</v>
      </c>
      <c r="B157" s="15" t="str" cm="1">
        <f t="array" ref="B157">_xlfn.SWITCH(LEFT(Tasks[[#This Row],[Status]],1),"O","Opened","C","Completed","S","Signed Off", "V", "Signed Off","ERROR")</f>
        <v>Opened</v>
      </c>
      <c r="C157" s="15" t="str" cm="1">
        <f t="array" ref="C157">_xlfn.SWITCH(LEFT(Tasks[[#This Row],[Type]], 3), "Fie", "Field Report", "Con", "Contractor QC", "Gen", "Contractor QC", "Pun", "Contractor QC", "Qua", "Contractor QC", "Fin", "Punch List")</f>
        <v>Field Report</v>
      </c>
      <c r="D157" s="15" t="str">
        <f>_xlfn.LET(
_xlpm.leftValue, TRIM(LEFT(Tasks[[#This Row],[Description]], 45)),
IF(LEN(_xlpm.leftValue) &lt; 40, _xlpm.leftValue, _xlfn.CONCAT(_xlpm.leftValue, "…"))
)</f>
        <v>ARW 61-3 - Space between clip anchor and ston…</v>
      </c>
      <c r="E157" s="15" t="str" cm="1">
        <f t="array" ref="E157">_xlfn.LET(
_xlpm.inTower, COUNTIF(Tower_Num_Table[Tower Rm Numbers], LEFT(Task_Summary_Table[[#This Row],[Area/Room]], 3)) &gt; 0,
_xlpm.typeResult, _xlfn.SWITCH(LEFT(Tasks[[#This Row],[Page]], 2), "Hi", "Historic", "An", "Annex", "Si", "Site", "S5", "Project Task", "SWITCH ERROR"),
IF(_xlpm.inTower, "West Tower", _xlpm.typeResult)
)</f>
        <v>Historic</v>
      </c>
      <c r="F157" s="12" t="str">
        <f>IFERROR(MID(Tasks[[#This Row],[Page]], FIND("Level", Tasks[[#This Row],[Page]]), 7), IF(ISNUMBER(FIND("Roof", Tasks[[#This Row],[Page]])), "Roof",  IF(ISNUMBER(FIND("S590", Tasks[[#This Row],[Page]])), "",  IF(ISNUMBER(FIND("Site", Tasks[[#This Row],[Page]])), "", "ERROR"))))</f>
        <v>Level 0</v>
      </c>
      <c r="G157" s="12" t="str">
        <f>IF(Tasks[[#This Row],[Location]]=0, "", Tasks[[#This Row],[Location]])</f>
        <v/>
      </c>
      <c r="H157" s="12" t="str">
        <f>Tasks[[#This Row],[To Package]]</f>
        <v>Structural Steel</v>
      </c>
      <c r="I157" s="12" t="str">
        <f>Tasks[[#This Row],[To Organisation]]</f>
        <v>Glassey Steel Works</v>
      </c>
    </row>
    <row r="158" spans="1:9" ht="15.5" x14ac:dyDescent="0.35">
      <c r="A158" s="14" t="str">
        <f>HYPERLINK(_xlfn.CONCAT(Edit_URL,Tasks[[#This Row],[Ref]]),Tasks[[#This Row],[Ref]])</f>
        <v>T1.9541094</v>
      </c>
      <c r="B158" s="15" t="str" cm="1">
        <f t="array" ref="B158">_xlfn.SWITCH(LEFT(Tasks[[#This Row],[Status]],1),"O","Opened","C","Completed","S","Signed Off", "V", "Signed Off","ERROR")</f>
        <v>Opened</v>
      </c>
      <c r="C158" s="15" t="str" cm="1">
        <f t="array" ref="C158">_xlfn.SWITCH(LEFT(Tasks[[#This Row],[Type]], 3), "Fie", "Field Report", "Con", "Contractor QC", "Gen", "Contractor QC", "Pun", "Contractor QC", "Qua", "Contractor QC", "Fin", "Punch List")</f>
        <v>Field Report</v>
      </c>
      <c r="D158" s="15" t="str">
        <f>_xlfn.LET(
_xlpm.leftValue, TRIM(LEFT(Tasks[[#This Row],[Description]], 45)),
IF(LEN(_xlpm.leftValue) &lt; 40, _xlpm.leftValue, _xlfn.CONCAT(_xlpm.leftValue, "…"))
)</f>
        <v>ARW 61-4 - Top of LVL studs at level 4 Discus…</v>
      </c>
      <c r="E158" s="15" t="str" cm="1">
        <f t="array" ref="E158">_xlfn.LET(
_xlpm.inTower, COUNTIF(Tower_Num_Table[Tower Rm Numbers], LEFT(Task_Summary_Table[[#This Row],[Area/Room]], 3)) &gt; 0,
_xlpm.typeResult, _xlfn.SWITCH(LEFT(Tasks[[#This Row],[Page]], 2), "Hi", "Historic", "An", "Annex", "Si", "Site", "S5", "Project Task", "SWITCH ERROR"),
IF(_xlpm.inTower, "West Tower", _xlpm.typeResult)
)</f>
        <v>Historic</v>
      </c>
      <c r="F158" s="12" t="str">
        <f>IFERROR(MID(Tasks[[#This Row],[Page]], FIND("Level", Tasks[[#This Row],[Page]]), 7), IF(ISNUMBER(FIND("Roof", Tasks[[#This Row],[Page]])), "Roof",  IF(ISNUMBER(FIND("S590", Tasks[[#This Row],[Page]])), "",  IF(ISNUMBER(FIND("Site", Tasks[[#This Row],[Page]])), "", "ERROR"))))</f>
        <v>Level 0</v>
      </c>
      <c r="G158" s="12" t="str">
        <f>IF(Tasks[[#This Row],[Location]]=0, "", Tasks[[#This Row],[Location]])</f>
        <v/>
      </c>
      <c r="H158" s="12" t="str">
        <f>Tasks[[#This Row],[To Package]]</f>
        <v>Wood Framing</v>
      </c>
      <c r="I158" s="12" t="str">
        <f>Tasks[[#This Row],[To Organisation]]</f>
        <v>Rockhill Construction</v>
      </c>
    </row>
    <row r="159" spans="1:9" ht="15.5" x14ac:dyDescent="0.35">
      <c r="A159" s="14" t="str">
        <f>HYPERLINK(_xlfn.CONCAT(Edit_URL,Tasks[[#This Row],[Ref]]),Tasks[[#This Row],[Ref]])</f>
        <v>T1.9541095</v>
      </c>
      <c r="B159" s="15" t="str" cm="1">
        <f t="array" ref="B159">_xlfn.SWITCH(LEFT(Tasks[[#This Row],[Status]],1),"O","Opened","C","Completed","S","Signed Off", "V", "Signed Off","ERROR")</f>
        <v>Opened</v>
      </c>
      <c r="C159" s="15" t="str" cm="1">
        <f t="array" ref="C159">_xlfn.SWITCH(LEFT(Tasks[[#This Row],[Type]], 3), "Fie", "Field Report", "Con", "Contractor QC", "Gen", "Contractor QC", "Pun", "Contractor QC", "Qua", "Contractor QC", "Fin", "Punch List")</f>
        <v>Field Report</v>
      </c>
      <c r="D159" s="15" t="str">
        <f>_xlfn.LET(
_xlpm.leftValue, TRIM(LEFT(Tasks[[#This Row],[Description]], 45)),
IF(LEN(_xlpm.leftValue) &lt; 40, _xlpm.leftValue, _xlfn.CONCAT(_xlpm.leftValue, "…"))
)</f>
        <v>ARW 61-5 Mechanical opening infill at 3rd lev…</v>
      </c>
      <c r="E159" s="15" t="str" cm="1">
        <f t="array" ref="E159">_xlfn.LET(
_xlpm.inTower, COUNTIF(Tower_Num_Table[Tower Rm Numbers], LEFT(Task_Summary_Table[[#This Row],[Area/Room]], 3)) &gt; 0,
_xlpm.typeResult, _xlfn.SWITCH(LEFT(Tasks[[#This Row],[Page]], 2), "Hi", "Historic", "An", "Annex", "Si", "Site", "S5", "Project Task", "SWITCH ERROR"),
IF(_xlpm.inTower, "West Tower", _xlpm.typeResult)
)</f>
        <v>Historic</v>
      </c>
      <c r="F159" s="12" t="str">
        <f>IFERROR(MID(Tasks[[#This Row],[Page]], FIND("Level", Tasks[[#This Row],[Page]]), 7), IF(ISNUMBER(FIND("Roof", Tasks[[#This Row],[Page]])), "Roof",  IF(ISNUMBER(FIND("S590", Tasks[[#This Row],[Page]])), "",  IF(ISNUMBER(FIND("Site", Tasks[[#This Row],[Page]])), "", "ERROR"))))</f>
        <v>Level 0</v>
      </c>
      <c r="G159" s="12" t="str">
        <f>IF(Tasks[[#This Row],[Location]]=0, "", Tasks[[#This Row],[Location]])</f>
        <v/>
      </c>
      <c r="H159" s="12" t="str">
        <f>Tasks[[#This Row],[To Package]]</f>
        <v>Concrete</v>
      </c>
      <c r="I159" s="12" t="str">
        <f>Tasks[[#This Row],[To Organisation]]</f>
        <v>Innovative Concrete, LLC</v>
      </c>
    </row>
    <row r="160" spans="1:9" ht="15.5" x14ac:dyDescent="0.35">
      <c r="A160" s="14" t="str">
        <f>HYPERLINK(_xlfn.CONCAT(Edit_URL,Tasks[[#This Row],[Ref]]),Tasks[[#This Row],[Ref]])</f>
        <v>T1.9672971</v>
      </c>
      <c r="B160" s="15" t="str" cm="1">
        <f t="array" ref="B160">_xlfn.SWITCH(LEFT(Tasks[[#This Row],[Status]],1),"O","Opened","C","Completed","S","Signed Off", "V", "Signed Off","ERROR")</f>
        <v>Signed Off</v>
      </c>
      <c r="C160" s="15" t="str" cm="1">
        <f t="array" ref="C160">_xlfn.SWITCH(LEFT(Tasks[[#This Row],[Type]], 3), "Fie", "Field Report", "Con", "Contractor QC", "Gen", "Contractor QC", "Pun", "Contractor QC", "Qua", "Contractor QC", "Fin", "Punch List")</f>
        <v>Field Report</v>
      </c>
      <c r="D160" s="15" t="str">
        <f>_xlfn.LET(
_xlpm.leftValue, TRIM(LEFT(Tasks[[#This Row],[Description]], 45)),
IF(LEN(_xlpm.leftValue) &lt; 40, _xlpm.leftValue, _xlfn.CONCAT(_xlpm.leftValue, "…"))
)</f>
        <v>DEA 31-4. Men’s Locker room screen partition…</v>
      </c>
      <c r="E160" s="15" t="str" cm="1">
        <f t="array" ref="E160">_xlfn.LET(
_xlpm.inTower, COUNTIF(Tower_Num_Table[Tower Rm Numbers], LEFT(Task_Summary_Table[[#This Row],[Area/Room]], 3)) &gt; 0,
_xlpm.typeResult, _xlfn.SWITCH(LEFT(Tasks[[#This Row],[Page]], 2), "Hi", "Historic", "An", "Annex", "Si", "Site", "S5", "Project Task", "SWITCH ERROR"),
IF(_xlpm.inTower, "West Tower", _xlpm.typeResult)
)</f>
        <v>Annex</v>
      </c>
      <c r="F160" s="12" t="str">
        <f>IFERROR(MID(Tasks[[#This Row],[Page]], FIND("Level", Tasks[[#This Row],[Page]]), 7), IF(ISNUMBER(FIND("Roof", Tasks[[#This Row],[Page]])), "Roof",  IF(ISNUMBER(FIND("S590", Tasks[[#This Row],[Page]])), "",  IF(ISNUMBER(FIND("Site", Tasks[[#This Row],[Page]])), "", "ERROR"))))</f>
        <v>Level 1</v>
      </c>
      <c r="G160" s="12" t="str">
        <f>IF(Tasks[[#This Row],[Location]]=0, "", Tasks[[#This Row],[Location]])</f>
        <v>139 - Vest</v>
      </c>
      <c r="H160" s="12" t="str">
        <f>Tasks[[#This Row],[To Package]]</f>
        <v xml:space="preserve">Finish Carpentry </v>
      </c>
      <c r="I160" s="12" t="str">
        <f>Tasks[[#This Row],[To Organisation]]</f>
        <v>Fetzers' Inc.</v>
      </c>
    </row>
    <row r="161" spans="1:9" ht="15.5" x14ac:dyDescent="0.35">
      <c r="A161" s="14" t="str">
        <f>HYPERLINK(_xlfn.CONCAT(Edit_URL,Tasks[[#This Row],[Ref]]),Tasks[[#This Row],[Ref]])</f>
        <v>T1.9541087</v>
      </c>
      <c r="B161" s="15" t="str" cm="1">
        <f t="array" ref="B161">_xlfn.SWITCH(LEFT(Tasks[[#This Row],[Status]],1),"O","Opened","C","Completed","S","Signed Off", "V", "Signed Off","ERROR")</f>
        <v>Signed Off</v>
      </c>
      <c r="C161" s="15" t="str" cm="1">
        <f t="array" ref="C161">_xlfn.SWITCH(LEFT(Tasks[[#This Row],[Type]], 3), "Fie", "Field Report", "Con", "Contractor QC", "Gen", "Contractor QC", "Pun", "Contractor QC", "Qua", "Contractor QC", "Fin", "Punch List")</f>
        <v>Field Report</v>
      </c>
      <c r="D161" s="15" t="str">
        <f>_xlfn.LET(
_xlpm.leftValue, TRIM(LEFT(Tasks[[#This Row],[Description]], 45)),
IF(LEN(_xlpm.leftValue) &lt; 40, _xlpm.leftValue, _xlfn.CONCAT(_xlpm.leftValue, "…"))
)</f>
        <v>ARW Field Report 59.1 - Josh asked if the new…</v>
      </c>
      <c r="E161" s="15" t="str" cm="1">
        <f t="array" ref="E161">_xlfn.LET(
_xlpm.inTower, COUNTIF(Tower_Num_Table[Tower Rm Numbers], LEFT(Task_Summary_Table[[#This Row],[Area/Room]], 3)) &gt; 0,
_xlpm.typeResult, _xlfn.SWITCH(LEFT(Tasks[[#This Row],[Page]], 2), "Hi", "Historic", "An", "Annex", "Si", "Site", "S5", "Project Task", "SWITCH ERROR"),
IF(_xlpm.inTower, "West Tower", _xlpm.typeResult)
)</f>
        <v>Historic</v>
      </c>
      <c r="F161" s="12" t="str">
        <f>IFERROR(MID(Tasks[[#This Row],[Page]], FIND("Level", Tasks[[#This Row],[Page]]), 7), IF(ISNUMBER(FIND("Roof", Tasks[[#This Row],[Page]])), "Roof",  IF(ISNUMBER(FIND("S590", Tasks[[#This Row],[Page]])), "",  IF(ISNUMBER(FIND("Site", Tasks[[#This Row],[Page]])), "", "ERROR"))))</f>
        <v>Level 1</v>
      </c>
      <c r="G161" s="12" t="str">
        <f>IF(Tasks[[#This Row],[Location]]=0, "", Tasks[[#This Row],[Location]])</f>
        <v/>
      </c>
      <c r="H161" s="12" t="str">
        <f>Tasks[[#This Row],[To Package]]</f>
        <v>Concrete</v>
      </c>
      <c r="I161" s="12" t="str">
        <f>Tasks[[#This Row],[To Organisation]]</f>
        <v>Innovative Concrete, LLC</v>
      </c>
    </row>
    <row r="162" spans="1:9" ht="15.5" x14ac:dyDescent="0.35">
      <c r="A162" s="14" t="str">
        <f>HYPERLINK(_xlfn.CONCAT(Edit_URL,Tasks[[#This Row],[Ref]]),Tasks[[#This Row],[Ref]])</f>
        <v>T1.9672972</v>
      </c>
      <c r="B162" s="15" t="str" cm="1">
        <f t="array" ref="B162">_xlfn.SWITCH(LEFT(Tasks[[#This Row],[Status]],1),"O","Opened","C","Completed","S","Signed Off", "V", "Signed Off","ERROR")</f>
        <v>Signed Off</v>
      </c>
      <c r="C162" s="15" t="str" cm="1">
        <f t="array" ref="C162">_xlfn.SWITCH(LEFT(Tasks[[#This Row],[Type]], 3), "Fie", "Field Report", "Con", "Contractor QC", "Gen", "Contractor QC", "Pun", "Contractor QC", "Qua", "Contractor QC", "Fin", "Punch List")</f>
        <v>Field Report</v>
      </c>
      <c r="D162" s="15" t="str">
        <f>_xlfn.LET(
_xlpm.leftValue, TRIM(LEFT(Tasks[[#This Row],[Description]], 45)),
IF(LEN(_xlpm.leftValue) &lt; 40, _xlpm.leftValue, _xlfn.CONCAT(_xlpm.leftValue, "…"))
)</f>
        <v>DEA 31-5. Instruction Room 162 lighting has b…</v>
      </c>
      <c r="E162" s="15" t="str" cm="1">
        <f t="array" ref="E162">_xlfn.LET(
_xlpm.inTower, COUNTIF(Tower_Num_Table[Tower Rm Numbers], LEFT(Task_Summary_Table[[#This Row],[Area/Room]], 3)) &gt; 0,
_xlpm.typeResult, _xlfn.SWITCH(LEFT(Tasks[[#This Row],[Page]], 2), "Hi", "Historic", "An", "Annex", "Si", "Site", "S5", "Project Task", "SWITCH ERROR"),
IF(_xlpm.inTower, "West Tower", _xlpm.typeResult)
)</f>
        <v>Annex</v>
      </c>
      <c r="F162" s="12" t="str">
        <f>IFERROR(MID(Tasks[[#This Row],[Page]], FIND("Level", Tasks[[#This Row],[Page]]), 7), IF(ISNUMBER(FIND("Roof", Tasks[[#This Row],[Page]])), "Roof",  IF(ISNUMBER(FIND("S590", Tasks[[#This Row],[Page]])), "",  IF(ISNUMBER(FIND("Site", Tasks[[#This Row],[Page]])), "", "ERROR"))))</f>
        <v>Level 1</v>
      </c>
      <c r="G162" s="12" t="str">
        <f>IF(Tasks[[#This Row],[Location]]=0, "", Tasks[[#This Row],[Location]])</f>
        <v>162 - Instruction Women</v>
      </c>
      <c r="H162" s="12" t="str">
        <f>Tasks[[#This Row],[To Package]]</f>
        <v>Metal Stud / Drywall</v>
      </c>
      <c r="I162" s="12" t="str">
        <f>Tasks[[#This Row],[To Organisation]]</f>
        <v>Pete King Construction</v>
      </c>
    </row>
    <row r="163" spans="1:9" ht="15.5" x14ac:dyDescent="0.35">
      <c r="A163" s="14" t="str">
        <f>HYPERLINK(_xlfn.CONCAT(Edit_URL,Tasks[[#This Row],[Ref]]),Tasks[[#This Row],[Ref]])</f>
        <v>T74290.114</v>
      </c>
      <c r="B163" s="15" t="str" cm="1">
        <f t="array" ref="B163">_xlfn.SWITCH(LEFT(Tasks[[#This Row],[Status]],1),"O","Opened","C","Completed","S","Signed Off", "V", "Signed Off","ERROR")</f>
        <v>Signed Off</v>
      </c>
      <c r="C163" s="15" t="str" cm="1">
        <f t="array" ref="C163">_xlfn.SWITCH(LEFT(Tasks[[#This Row],[Type]], 3), "Fie", "Field Report", "Con", "Contractor QC", "Gen", "Contractor QC", "Pun", "Contractor QC", "Qua", "Contractor QC", "Fin", "Punch List")</f>
        <v>Field Report</v>
      </c>
      <c r="D163" s="15" t="str">
        <f>_xlfn.LET(
_xlpm.leftValue, TRIM(LEFT(Tasks[[#This Row],[Description]], 45)),
IF(LEN(_xlpm.leftValue) &lt; 40, _xlpm.leftValue, _xlfn.CONCAT(_xlpm.leftValue, "…"))
)</f>
        <v>Curb at maintenance loading dock driveway was…</v>
      </c>
      <c r="E163" s="15" t="str" cm="1">
        <f t="array" ref="E163">_xlfn.LET(
_xlpm.inTower, COUNTIF(Tower_Num_Table[Tower Rm Numbers], LEFT(Task_Summary_Table[[#This Row],[Area/Room]], 3)) &gt; 0,
_xlpm.typeResult, _xlfn.SWITCH(LEFT(Tasks[[#This Row],[Page]], 2), "Hi", "Historic", "An", "Annex", "Si", "Site", "S5", "Project Task", "SWITCH ERROR"),
IF(_xlpm.inTower, "West Tower", _xlpm.typeResult)
)</f>
        <v>Annex</v>
      </c>
      <c r="F163" s="12" t="str">
        <f>IFERROR(MID(Tasks[[#This Row],[Page]], FIND("Level", Tasks[[#This Row],[Page]]), 7), IF(ISNUMBER(FIND("Roof", Tasks[[#This Row],[Page]])), "Roof",  IF(ISNUMBER(FIND("S590", Tasks[[#This Row],[Page]])), "",  IF(ISNUMBER(FIND("Site", Tasks[[#This Row],[Page]])), "", "ERROR"))))</f>
        <v>Level 1</v>
      </c>
      <c r="G163" s="12" t="str">
        <f>IF(Tasks[[#This Row],[Location]]=0, "", Tasks[[#This Row],[Location]])</f>
        <v/>
      </c>
      <c r="H163" s="12" t="str">
        <f>Tasks[[#This Row],[To Package]]</f>
        <v>Concrete</v>
      </c>
      <c r="I163" s="12" t="str">
        <f>Tasks[[#This Row],[To Organisation]]</f>
        <v>Innovative Concrete, LLC</v>
      </c>
    </row>
    <row r="164" spans="1:9" ht="15.5" x14ac:dyDescent="0.35">
      <c r="A164" s="14" t="str">
        <f>HYPERLINK(_xlfn.CONCAT(Edit_URL,Tasks[[#This Row],[Ref]]),Tasks[[#This Row],[Ref]])</f>
        <v>T74290.188</v>
      </c>
      <c r="B164" s="15" t="str" cm="1">
        <f t="array" ref="B164">_xlfn.SWITCH(LEFT(Tasks[[#This Row],[Status]],1),"O","Opened","C","Completed","S","Signed Off", "V", "Signed Off","ERROR")</f>
        <v>Opened</v>
      </c>
      <c r="C164" s="15" t="str" cm="1">
        <f t="array" ref="C164">_xlfn.SWITCH(LEFT(Tasks[[#This Row],[Type]], 3), "Fie", "Field Report", "Con", "Contractor QC", "Gen", "Contractor QC", "Pun", "Contractor QC", "Qua", "Contractor QC", "Fin", "Punch List")</f>
        <v>Field Report</v>
      </c>
      <c r="D164" s="15" t="str">
        <f>_xlfn.LET(
_xlpm.leftValue, TRIM(LEFT(Tasks[[#This Row],[Description]], 45)),
IF(LEN(_xlpm.leftValue) &lt; 40, _xlpm.leftValue, _xlfn.CONCAT(_xlpm.leftValue, "…"))
)</f>
        <v>Site visit report: 09/02/22
Protect AHU5 Pane…</v>
      </c>
      <c r="E164" s="15" t="str" cm="1">
        <f t="array" ref="E164">_xlfn.LET(
_xlpm.inTower, COUNTIF(Tower_Num_Table[Tower Rm Numbers], LEFT(Task_Summary_Table[[#This Row],[Area/Room]], 3)) &gt; 0,
_xlpm.typeResult, _xlfn.SWITCH(LEFT(Tasks[[#This Row],[Page]], 2), "Hi", "Historic", "An", "Annex", "Si", "Site", "S5", "Project Task", "SWITCH ERROR"),
IF(_xlpm.inTower, "West Tower", _xlpm.typeResult)
)</f>
        <v>Annex</v>
      </c>
      <c r="F164" s="12" t="str">
        <f>IFERROR(MID(Tasks[[#This Row],[Page]], FIND("Level", Tasks[[#This Row],[Page]]), 7), IF(ISNUMBER(FIND("Roof", Tasks[[#This Row],[Page]])), "Roof",  IF(ISNUMBER(FIND("S590", Tasks[[#This Row],[Page]])), "",  IF(ISNUMBER(FIND("Site", Tasks[[#This Row],[Page]])), "", "ERROR"))))</f>
        <v>Level 0</v>
      </c>
      <c r="G164" s="12" t="str">
        <f>IF(Tasks[[#This Row],[Location]]=0, "", Tasks[[#This Row],[Location]])</f>
        <v>040 - Elec.</v>
      </c>
      <c r="H164" s="12" t="str">
        <f>Tasks[[#This Row],[To Package]]</f>
        <v>Westland -- Annex</v>
      </c>
      <c r="I164" s="12" t="str">
        <f>Tasks[[#This Row],[To Organisation]]</f>
        <v>Westland Construction, Inc.</v>
      </c>
    </row>
    <row r="165" spans="1:9" ht="15.5" x14ac:dyDescent="0.35">
      <c r="A165" s="14" t="str">
        <f>HYPERLINK(_xlfn.CONCAT(Edit_URL,Tasks[[#This Row],[Ref]]),Tasks[[#This Row],[Ref]])</f>
        <v>T74290.41</v>
      </c>
      <c r="B165" s="15" t="str" cm="1">
        <f t="array" ref="B165">_xlfn.SWITCH(LEFT(Tasks[[#This Row],[Status]],1),"O","Opened","C","Completed","S","Signed Off", "V", "Signed Off","ERROR")</f>
        <v>Signed Off</v>
      </c>
      <c r="C165" s="15" t="str" cm="1">
        <f t="array" ref="C165">_xlfn.SWITCH(LEFT(Tasks[[#This Row],[Type]], 3), "Fie", "Field Report", "Con", "Contractor QC", "Gen", "Contractor QC", "Pun", "Contractor QC", "Qua", "Contractor QC", "Fin", "Punch List")</f>
        <v>Contractor QC</v>
      </c>
      <c r="D165" s="15" t="str">
        <f>_xlfn.LET(
_xlpm.leftValue, TRIM(LEFT(Tasks[[#This Row],[Description]], 45)),
IF(LEN(_xlpm.leftValue) &lt; 40, _xlpm.leftValue, _xlfn.CONCAT(_xlpm.leftValue, "…"))
)</f>
        <v>Raise sconce light up to proper elevation￼…</v>
      </c>
      <c r="E165" s="15" t="str" cm="1">
        <f t="array" ref="E165">_xlfn.LET(
_xlpm.inTower, COUNTIF(Tower_Num_Table[Tower Rm Numbers], LEFT(Task_Summary_Table[[#This Row],[Area/Room]], 3)) &gt; 0,
_xlpm.typeResult, _xlfn.SWITCH(LEFT(Tasks[[#This Row],[Page]], 2), "Hi", "Historic", "An", "Annex", "Si", "Site", "S5", "Project Task", "SWITCH ERROR"),
IF(_xlpm.inTower, "West Tower", _xlpm.typeResult)
)</f>
        <v>Historic</v>
      </c>
      <c r="F165" s="12" t="str">
        <f>IFERROR(MID(Tasks[[#This Row],[Page]], FIND("Level", Tasks[[#This Row],[Page]]), 7), IF(ISNUMBER(FIND("Roof", Tasks[[#This Row],[Page]])), "Roof",  IF(ISNUMBER(FIND("S590", Tasks[[#This Row],[Page]])), "",  IF(ISNUMBER(FIND("Site", Tasks[[#This Row],[Page]])), "", "ERROR"))))</f>
        <v>Level 3</v>
      </c>
      <c r="G165" s="12" t="str">
        <f>IF(Tasks[[#This Row],[Location]]=0, "", Tasks[[#This Row],[Location]])</f>
        <v>308 - Womens Restroom</v>
      </c>
      <c r="H165" s="12" t="str">
        <f>Tasks[[#This Row],[To Package]]</f>
        <v>Electrical</v>
      </c>
      <c r="I165" s="12" t="str">
        <f>Tasks[[#This Row],[To Organisation]]</f>
        <v>Wilkinson Electric Inc</v>
      </c>
    </row>
    <row r="166" spans="1:9" ht="15.5" x14ac:dyDescent="0.35">
      <c r="A166" s="14" t="str">
        <f>HYPERLINK(_xlfn.CONCAT(Edit_URL,Tasks[[#This Row],[Ref]]),Tasks[[#This Row],[Ref]])</f>
        <v>T74290.40</v>
      </c>
      <c r="B166" s="15" t="str" cm="1">
        <f t="array" ref="B166">_xlfn.SWITCH(LEFT(Tasks[[#This Row],[Status]],1),"O","Opened","C","Completed","S","Signed Off", "V", "Signed Off","ERROR")</f>
        <v>Signed Off</v>
      </c>
      <c r="C166" s="15" t="str" cm="1">
        <f t="array" ref="C166">_xlfn.SWITCH(LEFT(Tasks[[#This Row],[Type]], 3), "Fie", "Field Report", "Con", "Contractor QC", "Gen", "Contractor QC", "Pun", "Contractor QC", "Qua", "Contractor QC", "Fin", "Punch List")</f>
        <v>Contractor QC</v>
      </c>
      <c r="D166" s="15" t="str">
        <f>_xlfn.LET(
_xlpm.leftValue, TRIM(LEFT(Tasks[[#This Row],[Description]], 45)),
IF(LEN(_xlpm.leftValue) &lt; 40, _xlpm.leftValue, _xlfn.CONCAT(_xlpm.leftValue, "…"))
)</f>
        <v>Raise sconce light to proper elevation￼</v>
      </c>
      <c r="E166" s="15" t="str" cm="1">
        <f t="array" ref="E166">_xlfn.LET(
_xlpm.inTower, COUNTIF(Tower_Num_Table[Tower Rm Numbers], LEFT(Task_Summary_Table[[#This Row],[Area/Room]], 3)) &gt; 0,
_xlpm.typeResult, _xlfn.SWITCH(LEFT(Tasks[[#This Row],[Page]], 2), "Hi", "Historic", "An", "Annex", "Si", "Site", "S5", "Project Task", "SWITCH ERROR"),
IF(_xlpm.inTower, "West Tower", _xlpm.typeResult)
)</f>
        <v>Historic</v>
      </c>
      <c r="F166" s="12" t="str">
        <f>IFERROR(MID(Tasks[[#This Row],[Page]], FIND("Level", Tasks[[#This Row],[Page]]), 7), IF(ISNUMBER(FIND("Roof", Tasks[[#This Row],[Page]])), "Roof",  IF(ISNUMBER(FIND("S590", Tasks[[#This Row],[Page]])), "",  IF(ISNUMBER(FIND("Site", Tasks[[#This Row],[Page]])), "", "ERROR"))))</f>
        <v>Level 3</v>
      </c>
      <c r="G166" s="12" t="str">
        <f>IF(Tasks[[#This Row],[Location]]=0, "", Tasks[[#This Row],[Location]])</f>
        <v>328 - Mens Restroom</v>
      </c>
      <c r="H166" s="12" t="str">
        <f>Tasks[[#This Row],[To Package]]</f>
        <v>Electrical</v>
      </c>
      <c r="I166" s="12" t="str">
        <f>Tasks[[#This Row],[To Organisation]]</f>
        <v>Wilkinson Electric Inc</v>
      </c>
    </row>
    <row r="167" spans="1:9" ht="15.5" x14ac:dyDescent="0.35">
      <c r="A167" s="14" t="str">
        <f>HYPERLINK(_xlfn.CONCAT(Edit_URL,Tasks[[#This Row],[Ref]]),Tasks[[#This Row],[Ref]])</f>
        <v>T74290.46</v>
      </c>
      <c r="B167" s="15" t="str" cm="1">
        <f t="array" ref="B167">_xlfn.SWITCH(LEFT(Tasks[[#This Row],[Status]],1),"O","Opened","C","Completed","S","Signed Off", "V", "Signed Off","ERROR")</f>
        <v>Signed Off</v>
      </c>
      <c r="C167" s="15" t="str" cm="1">
        <f t="array" ref="C167">_xlfn.SWITCH(LEFT(Tasks[[#This Row],[Type]], 3), "Fie", "Field Report", "Con", "Contractor QC", "Gen", "Contractor QC", "Pun", "Contractor QC", "Qua", "Contractor QC", "Fin", "Punch List")</f>
        <v>Contractor QC</v>
      </c>
      <c r="D167" s="15" t="str">
        <f>_xlfn.LET(
_xlpm.leftValue, TRIM(LEFT(Tasks[[#This Row],[Description]], 45)),
IF(LEN(_xlpm.leftValue) &lt; 40, _xlpm.leftValue, _xlfn.CONCAT(_xlpm.leftValue, "…"))
)</f>
        <v>Remove shims at the top of the columns￼</v>
      </c>
      <c r="E167" s="15" t="str" cm="1">
        <f t="array" ref="E167">_xlfn.LET(
_xlpm.inTower, COUNTIF(Tower_Num_Table[Tower Rm Numbers], LEFT(Task_Summary_Table[[#This Row],[Area/Room]], 3)) &gt; 0,
_xlpm.typeResult, _xlfn.SWITCH(LEFT(Tasks[[#This Row],[Page]], 2), "Hi", "Historic", "An", "Annex", "Si", "Site", "S5", "Project Task", "SWITCH ERROR"),
IF(_xlpm.inTower, "West Tower", _xlpm.typeResult)
)</f>
        <v>Historic</v>
      </c>
      <c r="F167" s="12" t="str">
        <f>IFERROR(MID(Tasks[[#This Row],[Page]], FIND("Level", Tasks[[#This Row],[Page]]), 7), IF(ISNUMBER(FIND("Roof", Tasks[[#This Row],[Page]])), "Roof",  IF(ISNUMBER(FIND("S590", Tasks[[#This Row],[Page]])), "",  IF(ISNUMBER(FIND("Site", Tasks[[#This Row],[Page]])), "", "ERROR"))))</f>
        <v>Level 3</v>
      </c>
      <c r="G167" s="12" t="str">
        <f>IF(Tasks[[#This Row],[Location]]=0, "", Tasks[[#This Row],[Location]])</f>
        <v>323 - Instruction Men</v>
      </c>
      <c r="H167" s="12" t="str">
        <f>Tasks[[#This Row],[To Package]]</f>
        <v xml:space="preserve">Finish Carpentry </v>
      </c>
      <c r="I167" s="12" t="str">
        <f>Tasks[[#This Row],[To Organisation]]</f>
        <v>Fetzers' Inc.</v>
      </c>
    </row>
    <row r="168" spans="1:9" ht="15.5" x14ac:dyDescent="0.35">
      <c r="A168" s="14" t="str">
        <f>HYPERLINK(_xlfn.CONCAT(Edit_URL,Tasks[[#This Row],[Ref]]),Tasks[[#This Row],[Ref]])</f>
        <v>T74290.11</v>
      </c>
      <c r="B168" s="15" t="str" cm="1">
        <f t="array" ref="B168">_xlfn.SWITCH(LEFT(Tasks[[#This Row],[Status]],1),"O","Opened","C","Completed","S","Signed Off", "V", "Signed Off","ERROR")</f>
        <v>Signed Off</v>
      </c>
      <c r="C168" s="15" t="str" cm="1">
        <f t="array" ref="C168">_xlfn.SWITCH(LEFT(Tasks[[#This Row],[Type]], 3), "Fie", "Field Report", "Con", "Contractor QC", "Gen", "Contractor QC", "Pun", "Contractor QC", "Qua", "Contractor QC", "Fin", "Punch List")</f>
        <v>Contractor QC</v>
      </c>
      <c r="D168" s="15" t="str">
        <f>_xlfn.LET(
_xlpm.leftValue, TRIM(LEFT(Tasks[[#This Row],[Description]], 45)),
IF(LEN(_xlpm.leftValue) &lt; 40, _xlpm.leftValue, _xlfn.CONCAT(_xlpm.leftValue, "…"))
)</f>
        <v>Complete flashing under window￼</v>
      </c>
      <c r="E168" s="15" t="str" cm="1">
        <f t="array" ref="E168">_xlfn.LET(
_xlpm.inTower, COUNTIF(Tower_Num_Table[Tower Rm Numbers], LEFT(Task_Summary_Table[[#This Row],[Area/Room]], 3)) &gt; 0,
_xlpm.typeResult, _xlfn.SWITCH(LEFT(Tasks[[#This Row],[Page]], 2), "Hi", "Historic", "An", "Annex", "Si", "Site", "S5", "Project Task", "SWITCH ERROR"),
IF(_xlpm.inTower, "West Tower", _xlpm.typeResult)
)</f>
        <v>Historic</v>
      </c>
      <c r="F168" s="12" t="str">
        <f>IFERROR(MID(Tasks[[#This Row],[Page]], FIND("Level", Tasks[[#This Row],[Page]]), 7), IF(ISNUMBER(FIND("Roof", Tasks[[#This Row],[Page]])), "Roof",  IF(ISNUMBER(FIND("S590", Tasks[[#This Row],[Page]])), "",  IF(ISNUMBER(FIND("Site", Tasks[[#This Row],[Page]])), "", "ERROR"))))</f>
        <v>Level 2</v>
      </c>
      <c r="G168" s="12" t="str">
        <f>IF(Tasks[[#This Row],[Location]]=0, "", Tasks[[#This Row],[Location]])</f>
        <v>223 - Elevator Lobby</v>
      </c>
      <c r="H168" s="12" t="str">
        <f>Tasks[[#This Row],[To Package]]</f>
        <v>Westland -- Historic</v>
      </c>
      <c r="I168" s="12" t="str">
        <f>Tasks[[#This Row],[To Organisation]]</f>
        <v>Westland Construction, Inc.</v>
      </c>
    </row>
    <row r="169" spans="1:9" ht="15.5" x14ac:dyDescent="0.35">
      <c r="A169" s="14" t="str">
        <f>HYPERLINK(_xlfn.CONCAT(Edit_URL,Tasks[[#This Row],[Ref]]),Tasks[[#This Row],[Ref]])</f>
        <v>T74290.39</v>
      </c>
      <c r="B169" s="15" t="str" cm="1">
        <f t="array" ref="B169">_xlfn.SWITCH(LEFT(Tasks[[#This Row],[Status]],1),"O","Opened","C","Completed","S","Signed Off", "V", "Signed Off","ERROR")</f>
        <v>Signed Off</v>
      </c>
      <c r="C169" s="15" t="str" cm="1">
        <f t="array" ref="C169">_xlfn.SWITCH(LEFT(Tasks[[#This Row],[Type]], 3), "Fie", "Field Report", "Con", "Contractor QC", "Gen", "Contractor QC", "Pun", "Contractor QC", "Qua", "Contractor QC", "Fin", "Punch List")</f>
        <v>Contractor QC</v>
      </c>
      <c r="D169" s="15" t="str">
        <f>_xlfn.LET(
_xlpm.leftValue, TRIM(LEFT(Tasks[[#This Row],[Description]], 45)),
IF(LEN(_xlpm.leftValue) &lt; 40, _xlpm.leftValue, _xlfn.CONCAT(_xlpm.leftValue, "…"))
)</f>
        <v>align electrical sconce rough in with plumbin…</v>
      </c>
      <c r="E169" s="15" t="str" cm="1">
        <f t="array" ref="E16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9" s="12" t="str">
        <f>IFERROR(MID(Tasks[[#This Row],[Page]], FIND("Level", Tasks[[#This Row],[Page]]), 7), IF(ISNUMBER(FIND("Roof", Tasks[[#This Row],[Page]])), "Roof",  IF(ISNUMBER(FIND("S590", Tasks[[#This Row],[Page]])), "",  IF(ISNUMBER(FIND("Site", Tasks[[#This Row],[Page]])), "", "ERROR"))))</f>
        <v>Level 1</v>
      </c>
      <c r="G169" s="12" t="str">
        <f>IF(Tasks[[#This Row],[Location]]=0, "", Tasks[[#This Row],[Location]])</f>
        <v>186 - Womens Restroom</v>
      </c>
      <c r="H169" s="12" t="str">
        <f>Tasks[[#This Row],[To Package]]</f>
        <v>Electrical</v>
      </c>
      <c r="I169" s="12" t="str">
        <f>Tasks[[#This Row],[To Organisation]]</f>
        <v>Wilkinson Electric Inc</v>
      </c>
    </row>
    <row r="170" spans="1:9" ht="15.5" x14ac:dyDescent="0.35">
      <c r="A170" s="14" t="str">
        <f>HYPERLINK(_xlfn.CONCAT(Edit_URL,Tasks[[#This Row],[Ref]]),Tasks[[#This Row],[Ref]])</f>
        <v>T55794.5</v>
      </c>
      <c r="B170" s="15" t="str" cm="1">
        <f t="array" ref="B170">_xlfn.SWITCH(LEFT(Tasks[[#This Row],[Status]],1),"O","Opened","C","Completed","S","Signed Off", "V", "Signed Off","ERROR")</f>
        <v>Signed Off</v>
      </c>
      <c r="C170" s="15" t="str" cm="1">
        <f t="array" ref="C170">_xlfn.SWITCH(LEFT(Tasks[[#This Row],[Type]], 3), "Fie", "Field Report", "Con", "Contractor QC", "Gen", "Contractor QC", "Pun", "Contractor QC", "Qua", "Contractor QC", "Fin", "Punch List")</f>
        <v>Contractor QC</v>
      </c>
      <c r="D170" s="15" t="str">
        <f>_xlfn.LET(
_xlpm.leftValue, TRIM(LEFT(Tasks[[#This Row],[Description]], 45)),
IF(LEN(_xlpm.leftValue) &lt; 40, _xlpm.leftValue, _xlfn.CONCAT(_xlpm.leftValue, "…"))
)</f>
        <v>align electrical sconce rough in with plumbin…</v>
      </c>
      <c r="E170" s="15" t="str" cm="1">
        <f t="array" ref="E1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70" s="12" t="str">
        <f>IFERROR(MID(Tasks[[#This Row],[Page]], FIND("Level", Tasks[[#This Row],[Page]]), 7), IF(ISNUMBER(FIND("Roof", Tasks[[#This Row],[Page]])), "Roof",  IF(ISNUMBER(FIND("S590", Tasks[[#This Row],[Page]])), "",  IF(ISNUMBER(FIND("Site", Tasks[[#This Row],[Page]])), "", "ERROR"))))</f>
        <v>Level 1</v>
      </c>
      <c r="G170" s="12" t="str">
        <f>IF(Tasks[[#This Row],[Location]]=0, "", Tasks[[#This Row],[Location]])</f>
        <v>187 - Mens Restroom</v>
      </c>
      <c r="H170" s="12" t="str">
        <f>Tasks[[#This Row],[To Package]]</f>
        <v>Electrical</v>
      </c>
      <c r="I170" s="12" t="str">
        <f>Tasks[[#This Row],[To Organisation]]</f>
        <v>Wilkinson Electric Inc</v>
      </c>
    </row>
    <row r="171" spans="1:9" ht="15.5" x14ac:dyDescent="0.35">
      <c r="A171" s="14" t="str">
        <f>HYPERLINK(_xlfn.CONCAT(Edit_URL,Tasks[[#This Row],[Ref]]),Tasks[[#This Row],[Ref]])</f>
        <v>T74290.112</v>
      </c>
      <c r="B171" s="15" t="str" cm="1">
        <f t="array" ref="B171">_xlfn.SWITCH(LEFT(Tasks[[#This Row],[Status]],1),"O","Opened","C","Completed","S","Signed Off", "V", "Signed Off","ERROR")</f>
        <v>Opened</v>
      </c>
      <c r="C171" s="15" t="str" cm="1">
        <f t="array" ref="C171">_xlfn.SWITCH(LEFT(Tasks[[#This Row],[Type]], 3), "Fie", "Field Report", "Con", "Contractor QC", "Gen", "Contractor QC", "Pun", "Contractor QC", "Qua", "Contractor QC", "Fin", "Punch List")</f>
        <v>Contractor QC</v>
      </c>
      <c r="D171" s="15" t="str">
        <f>_xlfn.LET(
_xlpm.leftValue, TRIM(LEFT(Tasks[[#This Row],[Description]], 45)),
IF(LEN(_xlpm.leftValue) &lt; 40, _xlpm.leftValue, _xlfn.CONCAT(_xlpm.leftValue, "…"))
)</f>
        <v>Align the concrete boxes with conduit to make…</v>
      </c>
      <c r="E171" s="15" t="str" cm="1">
        <f t="array" ref="E171">_xlfn.LET(
_xlpm.inTower, COUNTIF(Tower_Num_Table[Tower Rm Numbers], LEFT(Task_Summary_Table[[#This Row],[Area/Room]], 3)) &gt; 0,
_xlpm.typeResult, _xlfn.SWITCH(LEFT(Tasks[[#This Row],[Page]], 2), "Hi", "Historic", "An", "Annex", "Si", "Site", "S5", "Project Task", "SWITCH ERROR"),
IF(_xlpm.inTower, "West Tower", _xlpm.typeResult)
)</f>
        <v>Site</v>
      </c>
      <c r="F171" s="12" t="str">
        <f>IFERROR(MID(Tasks[[#This Row],[Page]], FIND("Level", Tasks[[#This Row],[Page]]), 7), IF(ISNUMBER(FIND("Roof", Tasks[[#This Row],[Page]])), "Roof",  IF(ISNUMBER(FIND("S590", Tasks[[#This Row],[Page]])), "",  IF(ISNUMBER(FIND("Site", Tasks[[#This Row],[Page]])), "", "ERROR"))))</f>
        <v/>
      </c>
      <c r="G171" s="12" t="str">
        <f>IF(Tasks[[#This Row],[Location]]=0, "", Tasks[[#This Row],[Location]])</f>
        <v>Site Area K</v>
      </c>
      <c r="H171" s="12" t="str">
        <f>Tasks[[#This Row],[To Package]]</f>
        <v>Westland -- Site</v>
      </c>
      <c r="I171" s="12" t="str">
        <f>Tasks[[#This Row],[To Organisation]]</f>
        <v>Westland Construction, Inc.</v>
      </c>
    </row>
    <row r="172" spans="1:9" ht="15.5" x14ac:dyDescent="0.35">
      <c r="A172" s="14" t="str">
        <f>HYPERLINK(_xlfn.CONCAT(Edit_URL,Tasks[[#This Row],[Ref]]),Tasks[[#This Row],[Ref]])</f>
        <v>T74290.107</v>
      </c>
      <c r="B172" s="15" t="str" cm="1">
        <f t="array" ref="B172">_xlfn.SWITCH(LEFT(Tasks[[#This Row],[Status]],1),"O","Opened","C","Completed","S","Signed Off", "V", "Signed Off","ERROR")</f>
        <v>Signed Off</v>
      </c>
      <c r="C172" s="15" t="str" cm="1">
        <f t="array" ref="C172">_xlfn.SWITCH(LEFT(Tasks[[#This Row],[Type]], 3), "Fie", "Field Report", "Con", "Contractor QC", "Gen", "Contractor QC", "Pun", "Contractor QC", "Qua", "Contractor QC", "Fin", "Punch List")</f>
        <v>Contractor QC</v>
      </c>
      <c r="D172" s="15" t="str">
        <f>_xlfn.LET(
_xlpm.leftValue, TRIM(LEFT(Tasks[[#This Row],[Description]], 45)),
IF(LEN(_xlpm.leftValue) &lt; 40, _xlpm.leftValue, _xlfn.CONCAT(_xlpm.leftValue, "…"))
)</f>
        <v>Close in vanity light box</v>
      </c>
      <c r="E172" s="15" t="str" cm="1">
        <f t="array" ref="E172">_xlfn.LET(
_xlpm.inTower, COUNTIF(Tower_Num_Table[Tower Rm Numbers], LEFT(Task_Summary_Table[[#This Row],[Area/Room]], 3)) &gt; 0,
_xlpm.typeResult, _xlfn.SWITCH(LEFT(Tasks[[#This Row],[Page]], 2), "Hi", "Historic", "An", "Annex", "Si", "Site", "S5", "Project Task", "SWITCH ERROR"),
IF(_xlpm.inTower, "West Tower", _xlpm.typeResult)
)</f>
        <v>Historic</v>
      </c>
      <c r="F172" s="12" t="str">
        <f>IFERROR(MID(Tasks[[#This Row],[Page]], FIND("Level", Tasks[[#This Row],[Page]]), 7), IF(ISNUMBER(FIND("Roof", Tasks[[#This Row],[Page]])), "Roof",  IF(ISNUMBER(FIND("S590", Tasks[[#This Row],[Page]])), "",  IF(ISNUMBER(FIND("Site", Tasks[[#This Row],[Page]])), "", "ERROR"))))</f>
        <v>Level 2</v>
      </c>
      <c r="G172" s="12" t="str">
        <f>IF(Tasks[[#This Row],[Location]]=0, "", Tasks[[#This Row],[Location]])</f>
        <v>215 - Womens Restroom</v>
      </c>
      <c r="H172" s="12" t="str">
        <f>Tasks[[#This Row],[To Package]]</f>
        <v>Metal Stud / Drywall</v>
      </c>
      <c r="I172" s="12" t="str">
        <f>Tasks[[#This Row],[To Organisation]]</f>
        <v>Pete King Construction</v>
      </c>
    </row>
    <row r="173" spans="1:9" ht="15.5" x14ac:dyDescent="0.35">
      <c r="A173" s="14" t="str">
        <f>HYPERLINK(_xlfn.CONCAT(Edit_URL,Tasks[[#This Row],[Ref]]),Tasks[[#This Row],[Ref]])</f>
        <v>T74290.108</v>
      </c>
      <c r="B173" s="15" t="str" cm="1">
        <f t="array" ref="B173">_xlfn.SWITCH(LEFT(Tasks[[#This Row],[Status]],1),"O","Opened","C","Completed","S","Signed Off", "V", "Signed Off","ERROR")</f>
        <v>Signed Off</v>
      </c>
      <c r="C173" s="15" t="str" cm="1">
        <f t="array" ref="C173">_xlfn.SWITCH(LEFT(Tasks[[#This Row],[Type]], 3), "Fie", "Field Report", "Con", "Contractor QC", "Gen", "Contractor QC", "Pun", "Contractor QC", "Qua", "Contractor QC", "Fin", "Punch List")</f>
        <v>Contractor QC</v>
      </c>
      <c r="D173" s="15" t="str">
        <f>_xlfn.LET(
_xlpm.leftValue, TRIM(LEFT(Tasks[[#This Row],[Description]], 45)),
IF(LEN(_xlpm.leftValue) &lt; 40, _xlpm.leftValue, _xlfn.CONCAT(_xlpm.leftValue, "…"))
)</f>
        <v>Close in vanity light box</v>
      </c>
      <c r="E173" s="15" t="str" cm="1">
        <f t="array" ref="E173">_xlfn.LET(
_xlpm.inTower, COUNTIF(Tower_Num_Table[Tower Rm Numbers], LEFT(Task_Summary_Table[[#This Row],[Area/Room]], 3)) &gt; 0,
_xlpm.typeResult, _xlfn.SWITCH(LEFT(Tasks[[#This Row],[Page]], 2), "Hi", "Historic", "An", "Annex", "Si", "Site", "S5", "Project Task", "SWITCH ERROR"),
IF(_xlpm.inTower, "West Tower", _xlpm.typeResult)
)</f>
        <v>Historic</v>
      </c>
      <c r="F173" s="12" t="str">
        <f>IFERROR(MID(Tasks[[#This Row],[Page]], FIND("Level", Tasks[[#This Row],[Page]]), 7), IF(ISNUMBER(FIND("Roof", Tasks[[#This Row],[Page]])), "Roof",  IF(ISNUMBER(FIND("S590", Tasks[[#This Row],[Page]])), "",  IF(ISNUMBER(FIND("Site", Tasks[[#This Row],[Page]])), "", "ERROR"))))</f>
        <v>Level 2</v>
      </c>
      <c r="G173" s="12" t="str">
        <f>IF(Tasks[[#This Row],[Location]]=0, "", Tasks[[#This Row],[Location]])</f>
        <v>216 - Mens Restroom</v>
      </c>
      <c r="H173" s="12" t="str">
        <f>Tasks[[#This Row],[To Package]]</f>
        <v>Metal Stud / Drywall</v>
      </c>
      <c r="I173" s="12" t="str">
        <f>Tasks[[#This Row],[To Organisation]]</f>
        <v>Pete King Construction</v>
      </c>
    </row>
    <row r="174" spans="1:9" ht="15.5" x14ac:dyDescent="0.35">
      <c r="A174" s="14" t="str">
        <f>HYPERLINK(_xlfn.CONCAT(Edit_URL,Tasks[[#This Row],[Ref]]),Tasks[[#This Row],[Ref]])</f>
        <v>T74290.42</v>
      </c>
      <c r="B174" s="15" t="str" cm="1">
        <f t="array" ref="B174">_xlfn.SWITCH(LEFT(Tasks[[#This Row],[Status]],1),"O","Opened","C","Completed","S","Signed Off", "V", "Signed Off","ERROR")</f>
        <v>Signed Off</v>
      </c>
      <c r="C174" s="15" t="str" cm="1">
        <f t="array" ref="C174">_xlfn.SWITCH(LEFT(Tasks[[#This Row],[Type]], 3), "Fie", "Field Report", "Con", "Contractor QC", "Gen", "Contractor QC", "Pun", "Contractor QC", "Qua", "Contractor QC", "Fin", "Punch List")</f>
        <v>Contractor QC</v>
      </c>
      <c r="D174" s="15" t="str">
        <f>_xlfn.LET(
_xlpm.leftValue, TRIM(LEFT(Tasks[[#This Row],[Description]], 45)),
IF(LEN(_xlpm.leftValue) &lt; 40, _xlpm.leftValue, _xlfn.CONCAT(_xlpm.leftValue, "…"))
)</f>
        <v>Prime and paint wall￼</v>
      </c>
      <c r="E174" s="15" t="str" cm="1">
        <f t="array" ref="E174">_xlfn.LET(
_xlpm.inTower, COUNTIF(Tower_Num_Table[Tower Rm Numbers], LEFT(Task_Summary_Table[[#This Row],[Area/Room]], 3)) &gt; 0,
_xlpm.typeResult, _xlfn.SWITCH(LEFT(Tasks[[#This Row],[Page]], 2), "Hi", "Historic", "An", "Annex", "Si", "Site", "S5", "Project Task", "SWITCH ERROR"),
IF(_xlpm.inTower, "West Tower", _xlpm.typeResult)
)</f>
        <v>Annex</v>
      </c>
      <c r="F174" s="12" t="str">
        <f>IFERROR(MID(Tasks[[#This Row],[Page]], FIND("Level", Tasks[[#This Row],[Page]]), 7), IF(ISNUMBER(FIND("Roof", Tasks[[#This Row],[Page]])), "Roof",  IF(ISNUMBER(FIND("S590", Tasks[[#This Row],[Page]])), "",  IF(ISNUMBER(FIND("Site", Tasks[[#This Row],[Page]])), "", "ERROR"))))</f>
        <v>Level 1</v>
      </c>
      <c r="G174" s="12" t="str">
        <f>IF(Tasks[[#This Row],[Location]]=0, "", Tasks[[#This Row],[Location]])</f>
        <v>162 - Instruction Women</v>
      </c>
      <c r="H174" s="12" t="str">
        <f>Tasks[[#This Row],[To Package]]</f>
        <v>Paint</v>
      </c>
      <c r="I174" s="12" t="str">
        <f>Tasks[[#This Row],[To Organisation]]</f>
        <v>Accent Painting and Special Coatings, LLC</v>
      </c>
    </row>
    <row r="175" spans="1:9" ht="15.5" x14ac:dyDescent="0.35">
      <c r="A175" s="14" t="str">
        <f>HYPERLINK(_xlfn.CONCAT(Edit_URL,Tasks[[#This Row],[Ref]]),Tasks[[#This Row],[Ref]])</f>
        <v>T74290.109</v>
      </c>
      <c r="B175" s="15" t="str" cm="1">
        <f t="array" ref="B175">_xlfn.SWITCH(LEFT(Tasks[[#This Row],[Status]],1),"O","Opened","C","Completed","S","Signed Off", "V", "Signed Off","ERROR")</f>
        <v>Completed</v>
      </c>
      <c r="C175" s="15" t="str" cm="1">
        <f t="array" ref="C175">_xlfn.SWITCH(LEFT(Tasks[[#This Row],[Type]], 3), "Fie", "Field Report", "Con", "Contractor QC", "Gen", "Contractor QC", "Pun", "Contractor QC", "Qua", "Contractor QC", "Fin", "Punch List")</f>
        <v>Contractor QC</v>
      </c>
      <c r="D175" s="15" t="str">
        <f>_xlfn.LET(
_xlpm.leftValue, TRIM(LEFT(Tasks[[#This Row],[Description]], 45)),
IF(LEN(_xlpm.leftValue) &lt; 40, _xlpm.leftValue, _xlfn.CONCAT(_xlpm.leftValue, "…"))
)</f>
        <v>Fill in outlet opening</v>
      </c>
      <c r="E175" s="15" t="str" cm="1">
        <f t="array" ref="E175">_xlfn.LET(
_xlpm.inTower, COUNTIF(Tower_Num_Table[Tower Rm Numbers], LEFT(Task_Summary_Table[[#This Row],[Area/Room]], 3)) &gt; 0,
_xlpm.typeResult, _xlfn.SWITCH(LEFT(Tasks[[#This Row],[Page]], 2), "Hi", "Historic", "An", "Annex", "Si", "Site", "S5", "Project Task", "SWITCH ERROR"),
IF(_xlpm.inTower, "West Tower", _xlpm.typeResult)
)</f>
        <v>Historic</v>
      </c>
      <c r="F175" s="12" t="str">
        <f>IFERROR(MID(Tasks[[#This Row],[Page]], FIND("Level", Tasks[[#This Row],[Page]]), 7), IF(ISNUMBER(FIND("Roof", Tasks[[#This Row],[Page]])), "Roof",  IF(ISNUMBER(FIND("S590", Tasks[[#This Row],[Page]])), "",  IF(ISNUMBER(FIND("Site", Tasks[[#This Row],[Page]])), "", "ERROR"))))</f>
        <v>Level 3</v>
      </c>
      <c r="G175" s="12" t="str">
        <f>IF(Tasks[[#This Row],[Location]]=0, "", Tasks[[#This Row],[Location]])</f>
        <v>321 - Study</v>
      </c>
      <c r="H175" s="12" t="str">
        <f>Tasks[[#This Row],[To Package]]</f>
        <v>Metal Stud / Drywall</v>
      </c>
      <c r="I175" s="12" t="str">
        <f>Tasks[[#This Row],[To Organisation]]</f>
        <v>Pete King Construction</v>
      </c>
    </row>
    <row r="176" spans="1:9" ht="15.5" x14ac:dyDescent="0.35">
      <c r="A176" s="14" t="str">
        <f>HYPERLINK(_xlfn.CONCAT(Edit_URL,Tasks[[#This Row],[Ref]]),Tasks[[#This Row],[Ref]])</f>
        <v>T74290.127</v>
      </c>
      <c r="B176" s="15" t="str" cm="1">
        <f t="array" ref="B176">_xlfn.SWITCH(LEFT(Tasks[[#This Row],[Status]],1),"O","Opened","C","Completed","S","Signed Off", "V", "Signed Off","ERROR")</f>
        <v>Signed Off</v>
      </c>
      <c r="C176" s="15" t="str" cm="1">
        <f t="array" ref="C176">_xlfn.SWITCH(LEFT(Tasks[[#This Row],[Type]], 3), "Fie", "Field Report", "Con", "Contractor QC", "Gen", "Contractor QC", "Pun", "Contractor QC", "Qua", "Contractor QC", "Fin", "Punch List")</f>
        <v>Contractor QC</v>
      </c>
      <c r="D176" s="15" t="str">
        <f>_xlfn.LET(
_xlpm.leftValue, TRIM(LEFT(Tasks[[#This Row],[Description]], 45)),
IF(LEN(_xlpm.leftValue) &lt; 40, _xlpm.leftValue, _xlfn.CONCAT(_xlpm.leftValue, "…"))
)</f>
        <v>Paint wall and window splay</v>
      </c>
      <c r="E176" s="15" t="str" cm="1">
        <f t="array" ref="E176">_xlfn.LET(
_xlpm.inTower, COUNTIF(Tower_Num_Table[Tower Rm Numbers], LEFT(Task_Summary_Table[[#This Row],[Area/Room]], 3)) &gt; 0,
_xlpm.typeResult, _xlfn.SWITCH(LEFT(Tasks[[#This Row],[Page]], 2), "Hi", "Historic", "An", "Annex", "Si", "Site", "S5", "Project Task", "SWITCH ERROR"),
IF(_xlpm.inTower, "West Tower", _xlpm.typeResult)
)</f>
        <v>Annex</v>
      </c>
      <c r="F176" s="12" t="str">
        <f>IFERROR(MID(Tasks[[#This Row],[Page]], FIND("Level", Tasks[[#This Row],[Page]]), 7), IF(ISNUMBER(FIND("Roof", Tasks[[#This Row],[Page]])), "Roof",  IF(ISNUMBER(FIND("S590", Tasks[[#This Row],[Page]])), "",  IF(ISNUMBER(FIND("Site", Tasks[[#This Row],[Page]])), "", "ERROR"))))</f>
        <v>Level 1</v>
      </c>
      <c r="G176" s="12" t="str">
        <f>IF(Tasks[[#This Row],[Location]]=0, "", Tasks[[#This Row],[Location]])</f>
        <v/>
      </c>
      <c r="H176" s="12" t="str">
        <f>Tasks[[#This Row],[To Package]]</f>
        <v>Paint</v>
      </c>
      <c r="I176" s="12" t="str">
        <f>Tasks[[#This Row],[To Organisation]]</f>
        <v>Accent Painting and Special Coatings, LLC</v>
      </c>
    </row>
    <row r="177" spans="1:9" ht="15.5" x14ac:dyDescent="0.35">
      <c r="A177" s="14" t="str">
        <f>HYPERLINK(_xlfn.CONCAT(Edit_URL,Tasks[[#This Row],[Ref]]),Tasks[[#This Row],[Ref]])</f>
        <v>T74290.110</v>
      </c>
      <c r="B177" s="15" t="str" cm="1">
        <f t="array" ref="B177">_xlfn.SWITCH(LEFT(Tasks[[#This Row],[Status]],1),"O","Opened","C","Completed","S","Signed Off", "V", "Signed Off","ERROR")</f>
        <v>Signed Off</v>
      </c>
      <c r="C177" s="15" t="str" cm="1">
        <f t="array" ref="C177">_xlfn.SWITCH(LEFT(Tasks[[#This Row],[Type]], 3), "Fie", "Field Report", "Con", "Contractor QC", "Gen", "Contractor QC", "Pun", "Contractor QC", "Qua", "Contractor QC", "Fin", "Punch List")</f>
        <v>Contractor QC</v>
      </c>
      <c r="D177" s="15" t="str">
        <f>_xlfn.LET(
_xlpm.leftValue, TRIM(LEFT(Tasks[[#This Row],[Description]], 45)),
IF(LEN(_xlpm.leftValue) &lt; 40, _xlpm.leftValue, _xlfn.CONCAT(_xlpm.leftValue, "…"))
)</f>
        <v>Finish plaster around trim</v>
      </c>
      <c r="E177" s="15" t="str" cm="1">
        <f t="array" ref="E177">_xlfn.LET(
_xlpm.inTower, COUNTIF(Tower_Num_Table[Tower Rm Numbers], LEFT(Task_Summary_Table[[#This Row],[Area/Room]], 3)) &gt; 0,
_xlpm.typeResult, _xlfn.SWITCH(LEFT(Tasks[[#This Row],[Page]], 2), "Hi", "Historic", "An", "Annex", "Si", "Site", "S5", "Project Task", "SWITCH ERROR"),
IF(_xlpm.inTower, "West Tower", _xlpm.typeResult)
)</f>
        <v>Historic</v>
      </c>
      <c r="F177" s="12" t="str">
        <f>IFERROR(MID(Tasks[[#This Row],[Page]], FIND("Level", Tasks[[#This Row],[Page]]), 7), IF(ISNUMBER(FIND("Roof", Tasks[[#This Row],[Page]])), "Roof",  IF(ISNUMBER(FIND("S590", Tasks[[#This Row],[Page]])), "",  IF(ISNUMBER(FIND("Site", Tasks[[#This Row],[Page]])), "", "ERROR"))))</f>
        <v>Level 3</v>
      </c>
      <c r="G177" s="12" t="str">
        <f>IF(Tasks[[#This Row],[Location]]=0, "", Tasks[[#This Row],[Location]])</f>
        <v>320 - Hallway</v>
      </c>
      <c r="H177" s="12" t="str">
        <f>Tasks[[#This Row],[To Package]]</f>
        <v>Plaster</v>
      </c>
      <c r="I177" s="12" t="str">
        <f>Tasks[[#This Row],[To Organisation]]</f>
        <v>R. Phillips Plastering LLC</v>
      </c>
    </row>
    <row r="178" spans="1:9" ht="15.5" x14ac:dyDescent="0.35">
      <c r="A178" s="14" t="str">
        <f>HYPERLINK(_xlfn.CONCAT(Edit_URL,Tasks[[#This Row],[Ref]]),Tasks[[#This Row],[Ref]])</f>
        <v>T74290.101</v>
      </c>
      <c r="B178" s="15" t="str" cm="1">
        <f t="array" ref="B178">_xlfn.SWITCH(LEFT(Tasks[[#This Row],[Status]],1),"O","Opened","C","Completed","S","Signed Off", "V", "Signed Off","ERROR")</f>
        <v>Completed</v>
      </c>
      <c r="C178" s="15" t="str" cm="1">
        <f t="array" ref="C178">_xlfn.SWITCH(LEFT(Tasks[[#This Row],[Type]], 3), "Fie", "Field Report", "Con", "Contractor QC", "Gen", "Contractor QC", "Pun", "Contractor QC", "Qua", "Contractor QC", "Fin", "Punch List")</f>
        <v>Contractor QC</v>
      </c>
      <c r="D178" s="15" t="str">
        <f>_xlfn.LET(
_xlpm.leftValue, TRIM(LEFT(Tasks[[#This Row],[Description]], 45)),
IF(LEN(_xlpm.leftValue) &lt; 40, _xlpm.leftValue, _xlfn.CONCAT(_xlpm.leftValue, "…"))
)</f>
        <v>Smooth out joints in handrail for both north…</v>
      </c>
      <c r="E178" s="15" t="str" cm="1">
        <f t="array" ref="E178">_xlfn.LET(
_xlpm.inTower, COUNTIF(Tower_Num_Table[Tower Rm Numbers], LEFT(Task_Summary_Table[[#This Row],[Area/Room]], 3)) &gt; 0,
_xlpm.typeResult, _xlfn.SWITCH(LEFT(Tasks[[#This Row],[Page]], 2), "Hi", "Historic", "An", "Annex", "Si", "Site", "S5", "Project Task", "SWITCH ERROR"),
IF(_xlpm.inTower, "West Tower", _xlpm.typeResult)
)</f>
        <v>Historic</v>
      </c>
      <c r="F178" s="12" t="str">
        <f>IFERROR(MID(Tasks[[#This Row],[Page]], FIND("Level", Tasks[[#This Row],[Page]]), 7), IF(ISNUMBER(FIND("Roof", Tasks[[#This Row],[Page]])), "Roof",  IF(ISNUMBER(FIND("S590", Tasks[[#This Row],[Page]])), "",  IF(ISNUMBER(FIND("Site", Tasks[[#This Row],[Page]])), "", "ERROR"))))</f>
        <v>Level 2</v>
      </c>
      <c r="G178" s="12" t="str">
        <f>IF(Tasks[[#This Row],[Location]]=0, "", Tasks[[#This Row],[Location]])</f>
        <v>227 - SE Stair Tower</v>
      </c>
      <c r="H178" s="12" t="str">
        <f>Tasks[[#This Row],[To Package]]</f>
        <v xml:space="preserve">Finish Carpentry </v>
      </c>
      <c r="I178" s="12" t="str">
        <f>Tasks[[#This Row],[To Organisation]]</f>
        <v>Fetzers' Inc.</v>
      </c>
    </row>
    <row r="179" spans="1:9" ht="15.5" x14ac:dyDescent="0.35">
      <c r="A179" s="14" t="str">
        <f>HYPERLINK(_xlfn.CONCAT(Edit_URL,Tasks[[#This Row],[Ref]]),Tasks[[#This Row],[Ref]])</f>
        <v>T74290.130</v>
      </c>
      <c r="B179" s="15" t="str" cm="1">
        <f t="array" ref="B179">_xlfn.SWITCH(LEFT(Tasks[[#This Row],[Status]],1),"O","Opened","C","Completed","S","Signed Off", "V", "Signed Off","ERROR")</f>
        <v>Signed Off</v>
      </c>
      <c r="C179" s="15" t="str" cm="1">
        <f t="array" ref="C179">_xlfn.SWITCH(LEFT(Tasks[[#This Row],[Type]], 3), "Fie", "Field Report", "Con", "Contractor QC", "Gen", "Contractor QC", "Pun", "Contractor QC", "Qua", "Contractor QC", "Fin", "Punch List")</f>
        <v>Contractor QC</v>
      </c>
      <c r="D179" s="15" t="str">
        <f>_xlfn.LET(
_xlpm.leftValue, TRIM(LEFT(Tasks[[#This Row],[Description]], 45)),
IF(LEN(_xlpm.leftValue) &lt; 40, _xlpm.leftValue, _xlfn.CONCAT(_xlpm.leftValue, "…"))
)</f>
        <v>Check the 56 day compressive strength of the…</v>
      </c>
      <c r="E179" s="15" t="str" cm="1">
        <f t="array" ref="E179">_xlfn.LET(
_xlpm.inTower, COUNTIF(Tower_Num_Table[Tower Rm Numbers], LEFT(Task_Summary_Table[[#This Row],[Area/Room]], 3)) &gt; 0,
_xlpm.typeResult, _xlfn.SWITCH(LEFT(Tasks[[#This Row],[Page]], 2), "Hi", "Historic", "An", "Annex", "Si", "Site", "S5", "Project Task", "SWITCH ERROR"),
IF(_xlpm.inTower, "West Tower", _xlpm.typeResult)
)</f>
        <v>Annex</v>
      </c>
      <c r="F179" s="12" t="str">
        <f>IFERROR(MID(Tasks[[#This Row],[Page]], FIND("Level", Tasks[[#This Row],[Page]]), 7), IF(ISNUMBER(FIND("Roof", Tasks[[#This Row],[Page]])), "Roof",  IF(ISNUMBER(FIND("S590", Tasks[[#This Row],[Page]])), "",  IF(ISNUMBER(FIND("Site", Tasks[[#This Row],[Page]])), "", "ERROR"))))</f>
        <v>Level 1</v>
      </c>
      <c r="G179" s="12" t="str">
        <f>IF(Tasks[[#This Row],[Location]]=0, "", Tasks[[#This Row],[Location]])</f>
        <v/>
      </c>
      <c r="H179" s="12" t="str">
        <f>Tasks[[#This Row],[To Package]]</f>
        <v>Westland -- Site</v>
      </c>
      <c r="I179" s="12" t="str">
        <f>Tasks[[#This Row],[To Organisation]]</f>
        <v>Westland Construction, Inc.</v>
      </c>
    </row>
    <row r="180" spans="1:9" ht="15.5" x14ac:dyDescent="0.35">
      <c r="A180" s="14" t="str">
        <f>HYPERLINK(_xlfn.CONCAT(Edit_URL,Tasks[[#This Row],[Ref]]),Tasks[[#This Row],[Ref]])</f>
        <v>T74290.139</v>
      </c>
      <c r="B180" s="15" t="str" cm="1">
        <f t="array" ref="B180">_xlfn.SWITCH(LEFT(Tasks[[#This Row],[Status]],1),"O","Opened","C","Completed","S","Signed Off", "V", "Signed Off","ERROR")</f>
        <v>Signed Off</v>
      </c>
      <c r="C180" s="15" t="str" cm="1">
        <f t="array" ref="C180">_xlfn.SWITCH(LEFT(Tasks[[#This Row],[Type]], 3), "Fie", "Field Report", "Con", "Contractor QC", "Gen", "Contractor QC", "Pun", "Contractor QC", "Qua", "Contractor QC", "Fin", "Punch List")</f>
        <v>Contractor QC</v>
      </c>
      <c r="D180" s="15" t="str">
        <f>_xlfn.LET(
_xlpm.leftValue, TRIM(LEFT(Tasks[[#This Row],[Description]], 45)),
IF(LEN(_xlpm.leftValue) &lt; 40, _xlpm.leftValue, _xlfn.CONCAT(_xlpm.leftValue, "…"))
)</f>
        <v>Complete installation of can lights</v>
      </c>
      <c r="E180" s="15" t="str" cm="1">
        <f t="array" ref="E180">_xlfn.LET(
_xlpm.inTower, COUNTIF(Tower_Num_Table[Tower Rm Numbers], LEFT(Task_Summary_Table[[#This Row],[Area/Room]], 3)) &gt; 0,
_xlpm.typeResult, _xlfn.SWITCH(LEFT(Tasks[[#This Row],[Page]], 2), "Hi", "Historic", "An", "Annex", "Si", "Site", "S5", "Project Task", "SWITCH ERROR"),
IF(_xlpm.inTower, "West Tower", _xlpm.typeResult)
)</f>
        <v>Annex</v>
      </c>
      <c r="F180" s="12" t="str">
        <f>IFERROR(MID(Tasks[[#This Row],[Page]], FIND("Level", Tasks[[#This Row],[Page]]), 7), IF(ISNUMBER(FIND("Roof", Tasks[[#This Row],[Page]])), "Roof",  IF(ISNUMBER(FIND("S590", Tasks[[#This Row],[Page]])), "",  IF(ISNUMBER(FIND("Site", Tasks[[#This Row],[Page]])), "", "ERROR"))))</f>
        <v>Level 1</v>
      </c>
      <c r="G180" s="12" t="str">
        <f>IF(Tasks[[#This Row],[Location]]=0, "", Tasks[[#This Row],[Location]])</f>
        <v/>
      </c>
      <c r="H180" s="12" t="str">
        <f>Tasks[[#This Row],[To Package]]</f>
        <v>Electrical</v>
      </c>
      <c r="I180" s="12" t="str">
        <f>Tasks[[#This Row],[To Organisation]]</f>
        <v>Wilkinson Electric Inc</v>
      </c>
    </row>
    <row r="181" spans="1:9" ht="15.5" x14ac:dyDescent="0.35">
      <c r="A181" s="14" t="str">
        <f>HYPERLINK(_xlfn.CONCAT(Edit_URL,Tasks[[#This Row],[Ref]]),Tasks[[#This Row],[Ref]])</f>
        <v>T74290.120</v>
      </c>
      <c r="B181" s="15" t="str" cm="1">
        <f t="array" ref="B181">_xlfn.SWITCH(LEFT(Tasks[[#This Row],[Status]],1),"O","Opened","C","Completed","S","Signed Off", "V", "Signed Off","ERROR")</f>
        <v>Signed Off</v>
      </c>
      <c r="C181" s="15" t="str" cm="1">
        <f t="array" ref="C181">_xlfn.SWITCH(LEFT(Tasks[[#This Row],[Type]], 3), "Fie", "Field Report", "Con", "Contractor QC", "Gen", "Contractor QC", "Pun", "Contractor QC", "Qua", "Contractor QC", "Fin", "Punch List")</f>
        <v>Contractor QC</v>
      </c>
      <c r="D181" s="15" t="str">
        <f>_xlfn.LET(
_xlpm.leftValue, TRIM(LEFT(Tasks[[#This Row],[Description]], 45)),
IF(LEN(_xlpm.leftValue) &lt; 40, _xlpm.leftValue, _xlfn.CONCAT(_xlpm.leftValue, "…"))
)</f>
        <v>Replace and straighten tile in font. Contract…</v>
      </c>
      <c r="E181" s="15" t="str" cm="1">
        <f t="array" ref="E181">_xlfn.LET(
_xlpm.inTower, COUNTIF(Tower_Num_Table[Tower Rm Numbers], LEFT(Task_Summary_Table[[#This Row],[Area/Room]], 3)) &gt; 0,
_xlpm.typeResult, _xlfn.SWITCH(LEFT(Tasks[[#This Row],[Page]], 2), "Hi", "Historic", "An", "Annex", "Si", "Site", "S5", "Project Task", "SWITCH ERROR"),
IF(_xlpm.inTower, "West Tower", _xlpm.typeResult)
)</f>
        <v>Historic</v>
      </c>
      <c r="F181" s="12" t="str">
        <f>IFERROR(MID(Tasks[[#This Row],[Page]], FIND("Level", Tasks[[#This Row],[Page]]), 7), IF(ISNUMBER(FIND("Roof", Tasks[[#This Row],[Page]])), "Roof",  IF(ISNUMBER(FIND("S590", Tasks[[#This Row],[Page]])), "",  IF(ISNUMBER(FIND("Site", Tasks[[#This Row],[Page]])), "", "ERROR"))))</f>
        <v>Level 0</v>
      </c>
      <c r="G181" s="12" t="str">
        <f>IF(Tasks[[#This Row],[Location]]=0, "", Tasks[[#This Row],[Location]])</f>
        <v>067 - Font</v>
      </c>
      <c r="H181" s="12" t="str">
        <f>Tasks[[#This Row],[To Package]]</f>
        <v>Tile</v>
      </c>
      <c r="I181" s="12" t="str">
        <f>Tasks[[#This Row],[To Organisation]]</f>
        <v>Global Stone and Tile, LLC</v>
      </c>
    </row>
    <row r="182" spans="1:9" ht="15.5" x14ac:dyDescent="0.35">
      <c r="A182" s="14" t="str">
        <f>HYPERLINK(_xlfn.CONCAT(Edit_URL,Tasks[[#This Row],[Ref]]),Tasks[[#This Row],[Ref]])</f>
        <v>T74290.79</v>
      </c>
      <c r="B182" s="15" t="str" cm="1">
        <f t="array" ref="B182">_xlfn.SWITCH(LEFT(Tasks[[#This Row],[Status]],1),"O","Opened","C","Completed","S","Signed Off", "V", "Signed Off","ERROR")</f>
        <v>Signed Off</v>
      </c>
      <c r="C182" s="15" t="str" cm="1">
        <f t="array" ref="C182">_xlfn.SWITCH(LEFT(Tasks[[#This Row],[Type]], 3), "Fie", "Field Report", "Con", "Contractor QC", "Gen", "Contractor QC", "Pun", "Contractor QC", "Qua", "Contractor QC", "Fin", "Punch List")</f>
        <v>Contractor QC</v>
      </c>
      <c r="D182" s="15" t="str">
        <f>_xlfn.LET(
_xlpm.leftValue, TRIM(LEFT(Tasks[[#This Row],[Description]], 45)),
IF(LEN(_xlpm.leftValue) &lt; 40, _xlpm.leftValue, _xlfn.CONCAT(_xlpm.leftValue, "…"))
)</f>
        <v>Chisel concrete against wall</v>
      </c>
      <c r="E182" s="15" t="str" cm="1">
        <f t="array" ref="E182">_xlfn.LET(
_xlpm.inTower, COUNTIF(Tower_Num_Table[Tower Rm Numbers], LEFT(Task_Summary_Table[[#This Row],[Area/Room]], 3)) &gt; 0,
_xlpm.typeResult, _xlfn.SWITCH(LEFT(Tasks[[#This Row],[Page]], 2), "Hi", "Historic", "An", "Annex", "Si", "Site", "S5", "Project Task", "SWITCH ERROR"),
IF(_xlpm.inTower, "West Tower", _xlpm.typeResult)
)</f>
        <v>Annex</v>
      </c>
      <c r="F182" s="12" t="str">
        <f>IFERROR(MID(Tasks[[#This Row],[Page]], FIND("Level", Tasks[[#This Row],[Page]]), 7), IF(ISNUMBER(FIND("Roof", Tasks[[#This Row],[Page]])), "Roof",  IF(ISNUMBER(FIND("S590", Tasks[[#This Row],[Page]])), "",  IF(ISNUMBER(FIND("Site", Tasks[[#This Row],[Page]])), "", "ERROR"))))</f>
        <v>Level 1</v>
      </c>
      <c r="G182" s="12" t="str">
        <f>IF(Tasks[[#This Row],[Location]]=0, "", Tasks[[#This Row],[Location]])</f>
        <v/>
      </c>
      <c r="H182" s="12" t="str">
        <f>Tasks[[#This Row],[To Package]]</f>
        <v>Westland -- Annex</v>
      </c>
      <c r="I182" s="12" t="str">
        <f>Tasks[[#This Row],[To Organisation]]</f>
        <v>Westland Construction, Inc.</v>
      </c>
    </row>
    <row r="183" spans="1:9" ht="15.5" x14ac:dyDescent="0.35">
      <c r="A183" s="14" t="str">
        <f>HYPERLINK(_xlfn.CONCAT(Edit_URL,Tasks[[#This Row],[Ref]]),Tasks[[#This Row],[Ref]])</f>
        <v>T74290.80</v>
      </c>
      <c r="B183" s="15" t="str" cm="1">
        <f t="array" ref="B183">_xlfn.SWITCH(LEFT(Tasks[[#This Row],[Status]],1),"O","Opened","C","Completed","S","Signed Off", "V", "Signed Off","ERROR")</f>
        <v>Signed Off</v>
      </c>
      <c r="C183" s="15" t="str" cm="1">
        <f t="array" ref="C183">_xlfn.SWITCH(LEFT(Tasks[[#This Row],[Type]], 3), "Fie", "Field Report", "Con", "Contractor QC", "Gen", "Contractor QC", "Pun", "Contractor QC", "Qua", "Contractor QC", "Fin", "Punch List")</f>
        <v>Contractor QC</v>
      </c>
      <c r="D183" s="15" t="str">
        <f>_xlfn.LET(
_xlpm.leftValue, TRIM(LEFT(Tasks[[#This Row],[Description]], 45)),
IF(LEN(_xlpm.leftValue) &lt; 40, _xlpm.leftValue, _xlfn.CONCAT(_xlpm.leftValue, "…"))
)</f>
        <v>Flatten bulge in concrete wall of east founta…</v>
      </c>
      <c r="E183" s="15" t="str" cm="1">
        <f t="array" ref="E183">_xlfn.LET(
_xlpm.inTower, COUNTIF(Tower_Num_Table[Tower Rm Numbers], LEFT(Task_Summary_Table[[#This Row],[Area/Room]], 3)) &gt; 0,
_xlpm.typeResult, _xlfn.SWITCH(LEFT(Tasks[[#This Row],[Page]], 2), "Hi", "Historic", "An", "Annex", "Si", "Site", "S5", "Project Task", "SWITCH ERROR"),
IF(_xlpm.inTower, "West Tower", _xlpm.typeResult)
)</f>
        <v>Site</v>
      </c>
      <c r="F183" s="12" t="str">
        <f>IFERROR(MID(Tasks[[#This Row],[Page]], FIND("Level", Tasks[[#This Row],[Page]]), 7), IF(ISNUMBER(FIND("Roof", Tasks[[#This Row],[Page]])), "Roof",  IF(ISNUMBER(FIND("S590", Tasks[[#This Row],[Page]])), "",  IF(ISNUMBER(FIND("Site", Tasks[[#This Row],[Page]])), "", "ERROR"))))</f>
        <v/>
      </c>
      <c r="G183" s="12" t="str">
        <f>IF(Tasks[[#This Row],[Location]]=0, "", Tasks[[#This Row],[Location]])</f>
        <v>Site Area H</v>
      </c>
      <c r="H183" s="12" t="str">
        <f>Tasks[[#This Row],[To Package]]</f>
        <v>Concrete</v>
      </c>
      <c r="I183" s="12" t="str">
        <f>Tasks[[#This Row],[To Organisation]]</f>
        <v>Innovative Concrete, LLC</v>
      </c>
    </row>
    <row r="184" spans="1:9" ht="15.5" x14ac:dyDescent="0.35">
      <c r="A184" s="14" t="str">
        <f>HYPERLINK(_xlfn.CONCAT(Edit_URL,Tasks[[#This Row],[Ref]]),Tasks[[#This Row],[Ref]])</f>
        <v>T74290.43</v>
      </c>
      <c r="B184" s="15" t="str" cm="1">
        <f t="array" ref="B184">_xlfn.SWITCH(LEFT(Tasks[[#This Row],[Status]],1),"O","Opened","C","Completed","S","Signed Off", "V", "Signed Off","ERROR")</f>
        <v>Opened</v>
      </c>
      <c r="C184" s="15" t="str" cm="1">
        <f t="array" ref="C184">_xlfn.SWITCH(LEFT(Tasks[[#This Row],[Type]], 3), "Fie", "Field Report", "Con", "Contractor QC", "Gen", "Contractor QC", "Pun", "Contractor QC", "Qua", "Contractor QC", "Fin", "Punch List")</f>
        <v>Contractor QC</v>
      </c>
      <c r="D184" s="15" t="str">
        <f>_xlfn.LET(
_xlpm.leftValue, TRIM(LEFT(Tasks[[#This Row],[Description]], 45)),
IF(LEN(_xlpm.leftValue) &lt; 40, _xlpm.leftValue, _xlfn.CONCAT(_xlpm.leftValue, "…"))
)</f>
        <v>Re/Re floor tile</v>
      </c>
      <c r="E184" s="15" t="str" cm="1">
        <f t="array" ref="E184">_xlfn.LET(
_xlpm.inTower, COUNTIF(Tower_Num_Table[Tower Rm Numbers], LEFT(Task_Summary_Table[[#This Row],[Area/Room]], 3)) &gt; 0,
_xlpm.typeResult, _xlfn.SWITCH(LEFT(Tasks[[#This Row],[Page]], 2), "Hi", "Historic", "An", "Annex", "Si", "Site", "S5", "Project Task", "SWITCH ERROR"),
IF(_xlpm.inTower, "West Tower", _xlpm.typeResult)
)</f>
        <v>Annex</v>
      </c>
      <c r="F184" s="12" t="str">
        <f>IFERROR(MID(Tasks[[#This Row],[Page]], FIND("Level", Tasks[[#This Row],[Page]]), 7), IF(ISNUMBER(FIND("Roof", Tasks[[#This Row],[Page]])), "Roof",  IF(ISNUMBER(FIND("S590", Tasks[[#This Row],[Page]])), "",  IF(ISNUMBER(FIND("Site", Tasks[[#This Row],[Page]])), "", "ERROR"))))</f>
        <v>Level 0</v>
      </c>
      <c r="G184" s="12" t="str">
        <f>IF(Tasks[[#This Row],[Location]]=0, "", Tasks[[#This Row],[Location]])</f>
        <v>007 - Custodial Supply Office</v>
      </c>
      <c r="H184" s="12" t="str">
        <f>Tasks[[#This Row],[To Package]]</f>
        <v>Tile</v>
      </c>
      <c r="I184" s="12" t="str">
        <f>Tasks[[#This Row],[To Organisation]]</f>
        <v>Global Stone and Tile, LLC</v>
      </c>
    </row>
    <row r="185" spans="1:9" ht="15.5" x14ac:dyDescent="0.35">
      <c r="A185" s="14" t="str">
        <f>HYPERLINK(_xlfn.CONCAT(Edit_URL,Tasks[[#This Row],[Ref]]),Tasks[[#This Row],[Ref]])</f>
        <v>T74290.115</v>
      </c>
      <c r="B185" s="15" t="str" cm="1">
        <f t="array" ref="B185">_xlfn.SWITCH(LEFT(Tasks[[#This Row],[Status]],1),"O","Opened","C","Completed","S","Signed Off", "V", "Signed Off","ERROR")</f>
        <v>Signed Off</v>
      </c>
      <c r="C185" s="15" t="str" cm="1">
        <f t="array" ref="C185">_xlfn.SWITCH(LEFT(Tasks[[#This Row],[Type]], 3), "Fie", "Field Report", "Con", "Contractor QC", "Gen", "Contractor QC", "Pun", "Contractor QC", "Qua", "Contractor QC", "Fin", "Punch List")</f>
        <v>Contractor QC</v>
      </c>
      <c r="D185" s="15" t="str">
        <f>_xlfn.LET(
_xlpm.leftValue, TRIM(LEFT(Tasks[[#This Row],[Description]], 45)),
IF(LEN(_xlpm.leftValue) &lt; 40, _xlpm.leftValue, _xlfn.CONCAT(_xlpm.leftValue, "…"))
)</f>
        <v>North precast panel form joint has been skimm…</v>
      </c>
      <c r="E185" s="15" t="str" cm="1">
        <f t="array" ref="E185">_xlfn.LET(
_xlpm.inTower, COUNTIF(Tower_Num_Table[Tower Rm Numbers], LEFT(Task_Summary_Table[[#This Row],[Area/Room]], 3)) &gt; 0,
_xlpm.typeResult, _xlfn.SWITCH(LEFT(Tasks[[#This Row],[Page]], 2), "Hi", "Historic", "An", "Annex", "Si", "Site", "S5", "Project Task", "SWITCH ERROR"),
IF(_xlpm.inTower, "West Tower", _xlpm.typeResult)
)</f>
        <v>Annex</v>
      </c>
      <c r="F185" s="12" t="str">
        <f>IFERROR(MID(Tasks[[#This Row],[Page]], FIND("Level", Tasks[[#This Row],[Page]]), 7), IF(ISNUMBER(FIND("Roof", Tasks[[#This Row],[Page]])), "Roof",  IF(ISNUMBER(FIND("S590", Tasks[[#This Row],[Page]])), "",  IF(ISNUMBER(FIND("Site", Tasks[[#This Row],[Page]])), "", "ERROR"))))</f>
        <v>Level 1</v>
      </c>
      <c r="G185" s="12" t="str">
        <f>IF(Tasks[[#This Row],[Location]]=0, "", Tasks[[#This Row],[Location]])</f>
        <v/>
      </c>
      <c r="H185" s="12" t="str">
        <f>Tasks[[#This Row],[To Package]]</f>
        <v>Westland -- Annex</v>
      </c>
      <c r="I185" s="12" t="str">
        <f>Tasks[[#This Row],[To Organisation]]</f>
        <v>Westland Construction, Inc.</v>
      </c>
    </row>
    <row r="186" spans="1:9" ht="15.5" x14ac:dyDescent="0.35">
      <c r="A186" s="14" t="str">
        <f>HYPERLINK(_xlfn.CONCAT(Edit_URL,Tasks[[#This Row],[Ref]]),Tasks[[#This Row],[Ref]])</f>
        <v>T77326.1</v>
      </c>
      <c r="B186" s="15" t="str" cm="1">
        <f t="array" ref="B186">_xlfn.SWITCH(LEFT(Tasks[[#This Row],[Status]],1),"O","Opened","C","Completed","S","Signed Off", "V", "Signed Off","ERROR")</f>
        <v>Opened</v>
      </c>
      <c r="C186" s="15" t="str" cm="1">
        <f t="array" ref="C186">_xlfn.SWITCH(LEFT(Tasks[[#This Row],[Type]], 3), "Fie", "Field Report", "Con", "Contractor QC", "Gen", "Contractor QC", "Pun", "Contractor QC", "Qua", "Contractor QC", "Fin", "Punch List")</f>
        <v>Contractor QC</v>
      </c>
      <c r="D186" s="15" t="str">
        <f>_xlfn.LET(
_xlpm.leftValue, TRIM(LEFT(Tasks[[#This Row],[Description]], 45)),
IF(LEN(_xlpm.leftValue) &lt; 40, _xlpm.leftValue, _xlfn.CONCAT(_xlpm.leftValue, "…"))
)</f>
        <v>Touch up window paint</v>
      </c>
      <c r="E186" s="15" t="str" cm="1">
        <f t="array" ref="E186">_xlfn.LET(
_xlpm.inTower, COUNTIF(Tower_Num_Table[Tower Rm Numbers], LEFT(Task_Summary_Table[[#This Row],[Area/Room]], 3)) &gt; 0,
_xlpm.typeResult, _xlfn.SWITCH(LEFT(Tasks[[#This Row],[Page]], 2), "Hi", "Historic", "An", "Annex", "Si", "Site", "S5", "Project Task", "SWITCH ERROR"),
IF(_xlpm.inTower, "West Tower", _xlpm.typeResult)
)</f>
        <v>Historic</v>
      </c>
      <c r="F186" s="12" t="str">
        <f>IFERROR(MID(Tasks[[#This Row],[Page]], FIND("Level", Tasks[[#This Row],[Page]]), 7), IF(ISNUMBER(FIND("Roof", Tasks[[#This Row],[Page]])), "Roof",  IF(ISNUMBER(FIND("S590", Tasks[[#This Row],[Page]])), "",  IF(ISNUMBER(FIND("Site", Tasks[[#This Row],[Page]])), "", "ERROR"))))</f>
        <v>Level 0</v>
      </c>
      <c r="G186" s="12" t="str">
        <f>IF(Tasks[[#This Row],[Location]]=0, "", Tasks[[#This Row],[Location]])</f>
        <v>082 - Clothing</v>
      </c>
      <c r="H186" s="12" t="str">
        <f>Tasks[[#This Row],[To Package]]</f>
        <v>Paint</v>
      </c>
      <c r="I186" s="12" t="str">
        <f>Tasks[[#This Row],[To Organisation]]</f>
        <v>Accent Painting and Special Coatings, LLC</v>
      </c>
    </row>
    <row r="187" spans="1:9" ht="15.5" x14ac:dyDescent="0.35">
      <c r="A187" s="14" t="str">
        <f>HYPERLINK(_xlfn.CONCAT(Edit_URL,Tasks[[#This Row],[Ref]]),Tasks[[#This Row],[Ref]])</f>
        <v>T74290.152</v>
      </c>
      <c r="B187" s="15" t="str" cm="1">
        <f t="array" ref="B187">_xlfn.SWITCH(LEFT(Tasks[[#This Row],[Status]],1),"O","Opened","C","Completed","S","Signed Off", "V", "Signed Off","ERROR")</f>
        <v>Signed Off</v>
      </c>
      <c r="C187" s="15" t="str" cm="1">
        <f t="array" ref="C187">_xlfn.SWITCH(LEFT(Tasks[[#This Row],[Type]], 3), "Fie", "Field Report", "Con", "Contractor QC", "Gen", "Contractor QC", "Pun", "Contractor QC", "Qua", "Contractor QC", "Fin", "Punch List")</f>
        <v>Contractor QC</v>
      </c>
      <c r="D187" s="15" t="str">
        <f>_xlfn.LET(
_xlpm.leftValue, TRIM(LEFT(Tasks[[#This Row],[Description]], 45)),
IF(LEN(_xlpm.leftValue) &lt; 40, _xlpm.leftValue, _xlfn.CONCAT(_xlpm.leftValue, "…"))
)</f>
        <v>Install fire extinguisher box</v>
      </c>
      <c r="E187" s="15" t="str" cm="1">
        <f t="array" ref="E187">_xlfn.LET(
_xlpm.inTower, COUNTIF(Tower_Num_Table[Tower Rm Numbers], LEFT(Task_Summary_Table[[#This Row],[Area/Room]], 3)) &gt; 0,
_xlpm.typeResult, _xlfn.SWITCH(LEFT(Tasks[[#This Row],[Page]], 2), "Hi", "Historic", "An", "Annex", "Si", "Site", "S5", "Project Task", "SWITCH ERROR"),
IF(_xlpm.inTower, "West Tower", _xlpm.typeResult)
)</f>
        <v>Historic</v>
      </c>
      <c r="F187" s="12" t="str">
        <f>IFERROR(MID(Tasks[[#This Row],[Page]], FIND("Level", Tasks[[#This Row],[Page]]), 7), IF(ISNUMBER(FIND("Roof", Tasks[[#This Row],[Page]])), "Roof",  IF(ISNUMBER(FIND("S590", Tasks[[#This Row],[Page]])), "",  IF(ISNUMBER(FIND("Site", Tasks[[#This Row],[Page]])), "", "ERROR"))))</f>
        <v>Level 5</v>
      </c>
      <c r="G187" s="12" t="str">
        <f>IF(Tasks[[#This Row],[Location]]=0, "", Tasks[[#This Row],[Location]])</f>
        <v>520 - Hallway</v>
      </c>
      <c r="H187" s="12" t="str">
        <f>Tasks[[#This Row],[To Package]]</f>
        <v>Westland -- Historic</v>
      </c>
      <c r="I187" s="12" t="str">
        <f>Tasks[[#This Row],[To Organisation]]</f>
        <v>Westland Construction, Inc.</v>
      </c>
    </row>
    <row r="188" spans="1:9" ht="15.5" x14ac:dyDescent="0.35">
      <c r="A188" s="14" t="str">
        <f>HYPERLINK(_xlfn.CONCAT(Edit_URL,Tasks[[#This Row],[Ref]]),Tasks[[#This Row],[Ref]])</f>
        <v>T74290.30</v>
      </c>
      <c r="B188" s="15" t="str" cm="1">
        <f t="array" ref="B188">_xlfn.SWITCH(LEFT(Tasks[[#This Row],[Status]],1),"O","Opened","C","Completed","S","Signed Off", "V", "Signed Off","ERROR")</f>
        <v>Signed Off</v>
      </c>
      <c r="C188" s="15" t="str" cm="1">
        <f t="array" ref="C188">_xlfn.SWITCH(LEFT(Tasks[[#This Row],[Type]], 3), "Fie", "Field Report", "Con", "Contractor QC", "Gen", "Contractor QC", "Pun", "Contractor QC", "Qua", "Contractor QC", "Fin", "Punch List")</f>
        <v>Contractor QC</v>
      </c>
      <c r="D188" s="15" t="str">
        <f>_xlfn.LET(
_xlpm.leftValue, TRIM(LEFT(Tasks[[#This Row],[Description]], 45)),
IF(LEN(_xlpm.leftValue) &lt; 40, _xlpm.leftValue, _xlfn.CONCAT(_xlpm.leftValue, "…"))
)</f>
        <v>Move access panel to the north 6 inches￼…</v>
      </c>
      <c r="E188" s="15" t="str" cm="1">
        <f t="array" ref="E18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8" s="12" t="str">
        <f>IFERROR(MID(Tasks[[#This Row],[Page]], FIND("Level", Tasks[[#This Row],[Page]]), 7), IF(ISNUMBER(FIND("Roof", Tasks[[#This Row],[Page]])), "Roof",  IF(ISNUMBER(FIND("S590", Tasks[[#This Row],[Page]])), "",  IF(ISNUMBER(FIND("Site", Tasks[[#This Row],[Page]])), "", "ERROR"))))</f>
        <v>Level 1</v>
      </c>
      <c r="G188" s="12" t="str">
        <f>IF(Tasks[[#This Row],[Location]]=0, "", Tasks[[#This Row],[Location]])</f>
        <v>184 - Stair Lobby</v>
      </c>
      <c r="H188" s="12" t="str">
        <f>Tasks[[#This Row],[To Package]]</f>
        <v>Metal Stud / Drywall</v>
      </c>
      <c r="I188" s="12" t="str">
        <f>Tasks[[#This Row],[To Organisation]]</f>
        <v>Pete King Construction</v>
      </c>
    </row>
    <row r="189" spans="1:9" ht="15.5" x14ac:dyDescent="0.35">
      <c r="A189" s="14" t="str">
        <f>HYPERLINK(_xlfn.CONCAT(Edit_URL,Tasks[[#This Row],[Ref]]),Tasks[[#This Row],[Ref]])</f>
        <v>T74290.140</v>
      </c>
      <c r="B189" s="15" t="str" cm="1">
        <f t="array" ref="B189">_xlfn.SWITCH(LEFT(Tasks[[#This Row],[Status]],1),"O","Opened","C","Completed","S","Signed Off", "V", "Signed Off","ERROR")</f>
        <v>Signed Off</v>
      </c>
      <c r="C189" s="15" t="str" cm="1">
        <f t="array" ref="C189">_xlfn.SWITCH(LEFT(Tasks[[#This Row],[Type]], 3), "Fie", "Field Report", "Con", "Contractor QC", "Gen", "Contractor QC", "Pun", "Contractor QC", "Qua", "Contractor QC", "Fin", "Punch List")</f>
        <v>Contractor QC</v>
      </c>
      <c r="D189" s="15" t="str">
        <f>_xlfn.LET(
_xlpm.leftValue, TRIM(LEFT(Tasks[[#This Row],[Description]], 45)),
IF(LEN(_xlpm.leftValue) &lt; 40, _xlpm.leftValue, _xlfn.CONCAT(_xlpm.leftValue, "…"))
)</f>
        <v>Float out ceiling to create a smooth barrel…</v>
      </c>
      <c r="E189" s="15" t="str" cm="1">
        <f t="array" ref="E189">_xlfn.LET(
_xlpm.inTower, COUNTIF(Tower_Num_Table[Tower Rm Numbers], LEFT(Task_Summary_Table[[#This Row],[Area/Room]], 3)) &gt; 0,
_xlpm.typeResult, _xlfn.SWITCH(LEFT(Tasks[[#This Row],[Page]], 2), "Hi", "Historic", "An", "Annex", "Si", "Site", "S5", "Project Task", "SWITCH ERROR"),
IF(_xlpm.inTower, "West Tower", _xlpm.typeResult)
)</f>
        <v>Historic</v>
      </c>
      <c r="F189" s="12" t="str">
        <f>IFERROR(MID(Tasks[[#This Row],[Page]], FIND("Level", Tasks[[#This Row],[Page]]), 7), IF(ISNUMBER(FIND("Roof", Tasks[[#This Row],[Page]])), "Roof",  IF(ISNUMBER(FIND("S590", Tasks[[#This Row],[Page]])), "",  IF(ISNUMBER(FIND("Site", Tasks[[#This Row],[Page]])), "", "ERROR"))))</f>
        <v>Level 2</v>
      </c>
      <c r="G189" s="12" t="str">
        <f>IF(Tasks[[#This Row],[Location]]=0, "", Tasks[[#This Row],[Location]])</f>
        <v>211 - Instruction Room B</v>
      </c>
      <c r="H189" s="12" t="str">
        <f>Tasks[[#This Row],[To Package]]</f>
        <v>Metal Stud / Drywall</v>
      </c>
      <c r="I189" s="12" t="str">
        <f>Tasks[[#This Row],[To Organisation]]</f>
        <v>Pete King Construction</v>
      </c>
    </row>
    <row r="190" spans="1:9" ht="15.5" x14ac:dyDescent="0.35">
      <c r="A190" s="14" t="str">
        <f>HYPERLINK(_xlfn.CONCAT(Edit_URL,Tasks[[#This Row],[Ref]]),Tasks[[#This Row],[Ref]])</f>
        <v>T74290.122</v>
      </c>
      <c r="B190" s="15" t="str" cm="1">
        <f t="array" ref="B190">_xlfn.SWITCH(LEFT(Tasks[[#This Row],[Status]],1),"O","Opened","C","Completed","S","Signed Off", "V", "Signed Off","ERROR")</f>
        <v>Signed Off</v>
      </c>
      <c r="C190" s="15" t="str" cm="1">
        <f t="array" ref="C190">_xlfn.SWITCH(LEFT(Tasks[[#This Row],[Type]], 3), "Fie", "Field Report", "Con", "Contractor QC", "Gen", "Contractor QC", "Pun", "Contractor QC", "Qua", "Contractor QC", "Fin", "Punch List")</f>
        <v>Contractor QC</v>
      </c>
      <c r="D190" s="15" t="str">
        <f>_xlfn.LET(
_xlpm.leftValue, TRIM(LEFT(Tasks[[#This Row],[Description]], 45)),
IF(LEN(_xlpm.leftValue) &lt; 40, _xlpm.leftValue, _xlfn.CONCAT(_xlpm.leftValue, "…"))
)</f>
        <v>Mural in corner is peeling from the wall and…</v>
      </c>
      <c r="E190" s="15" t="str" cm="1">
        <f t="array" ref="E190">_xlfn.LET(
_xlpm.inTower, COUNTIF(Tower_Num_Table[Tower Rm Numbers], LEFT(Task_Summary_Table[[#This Row],[Area/Room]], 3)) &gt; 0,
_xlpm.typeResult, _xlfn.SWITCH(LEFT(Tasks[[#This Row],[Page]], 2), "Hi", "Historic", "An", "Annex", "Si", "Site", "S5", "Project Task", "SWITCH ERROR"),
IF(_xlpm.inTower, "West Tower", _xlpm.typeResult)
)</f>
        <v>Historic</v>
      </c>
      <c r="F190" s="12" t="str">
        <f>IFERROR(MID(Tasks[[#This Row],[Page]], FIND("Level", Tasks[[#This Row],[Page]]), 7), IF(ISNUMBER(FIND("Roof", Tasks[[#This Row],[Page]])), "Roof",  IF(ISNUMBER(FIND("S590", Tasks[[#This Row],[Page]])), "",  IF(ISNUMBER(FIND("Site", Tasks[[#This Row],[Page]])), "", "ERROR"))))</f>
        <v>Level 2</v>
      </c>
      <c r="G190" s="12" t="str">
        <f>IF(Tasks[[#This Row],[Location]]=0, "", Tasks[[#This Row],[Location]])</f>
        <v>210 - Instruction Room A-3</v>
      </c>
      <c r="H190" s="12" t="str">
        <f>Tasks[[#This Row],[To Package]]</f>
        <v>Westland -- Historic</v>
      </c>
      <c r="I190" s="12" t="str">
        <f>Tasks[[#This Row],[To Organisation]]</f>
        <v>Westland Construction, Inc.</v>
      </c>
    </row>
    <row r="191" spans="1:9" ht="15.5" x14ac:dyDescent="0.35">
      <c r="A191" s="14" t="str">
        <f>HYPERLINK(_xlfn.CONCAT(Edit_URL,Tasks[[#This Row],[Ref]]),Tasks[[#This Row],[Ref]])</f>
        <v>T74290.17</v>
      </c>
      <c r="B191" s="15" t="str" cm="1">
        <f t="array" ref="B191">_xlfn.SWITCH(LEFT(Tasks[[#This Row],[Status]],1),"O","Opened","C","Completed","S","Signed Off", "V", "Signed Off","ERROR")</f>
        <v>Signed Off</v>
      </c>
      <c r="C191" s="15" t="str" cm="1">
        <f t="array" ref="C191">_xlfn.SWITCH(LEFT(Tasks[[#This Row],[Type]], 3), "Fie", "Field Report", "Con", "Contractor QC", "Gen", "Contractor QC", "Pun", "Contractor QC", "Qua", "Contractor QC", "Fin", "Punch List")</f>
        <v>Contractor QC</v>
      </c>
      <c r="D191" s="15" t="str">
        <f>_xlfn.LET(
_xlpm.leftValue, TRIM(LEFT(Tasks[[#This Row],[Description]], 45)),
IF(LEN(_xlpm.leftValue) &lt; 40, _xlpm.leftValue, _xlfn.CONCAT(_xlpm.leftValue, "…"))
)</f>
        <v>Chipped countertop￼</v>
      </c>
      <c r="E191" s="15" t="str" cm="1">
        <f t="array" ref="E191">_xlfn.LET(
_xlpm.inTower, COUNTIF(Tower_Num_Table[Tower Rm Numbers], LEFT(Task_Summary_Table[[#This Row],[Area/Room]], 3)) &gt; 0,
_xlpm.typeResult, _xlfn.SWITCH(LEFT(Tasks[[#This Row],[Page]], 2), "Hi", "Historic", "An", "Annex", "Si", "Site", "S5", "Project Task", "SWITCH ERROR"),
IF(_xlpm.inTower, "West Tower", _xlpm.typeResult)
)</f>
        <v>Annex</v>
      </c>
      <c r="F191" s="12" t="str">
        <f>IFERROR(MID(Tasks[[#This Row],[Page]], FIND("Level", Tasks[[#This Row],[Page]]), 7), IF(ISNUMBER(FIND("Roof", Tasks[[#This Row],[Page]])), "Roof",  IF(ISNUMBER(FIND("S590", Tasks[[#This Row],[Page]])), "",  IF(ISNUMBER(FIND("Site", Tasks[[#This Row],[Page]])), "", "ERROR"))))</f>
        <v>Level 0</v>
      </c>
      <c r="G191" s="12" t="str">
        <f>IF(Tasks[[#This Row],[Location]]=0, "", Tasks[[#This Row],[Location]])</f>
        <v>011 - GRAB-N-GO</v>
      </c>
      <c r="H191" s="12" t="str">
        <f>Tasks[[#This Row],[To Package]]</f>
        <v>Westland -- Annex</v>
      </c>
      <c r="I191" s="12" t="str">
        <f>Tasks[[#This Row],[To Organisation]]</f>
        <v>Westland Construction, Inc.</v>
      </c>
    </row>
    <row r="192" spans="1:9" ht="15.5" x14ac:dyDescent="0.35">
      <c r="A192" s="14" t="str">
        <f>HYPERLINK(_xlfn.CONCAT(Edit_URL,Tasks[[#This Row],[Ref]]),Tasks[[#This Row],[Ref]])</f>
        <v>T74290.136</v>
      </c>
      <c r="B192" s="15" t="str" cm="1">
        <f t="array" ref="B192">_xlfn.SWITCH(LEFT(Tasks[[#This Row],[Status]],1),"O","Opened","C","Completed","S","Signed Off", "V", "Signed Off","ERROR")</f>
        <v>Signed Off</v>
      </c>
      <c r="C192" s="15" t="str" cm="1">
        <f t="array" ref="C192">_xlfn.SWITCH(LEFT(Tasks[[#This Row],[Type]], 3), "Fie", "Field Report", "Con", "Contractor QC", "Gen", "Contractor QC", "Pun", "Contractor QC", "Qua", "Contractor QC", "Fin", "Punch List")</f>
        <v>Contractor QC</v>
      </c>
      <c r="D192" s="15" t="str">
        <f>_xlfn.LET(
_xlpm.leftValue, TRIM(LEFT(Tasks[[#This Row],[Description]], 45)),
IF(LEN(_xlpm.leftValue) &lt; 40, _xlpm.leftValue, _xlfn.CONCAT(_xlpm.leftValue, "…"))
)</f>
        <v>Repair cracks in the GFRG</v>
      </c>
      <c r="E192" s="15" t="str" cm="1">
        <f t="array" ref="E192">_xlfn.LET(
_xlpm.inTower, COUNTIF(Tower_Num_Table[Tower Rm Numbers], LEFT(Task_Summary_Table[[#This Row],[Area/Room]], 3)) &gt; 0,
_xlpm.typeResult, _xlfn.SWITCH(LEFT(Tasks[[#This Row],[Page]], 2), "Hi", "Historic", "An", "Annex", "Si", "Site", "S5", "Project Task", "SWITCH ERROR"),
IF(_xlpm.inTower, "West Tower", _xlpm.typeResult)
)</f>
        <v>Annex</v>
      </c>
      <c r="F192" s="12" t="str">
        <f>IFERROR(MID(Tasks[[#This Row],[Page]], FIND("Level", Tasks[[#This Row],[Page]]), 7), IF(ISNUMBER(FIND("Roof", Tasks[[#This Row],[Page]])), "Roof",  IF(ISNUMBER(FIND("S590", Tasks[[#This Row],[Page]])), "",  IF(ISNUMBER(FIND("Site", Tasks[[#This Row],[Page]])), "", "ERROR"))))</f>
        <v>Level 0</v>
      </c>
      <c r="G192" s="12" t="str">
        <f>IF(Tasks[[#This Row],[Location]]=0, "", Tasks[[#This Row],[Location]])</f>
        <v>015 - WORKER TRAINING</v>
      </c>
      <c r="H192" s="12" t="str">
        <f>Tasks[[#This Row],[To Package]]</f>
        <v>GFRG</v>
      </c>
      <c r="I192" s="12" t="str">
        <f>Tasks[[#This Row],[To Organisation]]</f>
        <v>Pete King Construction</v>
      </c>
    </row>
    <row r="193" spans="1:9" ht="15.5" x14ac:dyDescent="0.35">
      <c r="A193" s="14" t="str">
        <f>HYPERLINK(_xlfn.CONCAT(Edit_URL,Tasks[[#This Row],[Ref]]),Tasks[[#This Row],[Ref]])</f>
        <v>T74290.96</v>
      </c>
      <c r="B193" s="15" t="str" cm="1">
        <f t="array" ref="B193">_xlfn.SWITCH(LEFT(Tasks[[#This Row],[Status]],1),"O","Opened","C","Completed","S","Signed Off", "V", "Signed Off","ERROR")</f>
        <v>Signed Off</v>
      </c>
      <c r="C193" s="15" t="str" cm="1">
        <f t="array" ref="C193">_xlfn.SWITCH(LEFT(Tasks[[#This Row],[Type]], 3), "Fie", "Field Report", "Con", "Contractor QC", "Gen", "Contractor QC", "Pun", "Contractor QC", "Qua", "Contractor QC", "Fin", "Punch List")</f>
        <v>Contractor QC</v>
      </c>
      <c r="D193" s="15" t="str">
        <f>_xlfn.LET(
_xlpm.leftValue, TRIM(LEFT(Tasks[[#This Row],[Description]], 45)),
IF(LEN(_xlpm.leftValue) &lt; 40, _xlpm.leftValue, _xlfn.CONCAT(_xlpm.leftValue, "…"))
)</f>
        <v>Complete ceiling paint around fire sprinkler￼…</v>
      </c>
      <c r="E193" s="15" t="str" cm="1">
        <f t="array" ref="E193">_xlfn.LET(
_xlpm.inTower, COUNTIF(Tower_Num_Table[Tower Rm Numbers], LEFT(Task_Summary_Table[[#This Row],[Area/Room]], 3)) &gt; 0,
_xlpm.typeResult, _xlfn.SWITCH(LEFT(Tasks[[#This Row],[Page]], 2), "Hi", "Historic", "An", "Annex", "Si", "Site", "S5", "Project Task", "SWITCH ERROR"),
IF(_xlpm.inTower, "West Tower", _xlpm.typeResult)
)</f>
        <v>Annex</v>
      </c>
      <c r="F193" s="12" t="str">
        <f>IFERROR(MID(Tasks[[#This Row],[Page]], FIND("Level", Tasks[[#This Row],[Page]]), 7), IF(ISNUMBER(FIND("Roof", Tasks[[#This Row],[Page]])), "Roof",  IF(ISNUMBER(FIND("S590", Tasks[[#This Row],[Page]])), "",  IF(ISNUMBER(FIND("Site", Tasks[[#This Row],[Page]])), "", "ERROR"))))</f>
        <v>Level 0</v>
      </c>
      <c r="G193" s="12" t="str">
        <f>IF(Tasks[[#This Row],[Location]]=0, "", Tasks[[#This Row],[Location]])</f>
        <v>015 - WORKER TRAINING</v>
      </c>
      <c r="H193" s="12" t="str">
        <f>Tasks[[#This Row],[To Package]]</f>
        <v>Paint</v>
      </c>
      <c r="I193" s="12" t="str">
        <f>Tasks[[#This Row],[To Organisation]]</f>
        <v>Accent Painting and Special Coatings, LLC</v>
      </c>
    </row>
    <row r="194" spans="1:9" ht="15.5" x14ac:dyDescent="0.35">
      <c r="A194" s="14" t="str">
        <f>HYPERLINK(_xlfn.CONCAT(Edit_URL,Tasks[[#This Row],[Ref]]),Tasks[[#This Row],[Ref]])</f>
        <v>T74290.124</v>
      </c>
      <c r="B194" s="15" t="str" cm="1">
        <f t="array" ref="B194">_xlfn.SWITCH(LEFT(Tasks[[#This Row],[Status]],1),"O","Opened","C","Completed","S","Signed Off", "V", "Signed Off","ERROR")</f>
        <v>Signed Off</v>
      </c>
      <c r="C194" s="15" t="str" cm="1">
        <f t="array" ref="C194">_xlfn.SWITCH(LEFT(Tasks[[#This Row],[Type]], 3), "Fie", "Field Report", "Con", "Contractor QC", "Gen", "Contractor QC", "Pun", "Contractor QC", "Qua", "Contractor QC", "Fin", "Punch List")</f>
        <v>Contractor QC</v>
      </c>
      <c r="D194" s="15" t="str">
        <f>_xlfn.LET(
_xlpm.leftValue, TRIM(LEFT(Tasks[[#This Row],[Description]], 45)),
IF(LEN(_xlpm.leftValue) &lt; 40, _xlpm.leftValue, _xlfn.CONCAT(_xlpm.leftValue, "…"))
)</f>
        <v>Hardware for the 5th floor is not the specifi…</v>
      </c>
      <c r="E194" s="15" t="str" cm="1">
        <f t="array" ref="E194">_xlfn.LET(
_xlpm.inTower, COUNTIF(Tower_Num_Table[Tower Rm Numbers], LEFT(Task_Summary_Table[[#This Row],[Area/Room]], 3)) &gt; 0,
_xlpm.typeResult, _xlfn.SWITCH(LEFT(Tasks[[#This Row],[Page]], 2), "Hi", "Historic", "An", "Annex", "Si", "Site", "S5", "Project Task", "SWITCH ERROR"),
IF(_xlpm.inTower, "West Tower", _xlpm.typeResult)
)</f>
        <v>Historic</v>
      </c>
      <c r="F194" s="12" t="str">
        <f>IFERROR(MID(Tasks[[#This Row],[Page]], FIND("Level", Tasks[[#This Row],[Page]]), 7), IF(ISNUMBER(FIND("Roof", Tasks[[#This Row],[Page]])), "Roof",  IF(ISNUMBER(FIND("S590", Tasks[[#This Row],[Page]])), "",  IF(ISNUMBER(FIND("Site", Tasks[[#This Row],[Page]])), "", "ERROR"))))</f>
        <v>Level 5</v>
      </c>
      <c r="G194" s="12" t="str">
        <f>IF(Tasks[[#This Row],[Location]]=0, "", Tasks[[#This Row],[Location]])</f>
        <v>512 - Instruction 8</v>
      </c>
      <c r="H194" s="12" t="str">
        <f>Tasks[[#This Row],[To Package]]</f>
        <v xml:space="preserve">Finish Carpentry </v>
      </c>
      <c r="I194" s="12" t="str">
        <f>Tasks[[#This Row],[To Organisation]]</f>
        <v>Fetzers' Inc.</v>
      </c>
    </row>
    <row r="195" spans="1:9" ht="15.5" x14ac:dyDescent="0.35">
      <c r="A195" s="14" t="str">
        <f>HYPERLINK(_xlfn.CONCAT(Edit_URL,Tasks[[#This Row],[Ref]]),Tasks[[#This Row],[Ref]])</f>
        <v>T74290.98</v>
      </c>
      <c r="B195" s="15" t="str" cm="1">
        <f t="array" ref="B195">_xlfn.SWITCH(LEFT(Tasks[[#This Row],[Status]],1),"O","Opened","C","Completed","S","Signed Off", "V", "Signed Off","ERROR")</f>
        <v>Signed Off</v>
      </c>
      <c r="C195" s="15" t="str" cm="1">
        <f t="array" ref="C195">_xlfn.SWITCH(LEFT(Tasks[[#This Row],[Type]], 3), "Fie", "Field Report", "Con", "Contractor QC", "Gen", "Contractor QC", "Pun", "Contractor QC", "Qua", "Contractor QC", "Fin", "Punch List")</f>
        <v>Contractor QC</v>
      </c>
      <c r="D195" s="15" t="str">
        <f>_xlfn.LET(
_xlpm.leftValue, TRIM(LEFT(Tasks[[#This Row],[Description]], 45)),
IF(LEN(_xlpm.leftValue) &lt; 40, _xlpm.leftValue, _xlfn.CONCAT(_xlpm.leftValue, "…"))
)</f>
        <v>Sand and repaint￼</v>
      </c>
      <c r="E195" s="15" t="str" cm="1">
        <f t="array" ref="E195">_xlfn.LET(
_xlpm.inTower, COUNTIF(Tower_Num_Table[Tower Rm Numbers], LEFT(Task_Summary_Table[[#This Row],[Area/Room]], 3)) &gt; 0,
_xlpm.typeResult, _xlfn.SWITCH(LEFT(Tasks[[#This Row],[Page]], 2), "Hi", "Historic", "An", "Annex", "Si", "Site", "S5", "Project Task", "SWITCH ERROR"),
IF(_xlpm.inTower, "West Tower", _xlpm.typeResult)
)</f>
        <v>Historic</v>
      </c>
      <c r="F195" s="12" t="str">
        <f>IFERROR(MID(Tasks[[#This Row],[Page]], FIND("Level", Tasks[[#This Row],[Page]]), 7), IF(ISNUMBER(FIND("Roof", Tasks[[#This Row],[Page]])), "Roof",  IF(ISNUMBER(FIND("S590", Tasks[[#This Row],[Page]])), "",  IF(ISNUMBER(FIND("Site", Tasks[[#This Row],[Page]])), "", "ERROR"))))</f>
        <v>Level 4</v>
      </c>
      <c r="G195" s="12" t="str">
        <f>IF(Tasks[[#This Row],[Location]]=0, "", Tasks[[#This Row],[Location]])</f>
        <v>408 - Assembly Room</v>
      </c>
      <c r="H195" s="12" t="str">
        <f>Tasks[[#This Row],[To Package]]</f>
        <v>Paint</v>
      </c>
      <c r="I195" s="12" t="str">
        <f>Tasks[[#This Row],[To Organisation]]</f>
        <v>Accent Painting and Special Coatings, LLC</v>
      </c>
    </row>
    <row r="196" spans="1:9" ht="15.5" x14ac:dyDescent="0.35">
      <c r="A196" s="14" t="str">
        <f>HYPERLINK(_xlfn.CONCAT(Edit_URL,Tasks[[#This Row],[Ref]]),Tasks[[#This Row],[Ref]])</f>
        <v>T74290.55</v>
      </c>
      <c r="B196" s="15" t="str" cm="1">
        <f t="array" ref="B196">_xlfn.SWITCH(LEFT(Tasks[[#This Row],[Status]],1),"O","Opened","C","Completed","S","Signed Off", "V", "Signed Off","ERROR")</f>
        <v>Signed Off</v>
      </c>
      <c r="C196" s="15" t="str" cm="1">
        <f t="array" ref="C196">_xlfn.SWITCH(LEFT(Tasks[[#This Row],[Type]], 3), "Fie", "Field Report", "Con", "Contractor QC", "Gen", "Contractor QC", "Pun", "Contractor QC", "Qua", "Contractor QC", "Fin", "Punch List")</f>
        <v>Contractor QC</v>
      </c>
      <c r="D196" s="15" t="str">
        <f>_xlfn.LET(
_xlpm.leftValue, TRIM(LEFT(Tasks[[#This Row],[Description]], 45)),
IF(LEN(_xlpm.leftValue) &lt; 40, _xlpm.leftValue, _xlfn.CONCAT(_xlpm.leftValue, "…"))
)</f>
        <v>Complete landing below handrail in front of w…</v>
      </c>
      <c r="E196" s="15" t="str" cm="1">
        <f t="array" ref="E196">_xlfn.LET(
_xlpm.inTower, COUNTIF(Tower_Num_Table[Tower Rm Numbers], LEFT(Task_Summary_Table[[#This Row],[Area/Room]], 3)) &gt; 0,
_xlpm.typeResult, _xlfn.SWITCH(LEFT(Tasks[[#This Row],[Page]], 2), "Hi", "Historic", "An", "Annex", "Si", "Site", "S5", "Project Task", "SWITCH ERROR"),
IF(_xlpm.inTower, "West Tower", _xlpm.typeResult)
)</f>
        <v>Historic</v>
      </c>
      <c r="F196" s="12" t="str">
        <f>IFERROR(MID(Tasks[[#This Row],[Page]], FIND("Level", Tasks[[#This Row],[Page]]), 7), IF(ISNUMBER(FIND("Roof", Tasks[[#This Row],[Page]])), "Roof",  IF(ISNUMBER(FIND("S590", Tasks[[#This Row],[Page]])), "",  IF(ISNUMBER(FIND("Site", Tasks[[#This Row],[Page]])), "", "ERROR"))))</f>
        <v>Level 4</v>
      </c>
      <c r="G196" s="12" t="str">
        <f>IF(Tasks[[#This Row],[Location]]=0, "", Tasks[[#This Row],[Location]])</f>
        <v>410 - Study</v>
      </c>
      <c r="H196" s="12" t="str">
        <f>Tasks[[#This Row],[To Package]]</f>
        <v xml:space="preserve">Finish Carpentry </v>
      </c>
      <c r="I196" s="12" t="str">
        <f>Tasks[[#This Row],[To Organisation]]</f>
        <v>Fetzers' Inc.</v>
      </c>
    </row>
    <row r="197" spans="1:9" ht="15.5" x14ac:dyDescent="0.35">
      <c r="A197" s="14" t="str">
        <f>HYPERLINK(_xlfn.CONCAT(Edit_URL,Tasks[[#This Row],[Ref]]),Tasks[[#This Row],[Ref]])</f>
        <v>T74290.99</v>
      </c>
      <c r="B197" s="15" t="str" cm="1">
        <f t="array" ref="B197">_xlfn.SWITCH(LEFT(Tasks[[#This Row],[Status]],1),"O","Opened","C","Completed","S","Signed Off", "V", "Signed Off","ERROR")</f>
        <v>Signed Off</v>
      </c>
      <c r="C197" s="15" t="str" cm="1">
        <f t="array" ref="C197">_xlfn.SWITCH(LEFT(Tasks[[#This Row],[Type]], 3), "Fie", "Field Report", "Con", "Contractor QC", "Gen", "Contractor QC", "Pun", "Contractor QC", "Qua", "Contractor QC", "Fin", "Punch List")</f>
        <v>Contractor QC</v>
      </c>
      <c r="D197" s="15" t="str">
        <f>_xlfn.LET(
_xlpm.leftValue, TRIM(LEFT(Tasks[[#This Row],[Description]], 45)),
IF(LEN(_xlpm.leftValue) &lt; 40, _xlpm.leftValue, _xlfn.CONCAT(_xlpm.leftValue, "…"))
)</f>
        <v>Clean up overspray and caulking and repaint￼…</v>
      </c>
      <c r="E197" s="15" t="str" cm="1">
        <f t="array" ref="E197">_xlfn.LET(
_xlpm.inTower, COUNTIF(Tower_Num_Table[Tower Rm Numbers], LEFT(Task_Summary_Table[[#This Row],[Area/Room]], 3)) &gt; 0,
_xlpm.typeResult, _xlfn.SWITCH(LEFT(Tasks[[#This Row],[Page]], 2), "Hi", "Historic", "An", "Annex", "Si", "Site", "S5", "Project Task", "SWITCH ERROR"),
IF(_xlpm.inTower, "West Tower", _xlpm.typeResult)
)</f>
        <v>Historic</v>
      </c>
      <c r="F197" s="12" t="str">
        <f>IFERROR(MID(Tasks[[#This Row],[Page]], FIND("Level", Tasks[[#This Row],[Page]]), 7), IF(ISNUMBER(FIND("Roof", Tasks[[#This Row],[Page]])), "Roof",  IF(ISNUMBER(FIND("S590", Tasks[[#This Row],[Page]])), "",  IF(ISNUMBER(FIND("Site", Tasks[[#This Row],[Page]])), "", "ERROR"))))</f>
        <v>Level 4</v>
      </c>
      <c r="G197" s="12" t="str">
        <f>IF(Tasks[[#This Row],[Location]]=0, "", Tasks[[#This Row],[Location]])</f>
        <v>408 - Assembly Room</v>
      </c>
      <c r="H197" s="12" t="str">
        <f>Tasks[[#This Row],[To Package]]</f>
        <v>Paint</v>
      </c>
      <c r="I197" s="12" t="str">
        <f>Tasks[[#This Row],[To Organisation]]</f>
        <v>Accent Painting and Special Coatings, LLC</v>
      </c>
    </row>
    <row r="198" spans="1:9" ht="15.5" x14ac:dyDescent="0.35">
      <c r="A198" s="14" t="str">
        <f>HYPERLINK(_xlfn.CONCAT(Edit_URL,Tasks[[#This Row],[Ref]]),Tasks[[#This Row],[Ref]])</f>
        <v>T74290.56</v>
      </c>
      <c r="B198" s="15" t="str" cm="1">
        <f t="array" ref="B198">_xlfn.SWITCH(LEFT(Tasks[[#This Row],[Status]],1),"O","Opened","C","Completed","S","Signed Off", "V", "Signed Off","ERROR")</f>
        <v>Signed Off</v>
      </c>
      <c r="C198" s="15" t="str" cm="1">
        <f t="array" ref="C198">_xlfn.SWITCH(LEFT(Tasks[[#This Row],[Type]], 3), "Fie", "Field Report", "Con", "Contractor QC", "Gen", "Contractor QC", "Pun", "Contractor QC", "Qua", "Contractor QC", "Fin", "Punch List")</f>
        <v>Contractor QC</v>
      </c>
      <c r="D198" s="15" t="str">
        <f>_xlfn.LET(
_xlpm.leftValue, TRIM(LEFT(Tasks[[#This Row],[Description]], 45)),
IF(LEN(_xlpm.leftValue) &lt; 40, _xlpm.leftValue, _xlfn.CONCAT(_xlpm.leftValue, "…"))
)</f>
        <v>Level form for the forming of the window open…</v>
      </c>
      <c r="E198" s="15" t="str" cm="1">
        <f t="array" ref="E198">_xlfn.LET(
_xlpm.inTower, COUNTIF(Tower_Num_Table[Tower Rm Numbers], LEFT(Task_Summary_Table[[#This Row],[Area/Room]], 3)) &gt; 0,
_xlpm.typeResult, _xlfn.SWITCH(LEFT(Tasks[[#This Row],[Page]], 2), "Hi", "Historic", "An", "Annex", "Si", "Site", "S5", "Project Task", "SWITCH ERROR"),
IF(_xlpm.inTower, "West Tower", _xlpm.typeResult)
)</f>
        <v>Historic</v>
      </c>
      <c r="F198" s="12" t="str">
        <f>IFERROR(MID(Tasks[[#This Row],[Page]], FIND("Level", Tasks[[#This Row],[Page]]), 7), IF(ISNUMBER(FIND("Roof", Tasks[[#This Row],[Page]])), "Roof",  IF(ISNUMBER(FIND("S590", Tasks[[#This Row],[Page]])), "",  IF(ISNUMBER(FIND("Site", Tasks[[#This Row],[Page]])), "", "ERROR"))))</f>
        <v>Level 4</v>
      </c>
      <c r="G198" s="12" t="str">
        <f>IF(Tasks[[#This Row],[Location]]=0, "", Tasks[[#This Row],[Location]])</f>
        <v>Level 4 East Stair Tower</v>
      </c>
      <c r="H198" s="12" t="str">
        <f>Tasks[[#This Row],[To Package]]</f>
        <v>Concrete</v>
      </c>
      <c r="I198" s="12" t="str">
        <f>Tasks[[#This Row],[To Organisation]]</f>
        <v>Innovative Concrete, LLC</v>
      </c>
    </row>
    <row r="199" spans="1:9" ht="15.5" x14ac:dyDescent="0.35">
      <c r="A199" s="14" t="str">
        <f>HYPERLINK(_xlfn.CONCAT(Edit_URL,Tasks[[#This Row],[Ref]]),Tasks[[#This Row],[Ref]])</f>
        <v>T74290.86</v>
      </c>
      <c r="B199" s="15" t="str" cm="1">
        <f t="array" ref="B199">_xlfn.SWITCH(LEFT(Tasks[[#This Row],[Status]],1),"O","Opened","C","Completed","S","Signed Off", "V", "Signed Off","ERROR")</f>
        <v>Signed Off</v>
      </c>
      <c r="C199" s="15" t="str" cm="1">
        <f t="array" ref="C199">_xlfn.SWITCH(LEFT(Tasks[[#This Row],[Type]], 3), "Fie", "Field Report", "Con", "Contractor QC", "Gen", "Contractor QC", "Pun", "Contractor QC", "Qua", "Contractor QC", "Fin", "Punch List")</f>
        <v>Contractor QC</v>
      </c>
      <c r="D199" s="15" t="str">
        <f>_xlfn.LET(
_xlpm.leftValue, TRIM(LEFT(Tasks[[#This Row],[Description]], 45)),
IF(LEN(_xlpm.leftValue) &lt; 40, _xlpm.leftValue, _xlfn.CONCAT(_xlpm.leftValue, "…"))
)</f>
        <v>Straighten GFRG￼</v>
      </c>
      <c r="E199" s="15" t="str" cm="1">
        <f t="array" ref="E199">_xlfn.LET(
_xlpm.inTower, COUNTIF(Tower_Num_Table[Tower Rm Numbers], LEFT(Task_Summary_Table[[#This Row],[Area/Room]], 3)) &gt; 0,
_xlpm.typeResult, _xlfn.SWITCH(LEFT(Tasks[[#This Row],[Page]], 2), "Hi", "Historic", "An", "Annex", "Si", "Site", "S5", "Project Task", "SWITCH ERROR"),
IF(_xlpm.inTower, "West Tower", _xlpm.typeResult)
)</f>
        <v>Historic</v>
      </c>
      <c r="F199" s="12" t="str">
        <f>IFERROR(MID(Tasks[[#This Row],[Page]], FIND("Level", Tasks[[#This Row],[Page]]), 7), IF(ISNUMBER(FIND("Roof", Tasks[[#This Row],[Page]])), "Roof",  IF(ISNUMBER(FIND("S590", Tasks[[#This Row],[Page]])), "",  IF(ISNUMBER(FIND("Site", Tasks[[#This Row],[Page]])), "", "ERROR"))))</f>
        <v>Level 3</v>
      </c>
      <c r="G199" s="12" t="str">
        <f>IF(Tasks[[#This Row],[Location]]=0, "", Tasks[[#This Row],[Location]])</f>
        <v>310 - Instruction Womens</v>
      </c>
      <c r="H199" s="12" t="str">
        <f>Tasks[[#This Row],[To Package]]</f>
        <v>GFRG</v>
      </c>
      <c r="I199" s="12" t="str">
        <f>Tasks[[#This Row],[To Organisation]]</f>
        <v>Pete King Construction</v>
      </c>
    </row>
    <row r="200" spans="1:9" ht="15.5" x14ac:dyDescent="0.35">
      <c r="A200" s="14" t="str">
        <f>HYPERLINK(_xlfn.CONCAT(Edit_URL,Tasks[[#This Row],[Ref]]),Tasks[[#This Row],[Ref]])</f>
        <v>T74290.132</v>
      </c>
      <c r="B200" s="15" t="str" cm="1">
        <f t="array" ref="B200">_xlfn.SWITCH(LEFT(Tasks[[#This Row],[Status]],1),"O","Opened","C","Completed","S","Signed Off", "V", "Signed Off","ERROR")</f>
        <v>Signed Off</v>
      </c>
      <c r="C200" s="15" t="str" cm="1">
        <f t="array" ref="C200">_xlfn.SWITCH(LEFT(Tasks[[#This Row],[Type]], 3), "Fie", "Field Report", "Con", "Contractor QC", "Gen", "Contractor QC", "Pun", "Contractor QC", "Qua", "Contractor QC", "Fin", "Punch List")</f>
        <v>Contractor QC</v>
      </c>
      <c r="D200" s="15" t="str">
        <f>_xlfn.LET(
_xlpm.leftValue, TRIM(LEFT(Tasks[[#This Row],[Description]], 45)),
IF(LEN(_xlpm.leftValue) &lt; 40, _xlpm.leftValue, _xlfn.CONCAT(_xlpm.leftValue, "…"))
)</f>
        <v>Cover windows to protect from sub trade work…</v>
      </c>
      <c r="E200" s="15" t="str" cm="1">
        <f t="array" ref="E20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0" s="12" t="str">
        <f>IFERROR(MID(Tasks[[#This Row],[Page]], FIND("Level", Tasks[[#This Row],[Page]]), 7), IF(ISNUMBER(FIND("Roof", Tasks[[#This Row],[Page]])), "Roof",  IF(ISNUMBER(FIND("S590", Tasks[[#This Row],[Page]])), "",  IF(ISNUMBER(FIND("Site", Tasks[[#This Row],[Page]])), "", "ERROR"))))</f>
        <v>Level 3</v>
      </c>
      <c r="G200" s="12" t="str">
        <f>IF(Tasks[[#This Row],[Location]]=0, "", Tasks[[#This Row],[Location]])</f>
        <v>304 - Vest</v>
      </c>
      <c r="H200" s="12" t="str">
        <f>Tasks[[#This Row],[To Package]]</f>
        <v>Westland -- Historic</v>
      </c>
      <c r="I200" s="12" t="str">
        <f>Tasks[[#This Row],[To Organisation]]</f>
        <v>Westland Construction, Inc.</v>
      </c>
    </row>
    <row r="201" spans="1:9" ht="15.5" x14ac:dyDescent="0.35">
      <c r="A201" s="14" t="str">
        <f>HYPERLINK(_xlfn.CONCAT(Edit_URL,Tasks[[#This Row],[Ref]]),Tasks[[#This Row],[Ref]])</f>
        <v>T74290.58</v>
      </c>
      <c r="B201" s="15" t="str" cm="1">
        <f t="array" ref="B201">_xlfn.SWITCH(LEFT(Tasks[[#This Row],[Status]],1),"O","Opened","C","Completed","S","Signed Off", "V", "Signed Off","ERROR")</f>
        <v>Signed Off</v>
      </c>
      <c r="C201" s="15" t="str" cm="1">
        <f t="array" ref="C201">_xlfn.SWITCH(LEFT(Tasks[[#This Row],[Type]], 3), "Fie", "Field Report", "Con", "Contractor QC", "Gen", "Contractor QC", "Pun", "Contractor QC", "Qua", "Contractor QC", "Fin", "Punch List")</f>
        <v>Contractor QC</v>
      </c>
      <c r="D201" s="15" t="str">
        <f>_xlfn.LET(
_xlpm.leftValue, TRIM(LEFT(Tasks[[#This Row],[Description]], 45)),
IF(LEN(_xlpm.leftValue) &lt; 40, _xlpm.leftValue, _xlfn.CONCAT(_xlpm.leftValue, "…"))
)</f>
        <v>Fill in honeycomb and holes with non shrink g…</v>
      </c>
      <c r="E201" s="15" t="str" cm="1">
        <f t="array" ref="E201">_xlfn.LET(
_xlpm.inTower, COUNTIF(Tower_Num_Table[Tower Rm Numbers], LEFT(Task_Summary_Table[[#This Row],[Area/Room]], 3)) &gt; 0,
_xlpm.typeResult, _xlfn.SWITCH(LEFT(Tasks[[#This Row],[Page]], 2), "Hi", "Historic", "An", "Annex", "Si", "Site", "S5", "Project Task", "SWITCH ERROR"),
IF(_xlpm.inTower, "West Tower", _xlpm.typeResult)
)</f>
        <v>Historic</v>
      </c>
      <c r="F201" s="12" t="str">
        <f>IFERROR(MID(Tasks[[#This Row],[Page]], FIND("Level", Tasks[[#This Row],[Page]]), 7), IF(ISNUMBER(FIND("Roof", Tasks[[#This Row],[Page]])), "Roof",  IF(ISNUMBER(FIND("S590", Tasks[[#This Row],[Page]])), "",  IF(ISNUMBER(FIND("Site", Tasks[[#This Row],[Page]])), "", "ERROR"))))</f>
        <v>Level 3</v>
      </c>
      <c r="G201" s="12" t="str">
        <f>IF(Tasks[[#This Row],[Location]]=0, "", Tasks[[#This Row],[Location]])</f>
        <v>Level 2 East Stairs</v>
      </c>
      <c r="H201" s="12" t="str">
        <f>Tasks[[#This Row],[To Package]]</f>
        <v>Concrete</v>
      </c>
      <c r="I201" s="12" t="str">
        <f>Tasks[[#This Row],[To Organisation]]</f>
        <v>Innovative Concrete, LLC</v>
      </c>
    </row>
    <row r="202" spans="1:9" ht="15.5" x14ac:dyDescent="0.35">
      <c r="A202" s="14" t="str">
        <f>HYPERLINK(_xlfn.CONCAT(Edit_URL,Tasks[[#This Row],[Ref]]),Tasks[[#This Row],[Ref]])</f>
        <v>T74290.24</v>
      </c>
      <c r="B202" s="15" t="str" cm="1">
        <f t="array" ref="B202">_xlfn.SWITCH(LEFT(Tasks[[#This Row],[Status]],1),"O","Opened","C","Completed","S","Signed Off", "V", "Signed Off","ERROR")</f>
        <v>Signed Off</v>
      </c>
      <c r="C202" s="15" t="str" cm="1">
        <f t="array" ref="C202">_xlfn.SWITCH(LEFT(Tasks[[#This Row],[Type]], 3), "Fie", "Field Report", "Con", "Contractor QC", "Gen", "Contractor QC", "Pun", "Contractor QC", "Qua", "Contractor QC", "Fin", "Punch List")</f>
        <v>Contractor QC</v>
      </c>
      <c r="D202" s="15" t="str">
        <f>_xlfn.LET(
_xlpm.leftValue, TRIM(LEFT(Tasks[[#This Row],[Description]], 45)),
IF(LEN(_xlpm.leftValue) &lt; 40, _xlpm.leftValue, _xlfn.CONCAT(_xlpm.leftValue, "…"))
)</f>
        <v>Fill in honeycomb and core holes with non-shr…</v>
      </c>
      <c r="E202" s="15" t="str" cm="1">
        <f t="array" ref="E202">_xlfn.LET(
_xlpm.inTower, COUNTIF(Tower_Num_Table[Tower Rm Numbers], LEFT(Task_Summary_Table[[#This Row],[Area/Room]], 3)) &gt; 0,
_xlpm.typeResult, _xlfn.SWITCH(LEFT(Tasks[[#This Row],[Page]], 2), "Hi", "Historic", "An", "Annex", "Si", "Site", "S5", "Project Task", "SWITCH ERROR"),
IF(_xlpm.inTower, "West Tower", _xlpm.typeResult)
)</f>
        <v>Historic</v>
      </c>
      <c r="F202" s="12" t="str">
        <f>IFERROR(MID(Tasks[[#This Row],[Page]], FIND("Level", Tasks[[#This Row],[Page]]), 7), IF(ISNUMBER(FIND("Roof", Tasks[[#This Row],[Page]])), "Roof",  IF(ISNUMBER(FIND("S590", Tasks[[#This Row],[Page]])), "",  IF(ISNUMBER(FIND("Site", Tasks[[#This Row],[Page]])), "", "ERROR"))))</f>
        <v>Level 1</v>
      </c>
      <c r="G202" s="12" t="str">
        <f>IF(Tasks[[#This Row],[Location]]=0, "", Tasks[[#This Row],[Location]])</f>
        <v>Level 1 West Stair</v>
      </c>
      <c r="H202" s="12" t="str">
        <f>Tasks[[#This Row],[To Package]]</f>
        <v>Concrete</v>
      </c>
      <c r="I202" s="12" t="str">
        <f>Tasks[[#This Row],[To Organisation]]</f>
        <v>Innovative Concrete, LLC</v>
      </c>
    </row>
    <row r="203" spans="1:9" ht="15.5" x14ac:dyDescent="0.35">
      <c r="A203" s="14" t="str">
        <f>HYPERLINK(_xlfn.CONCAT(Edit_URL,Tasks[[#This Row],[Ref]]),Tasks[[#This Row],[Ref]])</f>
        <v>T74290.54</v>
      </c>
      <c r="B203" s="15" t="str" cm="1">
        <f t="array" ref="B203">_xlfn.SWITCH(LEFT(Tasks[[#This Row],[Status]],1),"O","Opened","C","Completed","S","Signed Off", "V", "Signed Off","ERROR")</f>
        <v>Signed Off</v>
      </c>
      <c r="C203" s="15" t="str" cm="1">
        <f t="array" ref="C203">_xlfn.SWITCH(LEFT(Tasks[[#This Row],[Type]], 3), "Fie", "Field Report", "Con", "Contractor QC", "Gen", "Contractor QC", "Pun", "Contractor QC", "Qua", "Contractor QC", "Fin", "Punch List")</f>
        <v>Contractor QC</v>
      </c>
      <c r="D203" s="15" t="str">
        <f>_xlfn.LET(
_xlpm.leftValue, TRIM(LEFT(Tasks[[#This Row],[Description]], 45)),
IF(LEN(_xlpm.leftValue) &lt; 40, _xlpm.leftValue, _xlfn.CONCAT(_xlpm.leftValue, "…"))
)</f>
        <v>Measurement from wall to handrail is 33 inche…</v>
      </c>
      <c r="E203" s="15" t="str" cm="1">
        <f t="array" ref="E203">_xlfn.LET(
_xlpm.inTower, COUNTIF(Tower_Num_Table[Tower Rm Numbers], LEFT(Task_Summary_Table[[#This Row],[Area/Room]], 3)) &gt; 0,
_xlpm.typeResult, _xlfn.SWITCH(LEFT(Tasks[[#This Row],[Page]], 2), "Hi", "Historic", "An", "Annex", "Si", "Site", "S5", "Project Task", "SWITCH ERROR"),
IF(_xlpm.inTower, "West Tower", _xlpm.typeResult)
)</f>
        <v>Historic</v>
      </c>
      <c r="F203" s="12" t="str">
        <f>IFERROR(MID(Tasks[[#This Row],[Page]], FIND("Level", Tasks[[#This Row],[Page]]), 7), IF(ISNUMBER(FIND("Roof", Tasks[[#This Row],[Page]])), "Roof",  IF(ISNUMBER(FIND("S590", Tasks[[#This Row],[Page]])), "",  IF(ISNUMBER(FIND("Site", Tasks[[#This Row],[Page]])), "", "ERROR"))))</f>
        <v>Level 0</v>
      </c>
      <c r="G203" s="12" t="str">
        <f>IF(Tasks[[#This Row],[Location]]=0, "", Tasks[[#This Row],[Location]])</f>
        <v>STAIR 10</v>
      </c>
      <c r="H203" s="12" t="str">
        <f>Tasks[[#This Row],[To Package]]</f>
        <v>Westland -- Historic</v>
      </c>
      <c r="I203" s="12" t="str">
        <f>Tasks[[#This Row],[To Organisation]]</f>
        <v>Westland Construction, Inc.</v>
      </c>
    </row>
    <row r="204" spans="1:9" ht="15.5" x14ac:dyDescent="0.35">
      <c r="A204" s="14" t="str">
        <f>HYPERLINK(_xlfn.CONCAT(Edit_URL,Tasks[[#This Row],[Ref]]),Tasks[[#This Row],[Ref]])</f>
        <v>T74290.129</v>
      </c>
      <c r="B204" s="15" t="str" cm="1">
        <f t="array" ref="B204">_xlfn.SWITCH(LEFT(Tasks[[#This Row],[Status]],1),"O","Opened","C","Completed","S","Signed Off", "V", "Signed Off","ERROR")</f>
        <v>Signed Off</v>
      </c>
      <c r="C204" s="15" t="str" cm="1">
        <f t="array" ref="C204">_xlfn.SWITCH(LEFT(Tasks[[#This Row],[Type]], 3), "Fie", "Field Report", "Con", "Contractor QC", "Gen", "Contractor QC", "Pun", "Contractor QC", "Qua", "Contractor QC", "Fin", "Punch List")</f>
        <v>Contractor QC</v>
      </c>
      <c r="D204" s="15" t="str">
        <f>_xlfn.LET(
_xlpm.leftValue, TRIM(LEFT(Tasks[[#This Row],[Description]], 45)),
IF(LEN(_xlpm.leftValue) &lt; 40, _xlpm.leftValue, _xlfn.CONCAT(_xlpm.leftValue, "…"))
)</f>
        <v>Drywall touch up in 2 corners</v>
      </c>
      <c r="E204" s="15" t="str" cm="1">
        <f t="array" ref="E204">_xlfn.LET(
_xlpm.inTower, COUNTIF(Tower_Num_Table[Tower Rm Numbers], LEFT(Task_Summary_Table[[#This Row],[Area/Room]], 3)) &gt; 0,
_xlpm.typeResult, _xlfn.SWITCH(LEFT(Tasks[[#This Row],[Page]], 2), "Hi", "Historic", "An", "Annex", "Si", "Site", "S5", "Project Task", "SWITCH ERROR"),
IF(_xlpm.inTower, "West Tower", _xlpm.typeResult)
)</f>
        <v>Historic</v>
      </c>
      <c r="F204" s="12" t="str">
        <f>IFERROR(MID(Tasks[[#This Row],[Page]], FIND("Level", Tasks[[#This Row],[Page]]), 7), IF(ISNUMBER(FIND("Roof", Tasks[[#This Row],[Page]])), "Roof",  IF(ISNUMBER(FIND("S590", Tasks[[#This Row],[Page]])), "",  IF(ISNUMBER(FIND("Site", Tasks[[#This Row],[Page]])), "", "ERROR"))))</f>
        <v>Level 0</v>
      </c>
      <c r="G204" s="12" t="str">
        <f>IF(Tasks[[#This Row],[Location]]=0, "", Tasks[[#This Row],[Location]])</f>
        <v>082 - Clothing</v>
      </c>
      <c r="H204" s="12" t="str">
        <f>Tasks[[#This Row],[To Package]]</f>
        <v>Metal Stud / Drywall</v>
      </c>
      <c r="I204" s="12" t="str">
        <f>Tasks[[#This Row],[To Organisation]]</f>
        <v>Pete King Construction</v>
      </c>
    </row>
    <row r="205" spans="1:9" ht="15.5" x14ac:dyDescent="0.35">
      <c r="A205" s="14" t="str">
        <f>HYPERLINK(_xlfn.CONCAT(Edit_URL,Tasks[[#This Row],[Ref]]),Tasks[[#This Row],[Ref]])</f>
        <v>T74290.154</v>
      </c>
      <c r="B205" s="15" t="str" cm="1">
        <f t="array" ref="B205">_xlfn.SWITCH(LEFT(Tasks[[#This Row],[Status]],1),"O","Opened","C","Completed","S","Signed Off", "V", "Signed Off","ERROR")</f>
        <v>Signed Off</v>
      </c>
      <c r="C205" s="15" t="str" cm="1">
        <f t="array" ref="C205">_xlfn.SWITCH(LEFT(Tasks[[#This Row],[Type]], 3), "Fie", "Field Report", "Con", "Contractor QC", "Gen", "Contractor QC", "Pun", "Contractor QC", "Qua", "Contractor QC", "Fin", "Punch List")</f>
        <v>Contractor QC</v>
      </c>
      <c r="D205" s="15" t="str">
        <f>_xlfn.LET(
_xlpm.leftValue, TRIM(LEFT(Tasks[[#This Row],[Description]], 45)),
IF(LEN(_xlpm.leftValue) &lt; 40, _xlpm.leftValue, _xlfn.CONCAT(_xlpm.leftValue, "…"))
)</f>
        <v>Drywall around lights that needed to be adjus…</v>
      </c>
      <c r="E205" s="15" t="str" cm="1">
        <f t="array" ref="E205">_xlfn.LET(
_xlpm.inTower, COUNTIF(Tower_Num_Table[Tower Rm Numbers], LEFT(Task_Summary_Table[[#This Row],[Area/Room]], 3)) &gt; 0,
_xlpm.typeResult, _xlfn.SWITCH(LEFT(Tasks[[#This Row],[Page]], 2), "Hi", "Historic", "An", "Annex", "Si", "Site", "S5", "Project Task", "SWITCH ERROR"),
IF(_xlpm.inTower, "West Tower", _xlpm.typeResult)
)</f>
        <v>Historic</v>
      </c>
      <c r="F205" s="12" t="str">
        <f>IFERROR(MID(Tasks[[#This Row],[Page]], FIND("Level", Tasks[[#This Row],[Page]]), 7), IF(ISNUMBER(FIND("Roof", Tasks[[#This Row],[Page]])), "Roof",  IF(ISNUMBER(FIND("S590", Tasks[[#This Row],[Page]])), "",  IF(ISNUMBER(FIND("Site", Tasks[[#This Row],[Page]])), "", "ERROR"))))</f>
        <v>Level 0</v>
      </c>
      <c r="G205" s="12" t="str">
        <f>IF(Tasks[[#This Row],[Location]]=0, "", Tasks[[#This Row],[Location]])</f>
        <v>077 - Dressing - Boys</v>
      </c>
      <c r="H205" s="12" t="str">
        <f>Tasks[[#This Row],[To Package]]</f>
        <v>Metal Stud / Drywall</v>
      </c>
      <c r="I205" s="12" t="str">
        <f>Tasks[[#This Row],[To Organisation]]</f>
        <v>Pete King Construction</v>
      </c>
    </row>
    <row r="206" spans="1:9" ht="15.5" x14ac:dyDescent="0.35">
      <c r="A206" s="14" t="str">
        <f>HYPERLINK(_xlfn.CONCAT(Edit_URL,Tasks[[#This Row],[Ref]]),Tasks[[#This Row],[Ref]])</f>
        <v>T74290.31</v>
      </c>
      <c r="B206" s="15" t="str" cm="1">
        <f t="array" ref="B206">_xlfn.SWITCH(LEFT(Tasks[[#This Row],[Status]],1),"O","Opened","C","Completed","S","Signed Off", "V", "Signed Off","ERROR")</f>
        <v>Signed Off</v>
      </c>
      <c r="C206" s="15" t="str" cm="1">
        <f t="array" ref="C206">_xlfn.SWITCH(LEFT(Tasks[[#This Row],[Type]], 3), "Fie", "Field Report", "Con", "Contractor QC", "Gen", "Contractor QC", "Pun", "Contractor QC", "Qua", "Contractor QC", "Fin", "Punch List")</f>
        <v>Contractor QC</v>
      </c>
      <c r="D206" s="15" t="str">
        <f>_xlfn.LET(
_xlpm.leftValue, TRIM(LEFT(Tasks[[#This Row],[Description]], 45)),
IF(LEN(_xlpm.leftValue) &lt; 40, _xlpm.leftValue, _xlfn.CONCAT(_xlpm.leftValue, "…"))
)</f>
        <v>Position of fittings to be in the wall￼</v>
      </c>
      <c r="E206" s="15" t="str" cm="1">
        <f t="array" ref="E20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6" s="12" t="str">
        <f>IFERROR(MID(Tasks[[#This Row],[Page]], FIND("Level", Tasks[[#This Row],[Page]]), 7), IF(ISNUMBER(FIND("Roof", Tasks[[#This Row],[Page]])), "Roof",  IF(ISNUMBER(FIND("S590", Tasks[[#This Row],[Page]])), "",  IF(ISNUMBER(FIND("Site", Tasks[[#This Row],[Page]])), "", "ERROR"))))</f>
        <v>Level 1</v>
      </c>
      <c r="G206" s="12" t="str">
        <f>IF(Tasks[[#This Row],[Location]]=0, "", Tasks[[#This Row],[Location]])</f>
        <v>189 - Jan</v>
      </c>
      <c r="H206" s="12" t="str">
        <f>Tasks[[#This Row],[To Package]]</f>
        <v>Fire Suppression</v>
      </c>
      <c r="I206" s="12" t="str">
        <f>Tasks[[#This Row],[To Organisation]]</f>
        <v>Broken Arrow Construction Corporation</v>
      </c>
    </row>
    <row r="207" spans="1:9" ht="15.5" x14ac:dyDescent="0.35">
      <c r="A207" s="14" t="str">
        <f>HYPERLINK(_xlfn.CONCAT(Edit_URL,Tasks[[#This Row],[Ref]]),Tasks[[#This Row],[Ref]])</f>
        <v>T74290.126</v>
      </c>
      <c r="B207" s="15" t="str" cm="1">
        <f t="array" ref="B207">_xlfn.SWITCH(LEFT(Tasks[[#This Row],[Status]],1),"O","Opened","C","Completed","S","Signed Off", "V", "Signed Off","ERROR")</f>
        <v>Signed Off</v>
      </c>
      <c r="C207" s="15" t="str" cm="1">
        <f t="array" ref="C207">_xlfn.SWITCH(LEFT(Tasks[[#This Row],[Type]], 3), "Fie", "Field Report", "Con", "Contractor QC", "Gen", "Contractor QC", "Pun", "Contractor QC", "Qua", "Contractor QC", "Fin", "Punch List")</f>
        <v>Contractor QC</v>
      </c>
      <c r="D207" s="15" t="str">
        <f>_xlfn.LET(
_xlpm.leftValue, TRIM(LEFT(Tasks[[#This Row],[Description]], 45)),
IF(LEN(_xlpm.leftValue) &lt; 40, _xlpm.leftValue, _xlfn.CONCAT(_xlpm.leftValue, "…"))
)</f>
        <v>Complete sill</v>
      </c>
      <c r="E207" s="15" t="str" cm="1">
        <f t="array" ref="E207">_xlfn.LET(
_xlpm.inTower, COUNTIF(Tower_Num_Table[Tower Rm Numbers], LEFT(Task_Summary_Table[[#This Row],[Area/Room]], 3)) &gt; 0,
_xlpm.typeResult, _xlfn.SWITCH(LEFT(Tasks[[#This Row],[Page]], 2), "Hi", "Historic", "An", "Annex", "Si", "Site", "S5", "Project Task", "SWITCH ERROR"),
IF(_xlpm.inTower, "West Tower", _xlpm.typeResult)
)</f>
        <v>Historic</v>
      </c>
      <c r="F207" s="12" t="str">
        <f>IFERROR(MID(Tasks[[#This Row],[Page]], FIND("Level", Tasks[[#This Row],[Page]]), 7), IF(ISNUMBER(FIND("Roof", Tasks[[#This Row],[Page]])), "Roof",  IF(ISNUMBER(FIND("S590", Tasks[[#This Row],[Page]])), "",  IF(ISNUMBER(FIND("Site", Tasks[[#This Row],[Page]])), "", "ERROR"))))</f>
        <v>Level 1</v>
      </c>
      <c r="G207" s="12" t="str">
        <f>IF(Tasks[[#This Row],[Location]]=0, "", Tasks[[#This Row],[Location]])</f>
        <v>190 - Elevator Lobby</v>
      </c>
      <c r="H207" s="12" t="str">
        <f>Tasks[[#This Row],[To Package]]</f>
        <v xml:space="preserve">Finish Carpentry </v>
      </c>
      <c r="I207" s="12" t="str">
        <f>Tasks[[#This Row],[To Organisation]]</f>
        <v>Fetzers' Inc.</v>
      </c>
    </row>
    <row r="208" spans="1:9" ht="15.5" x14ac:dyDescent="0.35">
      <c r="A208" s="14" t="str">
        <f>HYPERLINK(_xlfn.CONCAT(Edit_URL,Tasks[[#This Row],[Ref]]),Tasks[[#This Row],[Ref]])</f>
        <v>T74290.57</v>
      </c>
      <c r="B208" s="15" t="str" cm="1">
        <f t="array" ref="B208">_xlfn.SWITCH(LEFT(Tasks[[#This Row],[Status]],1),"O","Opened","C","Completed","S","Signed Off", "V", "Signed Off","ERROR")</f>
        <v>Signed Off</v>
      </c>
      <c r="C208" s="15" t="str" cm="1">
        <f t="array" ref="C208">_xlfn.SWITCH(LEFT(Tasks[[#This Row],[Type]], 3), "Fie", "Field Report", "Con", "Contractor QC", "Gen", "Contractor QC", "Pun", "Contractor QC", "Qua", "Contractor QC", "Fin", "Punch List")</f>
        <v>Contractor QC</v>
      </c>
      <c r="D208" s="15" t="str">
        <f>_xlfn.LET(
_xlpm.leftValue, TRIM(LEFT(Tasks[[#This Row],[Description]], 45)),
IF(LEN(_xlpm.leftValue) &lt; 40, _xlpm.leftValue, _xlfn.CONCAT(_xlpm.leftValue, "…"))
)</f>
        <v>Fill in honeycomb and holes￼ with non shrink…</v>
      </c>
      <c r="E208" s="15" t="str" cm="1">
        <f t="array" ref="E208">_xlfn.LET(
_xlpm.inTower, COUNTIF(Tower_Num_Table[Tower Rm Numbers], LEFT(Task_Summary_Table[[#This Row],[Area/Room]], 3)) &gt; 0,
_xlpm.typeResult, _xlfn.SWITCH(LEFT(Tasks[[#This Row],[Page]], 2), "Hi", "Historic", "An", "Annex", "Si", "Site", "S5", "Project Task", "SWITCH ERROR"),
IF(_xlpm.inTower, "West Tower", _xlpm.typeResult)
)</f>
        <v>Historic</v>
      </c>
      <c r="F208" s="12" t="str">
        <f>IFERROR(MID(Tasks[[#This Row],[Page]], FIND("Level", Tasks[[#This Row],[Page]]), 7), IF(ISNUMBER(FIND("Roof", Tasks[[#This Row],[Page]])), "Roof",  IF(ISNUMBER(FIND("S590", Tasks[[#This Row],[Page]])), "",  IF(ISNUMBER(FIND("Site", Tasks[[#This Row],[Page]])), "", "ERROR"))))</f>
        <v>Level 2</v>
      </c>
      <c r="G208" s="12" t="str">
        <f>IF(Tasks[[#This Row],[Location]]=0, "", Tasks[[#This Row],[Location]])</f>
        <v>Level 2 West Stair Tower</v>
      </c>
      <c r="H208" s="12" t="str">
        <f>Tasks[[#This Row],[To Package]]</f>
        <v>Concrete</v>
      </c>
      <c r="I208" s="12" t="str">
        <f>Tasks[[#This Row],[To Organisation]]</f>
        <v>Innovative Concrete, LLC</v>
      </c>
    </row>
    <row r="209" spans="1:9" ht="15.5" x14ac:dyDescent="0.35">
      <c r="A209" s="14" t="str">
        <f>HYPERLINK(_xlfn.CONCAT(Edit_URL,Tasks[[#This Row],[Ref]]),Tasks[[#This Row],[Ref]])</f>
        <v>T74290.48</v>
      </c>
      <c r="B209" s="15" t="str" cm="1">
        <f t="array" ref="B209">_xlfn.SWITCH(LEFT(Tasks[[#This Row],[Status]],1),"O","Opened","C","Completed","S","Signed Off", "V", "Signed Off","ERROR")</f>
        <v>Signed Off</v>
      </c>
      <c r="C209" s="15" t="str" cm="1">
        <f t="array" ref="C209">_xlfn.SWITCH(LEFT(Tasks[[#This Row],[Type]], 3), "Fie", "Field Report", "Con", "Contractor QC", "Gen", "Contractor QC", "Pun", "Contractor QC", "Qua", "Contractor QC", "Fin", "Punch List")</f>
        <v>Contractor QC</v>
      </c>
      <c r="D209" s="15" t="str">
        <f>_xlfn.LET(
_xlpm.leftValue, TRIM(LEFT(Tasks[[#This Row],[Description]], 45)),
IF(LEN(_xlpm.leftValue) &lt; 40, _xlpm.leftValue, _xlfn.CONCAT(_xlpm.leftValue, "…"))
)</f>
        <v>Remove and replace walls as per new specs￼…</v>
      </c>
      <c r="E209" s="15" t="str" cm="1">
        <f t="array" ref="E20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9" s="12" t="str">
        <f>IFERROR(MID(Tasks[[#This Row],[Page]], FIND("Level", Tasks[[#This Row],[Page]]), 7), IF(ISNUMBER(FIND("Roof", Tasks[[#This Row],[Page]])), "Roof",  IF(ISNUMBER(FIND("S590", Tasks[[#This Row],[Page]])), "",  IF(ISNUMBER(FIND("Site", Tasks[[#This Row],[Page]])), "", "ERROR"))))</f>
        <v>Level 0</v>
      </c>
      <c r="G209" s="12" t="str">
        <f>IF(Tasks[[#This Row],[Location]]=0, "", Tasks[[#This Row],[Location]])</f>
        <v>052D - Storage</v>
      </c>
      <c r="H209" s="12" t="str">
        <f>Tasks[[#This Row],[To Package]]</f>
        <v>Metal Stud / Drywall</v>
      </c>
      <c r="I209" s="12" t="str">
        <f>Tasks[[#This Row],[To Organisation]]</f>
        <v>Pete King Construction</v>
      </c>
    </row>
    <row r="210" spans="1:9" ht="15.5" x14ac:dyDescent="0.35">
      <c r="A210" s="14" t="str">
        <f>HYPERLINK(_xlfn.CONCAT(Edit_URL,Tasks[[#This Row],[Ref]]),Tasks[[#This Row],[Ref]])</f>
        <v>T74290.66</v>
      </c>
      <c r="B210" s="15" t="str" cm="1">
        <f t="array" ref="B210">_xlfn.SWITCH(LEFT(Tasks[[#This Row],[Status]],1),"O","Opened","C","Completed","S","Signed Off", "V", "Signed Off","ERROR")</f>
        <v>Signed Off</v>
      </c>
      <c r="C210" s="15" t="str" cm="1">
        <f t="array" ref="C210">_xlfn.SWITCH(LEFT(Tasks[[#This Row],[Type]], 3), "Fie", "Field Report", "Con", "Contractor QC", "Gen", "Contractor QC", "Pun", "Contractor QC", "Qua", "Contractor QC", "Fin", "Punch List")</f>
        <v>Contractor QC</v>
      </c>
      <c r="D210" s="15" t="str">
        <f>_xlfn.LET(
_xlpm.leftValue, TRIM(LEFT(Tasks[[#This Row],[Description]], 45)),
IF(LEN(_xlpm.leftValue) &lt; 40, _xlpm.leftValue, _xlfn.CONCAT(_xlpm.leftValue, "…"))
)</f>
        <v>Paint walls￼</v>
      </c>
      <c r="E210" s="15" t="str" cm="1">
        <f t="array" ref="E2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0" s="12" t="str">
        <f>IFERROR(MID(Tasks[[#This Row],[Page]], FIND("Level", Tasks[[#This Row],[Page]]), 7), IF(ISNUMBER(FIND("Roof", Tasks[[#This Row],[Page]])), "Roof",  IF(ISNUMBER(FIND("S590", Tasks[[#This Row],[Page]])), "",  IF(ISNUMBER(FIND("Site", Tasks[[#This Row],[Page]])), "", "ERROR"))))</f>
        <v>Level 1</v>
      </c>
      <c r="G210" s="12" t="str">
        <f>IF(Tasks[[#This Row],[Location]]=0, "", Tasks[[#This Row],[Location]])</f>
        <v>183 - Storage</v>
      </c>
      <c r="H210" s="12" t="str">
        <f>Tasks[[#This Row],[To Package]]</f>
        <v>Paint</v>
      </c>
      <c r="I210" s="12" t="str">
        <f>Tasks[[#This Row],[To Organisation]]</f>
        <v>Accent Painting and Special Coatings, LLC</v>
      </c>
    </row>
    <row r="211" spans="1:9" ht="15.5" x14ac:dyDescent="0.35">
      <c r="A211" s="14" t="str">
        <f>HYPERLINK(_xlfn.CONCAT(Edit_URL,Tasks[[#This Row],[Ref]]),Tasks[[#This Row],[Ref]])</f>
        <v>T55794.10</v>
      </c>
      <c r="B211" s="15" t="str" cm="1">
        <f t="array" ref="B211">_xlfn.SWITCH(LEFT(Tasks[[#This Row],[Status]],1),"O","Opened","C","Completed","S","Signed Off", "V", "Signed Off","ERROR")</f>
        <v>Signed Off</v>
      </c>
      <c r="C211" s="15" t="str" cm="1">
        <f t="array" ref="C211">_xlfn.SWITCH(LEFT(Tasks[[#This Row],[Type]], 3), "Fie", "Field Report", "Con", "Contractor QC", "Gen", "Contractor QC", "Pun", "Contractor QC", "Qua", "Contractor QC", "Fin", "Punch List")</f>
        <v>Contractor QC</v>
      </c>
      <c r="D211" s="15" t="str">
        <f>_xlfn.LET(
_xlpm.leftValue, TRIM(LEFT(Tasks[[#This Row],[Description]], 45)),
IF(LEN(_xlpm.leftValue) &lt; 40, _xlpm.leftValue, _xlfn.CONCAT(_xlpm.leftValue, "…"))
)</f>
        <v>fire caulking required at all wall penetratio…</v>
      </c>
      <c r="E211" s="15" t="str" cm="1">
        <f t="array" ref="E2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1" s="12" t="str">
        <f>IFERROR(MID(Tasks[[#This Row],[Page]], FIND("Level", Tasks[[#This Row],[Page]]), 7), IF(ISNUMBER(FIND("Roof", Tasks[[#This Row],[Page]])), "Roof",  IF(ISNUMBER(FIND("S590", Tasks[[#This Row],[Page]])), "",  IF(ISNUMBER(FIND("Site", Tasks[[#This Row],[Page]])), "", "ERROR"))))</f>
        <v>Level 1</v>
      </c>
      <c r="G211" s="12" t="str">
        <f>IF(Tasks[[#This Row],[Location]]=0, "", Tasks[[#This Row],[Location]])</f>
        <v>184 - Stair Lobby</v>
      </c>
      <c r="H211" s="12" t="str">
        <f>Tasks[[#This Row],[To Package]]</f>
        <v>Fire Suppression</v>
      </c>
      <c r="I211" s="12" t="str">
        <f>Tasks[[#This Row],[To Organisation]]</f>
        <v>Broken Arrow Construction Corporation</v>
      </c>
    </row>
    <row r="212" spans="1:9" ht="15.5" x14ac:dyDescent="0.35">
      <c r="A212" s="14" t="str">
        <f>HYPERLINK(_xlfn.CONCAT(Edit_URL,Tasks[[#This Row],[Ref]]),Tasks[[#This Row],[Ref]])</f>
        <v>T74290.47</v>
      </c>
      <c r="B212" s="15" t="str" cm="1">
        <f t="array" ref="B212">_xlfn.SWITCH(LEFT(Tasks[[#This Row],[Status]],1),"O","Opened","C","Completed","S","Signed Off", "V", "Signed Off","ERROR")</f>
        <v>Signed Off</v>
      </c>
      <c r="C212" s="15" t="str" cm="1">
        <f t="array" ref="C212">_xlfn.SWITCH(LEFT(Tasks[[#This Row],[Type]], 3), "Fie", "Field Report", "Con", "Contractor QC", "Gen", "Contractor QC", "Pun", "Contractor QC", "Qua", "Contractor QC", "Fin", "Punch List")</f>
        <v>Contractor QC</v>
      </c>
      <c r="D212" s="15" t="str">
        <f>_xlfn.LET(
_xlpm.leftValue, TRIM(LEFT(Tasks[[#This Row],[Description]], 45)),
IF(LEN(_xlpm.leftValue) &lt; 40, _xlpm.leftValue, _xlfn.CONCAT(_xlpm.leftValue, "…"))
)</f>
        <v>Frame and drywall above pipe￼ to the height o…</v>
      </c>
      <c r="E212" s="15" t="str" cm="1">
        <f t="array" ref="E212">_xlfn.LET(
_xlpm.inTower, COUNTIF(Tower_Num_Table[Tower Rm Numbers], LEFT(Task_Summary_Table[[#This Row],[Area/Room]], 3)) &gt; 0,
_xlpm.typeResult, _xlfn.SWITCH(LEFT(Tasks[[#This Row],[Page]], 2), "Hi", "Historic", "An", "Annex", "Si", "Site", "S5", "Project Task", "SWITCH ERROR"),
IF(_xlpm.inTower, "West Tower", _xlpm.typeResult)
)</f>
        <v>Historic</v>
      </c>
      <c r="F212" s="12" t="str">
        <f>IFERROR(MID(Tasks[[#This Row],[Page]], FIND("Level", Tasks[[#This Row],[Page]]), 7), IF(ISNUMBER(FIND("Roof", Tasks[[#This Row],[Page]])), "Roof",  IF(ISNUMBER(FIND("S590", Tasks[[#This Row],[Page]])), "",  IF(ISNUMBER(FIND("Site", Tasks[[#This Row],[Page]])), "", "ERROR"))))</f>
        <v>Level 0</v>
      </c>
      <c r="G212" s="12" t="str">
        <f>IF(Tasks[[#This Row],[Location]]=0, "", Tasks[[#This Row],[Location]])</f>
        <v>067C - STAIR 4</v>
      </c>
      <c r="H212" s="12" t="str">
        <f>Tasks[[#This Row],[To Package]]</f>
        <v>Metal Stud / Drywall</v>
      </c>
      <c r="I212" s="12" t="str">
        <f>Tasks[[#This Row],[To Organisation]]</f>
        <v>Pete King Construction</v>
      </c>
    </row>
    <row r="213" spans="1:9" ht="15.5" x14ac:dyDescent="0.35">
      <c r="A213" s="14" t="str">
        <f>HYPERLINK(_xlfn.CONCAT(Edit_URL,Tasks[[#This Row],[Ref]]),Tasks[[#This Row],[Ref]])</f>
        <v>T55794.6</v>
      </c>
      <c r="B213" s="15" t="str" cm="1">
        <f t="array" ref="B213">_xlfn.SWITCH(LEFT(Tasks[[#This Row],[Status]],1),"O","Opened","C","Completed","S","Signed Off", "V", "Signed Off","ERROR")</f>
        <v>Signed Off</v>
      </c>
      <c r="C213" s="15" t="str" cm="1">
        <f t="array" ref="C213">_xlfn.SWITCH(LEFT(Tasks[[#This Row],[Type]], 3), "Fie", "Field Report", "Con", "Contractor QC", "Gen", "Contractor QC", "Pun", "Contractor QC", "Qua", "Contractor QC", "Fin", "Punch List")</f>
        <v>Contractor QC</v>
      </c>
      <c r="D213" s="15" t="str">
        <f>_xlfn.LET(
_xlpm.leftValue, TRIM(LEFT(Tasks[[#This Row],[Description]], 45)),
IF(LEN(_xlpm.leftValue) &lt; 40, _xlpm.leftValue, _xlfn.CONCAT(_xlpm.leftValue, "…"))
)</f>
        <v>Verify flex conduit is rated to pass through…</v>
      </c>
      <c r="E213" s="15" t="str" cm="1">
        <f t="array" ref="E21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3" s="12" t="str">
        <f>IFERROR(MID(Tasks[[#This Row],[Page]], FIND("Level", Tasks[[#This Row],[Page]]), 7), IF(ISNUMBER(FIND("Roof", Tasks[[#This Row],[Page]])), "Roof",  IF(ISNUMBER(FIND("S590", Tasks[[#This Row],[Page]])), "",  IF(ISNUMBER(FIND("Site", Tasks[[#This Row],[Page]])), "", "ERROR"))))</f>
        <v>Level 1</v>
      </c>
      <c r="G213" s="12" t="str">
        <f>IF(Tasks[[#This Row],[Location]]=0, "", Tasks[[#This Row],[Location]])</f>
        <v>189 - Jan</v>
      </c>
      <c r="H213" s="12" t="str">
        <f>Tasks[[#This Row],[To Package]]</f>
        <v>Electrical</v>
      </c>
      <c r="I213" s="12" t="str">
        <f>Tasks[[#This Row],[To Organisation]]</f>
        <v>Wilkinson Electric Inc</v>
      </c>
    </row>
    <row r="214" spans="1:9" ht="15.5" x14ac:dyDescent="0.35">
      <c r="A214" s="14" t="str">
        <f>HYPERLINK(_xlfn.CONCAT(Edit_URL,Tasks[[#This Row],[Ref]]),Tasks[[#This Row],[Ref]])</f>
        <v>T74290.75</v>
      </c>
      <c r="B214" s="15" t="str" cm="1">
        <f t="array" ref="B214">_xlfn.SWITCH(LEFT(Tasks[[#This Row],[Status]],1),"O","Opened","C","Completed","S","Signed Off", "V", "Signed Off","ERROR")</f>
        <v>Signed Off</v>
      </c>
      <c r="C214" s="15" t="str" cm="1">
        <f t="array" ref="C214">_xlfn.SWITCH(LEFT(Tasks[[#This Row],[Type]], 3), "Fie", "Field Report", "Con", "Contractor QC", "Gen", "Contractor QC", "Pun", "Contractor QC", "Qua", "Contractor QC", "Fin", "Punch List")</f>
        <v>Contractor QC</v>
      </c>
      <c r="D214" s="15" t="str">
        <f>_xlfn.LET(
_xlpm.leftValue, TRIM(LEFT(Tasks[[#This Row],[Description]], 45)),
IF(LEN(_xlpm.leftValue) &lt; 40, _xlpm.leftValue, _xlfn.CONCAT(_xlpm.leftValue, "…"))
)</f>
        <v>Cut out access panel￼</v>
      </c>
      <c r="E214" s="15" t="str" cm="1">
        <f t="array" ref="E21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4" s="12" t="str">
        <f>IFERROR(MID(Tasks[[#This Row],[Page]], FIND("Level", Tasks[[#This Row],[Page]]), 7), IF(ISNUMBER(FIND("Roof", Tasks[[#This Row],[Page]])), "Roof",  IF(ISNUMBER(FIND("S590", Tasks[[#This Row],[Page]])), "",  IF(ISNUMBER(FIND("Site", Tasks[[#This Row],[Page]])), "", "ERROR"))))</f>
        <v>Level 0</v>
      </c>
      <c r="G214" s="12" t="str">
        <f>IF(Tasks[[#This Row],[Location]]=0, "", Tasks[[#This Row],[Location]])</f>
        <v>051 - HALLWAY</v>
      </c>
      <c r="H214" s="12" t="str">
        <f>Tasks[[#This Row],[To Package]]</f>
        <v>Metal Stud / Drywall</v>
      </c>
      <c r="I214" s="12" t="str">
        <f>Tasks[[#This Row],[To Organisation]]</f>
        <v>Pete King Construction</v>
      </c>
    </row>
    <row r="215" spans="1:9" ht="15.5" x14ac:dyDescent="0.35">
      <c r="A215" s="14" t="str">
        <f>HYPERLINK(_xlfn.CONCAT(Edit_URL,Tasks[[#This Row],[Ref]]),Tasks[[#This Row],[Ref]])</f>
        <v>T74290.76</v>
      </c>
      <c r="B215" s="15" t="str" cm="1">
        <f t="array" ref="B215">_xlfn.SWITCH(LEFT(Tasks[[#This Row],[Status]],1),"O","Opened","C","Completed","S","Signed Off", "V", "Signed Off","ERROR")</f>
        <v>Signed Off</v>
      </c>
      <c r="C215" s="15" t="str" cm="1">
        <f t="array" ref="C215">_xlfn.SWITCH(LEFT(Tasks[[#This Row],[Type]], 3), "Fie", "Field Report", "Con", "Contractor QC", "Gen", "Contractor QC", "Pun", "Contractor QC", "Qua", "Contractor QC", "Fin", "Punch List")</f>
        <v>Contractor QC</v>
      </c>
      <c r="D215" s="15" t="str">
        <f>_xlfn.LET(
_xlpm.leftValue, TRIM(LEFT(Tasks[[#This Row],[Description]], 45)),
IF(LEN(_xlpm.leftValue) &lt; 40, _xlpm.leftValue, _xlfn.CONCAT(_xlpm.leftValue, "…"))
)</f>
        <v>Is additional stainless steel required here?￼…</v>
      </c>
      <c r="E215" s="15" t="str" cm="1">
        <f t="array" ref="E215">_xlfn.LET(
_xlpm.inTower, COUNTIF(Tower_Num_Table[Tower Rm Numbers], LEFT(Task_Summary_Table[[#This Row],[Area/Room]], 3)) &gt; 0,
_xlpm.typeResult, _xlfn.SWITCH(LEFT(Tasks[[#This Row],[Page]], 2), "Hi", "Historic", "An", "Annex", "Si", "Site", "S5", "Project Task", "SWITCH ERROR"),
IF(_xlpm.inTower, "West Tower", _xlpm.typeResult)
)</f>
        <v>Annex</v>
      </c>
      <c r="F215" s="12" t="str">
        <f>IFERROR(MID(Tasks[[#This Row],[Page]], FIND("Level", Tasks[[#This Row],[Page]]), 7), IF(ISNUMBER(FIND("Roof", Tasks[[#This Row],[Page]])), "Roof",  IF(ISNUMBER(FIND("S590", Tasks[[#This Row],[Page]])), "",  IF(ISNUMBER(FIND("Site", Tasks[[#This Row],[Page]])), "", "ERROR"))))</f>
        <v>Level 0</v>
      </c>
      <c r="G215" s="12" t="str">
        <f>IF(Tasks[[#This Row],[Location]]=0, "", Tasks[[#This Row],[Location]])</f>
        <v>005 - VESTIBULE</v>
      </c>
      <c r="H215" s="12" t="str">
        <f>Tasks[[#This Row],[To Package]]</f>
        <v>Westland -- Annex</v>
      </c>
      <c r="I215" s="12" t="str">
        <f>Tasks[[#This Row],[To Organisation]]</f>
        <v>Westland Construction, Inc.</v>
      </c>
    </row>
    <row r="216" spans="1:9" ht="15.5" x14ac:dyDescent="0.35">
      <c r="A216" s="14" t="str">
        <f>HYPERLINK(_xlfn.CONCAT(Edit_URL,Tasks[[#This Row],[Ref]]),Tasks[[#This Row],[Ref]])</f>
        <v>T74290.49</v>
      </c>
      <c r="B216" s="15" t="str" cm="1">
        <f t="array" ref="B216">_xlfn.SWITCH(LEFT(Tasks[[#This Row],[Status]],1),"O","Opened","C","Completed","S","Signed Off", "V", "Signed Off","ERROR")</f>
        <v>Signed Off</v>
      </c>
      <c r="C216" s="15" t="str" cm="1">
        <f t="array" ref="C216">_xlfn.SWITCH(LEFT(Tasks[[#This Row],[Type]], 3), "Fie", "Field Report", "Con", "Contractor QC", "Gen", "Contractor QC", "Pun", "Contractor QC", "Qua", "Contractor QC", "Fin", "Punch List")</f>
        <v>Contractor QC</v>
      </c>
      <c r="D216" s="15" t="str">
        <f>_xlfn.LET(
_xlpm.leftValue, TRIM(LEFT(Tasks[[#This Row],[Description]], 45)),
IF(LEN(_xlpm.leftValue) &lt; 40, _xlpm.leftValue, _xlfn.CONCAT(_xlpm.leftValue, "…"))
)</f>
        <v>Finished exposed beam￼</v>
      </c>
      <c r="E216" s="15" t="str" cm="1">
        <f t="array" ref="E216">_xlfn.LET(
_xlpm.inTower, COUNTIF(Tower_Num_Table[Tower Rm Numbers], LEFT(Task_Summary_Table[[#This Row],[Area/Room]], 3)) &gt; 0,
_xlpm.typeResult, _xlfn.SWITCH(LEFT(Tasks[[#This Row],[Page]], 2), "Hi", "Historic", "An", "Annex", "Si", "Site", "S5", "Project Task", "SWITCH ERROR"),
IF(_xlpm.inTower, "West Tower", _xlpm.typeResult)
)</f>
        <v>Historic</v>
      </c>
      <c r="F216" s="12" t="str">
        <f>IFERROR(MID(Tasks[[#This Row],[Page]], FIND("Level", Tasks[[#This Row],[Page]]), 7), IF(ISNUMBER(FIND("Roof", Tasks[[#This Row],[Page]])), "Roof",  IF(ISNUMBER(FIND("S590", Tasks[[#This Row],[Page]])), "",  IF(ISNUMBER(FIND("Site", Tasks[[#This Row],[Page]])), "", "ERROR"))))</f>
        <v>Level 0</v>
      </c>
      <c r="G216" s="12" t="str">
        <f>IF(Tasks[[#This Row],[Location]]=0, "", Tasks[[#This Row],[Location]])</f>
        <v>067C - STAIR 4</v>
      </c>
      <c r="H216" s="12" t="str">
        <f>Tasks[[#This Row],[To Package]]</f>
        <v xml:space="preserve">Finish Carpentry </v>
      </c>
      <c r="I216" s="12" t="str">
        <f>Tasks[[#This Row],[To Organisation]]</f>
        <v>Fetzers' Inc.</v>
      </c>
    </row>
    <row r="217" spans="1:9" ht="15.5" x14ac:dyDescent="0.35">
      <c r="A217" s="14" t="str">
        <f>HYPERLINK(_xlfn.CONCAT(Edit_URL,Tasks[[#This Row],[Ref]]),Tasks[[#This Row],[Ref]])</f>
        <v>T74290.18</v>
      </c>
      <c r="B217" s="15" t="str" cm="1">
        <f t="array" ref="B217">_xlfn.SWITCH(LEFT(Tasks[[#This Row],[Status]],1),"O","Opened","C","Completed","S","Signed Off", "V", "Signed Off","ERROR")</f>
        <v>Signed Off</v>
      </c>
      <c r="C217" s="15" t="str" cm="1">
        <f t="array" ref="C217">_xlfn.SWITCH(LEFT(Tasks[[#This Row],[Type]], 3), "Fie", "Field Report", "Con", "Contractor QC", "Gen", "Contractor QC", "Pun", "Contractor QC", "Qua", "Contractor QC", "Fin", "Punch List")</f>
        <v>Contractor QC</v>
      </c>
      <c r="D217" s="15" t="str">
        <f>_xlfn.LET(
_xlpm.leftValue, TRIM(LEFT(Tasks[[#This Row],[Description]], 45)),
IF(LEN(_xlpm.leftValue) &lt; 40, _xlpm.leftValue, _xlfn.CONCAT(_xlpm.leftValue, "…"))
)</f>
        <v>Replace cut out sheet rock around can light…</v>
      </c>
      <c r="E217" s="15" t="str" cm="1">
        <f t="array" ref="E217">_xlfn.LET(
_xlpm.inTower, COUNTIF(Tower_Num_Table[Tower Rm Numbers], LEFT(Task_Summary_Table[[#This Row],[Area/Room]], 3)) &gt; 0,
_xlpm.typeResult, _xlfn.SWITCH(LEFT(Tasks[[#This Row],[Page]], 2), "Hi", "Historic", "An", "Annex", "Si", "Site", "S5", "Project Task", "SWITCH ERROR"),
IF(_xlpm.inTower, "West Tower", _xlpm.typeResult)
)</f>
        <v>Historic</v>
      </c>
      <c r="F217" s="12" t="str">
        <f>IFERROR(MID(Tasks[[#This Row],[Page]], FIND("Level", Tasks[[#This Row],[Page]]), 7), IF(ISNUMBER(FIND("Roof", Tasks[[#This Row],[Page]])), "Roof",  IF(ISNUMBER(FIND("S590", Tasks[[#This Row],[Page]])), "",  IF(ISNUMBER(FIND("Site", Tasks[[#This Row],[Page]])), "", "ERROR"))))</f>
        <v>Level 0</v>
      </c>
      <c r="G217" s="12" t="str">
        <f>IF(Tasks[[#This Row],[Location]]=0, "", Tasks[[#This Row],[Location]])</f>
        <v>061 - Anteroom</v>
      </c>
      <c r="H217" s="12" t="str">
        <f>Tasks[[#This Row],[To Package]]</f>
        <v>Metal Stud / Drywall</v>
      </c>
      <c r="I217" s="12" t="str">
        <f>Tasks[[#This Row],[To Organisation]]</f>
        <v>Pete King Construction</v>
      </c>
    </row>
    <row r="218" spans="1:9" ht="15.5" x14ac:dyDescent="0.35">
      <c r="A218" s="14" t="str">
        <f>HYPERLINK(_xlfn.CONCAT(Edit_URL,Tasks[[#This Row],[Ref]]),Tasks[[#This Row],[Ref]])</f>
        <v>T74290.16</v>
      </c>
      <c r="B218" s="15" t="str" cm="1">
        <f t="array" ref="B218">_xlfn.SWITCH(LEFT(Tasks[[#This Row],[Status]],1),"O","Opened","C","Completed","S","Signed Off", "V", "Signed Off","ERROR")</f>
        <v>Signed Off</v>
      </c>
      <c r="C218" s="15" t="str" cm="1">
        <f t="array" ref="C218">_xlfn.SWITCH(LEFT(Tasks[[#This Row],[Type]], 3), "Fie", "Field Report", "Con", "Contractor QC", "Gen", "Contractor QC", "Pun", "Contractor QC", "Qua", "Contractor QC", "Fin", "Punch List")</f>
        <v>Contractor QC</v>
      </c>
      <c r="D218" s="15" t="str">
        <f>_xlfn.LET(
_xlpm.leftValue, TRIM(LEFT(Tasks[[#This Row],[Description]], 45)),
IF(LEN(_xlpm.leftValue) &lt; 40, _xlpm.leftValue, _xlfn.CONCAT(_xlpm.leftValue, "…"))
)</f>
        <v>Fire suppression main hangs lower than the ce…</v>
      </c>
      <c r="E218" s="15" t="str" cm="1">
        <f t="array" ref="E21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8" s="12" t="str">
        <f>IFERROR(MID(Tasks[[#This Row],[Page]], FIND("Level", Tasks[[#This Row],[Page]]), 7), IF(ISNUMBER(FIND("Roof", Tasks[[#This Row],[Page]])), "Roof",  IF(ISNUMBER(FIND("S590", Tasks[[#This Row],[Page]])), "",  IF(ISNUMBER(FIND("Site", Tasks[[#This Row],[Page]])), "", "ERROR"))))</f>
        <v>Level 1</v>
      </c>
      <c r="G218" s="12" t="str">
        <f>IF(Tasks[[#This Row],[Location]]=0, "", Tasks[[#This Row],[Location]])</f>
        <v>184 - Stair Lobby</v>
      </c>
      <c r="H218" s="12" t="str">
        <f>Tasks[[#This Row],[To Package]]</f>
        <v>Fire Suppression</v>
      </c>
      <c r="I218" s="12" t="str">
        <f>Tasks[[#This Row],[To Organisation]]</f>
        <v>Broken Arrow Construction Corporation</v>
      </c>
    </row>
    <row r="219" spans="1:9" ht="15.5" x14ac:dyDescent="0.35">
      <c r="A219" s="14" t="str">
        <f>HYPERLINK(_xlfn.CONCAT(Edit_URL,Tasks[[#This Row],[Ref]]),Tasks[[#This Row],[Ref]])</f>
        <v>T55794.8</v>
      </c>
      <c r="B219" s="15" t="str" cm="1">
        <f t="array" ref="B219">_xlfn.SWITCH(LEFT(Tasks[[#This Row],[Status]],1),"O","Opened","C","Completed","S","Signed Off", "V", "Signed Off","ERROR")</f>
        <v>Signed Off</v>
      </c>
      <c r="C219" s="15" t="str" cm="1">
        <f t="array" ref="C219">_xlfn.SWITCH(LEFT(Tasks[[#This Row],[Type]], 3), "Fie", "Field Report", "Con", "Contractor QC", "Gen", "Contractor QC", "Pun", "Contractor QC", "Qua", "Contractor QC", "Fin", "Punch List")</f>
        <v>Contractor QC</v>
      </c>
      <c r="D219" s="15" t="str">
        <f>_xlfn.LET(
_xlpm.leftValue, TRIM(LEFT(Tasks[[#This Row],[Description]], 45)),
IF(LEN(_xlpm.leftValue) &lt; 40, _xlpm.leftValue, _xlfn.CONCAT(_xlpm.leftValue, "…"))
)</f>
        <v>fire caulking at all wall penetrations requir…</v>
      </c>
      <c r="E219" s="15" t="str" cm="1">
        <f t="array" ref="E2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9" s="12" t="str">
        <f>IFERROR(MID(Tasks[[#This Row],[Page]], FIND("Level", Tasks[[#This Row],[Page]]), 7), IF(ISNUMBER(FIND("Roof", Tasks[[#This Row],[Page]])), "Roof",  IF(ISNUMBER(FIND("S590", Tasks[[#This Row],[Page]])), "",  IF(ISNUMBER(FIND("Site", Tasks[[#This Row],[Page]])), "", "ERROR"))))</f>
        <v>Level 1</v>
      </c>
      <c r="G219" s="12" t="str">
        <f>IF(Tasks[[#This Row],[Location]]=0, "", Tasks[[#This Row],[Location]])</f>
        <v>184 - Stair Lobby</v>
      </c>
      <c r="H219" s="12" t="str">
        <f>Tasks[[#This Row],[To Package]]</f>
        <v>Electrical</v>
      </c>
      <c r="I219" s="12" t="str">
        <f>Tasks[[#This Row],[To Organisation]]</f>
        <v>Wilkinson Electric Inc</v>
      </c>
    </row>
    <row r="220" spans="1:9" ht="15.5" x14ac:dyDescent="0.35">
      <c r="A220" s="14" t="str">
        <f>HYPERLINK(_xlfn.CONCAT(Edit_URL,Tasks[[#This Row],[Ref]]),Tasks[[#This Row],[Ref]])</f>
        <v>T74290.95</v>
      </c>
      <c r="B220" s="15" t="str" cm="1">
        <f t="array" ref="B220">_xlfn.SWITCH(LEFT(Tasks[[#This Row],[Status]],1),"O","Opened","C","Completed","S","Signed Off", "V", "Signed Off","ERROR")</f>
        <v>Signed Off</v>
      </c>
      <c r="C220" s="15" t="str" cm="1">
        <f t="array" ref="C220">_xlfn.SWITCH(LEFT(Tasks[[#This Row],[Type]], 3), "Fie", "Field Report", "Con", "Contractor QC", "Gen", "Contractor QC", "Pun", "Contractor QC", "Qua", "Contractor QC", "Fin", "Punch List")</f>
        <v>Contractor QC</v>
      </c>
      <c r="D220" s="15" t="str">
        <f>_xlfn.LET(
_xlpm.leftValue, TRIM(LEFT(Tasks[[#This Row],[Description]], 45)),
IF(LEN(_xlpm.leftValue) &lt; 40, _xlpm.leftValue, _xlfn.CONCAT(_xlpm.leftValue, "…"))
)</f>
        <v>Move electrical outlet up￼</v>
      </c>
      <c r="E220" s="15" t="str" cm="1">
        <f t="array" ref="E220">_xlfn.LET(
_xlpm.inTower, COUNTIF(Tower_Num_Table[Tower Rm Numbers], LEFT(Task_Summary_Table[[#This Row],[Area/Room]], 3)) &gt; 0,
_xlpm.typeResult, _xlfn.SWITCH(LEFT(Tasks[[#This Row],[Page]], 2), "Hi", "Historic", "An", "Annex", "Si", "Site", "S5", "Project Task", "SWITCH ERROR"),
IF(_xlpm.inTower, "West Tower", _xlpm.typeResult)
)</f>
        <v>Historic</v>
      </c>
      <c r="F220" s="12" t="str">
        <f>IFERROR(MID(Tasks[[#This Row],[Page]], FIND("Level", Tasks[[#This Row],[Page]]), 7), IF(ISNUMBER(FIND("Roof", Tasks[[#This Row],[Page]])), "Roof",  IF(ISNUMBER(FIND("S590", Tasks[[#This Row],[Page]])), "",  IF(ISNUMBER(FIND("Site", Tasks[[#This Row],[Page]])), "", "ERROR"))))</f>
        <v>Level 4</v>
      </c>
      <c r="G220" s="12" t="str">
        <f>IF(Tasks[[#This Row],[Location]]=0, "", Tasks[[#This Row],[Location]])</f>
        <v>414 - NE Stair Tower</v>
      </c>
      <c r="H220" s="12" t="str">
        <f>Tasks[[#This Row],[To Package]]</f>
        <v>Electrical</v>
      </c>
      <c r="I220" s="12" t="str">
        <f>Tasks[[#This Row],[To Organisation]]</f>
        <v>Wilkinson Electric Inc</v>
      </c>
    </row>
    <row r="221" spans="1:9" ht="15.5" x14ac:dyDescent="0.35">
      <c r="A221" s="14" t="str">
        <f>HYPERLINK(_xlfn.CONCAT(Edit_URL,Tasks[[#This Row],[Ref]]),Tasks[[#This Row],[Ref]])</f>
        <v>T74290.13</v>
      </c>
      <c r="B221" s="15" t="str" cm="1">
        <f t="array" ref="B221">_xlfn.SWITCH(LEFT(Tasks[[#This Row],[Status]],1),"O","Opened","C","Completed","S","Signed Off", "V", "Signed Off","ERROR")</f>
        <v>Signed Off</v>
      </c>
      <c r="C221" s="15" t="str" cm="1">
        <f t="array" ref="C221">_xlfn.SWITCH(LEFT(Tasks[[#This Row],[Type]], 3), "Fie", "Field Report", "Con", "Contractor QC", "Gen", "Contractor QC", "Pun", "Contractor QC", "Qua", "Contractor QC", "Fin", "Punch List")</f>
        <v>Contractor QC</v>
      </c>
      <c r="D221" s="15" t="str">
        <f>_xlfn.LET(
_xlpm.leftValue, TRIM(LEFT(Tasks[[#This Row],[Description]], 45)),
IF(LEN(_xlpm.leftValue) &lt; 40, _xlpm.leftValue, _xlfn.CONCAT(_xlpm.leftValue, "…"))
)</f>
        <v>Does the top of this pony wall need to be fin…</v>
      </c>
      <c r="E221" s="15" t="str" cm="1">
        <f t="array" ref="E221">_xlfn.LET(
_xlpm.inTower, COUNTIF(Tower_Num_Table[Tower Rm Numbers], LEFT(Task_Summary_Table[[#This Row],[Area/Room]], 3)) &gt; 0,
_xlpm.typeResult, _xlfn.SWITCH(LEFT(Tasks[[#This Row],[Page]], 2), "Hi", "Historic", "An", "Annex", "Si", "Site", "S5", "Project Task", "SWITCH ERROR"),
IF(_xlpm.inTower, "West Tower", _xlpm.typeResult)
)</f>
        <v>Historic</v>
      </c>
      <c r="F221" s="12" t="str">
        <f>IFERROR(MID(Tasks[[#This Row],[Page]], FIND("Level", Tasks[[#This Row],[Page]]), 7), IF(ISNUMBER(FIND("Roof", Tasks[[#This Row],[Page]])), "Roof",  IF(ISNUMBER(FIND("S590", Tasks[[#This Row],[Page]])), "",  IF(ISNUMBER(FIND("Site", Tasks[[#This Row],[Page]])), "", "ERROR"))))</f>
        <v>Level 3</v>
      </c>
      <c r="G221" s="12" t="str">
        <f>IF(Tasks[[#This Row],[Location]]=0, "", Tasks[[#This Row],[Location]])</f>
        <v/>
      </c>
      <c r="H221" s="12" t="str">
        <f>Tasks[[#This Row],[To Package]]</f>
        <v>Westland -- Historic</v>
      </c>
      <c r="I221" s="12" t="str">
        <f>Tasks[[#This Row],[To Organisation]]</f>
        <v>Westland Construction, Inc.</v>
      </c>
    </row>
    <row r="222" spans="1:9" ht="15.5" x14ac:dyDescent="0.35">
      <c r="A222" s="14" t="str">
        <f>HYPERLINK(_xlfn.CONCAT(Edit_URL,Tasks[[#This Row],[Ref]]),Tasks[[#This Row],[Ref]])</f>
        <v>T74290.27</v>
      </c>
      <c r="B222" s="15" t="str" cm="1">
        <f t="array" ref="B222">_xlfn.SWITCH(LEFT(Tasks[[#This Row],[Status]],1),"O","Opened","C","Completed","S","Signed Off", "V", "Signed Off","ERROR")</f>
        <v>Signed Off</v>
      </c>
      <c r="C222" s="15" t="str" cm="1">
        <f t="array" ref="C222">_xlfn.SWITCH(LEFT(Tasks[[#This Row],[Type]], 3), "Fie", "Field Report", "Con", "Contractor QC", "Gen", "Contractor QC", "Pun", "Contractor QC", "Qua", "Contractor QC", "Fin", "Punch List")</f>
        <v>Contractor QC</v>
      </c>
      <c r="D222" s="15" t="str">
        <f>_xlfn.LET(
_xlpm.leftValue, TRIM(LEFT(Tasks[[#This Row],[Description]], 45)),
IF(LEN(_xlpm.leftValue) &lt; 40, _xlpm.leftValue, _xlfn.CONCAT(_xlpm.leftValue, "…"))
)</f>
        <v>Thresholds have gaps on the sides</v>
      </c>
      <c r="E222" s="15" t="str" cm="1">
        <f t="array" ref="E222">_xlfn.LET(
_xlpm.inTower, COUNTIF(Tower_Num_Table[Tower Rm Numbers], LEFT(Task_Summary_Table[[#This Row],[Area/Room]], 3)) &gt; 0,
_xlpm.typeResult, _xlfn.SWITCH(LEFT(Tasks[[#This Row],[Page]], 2), "Hi", "Historic", "An", "Annex", "Si", "Site", "S5", "Project Task", "SWITCH ERROR"),
IF(_xlpm.inTower, "West Tower", _xlpm.typeResult)
)</f>
        <v>Historic</v>
      </c>
      <c r="F222" s="12" t="str">
        <f>IFERROR(MID(Tasks[[#This Row],[Page]], FIND("Level", Tasks[[#This Row],[Page]]), 7), IF(ISNUMBER(FIND("Roof", Tasks[[#This Row],[Page]])), "Roof",  IF(ISNUMBER(FIND("S590", Tasks[[#This Row],[Page]])), "",  IF(ISNUMBER(FIND("Site", Tasks[[#This Row],[Page]])), "", "ERROR"))))</f>
        <v>Level 5</v>
      </c>
      <c r="G222" s="12" t="str">
        <f>IF(Tasks[[#This Row],[Location]]=0, "", Tasks[[#This Row],[Location]])</f>
        <v/>
      </c>
      <c r="H222" s="12" t="str">
        <f>Tasks[[#This Row],[To Package]]</f>
        <v>Tile</v>
      </c>
      <c r="I222" s="12" t="str">
        <f>Tasks[[#This Row],[To Organisation]]</f>
        <v>Global Stone and Tile, LLC</v>
      </c>
    </row>
    <row r="223" spans="1:9" ht="15.5" x14ac:dyDescent="0.35">
      <c r="A223" s="14" t="str">
        <f>HYPERLINK(_xlfn.CONCAT(Edit_URL,Tasks[[#This Row],[Ref]]),Tasks[[#This Row],[Ref]])</f>
        <v>T55794.9</v>
      </c>
      <c r="B223" s="15" t="str" cm="1">
        <f t="array" ref="B223">_xlfn.SWITCH(LEFT(Tasks[[#This Row],[Status]],1),"O","Opened","C","Completed","S","Signed Off", "V", "Signed Off","ERROR")</f>
        <v>Signed Off</v>
      </c>
      <c r="C223" s="15" t="str" cm="1">
        <f t="array" ref="C223">_xlfn.SWITCH(LEFT(Tasks[[#This Row],[Type]], 3), "Fie", "Field Report", "Con", "Contractor QC", "Gen", "Contractor QC", "Pun", "Contractor QC", "Qua", "Contractor QC", "Fin", "Punch List")</f>
        <v>Contractor QC</v>
      </c>
      <c r="D223" s="15" t="str">
        <f>_xlfn.LET(
_xlpm.leftValue, TRIM(LEFT(Tasks[[#This Row],[Description]], 45)),
IF(LEN(_xlpm.leftValue) &lt; 40, _xlpm.leftValue, _xlfn.CONCAT(_xlpm.leftValue, "…"))
)</f>
        <v>Fire caulking required at all wall penetratio…</v>
      </c>
      <c r="E223" s="15" t="str" cm="1">
        <f t="array" ref="E22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23" s="12" t="str">
        <f>IFERROR(MID(Tasks[[#This Row],[Page]], FIND("Level", Tasks[[#This Row],[Page]]), 7), IF(ISNUMBER(FIND("Roof", Tasks[[#This Row],[Page]])), "Roof",  IF(ISNUMBER(FIND("S590", Tasks[[#This Row],[Page]])), "",  IF(ISNUMBER(FIND("Site", Tasks[[#This Row],[Page]])), "", "ERROR"))))</f>
        <v>Level 1</v>
      </c>
      <c r="G223" s="12" t="str">
        <f>IF(Tasks[[#This Row],[Location]]=0, "", Tasks[[#This Row],[Location]])</f>
        <v>184 - Stair Lobby</v>
      </c>
      <c r="H223" s="12" t="str">
        <f>Tasks[[#This Row],[To Package]]</f>
        <v>Plumbing</v>
      </c>
      <c r="I223" s="12" t="str">
        <f>Tasks[[#This Row],[To Organisation]]</f>
        <v>US Mechanical</v>
      </c>
    </row>
    <row r="224" spans="1:9" ht="15.5" x14ac:dyDescent="0.35">
      <c r="A224" s="14" t="str">
        <f>HYPERLINK(_xlfn.CONCAT(Edit_URL,Tasks[[#This Row],[Ref]]),Tasks[[#This Row],[Ref]])</f>
        <v>T55794.11</v>
      </c>
      <c r="B224" s="15" t="str" cm="1">
        <f t="array" ref="B224">_xlfn.SWITCH(LEFT(Tasks[[#This Row],[Status]],1),"O","Opened","C","Completed","S","Signed Off", "V", "Signed Off","ERROR")</f>
        <v>Signed Off</v>
      </c>
      <c r="C224" s="15" t="str" cm="1">
        <f t="array" ref="C224">_xlfn.SWITCH(LEFT(Tasks[[#This Row],[Type]], 3), "Fie", "Field Report", "Con", "Contractor QC", "Gen", "Contractor QC", "Pun", "Contractor QC", "Qua", "Contractor QC", "Fin", "Punch List")</f>
        <v>Contractor QC</v>
      </c>
      <c r="D224" s="15" t="str">
        <f>_xlfn.LET(
_xlpm.leftValue, TRIM(LEFT(Tasks[[#This Row],[Description]], 45)),
IF(LEN(_xlpm.leftValue) &lt; 40, _xlpm.leftValue, _xlfn.CONCAT(_xlpm.leftValue, "…"))
)</f>
        <v>Fire caulking required at all penetrations th…</v>
      </c>
      <c r="E224" s="15" t="str" cm="1">
        <f t="array" ref="E2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24" s="12" t="str">
        <f>IFERROR(MID(Tasks[[#This Row],[Page]], FIND("Level", Tasks[[#This Row],[Page]]), 7), IF(ISNUMBER(FIND("Roof", Tasks[[#This Row],[Page]])), "Roof",  IF(ISNUMBER(FIND("S590", Tasks[[#This Row],[Page]])), "",  IF(ISNUMBER(FIND("Site", Tasks[[#This Row],[Page]])), "", "ERROR"))))</f>
        <v>Level 1</v>
      </c>
      <c r="G224" s="12" t="str">
        <f>IF(Tasks[[#This Row],[Location]]=0, "", Tasks[[#This Row],[Location]])</f>
        <v>184 - Stair Lobby</v>
      </c>
      <c r="H224" s="12" t="str">
        <f>Tasks[[#This Row],[To Package]]</f>
        <v>HVAC</v>
      </c>
      <c r="I224" s="12" t="str">
        <f>Tasks[[#This Row],[To Organisation]]</f>
        <v>US Mechanical</v>
      </c>
    </row>
    <row r="225" spans="1:9" ht="15.5" x14ac:dyDescent="0.35">
      <c r="A225" s="14" t="str">
        <f>HYPERLINK(_xlfn.CONCAT(Edit_URL,Tasks[[#This Row],[Ref]]),Tasks[[#This Row],[Ref]])</f>
        <v>T1.9628307</v>
      </c>
      <c r="B225" s="15" t="str" cm="1">
        <f t="array" ref="B225">_xlfn.SWITCH(LEFT(Tasks[[#This Row],[Status]],1),"O","Opened","C","Completed","S","Signed Off", "V", "Signed Off","ERROR")</f>
        <v>Signed Off</v>
      </c>
      <c r="C225" s="15" t="str" cm="1">
        <f t="array" ref="C225">_xlfn.SWITCH(LEFT(Tasks[[#This Row],[Type]], 3), "Fie", "Field Report", "Con", "Contractor QC", "Gen", "Contractor QC", "Pun", "Contractor QC", "Qua", "Contractor QC", "Fin", "Punch List")</f>
        <v>Contractor QC</v>
      </c>
      <c r="D225" s="15" t="str">
        <f>_xlfn.LET(
_xlpm.leftValue, TRIM(LEFT(Tasks[[#This Row],[Description]], 45)),
IF(LEN(_xlpm.leftValue) &lt; 40, _xlpm.leftValue, _xlfn.CONCAT(_xlpm.leftValue, "…"))
)</f>
        <v>Cat 6 Wire for Session Clocks not per specifi…</v>
      </c>
      <c r="E225" s="15" t="str" cm="1">
        <f t="array" ref="E22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25" s="12" t="str">
        <f>IFERROR(MID(Tasks[[#This Row],[Page]], FIND("Level", Tasks[[#This Row],[Page]]), 7), IF(ISNUMBER(FIND("Roof", Tasks[[#This Row],[Page]])), "Roof",  IF(ISNUMBER(FIND("S590", Tasks[[#This Row],[Page]])), "",  IF(ISNUMBER(FIND("Site", Tasks[[#This Row],[Page]])), "", "ERROR"))))</f>
        <v/>
      </c>
      <c r="G225" s="12" t="str">
        <f>IF(Tasks[[#This Row],[Location]]=0, "", Tasks[[#This Row],[Location]])</f>
        <v/>
      </c>
      <c r="H225" s="12" t="str">
        <f>Tasks[[#This Row],[To Package]]</f>
        <v>Electrical</v>
      </c>
      <c r="I225" s="12" t="str">
        <f>Tasks[[#This Row],[To Organisation]]</f>
        <v>Wilkinson Electric Inc</v>
      </c>
    </row>
    <row r="226" spans="1:9" ht="15.5" x14ac:dyDescent="0.35">
      <c r="A226" s="14" t="str">
        <f>HYPERLINK(_xlfn.CONCAT(Edit_URL,Tasks[[#This Row],[Ref]]),Tasks[[#This Row],[Ref]])</f>
        <v>T74290.103</v>
      </c>
      <c r="B226" s="15" t="str" cm="1">
        <f t="array" ref="B226">_xlfn.SWITCH(LEFT(Tasks[[#This Row],[Status]],1),"O","Opened","C","Completed","S","Signed Off", "V", "Signed Off","ERROR")</f>
        <v>Signed Off</v>
      </c>
      <c r="C226" s="15" t="str" cm="1">
        <f t="array" ref="C226">_xlfn.SWITCH(LEFT(Tasks[[#This Row],[Type]], 3), "Fie", "Field Report", "Con", "Contractor QC", "Gen", "Contractor QC", "Pun", "Contractor QC", "Qua", "Contractor QC", "Fin", "Punch List")</f>
        <v>Contractor QC</v>
      </c>
      <c r="D226" s="15" t="str">
        <f>_xlfn.LET(
_xlpm.leftValue, TRIM(LEFT(Tasks[[#This Row],[Description]], 45)),
IF(LEN(_xlpm.leftValue) &lt; 40, _xlpm.leftValue, _xlfn.CONCAT(_xlpm.leftValue, "…"))
)</f>
        <v>Exit light needs to be moved up, touching cas…</v>
      </c>
      <c r="E226" s="15" t="str" cm="1">
        <f t="array" ref="E226">_xlfn.LET(
_xlpm.inTower, COUNTIF(Tower_Num_Table[Tower Rm Numbers], LEFT(Task_Summary_Table[[#This Row],[Area/Room]], 3)) &gt; 0,
_xlpm.typeResult, _xlfn.SWITCH(LEFT(Tasks[[#This Row],[Page]], 2), "Hi", "Historic", "An", "Annex", "Si", "Site", "S5", "Project Task", "SWITCH ERROR"),
IF(_xlpm.inTower, "West Tower", _xlpm.typeResult)
)</f>
        <v>Annex</v>
      </c>
      <c r="F226" s="12" t="str">
        <f>IFERROR(MID(Tasks[[#This Row],[Page]], FIND("Level", Tasks[[#This Row],[Page]]), 7), IF(ISNUMBER(FIND("Roof", Tasks[[#This Row],[Page]])), "Roof",  IF(ISNUMBER(FIND("S590", Tasks[[#This Row],[Page]])), "",  IF(ISNUMBER(FIND("Site", Tasks[[#This Row],[Page]])), "", "ERROR"))))</f>
        <v>Level 1</v>
      </c>
      <c r="G226" s="12" t="str">
        <f>IF(Tasks[[#This Row],[Location]]=0, "", Tasks[[#This Row],[Location]])</f>
        <v/>
      </c>
      <c r="H226" s="12" t="str">
        <f>Tasks[[#This Row],[To Package]]</f>
        <v>Electrical</v>
      </c>
      <c r="I226" s="12" t="str">
        <f>Tasks[[#This Row],[To Organisation]]</f>
        <v>Wilkinson Electric Inc</v>
      </c>
    </row>
    <row r="227" spans="1:9" ht="15.5" x14ac:dyDescent="0.35">
      <c r="A227" s="14" t="str">
        <f>HYPERLINK(_xlfn.CONCAT(Edit_URL,Tasks[[#This Row],[Ref]]),Tasks[[#This Row],[Ref]])</f>
        <v>T74290.2</v>
      </c>
      <c r="B227" s="15" t="str" cm="1">
        <f t="array" ref="B227">_xlfn.SWITCH(LEFT(Tasks[[#This Row],[Status]],1),"O","Opened","C","Completed","S","Signed Off", "V", "Signed Off","ERROR")</f>
        <v>Signed Off</v>
      </c>
      <c r="C227" s="15" t="str" cm="1">
        <f t="array" ref="C227">_xlfn.SWITCH(LEFT(Tasks[[#This Row],[Type]], 3), "Fie", "Field Report", "Con", "Contractor QC", "Gen", "Contractor QC", "Pun", "Contractor QC", "Qua", "Contractor QC", "Fin", "Punch List")</f>
        <v>Contractor QC</v>
      </c>
      <c r="D227" s="15" t="str">
        <f>_xlfn.LET(
_xlpm.leftValue, TRIM(LEFT(Tasks[[#This Row],[Description]], 45)),
IF(LEN(_xlpm.leftValue) &lt; 40, _xlpm.leftValue, _xlfn.CONCAT(_xlpm.leftValue, "…"))
)</f>
        <v>Missing wireless access point￼</v>
      </c>
      <c r="E227" s="15" t="str" cm="1">
        <f t="array" ref="E2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27" s="12" t="str">
        <f>IFERROR(MID(Tasks[[#This Row],[Page]], FIND("Level", Tasks[[#This Row],[Page]]), 7), IF(ISNUMBER(FIND("Roof", Tasks[[#This Row],[Page]])), "Roof",  IF(ISNUMBER(FIND("S590", Tasks[[#This Row],[Page]])), "",  IF(ISNUMBER(FIND("Site", Tasks[[#This Row],[Page]])), "", "ERROR"))))</f>
        <v>Level 0</v>
      </c>
      <c r="G227" s="12" t="str">
        <f>IF(Tasks[[#This Row],[Location]]=0, "", Tasks[[#This Row],[Location]])</f>
        <v>052 - Stair Lobby</v>
      </c>
      <c r="H227" s="12" t="str">
        <f>Tasks[[#This Row],[To Package]]</f>
        <v>Electrical</v>
      </c>
      <c r="I227" s="12" t="str">
        <f>Tasks[[#This Row],[To Organisation]]</f>
        <v>Wilkinson Electric Inc</v>
      </c>
    </row>
    <row r="228" spans="1:9" ht="15.5" x14ac:dyDescent="0.35">
      <c r="A228" s="14" t="str">
        <f>HYPERLINK(_xlfn.CONCAT(Edit_URL,Tasks[[#This Row],[Ref]]),Tasks[[#This Row],[Ref]])</f>
        <v>T74290.138</v>
      </c>
      <c r="B228" s="15" t="str" cm="1">
        <f t="array" ref="B228">_xlfn.SWITCH(LEFT(Tasks[[#This Row],[Status]],1),"O","Opened","C","Completed","S","Signed Off", "V", "Signed Off","ERROR")</f>
        <v>Signed Off</v>
      </c>
      <c r="C228" s="15" t="str" cm="1">
        <f t="array" ref="C228">_xlfn.SWITCH(LEFT(Tasks[[#This Row],[Type]], 3), "Fie", "Field Report", "Con", "Contractor QC", "Gen", "Contractor QC", "Pun", "Contractor QC", "Qua", "Contractor QC", "Fin", "Punch List")</f>
        <v>Contractor QC</v>
      </c>
      <c r="D228" s="15" t="str">
        <f>_xlfn.LET(
_xlpm.leftValue, TRIM(LEFT(Tasks[[#This Row],[Description]], 45)),
IF(LEN(_xlpm.leftValue) &lt; 40, _xlpm.leftValue, _xlfn.CONCAT(_xlpm.leftValue, "…"))
)</f>
        <v>Repair countertop with additional bracing…</v>
      </c>
      <c r="E228" s="15" t="str" cm="1">
        <f t="array" ref="E228">_xlfn.LET(
_xlpm.inTower, COUNTIF(Tower_Num_Table[Tower Rm Numbers], LEFT(Task_Summary_Table[[#This Row],[Area/Room]], 3)) &gt; 0,
_xlpm.typeResult, _xlfn.SWITCH(LEFT(Tasks[[#This Row],[Page]], 2), "Hi", "Historic", "An", "Annex", "Si", "Site", "S5", "Project Task", "SWITCH ERROR"),
IF(_xlpm.inTower, "West Tower", _xlpm.typeResult)
)</f>
        <v>Annex</v>
      </c>
      <c r="F228" s="12" t="str">
        <f>IFERROR(MID(Tasks[[#This Row],[Page]], FIND("Level", Tasks[[#This Row],[Page]]), 7), IF(ISNUMBER(FIND("Roof", Tasks[[#This Row],[Page]])), "Roof",  IF(ISNUMBER(FIND("S590", Tasks[[#This Row],[Page]])), "",  IF(ISNUMBER(FIND("Site", Tasks[[#This Row],[Page]])), "", "ERROR"))))</f>
        <v>Level 1</v>
      </c>
      <c r="G228" s="12" t="str">
        <f>IF(Tasks[[#This Row],[Location]]=0, "", Tasks[[#This Row],[Location]])</f>
        <v>113 - Administration</v>
      </c>
      <c r="H228" s="12" t="str">
        <f>Tasks[[#This Row],[To Package]]</f>
        <v>Tile</v>
      </c>
      <c r="I228" s="12" t="str">
        <f>Tasks[[#This Row],[To Organisation]]</f>
        <v>Global Stone and Tile, LLC</v>
      </c>
    </row>
    <row r="229" spans="1:9" ht="15.5" x14ac:dyDescent="0.35">
      <c r="A229" s="14" t="str">
        <f>HYPERLINK(_xlfn.CONCAT(Edit_URL,Tasks[[#This Row],[Ref]]),Tasks[[#This Row],[Ref]])</f>
        <v>T74290.6</v>
      </c>
      <c r="B229" s="15" t="str" cm="1">
        <f t="array" ref="B229">_xlfn.SWITCH(LEFT(Tasks[[#This Row],[Status]],1),"O","Opened","C","Completed","S","Signed Off", "V", "Signed Off","ERROR")</f>
        <v>Signed Off</v>
      </c>
      <c r="C229" s="15" t="str" cm="1">
        <f t="array" ref="C229">_xlfn.SWITCH(LEFT(Tasks[[#This Row],[Type]], 3), "Fie", "Field Report", "Con", "Contractor QC", "Gen", "Contractor QC", "Pun", "Contractor QC", "Qua", "Contractor QC", "Fin", "Punch List")</f>
        <v>Contractor QC</v>
      </c>
      <c r="D229" s="15" t="str">
        <f>_xlfn.LET(
_xlpm.leftValue, TRIM(LEFT(Tasks[[#This Row],[Description]], 45)),
IF(LEN(_xlpm.leftValue) &lt; 40, _xlpm.leftValue, _xlfn.CONCAT(_xlpm.leftValue, "…"))
)</f>
        <v>Verify needed access opening to allow for cei…</v>
      </c>
      <c r="E229" s="15" t="str" cm="1">
        <f t="array" ref="E2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29" s="12" t="str">
        <f>IFERROR(MID(Tasks[[#This Row],[Page]], FIND("Level", Tasks[[#This Row],[Page]]), 7), IF(ISNUMBER(FIND("Roof", Tasks[[#This Row],[Page]])), "Roof",  IF(ISNUMBER(FIND("S590", Tasks[[#This Row],[Page]])), "",  IF(ISNUMBER(FIND("Site", Tasks[[#This Row],[Page]])), "", "ERROR"))))</f>
        <v>Level 0</v>
      </c>
      <c r="G229" s="12" t="str">
        <f>IF(Tasks[[#This Row],[Location]]=0, "", Tasks[[#This Row],[Location]])</f>
        <v>052 - Stair Lobby</v>
      </c>
      <c r="H229" s="12" t="str">
        <f>Tasks[[#This Row],[To Package]]</f>
        <v>HVAC</v>
      </c>
      <c r="I229" s="12" t="str">
        <f>Tasks[[#This Row],[To Organisation]]</f>
        <v>US Mechanical</v>
      </c>
    </row>
    <row r="230" spans="1:9" ht="15.5" x14ac:dyDescent="0.35">
      <c r="A230" s="14" t="str">
        <f>HYPERLINK(_xlfn.CONCAT(Edit_URL,Tasks[[#This Row],[Ref]]),Tasks[[#This Row],[Ref]])</f>
        <v>T74290.133</v>
      </c>
      <c r="B230" s="15" t="str" cm="1">
        <f t="array" ref="B230">_xlfn.SWITCH(LEFT(Tasks[[#This Row],[Status]],1),"O","Opened","C","Completed","S","Signed Off", "V", "Signed Off","ERROR")</f>
        <v>Signed Off</v>
      </c>
      <c r="C230" s="15" t="str" cm="1">
        <f t="array" ref="C230">_xlfn.SWITCH(LEFT(Tasks[[#This Row],[Type]], 3), "Fie", "Field Report", "Con", "Contractor QC", "Gen", "Contractor QC", "Pun", "Contractor QC", "Qua", "Contractor QC", "Fin", "Punch List")</f>
        <v>Contractor QC</v>
      </c>
      <c r="D230" s="15" t="str">
        <f>_xlfn.LET(
_xlpm.leftValue, TRIM(LEFT(Tasks[[#This Row],[Description]], 45)),
IF(LEN(_xlpm.leftValue) &lt; 40, _xlpm.leftValue, _xlfn.CONCAT(_xlpm.leftValue, "…"))
)</f>
        <v>Back splash is being added to the counter top…</v>
      </c>
      <c r="E230" s="15" t="str" cm="1">
        <f t="array" ref="E230">_xlfn.LET(
_xlpm.inTower, COUNTIF(Tower_Num_Table[Tower Rm Numbers], LEFT(Task_Summary_Table[[#This Row],[Area/Room]], 3)) &gt; 0,
_xlpm.typeResult, _xlfn.SWITCH(LEFT(Tasks[[#This Row],[Page]], 2), "Hi", "Historic", "An", "Annex", "Si", "Site", "S5", "Project Task", "SWITCH ERROR"),
IF(_xlpm.inTower, "West Tower", _xlpm.typeResult)
)</f>
        <v>Annex</v>
      </c>
      <c r="F230" s="12" t="str">
        <f>IFERROR(MID(Tasks[[#This Row],[Page]], FIND("Level", Tasks[[#This Row],[Page]]), 7), IF(ISNUMBER(FIND("Roof", Tasks[[#This Row],[Page]])), "Roof",  IF(ISNUMBER(FIND("S590", Tasks[[#This Row],[Page]])), "",  IF(ISNUMBER(FIND("Site", Tasks[[#This Row],[Page]])), "", "ERROR"))))</f>
        <v>Level 1</v>
      </c>
      <c r="G230" s="12" t="str">
        <f>IF(Tasks[[#This Row],[Location]]=0, "", Tasks[[#This Row],[Location]])</f>
        <v>113 - Administration</v>
      </c>
      <c r="H230" s="12" t="str">
        <f>Tasks[[#This Row],[To Package]]</f>
        <v>Tile</v>
      </c>
      <c r="I230" s="12" t="str">
        <f>Tasks[[#This Row],[To Organisation]]</f>
        <v>Global Stone and Tile, LLC</v>
      </c>
    </row>
    <row r="231" spans="1:9" ht="15.5" x14ac:dyDescent="0.35">
      <c r="A231" s="14" t="str">
        <f>HYPERLINK(_xlfn.CONCAT(Edit_URL,Tasks[[#This Row],[Ref]]),Tasks[[#This Row],[Ref]])</f>
        <v>T74290.71</v>
      </c>
      <c r="B231" s="15" t="str" cm="1">
        <f t="array" ref="B231">_xlfn.SWITCH(LEFT(Tasks[[#This Row],[Status]],1),"O","Opened","C","Completed","S","Signed Off", "V", "Signed Off","ERROR")</f>
        <v>Signed Off</v>
      </c>
      <c r="C231" s="15" t="str" cm="1">
        <f t="array" ref="C231">_xlfn.SWITCH(LEFT(Tasks[[#This Row],[Type]], 3), "Fie", "Field Report", "Con", "Contractor QC", "Gen", "Contractor QC", "Pun", "Contractor QC", "Qua", "Contractor QC", "Fin", "Punch List")</f>
        <v>Contractor QC</v>
      </c>
      <c r="D231" s="15" t="str">
        <f>_xlfn.LET(
_xlpm.leftValue, TRIM(LEFT(Tasks[[#This Row],[Description]], 45)),
IF(LEN(_xlpm.leftValue) &lt; 40, _xlpm.leftValue, _xlfn.CONCAT(_xlpm.leftValue, "…"))
)</f>
        <v>Repair the cracks in the windows splays</v>
      </c>
      <c r="E231" s="15" t="str" cm="1">
        <f t="array" ref="E231">_xlfn.LET(
_xlpm.inTower, COUNTIF(Tower_Num_Table[Tower Rm Numbers], LEFT(Task_Summary_Table[[#This Row],[Area/Room]], 3)) &gt; 0,
_xlpm.typeResult, _xlfn.SWITCH(LEFT(Tasks[[#This Row],[Page]], 2), "Hi", "Historic", "An", "Annex", "Si", "Site", "S5", "Project Task", "SWITCH ERROR"),
IF(_xlpm.inTower, "West Tower", _xlpm.typeResult)
)</f>
        <v>Annex</v>
      </c>
      <c r="F231" s="12" t="str">
        <f>IFERROR(MID(Tasks[[#This Row],[Page]], FIND("Level", Tasks[[#This Row],[Page]]), 7), IF(ISNUMBER(FIND("Roof", Tasks[[#This Row],[Page]])), "Roof",  IF(ISNUMBER(FIND("S590", Tasks[[#This Row],[Page]])), "",  IF(ISNUMBER(FIND("Site", Tasks[[#This Row],[Page]])), "", "ERROR"))))</f>
        <v>Level 1</v>
      </c>
      <c r="G231" s="12" t="str">
        <f>IF(Tasks[[#This Row],[Location]]=0, "", Tasks[[#This Row],[Location]])</f>
        <v>105 - Waiting</v>
      </c>
      <c r="H231" s="12" t="str">
        <f>Tasks[[#This Row],[To Package]]</f>
        <v>Metal Stud / Drywall</v>
      </c>
      <c r="I231" s="12" t="str">
        <f>Tasks[[#This Row],[To Organisation]]</f>
        <v>Pete King Construction</v>
      </c>
    </row>
    <row r="232" spans="1:9" ht="15.5" x14ac:dyDescent="0.35">
      <c r="A232" s="14" t="str">
        <f>HYPERLINK(_xlfn.CONCAT(Edit_URL,Tasks[[#This Row],[Ref]]),Tasks[[#This Row],[Ref]])</f>
        <v>T74290.82</v>
      </c>
      <c r="B232" s="15" t="str" cm="1">
        <f t="array" ref="B232">_xlfn.SWITCH(LEFT(Tasks[[#This Row],[Status]],1),"O","Opened","C","Completed","S","Signed Off", "V", "Signed Off","ERROR")</f>
        <v>Signed Off</v>
      </c>
      <c r="C232" s="15" t="str" cm="1">
        <f t="array" ref="C232">_xlfn.SWITCH(LEFT(Tasks[[#This Row],[Type]], 3), "Fie", "Field Report", "Con", "Contractor QC", "Gen", "Contractor QC", "Pun", "Contractor QC", "Qua", "Contractor QC", "Fin", "Punch List")</f>
        <v>Contractor QC</v>
      </c>
      <c r="D232" s="15" t="str">
        <f>_xlfn.LET(
_xlpm.leftValue, TRIM(LEFT(Tasks[[#This Row],[Description]], 45)),
IF(LEN(_xlpm.leftValue) &lt; 40, _xlpm.leftValue, _xlfn.CONCAT(_xlpm.leftValue, "…"))
)</f>
        <v>Long crack in ceiling appeared after the fina…</v>
      </c>
      <c r="E232" s="15" t="str" cm="1">
        <f t="array" ref="E232">_xlfn.LET(
_xlpm.inTower, COUNTIF(Tower_Num_Table[Tower Rm Numbers], LEFT(Task_Summary_Table[[#This Row],[Area/Room]], 3)) &gt; 0,
_xlpm.typeResult, _xlfn.SWITCH(LEFT(Tasks[[#This Row],[Page]], 2), "Hi", "Historic", "An", "Annex", "Si", "Site", "S5", "Project Task", "SWITCH ERROR"),
IF(_xlpm.inTower, "West Tower", _xlpm.typeResult)
)</f>
        <v>Annex</v>
      </c>
      <c r="F232" s="12" t="str">
        <f>IFERROR(MID(Tasks[[#This Row],[Page]], FIND("Level", Tasks[[#This Row],[Page]]), 7), IF(ISNUMBER(FIND("Roof", Tasks[[#This Row],[Page]])), "Roof",  IF(ISNUMBER(FIND("S590", Tasks[[#This Row],[Page]])), "",  IF(ISNUMBER(FIND("Site", Tasks[[#This Row],[Page]])), "", "ERROR"))))</f>
        <v>Level 1</v>
      </c>
      <c r="G232" s="12" t="str">
        <f>IF(Tasks[[#This Row],[Location]]=0, "", Tasks[[#This Row],[Location]])</f>
        <v>105 - Waiting</v>
      </c>
      <c r="H232" s="12" t="str">
        <f>Tasks[[#This Row],[To Package]]</f>
        <v>Metal Stud / Drywall</v>
      </c>
      <c r="I232" s="12" t="str">
        <f>Tasks[[#This Row],[To Organisation]]</f>
        <v>Pete King Construction</v>
      </c>
    </row>
    <row r="233" spans="1:9" ht="15.5" x14ac:dyDescent="0.35">
      <c r="A233" s="14" t="str">
        <f>HYPERLINK(_xlfn.CONCAT(Edit_URL,Tasks[[#This Row],[Ref]]),Tasks[[#This Row],[Ref]])</f>
        <v>T74290.68</v>
      </c>
      <c r="B233" s="15" t="str" cm="1">
        <f t="array" ref="B233">_xlfn.SWITCH(LEFT(Tasks[[#This Row],[Status]],1),"O","Opened","C","Completed","S","Signed Off", "V", "Signed Off","ERROR")</f>
        <v>Signed Off</v>
      </c>
      <c r="C233" s="15" t="str" cm="1">
        <f t="array" ref="C233">_xlfn.SWITCH(LEFT(Tasks[[#This Row],[Type]], 3), "Fie", "Field Report", "Con", "Contractor QC", "Gen", "Contractor QC", "Pun", "Contractor QC", "Qua", "Contractor QC", "Fin", "Punch List")</f>
        <v>Contractor QC</v>
      </c>
      <c r="D233" s="15" t="str">
        <f>_xlfn.LET(
_xlpm.leftValue, TRIM(LEFT(Tasks[[#This Row],[Description]], 45)),
IF(LEN(_xlpm.leftValue) &lt; 40, _xlpm.leftValue, _xlfn.CONCAT(_xlpm.leftValue, "…"))
)</f>
        <v>Complete windowsill￼</v>
      </c>
      <c r="E233" s="15" t="str" cm="1">
        <f t="array" ref="E233">_xlfn.LET(
_xlpm.inTower, COUNTIF(Tower_Num_Table[Tower Rm Numbers], LEFT(Task_Summary_Table[[#This Row],[Area/Room]], 3)) &gt; 0,
_xlpm.typeResult, _xlfn.SWITCH(LEFT(Tasks[[#This Row],[Page]], 2), "Hi", "Historic", "An", "Annex", "Si", "Site", "S5", "Project Task", "SWITCH ERROR"),
IF(_xlpm.inTower, "West Tower", _xlpm.typeResult)
)</f>
        <v>Annex</v>
      </c>
      <c r="F233" s="12" t="str">
        <f>IFERROR(MID(Tasks[[#This Row],[Page]], FIND("Level", Tasks[[#This Row],[Page]]), 7), IF(ISNUMBER(FIND("Roof", Tasks[[#This Row],[Page]])), "Roof",  IF(ISNUMBER(FIND("S590", Tasks[[#This Row],[Page]])), "",  IF(ISNUMBER(FIND("Site", Tasks[[#This Row],[Page]])), "", "ERROR"))))</f>
        <v>Level 1</v>
      </c>
      <c r="G233" s="12" t="str">
        <f>IF(Tasks[[#This Row],[Location]]=0, "", Tasks[[#This Row],[Location]])</f>
        <v>102A - Vestibule</v>
      </c>
      <c r="H233" s="12" t="str">
        <f>Tasks[[#This Row],[To Package]]</f>
        <v>Plaster</v>
      </c>
      <c r="I233" s="12" t="str">
        <f>Tasks[[#This Row],[To Organisation]]</f>
        <v>R. Phillips Plastering LLC</v>
      </c>
    </row>
    <row r="234" spans="1:9" ht="15.5" x14ac:dyDescent="0.35">
      <c r="A234" s="14" t="str">
        <f>HYPERLINK(_xlfn.CONCAT(Edit_URL,Tasks[[#This Row],[Ref]]),Tasks[[#This Row],[Ref]])</f>
        <v>T74290.128</v>
      </c>
      <c r="B234" s="15" t="str" cm="1">
        <f t="array" ref="B234">_xlfn.SWITCH(LEFT(Tasks[[#This Row],[Status]],1),"O","Opened","C","Completed","S","Signed Off", "V", "Signed Off","ERROR")</f>
        <v>Signed Off</v>
      </c>
      <c r="C234" s="15" t="str" cm="1">
        <f t="array" ref="C234">_xlfn.SWITCH(LEFT(Tasks[[#This Row],[Type]], 3), "Fie", "Field Report", "Con", "Contractor QC", "Gen", "Contractor QC", "Pun", "Contractor QC", "Qua", "Contractor QC", "Fin", "Punch List")</f>
        <v>Contractor QC</v>
      </c>
      <c r="D234" s="15" t="str">
        <f>_xlfn.LET(
_xlpm.leftValue, TRIM(LEFT(Tasks[[#This Row],[Description]], 45)),
IF(LEN(_xlpm.leftValue) &lt; 40, _xlpm.leftValue, _xlfn.CONCAT(_xlpm.leftValue, "…"))
)</f>
        <v>Center Jesus</v>
      </c>
      <c r="E234" s="15" t="str" cm="1">
        <f t="array" ref="E234">_xlfn.LET(
_xlpm.inTower, COUNTIF(Tower_Num_Table[Tower Rm Numbers], LEFT(Task_Summary_Table[[#This Row],[Area/Room]], 3)) &gt; 0,
_xlpm.typeResult, _xlfn.SWITCH(LEFT(Tasks[[#This Row],[Page]], 2), "Hi", "Historic", "An", "Annex", "Si", "Site", "S5", "Project Task", "SWITCH ERROR"),
IF(_xlpm.inTower, "West Tower", _xlpm.typeResult)
)</f>
        <v>Annex</v>
      </c>
      <c r="F234" s="12" t="str">
        <f>IFERROR(MID(Tasks[[#This Row],[Page]], FIND("Level", Tasks[[#This Row],[Page]]), 7), IF(ISNUMBER(FIND("Roof", Tasks[[#This Row],[Page]])), "Roof",  IF(ISNUMBER(FIND("S590", Tasks[[#This Row],[Page]])), "",  IF(ISNUMBER(FIND("Site", Tasks[[#This Row],[Page]])), "", "ERROR"))))</f>
        <v>Level 1</v>
      </c>
      <c r="G234" s="12" t="str">
        <f>IF(Tasks[[#This Row],[Location]]=0, "", Tasks[[#This Row],[Location]])</f>
        <v>110 - Chapel</v>
      </c>
      <c r="H234" s="12" t="str">
        <f>Tasks[[#This Row],[To Package]]</f>
        <v>Westland -- Annex</v>
      </c>
      <c r="I234" s="12" t="str">
        <f>Tasks[[#This Row],[To Organisation]]</f>
        <v>Westland Construction, Inc.</v>
      </c>
    </row>
    <row r="235" spans="1:9" ht="15.5" x14ac:dyDescent="0.35">
      <c r="A235" s="14" t="str">
        <f>HYPERLINK(_xlfn.CONCAT(Edit_URL,Tasks[[#This Row],[Ref]]),Tasks[[#This Row],[Ref]])</f>
        <v>T74290.70</v>
      </c>
      <c r="B235" s="15" t="str" cm="1">
        <f t="array" ref="B235">_xlfn.SWITCH(LEFT(Tasks[[#This Row],[Status]],1),"O","Opened","C","Completed","S","Signed Off", "V", "Signed Off","ERROR")</f>
        <v>Signed Off</v>
      </c>
      <c r="C235" s="15" t="str" cm="1">
        <f t="array" ref="C235">_xlfn.SWITCH(LEFT(Tasks[[#This Row],[Type]], 3), "Fie", "Field Report", "Con", "Contractor QC", "Gen", "Contractor QC", "Pun", "Contractor QC", "Qua", "Contractor QC", "Fin", "Punch List")</f>
        <v>Contractor QC</v>
      </c>
      <c r="D235" s="15" t="str">
        <f>_xlfn.LET(
_xlpm.leftValue, TRIM(LEFT(Tasks[[#This Row],[Description]], 45)),
IF(LEN(_xlpm.leftValue) &lt; 40, _xlpm.leftValue, _xlfn.CONCAT(_xlpm.leftValue, "…"))
)</f>
        <v>Complete floor leveling</v>
      </c>
      <c r="E235" s="15" t="str" cm="1">
        <f t="array" ref="E235">_xlfn.LET(
_xlpm.inTower, COUNTIF(Tower_Num_Table[Tower Rm Numbers], LEFT(Task_Summary_Table[[#This Row],[Area/Room]], 3)) &gt; 0,
_xlpm.typeResult, _xlfn.SWITCH(LEFT(Tasks[[#This Row],[Page]], 2), "Hi", "Historic", "An", "Annex", "Si", "Site", "S5", "Project Task", "SWITCH ERROR"),
IF(_xlpm.inTower, "West Tower", _xlpm.typeResult)
)</f>
        <v>Annex</v>
      </c>
      <c r="F235" s="12" t="str">
        <f>IFERROR(MID(Tasks[[#This Row],[Page]], FIND("Level", Tasks[[#This Row],[Page]]), 7), IF(ISNUMBER(FIND("Roof", Tasks[[#This Row],[Page]])), "Roof",  IF(ISNUMBER(FIND("S590", Tasks[[#This Row],[Page]])), "",  IF(ISNUMBER(FIND("Site", Tasks[[#This Row],[Page]])), "", "ERROR"))))</f>
        <v>Level 1</v>
      </c>
      <c r="G235" s="12" t="str">
        <f>IF(Tasks[[#This Row],[Location]]=0, "", Tasks[[#This Row],[Location]])</f>
        <v>131 - Elev Lobby</v>
      </c>
      <c r="H235" s="12" t="str">
        <f>Tasks[[#This Row],[To Package]]</f>
        <v>Westland -- Annex</v>
      </c>
      <c r="I235" s="12" t="str">
        <f>Tasks[[#This Row],[To Organisation]]</f>
        <v>Westland Construction, Inc.</v>
      </c>
    </row>
    <row r="236" spans="1:9" ht="15.5" x14ac:dyDescent="0.35">
      <c r="A236" s="14" t="str">
        <f>HYPERLINK(_xlfn.CONCAT(Edit_URL,Tasks[[#This Row],[Ref]]),Tasks[[#This Row],[Ref]])</f>
        <v>T74290.32</v>
      </c>
      <c r="B236" s="15" t="str" cm="1">
        <f t="array" ref="B236">_xlfn.SWITCH(LEFT(Tasks[[#This Row],[Status]],1),"O","Opened","C","Completed","S","Signed Off", "V", "Signed Off","ERROR")</f>
        <v>Signed Off</v>
      </c>
      <c r="C236" s="15" t="str" cm="1">
        <f t="array" ref="C236">_xlfn.SWITCH(LEFT(Tasks[[#This Row],[Type]], 3), "Fie", "Field Report", "Con", "Contractor QC", "Gen", "Contractor QC", "Pun", "Contractor QC", "Qua", "Contractor QC", "Fin", "Punch List")</f>
        <v>Contractor QC</v>
      </c>
      <c r="D236" s="15" t="str">
        <f>_xlfn.LET(
_xlpm.leftValue, TRIM(LEFT(Tasks[[#This Row],[Description]], 45)),
IF(LEN(_xlpm.leftValue) &lt; 40, _xlpm.leftValue, _xlfn.CONCAT(_xlpm.leftValue, "…"))
)</f>
        <v>Finish the headers separate from the jamb and…</v>
      </c>
      <c r="E236" s="15" t="str" cm="1">
        <f t="array" ref="E236">_xlfn.LET(
_xlpm.inTower, COUNTIF(Tower_Num_Table[Tower Rm Numbers], LEFT(Task_Summary_Table[[#This Row],[Area/Room]], 3)) &gt; 0,
_xlpm.typeResult, _xlfn.SWITCH(LEFT(Tasks[[#This Row],[Page]], 2), "Hi", "Historic", "An", "Annex", "Si", "Site", "S5", "Project Task", "SWITCH ERROR"),
IF(_xlpm.inTower, "West Tower", _xlpm.typeResult)
)</f>
        <v>Annex</v>
      </c>
      <c r="F236" s="12" t="str">
        <f>IFERROR(MID(Tasks[[#This Row],[Page]], FIND("Level", Tasks[[#This Row],[Page]]), 7), IF(ISNUMBER(FIND("Roof", Tasks[[#This Row],[Page]])), "Roof",  IF(ISNUMBER(FIND("S590", Tasks[[#This Row],[Page]])), "",  IF(ISNUMBER(FIND("Site", Tasks[[#This Row],[Page]])), "", "ERROR"))))</f>
        <v>Level 1</v>
      </c>
      <c r="G236" s="12" t="str">
        <f>IF(Tasks[[#This Row],[Location]]=0, "", Tasks[[#This Row],[Location]])</f>
        <v>101 - Entry</v>
      </c>
      <c r="H236" s="12" t="str">
        <f>Tasks[[#This Row],[To Package]]</f>
        <v>Paint</v>
      </c>
      <c r="I236" s="12" t="str">
        <f>Tasks[[#This Row],[To Organisation]]</f>
        <v>Accent Painting and Special Coatings, LLC</v>
      </c>
    </row>
    <row r="237" spans="1:9" ht="15.5" x14ac:dyDescent="0.35">
      <c r="A237" s="14" t="str">
        <f>HYPERLINK(_xlfn.CONCAT(Edit_URL,Tasks[[#This Row],[Ref]]),Tasks[[#This Row],[Ref]])</f>
        <v>T74290.9</v>
      </c>
      <c r="B237" s="15" t="str" cm="1">
        <f t="array" ref="B237">_xlfn.SWITCH(LEFT(Tasks[[#This Row],[Status]],1),"O","Opened","C","Completed","S","Signed Off", "V", "Signed Off","ERROR")</f>
        <v>Signed Off</v>
      </c>
      <c r="C237" s="15" t="str" cm="1">
        <f t="array" ref="C237">_xlfn.SWITCH(LEFT(Tasks[[#This Row],[Type]], 3), "Fie", "Field Report", "Con", "Contractor QC", "Gen", "Contractor QC", "Pun", "Contractor QC", "Qua", "Contractor QC", "Fin", "Punch List")</f>
        <v>Contractor QC</v>
      </c>
      <c r="D237" s="15" t="str">
        <f>_xlfn.LET(
_xlpm.leftValue, TRIM(LEFT(Tasks[[#This Row],[Description]], 45)),
IF(LEN(_xlpm.leftValue) &lt; 40, _xlpm.leftValue, _xlfn.CONCAT(_xlpm.leftValue, "…"))
)</f>
        <v>From field report #26 item 26-23 The 24x24 li…</v>
      </c>
      <c r="E237" s="15" t="str" cm="1">
        <f t="array" ref="E237">_xlfn.LET(
_xlpm.inTower, COUNTIF(Tower_Num_Table[Tower Rm Numbers], LEFT(Task_Summary_Table[[#This Row],[Area/Room]], 3)) &gt; 0,
_xlpm.typeResult, _xlfn.SWITCH(LEFT(Tasks[[#This Row],[Page]], 2), "Hi", "Historic", "An", "Annex", "Si", "Site", "S5", "Project Task", "SWITCH ERROR"),
IF(_xlpm.inTower, "West Tower", _xlpm.typeResult)
)</f>
        <v>Annex</v>
      </c>
      <c r="F237" s="12" t="str">
        <f>IFERROR(MID(Tasks[[#This Row],[Page]], FIND("Level", Tasks[[#This Row],[Page]]), 7), IF(ISNUMBER(FIND("Roof", Tasks[[#This Row],[Page]])), "Roof",  IF(ISNUMBER(FIND("S590", Tasks[[#This Row],[Page]])), "",  IF(ISNUMBER(FIND("Site", Tasks[[#This Row],[Page]])), "", "ERROR"))))</f>
        <v>Level 1</v>
      </c>
      <c r="G237" s="12" t="str">
        <f>IF(Tasks[[#This Row],[Location]]=0, "", Tasks[[#This Row],[Location]])</f>
        <v>135 - Workers Dressing - Men</v>
      </c>
      <c r="H237" s="12" t="str">
        <f>Tasks[[#This Row],[To Package]]</f>
        <v>Westland -- Annex</v>
      </c>
      <c r="I237" s="12" t="str">
        <f>Tasks[[#This Row],[To Organisation]]</f>
        <v>Westland Construction, Inc.</v>
      </c>
    </row>
    <row r="238" spans="1:9" ht="15.5" x14ac:dyDescent="0.35">
      <c r="A238" s="14" t="str">
        <f>HYPERLINK(_xlfn.CONCAT(Edit_URL,Tasks[[#This Row],[Ref]]),Tasks[[#This Row],[Ref]])</f>
        <v>T74290.92</v>
      </c>
      <c r="B238" s="15" t="str" cm="1">
        <f t="array" ref="B238">_xlfn.SWITCH(LEFT(Tasks[[#This Row],[Status]],1),"O","Opened","C","Completed","S","Signed Off", "V", "Signed Off","ERROR")</f>
        <v>Signed Off</v>
      </c>
      <c r="C238" s="15" t="str" cm="1">
        <f t="array" ref="C238">_xlfn.SWITCH(LEFT(Tasks[[#This Row],[Type]], 3), "Fie", "Field Report", "Con", "Contractor QC", "Gen", "Contractor QC", "Pun", "Contractor QC", "Qua", "Contractor QC", "Fin", "Punch List")</f>
        <v>Contractor QC</v>
      </c>
      <c r="D238" s="15" t="str">
        <f>_xlfn.LET(
_xlpm.leftValue, TRIM(LEFT(Tasks[[#This Row],[Description]], 45)),
IF(LEN(_xlpm.leftValue) &lt; 40, _xlpm.leftValue, _xlfn.CONCAT(_xlpm.leftValue, "…"))
)</f>
        <v>Cut off bracket</v>
      </c>
      <c r="E238" s="15" t="str" cm="1">
        <f t="array" ref="E238">_xlfn.LET(
_xlpm.inTower, COUNTIF(Tower_Num_Table[Tower Rm Numbers], LEFT(Task_Summary_Table[[#This Row],[Area/Room]], 3)) &gt; 0,
_xlpm.typeResult, _xlfn.SWITCH(LEFT(Tasks[[#This Row],[Page]], 2), "Hi", "Historic", "An", "Annex", "Si", "Site", "S5", "Project Task", "SWITCH ERROR"),
IF(_xlpm.inTower, "West Tower", _xlpm.typeResult)
)</f>
        <v>Historic</v>
      </c>
      <c r="F238" s="12" t="str">
        <f>IFERROR(MID(Tasks[[#This Row],[Page]], FIND("Level", Tasks[[#This Row],[Page]]), 7), IF(ISNUMBER(FIND("Roof", Tasks[[#This Row],[Page]])), "Roof",  IF(ISNUMBER(FIND("S590", Tasks[[#This Row],[Page]])), "",  IF(ISNUMBER(FIND("Site", Tasks[[#This Row],[Page]])), "", "ERROR"))))</f>
        <v>Level 0</v>
      </c>
      <c r="G238" s="12" t="str">
        <f>IF(Tasks[[#This Row],[Location]]=0, "", Tasks[[#This Row],[Location]])</f>
        <v>075 - Showers - Boys</v>
      </c>
      <c r="H238" s="12" t="str">
        <f>Tasks[[#This Row],[To Package]]</f>
        <v>Plumbing</v>
      </c>
      <c r="I238" s="12" t="str">
        <f>Tasks[[#This Row],[To Organisation]]</f>
        <v>US Mechanical</v>
      </c>
    </row>
    <row r="239" spans="1:9" ht="15.5" x14ac:dyDescent="0.35">
      <c r="A239" s="14" t="str">
        <f>HYPERLINK(_xlfn.CONCAT(Edit_URL,Tasks[[#This Row],[Ref]]),Tasks[[#This Row],[Ref]])</f>
        <v>T74290.81</v>
      </c>
      <c r="B239" s="15" t="str" cm="1">
        <f t="array" ref="B239">_xlfn.SWITCH(LEFT(Tasks[[#This Row],[Status]],1),"O","Opened","C","Completed","S","Signed Off", "V", "Signed Off","ERROR")</f>
        <v>Signed Off</v>
      </c>
      <c r="C239" s="15" t="str" cm="1">
        <f t="array" ref="C239">_xlfn.SWITCH(LEFT(Tasks[[#This Row],[Type]], 3), "Fie", "Field Report", "Con", "Contractor QC", "Gen", "Contractor QC", "Pun", "Contractor QC", "Qua", "Contractor QC", "Fin", "Punch List")</f>
        <v>Contractor QC</v>
      </c>
      <c r="D239" s="15" t="str">
        <f>_xlfn.LET(
_xlpm.leftValue, TRIM(LEFT(Tasks[[#This Row],[Description]], 45)),
IF(LEN(_xlpm.leftValue) &lt; 40, _xlpm.leftValue, _xlfn.CONCAT(_xlpm.leftValue, "…"))
)</f>
        <v>Complete the GFRG for window￼ and crown mold…</v>
      </c>
      <c r="E239" s="15" t="str" cm="1">
        <f t="array" ref="E239">_xlfn.LET(
_xlpm.inTower, COUNTIF(Tower_Num_Table[Tower Rm Numbers], LEFT(Task_Summary_Table[[#This Row],[Area/Room]], 3)) &gt; 0,
_xlpm.typeResult, _xlfn.SWITCH(LEFT(Tasks[[#This Row],[Page]], 2), "Hi", "Historic", "An", "Annex", "Si", "Site", "S5", "Project Task", "SWITCH ERROR"),
IF(_xlpm.inTower, "West Tower", _xlpm.typeResult)
)</f>
        <v>Annex</v>
      </c>
      <c r="F239" s="12" t="str">
        <f>IFERROR(MID(Tasks[[#This Row],[Page]], FIND("Level", Tasks[[#This Row],[Page]]), 7), IF(ISNUMBER(FIND("Roof", Tasks[[#This Row],[Page]])), "Roof",  IF(ISNUMBER(FIND("S590", Tasks[[#This Row],[Page]])), "",  IF(ISNUMBER(FIND("Site", Tasks[[#This Row],[Page]])), "", "ERROR"))))</f>
        <v>Level 1</v>
      </c>
      <c r="G239" s="12" t="str">
        <f>IF(Tasks[[#This Row],[Location]]=0, "", Tasks[[#This Row],[Location]])</f>
        <v/>
      </c>
      <c r="H239" s="12" t="str">
        <f>Tasks[[#This Row],[To Package]]</f>
        <v>GFRG</v>
      </c>
      <c r="I239" s="12" t="str">
        <f>Tasks[[#This Row],[To Organisation]]</f>
        <v>Pete King Construction</v>
      </c>
    </row>
    <row r="240" spans="1:9" ht="15.5" x14ac:dyDescent="0.35">
      <c r="A240" s="14" t="str">
        <f>HYPERLINK(_xlfn.CONCAT(Edit_URL,Tasks[[#This Row],[Ref]]),Tasks[[#This Row],[Ref]])</f>
        <v>T74290.50</v>
      </c>
      <c r="B240" s="15" t="str" cm="1">
        <f t="array" ref="B240">_xlfn.SWITCH(LEFT(Tasks[[#This Row],[Status]],1),"O","Opened","C","Completed","S","Signed Off", "V", "Signed Off","ERROR")</f>
        <v>Signed Off</v>
      </c>
      <c r="C240" s="15" t="str" cm="1">
        <f t="array" ref="C240">_xlfn.SWITCH(LEFT(Tasks[[#This Row],[Type]], 3), "Fie", "Field Report", "Con", "Contractor QC", "Gen", "Contractor QC", "Pun", "Contractor QC", "Qua", "Contractor QC", "Fin", "Punch List")</f>
        <v>Contractor QC</v>
      </c>
      <c r="D240" s="15" t="str">
        <f>_xlfn.LET(
_xlpm.leftValue, TRIM(LEFT(Tasks[[#This Row],[Description]], 45)),
IF(LEN(_xlpm.leftValue) &lt; 40, _xlpm.leftValue, _xlfn.CONCAT(_xlpm.leftValue, "…"))
)</f>
        <v>Complete cap for baseboard￼</v>
      </c>
      <c r="E240" s="15" t="str" cm="1">
        <f t="array" ref="E240">_xlfn.LET(
_xlpm.inTower, COUNTIF(Tower_Num_Table[Tower Rm Numbers], LEFT(Task_Summary_Table[[#This Row],[Area/Room]], 3)) &gt; 0,
_xlpm.typeResult, _xlfn.SWITCH(LEFT(Tasks[[#This Row],[Page]], 2), "Hi", "Historic", "An", "Annex", "Si", "Site", "S5", "Project Task", "SWITCH ERROR"),
IF(_xlpm.inTower, "West Tower", _xlpm.typeResult)
)</f>
        <v>Annex</v>
      </c>
      <c r="F240" s="12" t="str">
        <f>IFERROR(MID(Tasks[[#This Row],[Page]], FIND("Level", Tasks[[#This Row],[Page]]), 7), IF(ISNUMBER(FIND("Roof", Tasks[[#This Row],[Page]])), "Roof",  IF(ISNUMBER(FIND("S590", Tasks[[#This Row],[Page]])), "",  IF(ISNUMBER(FIND("Site", Tasks[[#This Row],[Page]])), "", "ERROR"))))</f>
        <v>Level 1</v>
      </c>
      <c r="G240" s="12" t="str">
        <f>IF(Tasks[[#This Row],[Location]]=0, "", Tasks[[#This Row],[Location]])</f>
        <v/>
      </c>
      <c r="H240" s="12" t="str">
        <f>Tasks[[#This Row],[To Package]]</f>
        <v xml:space="preserve">Finish Carpentry </v>
      </c>
      <c r="I240" s="12" t="str">
        <f>Tasks[[#This Row],[To Organisation]]</f>
        <v>Fetzers' Inc.</v>
      </c>
    </row>
    <row r="241" spans="1:9" ht="15.5" x14ac:dyDescent="0.35">
      <c r="A241" s="14" t="str">
        <f>HYPERLINK(_xlfn.CONCAT(Edit_URL,Tasks[[#This Row],[Ref]]),Tasks[[#This Row],[Ref]])</f>
        <v>T74290.60</v>
      </c>
      <c r="B241" s="15" t="str" cm="1">
        <f t="array" ref="B241">_xlfn.SWITCH(LEFT(Tasks[[#This Row],[Status]],1),"O","Opened","C","Completed","S","Signed Off", "V", "Signed Off","ERROR")</f>
        <v>Signed Off</v>
      </c>
      <c r="C241" s="15" t="str" cm="1">
        <f t="array" ref="C241">_xlfn.SWITCH(LEFT(Tasks[[#This Row],[Type]], 3), "Fie", "Field Report", "Con", "Contractor QC", "Gen", "Contractor QC", "Pun", "Contractor QC", "Qua", "Contractor QC", "Fin", "Punch List")</f>
        <v>Contractor QC</v>
      </c>
      <c r="D241" s="15" t="str">
        <f>_xlfn.LET(
_xlpm.leftValue, TRIM(LEFT(Tasks[[#This Row],[Description]], 45)),
IF(LEN(_xlpm.leftValue) &lt; 40, _xlpm.leftValue, _xlfn.CONCAT(_xlpm.leftValue, "…"))
)</f>
        <v>Patch hole on exterior wall</v>
      </c>
      <c r="E241" s="15" t="str" cm="1">
        <f t="array" ref="E241">_xlfn.LET(
_xlpm.inTower, COUNTIF(Tower_Num_Table[Tower Rm Numbers], LEFT(Task_Summary_Table[[#This Row],[Area/Room]], 3)) &gt; 0,
_xlpm.typeResult, _xlfn.SWITCH(LEFT(Tasks[[#This Row],[Page]], 2), "Hi", "Historic", "An", "Annex", "Si", "Site", "S5", "Project Task", "SWITCH ERROR"),
IF(_xlpm.inTower, "West Tower", _xlpm.typeResult)
)</f>
        <v>Annex</v>
      </c>
      <c r="F241" s="12" t="str">
        <f>IFERROR(MID(Tasks[[#This Row],[Page]], FIND("Level", Tasks[[#This Row],[Page]]), 7), IF(ISNUMBER(FIND("Roof", Tasks[[#This Row],[Page]])), "Roof",  IF(ISNUMBER(FIND("S590", Tasks[[#This Row],[Page]])), "",  IF(ISNUMBER(FIND("Site", Tasks[[#This Row],[Page]])), "", "ERROR"))))</f>
        <v>Level 1</v>
      </c>
      <c r="G241" s="12" t="str">
        <f>IF(Tasks[[#This Row],[Location]]=0, "", Tasks[[#This Row],[Location]])</f>
        <v/>
      </c>
      <c r="H241" s="12" t="str">
        <f>Tasks[[#This Row],[To Package]]</f>
        <v>Westland -- Annex</v>
      </c>
      <c r="I241" s="12" t="str">
        <f>Tasks[[#This Row],[To Organisation]]</f>
        <v>Westland Construction, Inc.</v>
      </c>
    </row>
    <row r="242" spans="1:9" ht="15.5" x14ac:dyDescent="0.35">
      <c r="A242" s="14" t="str">
        <f>HYPERLINK(_xlfn.CONCAT(Edit_URL,Tasks[[#This Row],[Ref]]),Tasks[[#This Row],[Ref]])</f>
        <v>T74290.20</v>
      </c>
      <c r="B242" s="15" t="str" cm="1">
        <f t="array" ref="B242">_xlfn.SWITCH(LEFT(Tasks[[#This Row],[Status]],1),"O","Opened","C","Completed","S","Signed Off", "V", "Signed Off","ERROR")</f>
        <v>Signed Off</v>
      </c>
      <c r="C242" s="15" t="str" cm="1">
        <f t="array" ref="C242">_xlfn.SWITCH(LEFT(Tasks[[#This Row],[Type]], 3), "Fie", "Field Report", "Con", "Contractor QC", "Gen", "Contractor QC", "Pun", "Contractor QC", "Qua", "Contractor QC", "Fin", "Punch List")</f>
        <v>Contractor QC</v>
      </c>
      <c r="D242" s="15" t="str">
        <f>_xlfn.LET(
_xlpm.leftValue, TRIM(LEFT(Tasks[[#This Row],[Description]], 45)),
IF(LEN(_xlpm.leftValue) &lt; 40, _xlpm.leftValue, _xlfn.CONCAT(_xlpm.leftValue, "…"))
)</f>
        <v>Move rebar and reform window opening￼</v>
      </c>
      <c r="E242" s="15" t="str" cm="1">
        <f t="array" ref="E242">_xlfn.LET(
_xlpm.inTower, COUNTIF(Tower_Num_Table[Tower Rm Numbers], LEFT(Task_Summary_Table[[#This Row],[Area/Room]], 3)) &gt; 0,
_xlpm.typeResult, _xlfn.SWITCH(LEFT(Tasks[[#This Row],[Page]], 2), "Hi", "Historic", "An", "Annex", "Si", "Site", "S5", "Project Task", "SWITCH ERROR"),
IF(_xlpm.inTower, "West Tower", _xlpm.typeResult)
)</f>
        <v>Historic</v>
      </c>
      <c r="F242" s="12" t="str">
        <f>IFERROR(MID(Tasks[[#This Row],[Page]], FIND("Level", Tasks[[#This Row],[Page]]), 7), IF(ISNUMBER(FIND("Roof", Tasks[[#This Row],[Page]])), "Roof",  IF(ISNUMBER(FIND("S590", Tasks[[#This Row],[Page]])), "",  IF(ISNUMBER(FIND("Site", Tasks[[#This Row],[Page]])), "", "ERROR"))))</f>
        <v>Level 1</v>
      </c>
      <c r="G242" s="12" t="str">
        <f>IF(Tasks[[#This Row],[Location]]=0, "", Tasks[[#This Row],[Location]])</f>
        <v/>
      </c>
      <c r="H242" s="12" t="str">
        <f>Tasks[[#This Row],[To Package]]</f>
        <v>Concrete</v>
      </c>
      <c r="I242" s="12" t="str">
        <f>Tasks[[#This Row],[To Organisation]]</f>
        <v>Innovative Concrete, LLC</v>
      </c>
    </row>
    <row r="243" spans="1:9" ht="15.5" x14ac:dyDescent="0.35">
      <c r="A243" s="14" t="str">
        <f>HYPERLINK(_xlfn.CONCAT(Edit_URL,Tasks[[#This Row],[Ref]]),Tasks[[#This Row],[Ref]])</f>
        <v>T74290.93</v>
      </c>
      <c r="B243" s="15" t="str" cm="1">
        <f t="array" ref="B243">_xlfn.SWITCH(LEFT(Tasks[[#This Row],[Status]],1),"O","Opened","C","Completed","S","Signed Off", "V", "Signed Off","ERROR")</f>
        <v>Signed Off</v>
      </c>
      <c r="C243" s="15" t="str" cm="1">
        <f t="array" ref="C243">_xlfn.SWITCH(LEFT(Tasks[[#This Row],[Type]], 3), "Fie", "Field Report", "Con", "Contractor QC", "Gen", "Contractor QC", "Pun", "Contractor QC", "Qua", "Contractor QC", "Fin", "Punch List")</f>
        <v>Contractor QC</v>
      </c>
      <c r="D243" s="15" t="str">
        <f>_xlfn.LET(
_xlpm.leftValue, TRIM(LEFT(Tasks[[#This Row],[Description]], 45)),
IF(LEN(_xlpm.leftValue) &lt; 40, _xlpm.leftValue, _xlfn.CONCAT(_xlpm.leftValue, "…"))
)</f>
        <v>Grout honeycomb and holes on exterior</v>
      </c>
      <c r="E243" s="15" t="str" cm="1">
        <f t="array" ref="E243">_xlfn.LET(
_xlpm.inTower, COUNTIF(Tower_Num_Table[Tower Rm Numbers], LEFT(Task_Summary_Table[[#This Row],[Area/Room]], 3)) &gt; 0,
_xlpm.typeResult, _xlfn.SWITCH(LEFT(Tasks[[#This Row],[Page]], 2), "Hi", "Historic", "An", "Annex", "Si", "Site", "S5", "Project Task", "SWITCH ERROR"),
IF(_xlpm.inTower, "West Tower", _xlpm.typeResult)
)</f>
        <v>Historic</v>
      </c>
      <c r="F243" s="12" t="str">
        <f>IFERROR(MID(Tasks[[#This Row],[Page]], FIND("Level", Tasks[[#This Row],[Page]]), 7), IF(ISNUMBER(FIND("Roof", Tasks[[#This Row],[Page]])), "Roof",  IF(ISNUMBER(FIND("S590", Tasks[[#This Row],[Page]])), "",  IF(ISNUMBER(FIND("Site", Tasks[[#This Row],[Page]])), "", "ERROR"))))</f>
        <v>Level 0</v>
      </c>
      <c r="G243" s="12" t="str">
        <f>IF(Tasks[[#This Row],[Location]]=0, "", Tasks[[#This Row],[Location]])</f>
        <v/>
      </c>
      <c r="H243" s="12" t="str">
        <f>Tasks[[#This Row],[To Package]]</f>
        <v>Concrete</v>
      </c>
      <c r="I243" s="12" t="str">
        <f>Tasks[[#This Row],[To Organisation]]</f>
        <v>Innovative Concrete, LLC</v>
      </c>
    </row>
    <row r="244" spans="1:9" ht="15.5" x14ac:dyDescent="0.35">
      <c r="A244" s="14" t="str">
        <f>HYPERLINK(_xlfn.CONCAT(Edit_URL,Tasks[[#This Row],[Ref]]),Tasks[[#This Row],[Ref]])</f>
        <v>T74290.94</v>
      </c>
      <c r="B244" s="15" t="str" cm="1">
        <f t="array" ref="B244">_xlfn.SWITCH(LEFT(Tasks[[#This Row],[Status]],1),"O","Opened","C","Completed","S","Signed Off", "V", "Signed Off","ERROR")</f>
        <v>Signed Off</v>
      </c>
      <c r="C244" s="15" t="str" cm="1">
        <f t="array" ref="C244">_xlfn.SWITCH(LEFT(Tasks[[#This Row],[Type]], 3), "Fie", "Field Report", "Con", "Contractor QC", "Gen", "Contractor QC", "Pun", "Contractor QC", "Qua", "Contractor QC", "Fin", "Punch List")</f>
        <v>Contractor QC</v>
      </c>
      <c r="D244" s="15" t="str">
        <f>_xlfn.LET(
_xlpm.leftValue, TRIM(LEFT(Tasks[[#This Row],[Description]], 45)),
IF(LEN(_xlpm.leftValue) &lt; 40, _xlpm.leftValue, _xlfn.CONCAT(_xlpm.leftValue, "…"))
)</f>
        <v>Grout holes and honeycomb in exterior of wall…</v>
      </c>
      <c r="E244" s="15" t="str" cm="1">
        <f t="array" ref="E244">_xlfn.LET(
_xlpm.inTower, COUNTIF(Tower_Num_Table[Tower Rm Numbers], LEFT(Task_Summary_Table[[#This Row],[Area/Room]], 3)) &gt; 0,
_xlpm.typeResult, _xlfn.SWITCH(LEFT(Tasks[[#This Row],[Page]], 2), "Hi", "Historic", "An", "Annex", "Si", "Site", "S5", "Project Task", "SWITCH ERROR"),
IF(_xlpm.inTower, "West Tower", _xlpm.typeResult)
)</f>
        <v>Historic</v>
      </c>
      <c r="F244" s="12" t="str">
        <f>IFERROR(MID(Tasks[[#This Row],[Page]], FIND("Level", Tasks[[#This Row],[Page]]), 7), IF(ISNUMBER(FIND("Roof", Tasks[[#This Row],[Page]])), "Roof",  IF(ISNUMBER(FIND("S590", Tasks[[#This Row],[Page]])), "",  IF(ISNUMBER(FIND("Site", Tasks[[#This Row],[Page]])), "", "ERROR"))))</f>
        <v>Level 1</v>
      </c>
      <c r="G244" s="12" t="str">
        <f>IF(Tasks[[#This Row],[Location]]=0, "", Tasks[[#This Row],[Location]])</f>
        <v/>
      </c>
      <c r="H244" s="12" t="str">
        <f>Tasks[[#This Row],[To Package]]</f>
        <v>Concrete</v>
      </c>
      <c r="I244" s="12" t="str">
        <f>Tasks[[#This Row],[To Organisation]]</f>
        <v>Innovative Concrete, LLC</v>
      </c>
    </row>
    <row r="245" spans="1:9" ht="15.5" x14ac:dyDescent="0.35">
      <c r="A245" s="14" t="str">
        <f>HYPERLINK(_xlfn.CONCAT(Edit_URL,Tasks[[#This Row],[Ref]]),Tasks[[#This Row],[Ref]])</f>
        <v>T74290.61</v>
      </c>
      <c r="B245" s="15" t="str" cm="1">
        <f t="array" ref="B245">_xlfn.SWITCH(LEFT(Tasks[[#This Row],[Status]],1),"O","Opened","C","Completed","S","Signed Off", "V", "Signed Off","ERROR")</f>
        <v>Signed Off</v>
      </c>
      <c r="C245" s="15" t="str" cm="1">
        <f t="array" ref="C245">_xlfn.SWITCH(LEFT(Tasks[[#This Row],[Type]], 3), "Fie", "Field Report", "Con", "Contractor QC", "Gen", "Contractor QC", "Pun", "Contractor QC", "Qua", "Contractor QC", "Fin", "Punch List")</f>
        <v>Contractor QC</v>
      </c>
      <c r="D245" s="15" t="str">
        <f>_xlfn.LET(
_xlpm.leftValue, TRIM(LEFT(Tasks[[#This Row],[Description]], 45)),
IF(LEN(_xlpm.leftValue) &lt; 40, _xlpm.leftValue, _xlfn.CONCAT(_xlpm.leftValue, "…"))
)</f>
        <v>Complete the trim on top of the door casing a…</v>
      </c>
      <c r="E245" s="15" t="str" cm="1">
        <f t="array" ref="E245">_xlfn.LET(
_xlpm.inTower, COUNTIF(Tower_Num_Table[Tower Rm Numbers], LEFT(Task_Summary_Table[[#This Row],[Area/Room]], 3)) &gt; 0,
_xlpm.typeResult, _xlfn.SWITCH(LEFT(Tasks[[#This Row],[Page]], 2), "Hi", "Historic", "An", "Annex", "Si", "Site", "S5", "Project Task", "SWITCH ERROR"),
IF(_xlpm.inTower, "West Tower", _xlpm.typeResult)
)</f>
        <v>Historic</v>
      </c>
      <c r="F245" s="12" t="str">
        <f>IFERROR(MID(Tasks[[#This Row],[Page]], FIND("Level", Tasks[[#This Row],[Page]]), 7), IF(ISNUMBER(FIND("Roof", Tasks[[#This Row],[Page]])), "Roof",  IF(ISNUMBER(FIND("S590", Tasks[[#This Row],[Page]])), "",  IF(ISNUMBER(FIND("Site", Tasks[[#This Row],[Page]])), "", "ERROR"))))</f>
        <v>Level 1</v>
      </c>
      <c r="G245" s="12" t="str">
        <f>IF(Tasks[[#This Row],[Location]]=0, "", Tasks[[#This Row],[Location]])</f>
        <v/>
      </c>
      <c r="H245" s="12" t="str">
        <f>Tasks[[#This Row],[To Package]]</f>
        <v xml:space="preserve">Finish Carpentry </v>
      </c>
      <c r="I245" s="12" t="str">
        <f>Tasks[[#This Row],[To Organisation]]</f>
        <v>Fetzers' Inc.</v>
      </c>
    </row>
    <row r="246" spans="1:9" ht="15.5" x14ac:dyDescent="0.35">
      <c r="A246" s="14" t="str">
        <f>HYPERLINK(_xlfn.CONCAT(Edit_URL,Tasks[[#This Row],[Ref]]),Tasks[[#This Row],[Ref]])</f>
        <v>T74290.10</v>
      </c>
      <c r="B246" s="15" t="str" cm="1">
        <f t="array" ref="B246">_xlfn.SWITCH(LEFT(Tasks[[#This Row],[Status]],1),"O","Opened","C","Completed","S","Signed Off", "V", "Signed Off","ERROR")</f>
        <v>Signed Off</v>
      </c>
      <c r="C246" s="15" t="str" cm="1">
        <f t="array" ref="C246">_xlfn.SWITCH(LEFT(Tasks[[#This Row],[Type]], 3), "Fie", "Field Report", "Con", "Contractor QC", "Gen", "Contractor QC", "Pun", "Contractor QC", "Qua", "Contractor QC", "Fin", "Punch List")</f>
        <v>Contractor QC</v>
      </c>
      <c r="D246" s="15" t="str">
        <f>_xlfn.LET(
_xlpm.leftValue, TRIM(LEFT(Tasks[[#This Row],[Description]], 45)),
IF(LEN(_xlpm.leftValue) &lt; 40, _xlpm.leftValue, _xlfn.CONCAT(_xlpm.leftValue, "…"))
)</f>
        <v>Complete piping into crawlspace area. Remove…</v>
      </c>
      <c r="E246" s="15" t="str" cm="1">
        <f t="array" ref="E246">_xlfn.LET(
_xlpm.inTower, COUNTIF(Tower_Num_Table[Tower Rm Numbers], LEFT(Task_Summary_Table[[#This Row],[Area/Room]], 3)) &gt; 0,
_xlpm.typeResult, _xlfn.SWITCH(LEFT(Tasks[[#This Row],[Page]], 2), "Hi", "Historic", "An", "Annex", "Si", "Site", "S5", "Project Task", "SWITCH ERROR"),
IF(_xlpm.inTower, "West Tower", _xlpm.typeResult)
)</f>
        <v>Historic</v>
      </c>
      <c r="F246" s="12" t="str">
        <f>IFERROR(MID(Tasks[[#This Row],[Page]], FIND("Level", Tasks[[#This Row],[Page]]), 7), IF(ISNUMBER(FIND("Roof", Tasks[[#This Row],[Page]])), "Roof",  IF(ISNUMBER(FIND("S590", Tasks[[#This Row],[Page]])), "",  IF(ISNUMBER(FIND("Site", Tasks[[#This Row],[Page]])), "", "ERROR"))))</f>
        <v>Level 0</v>
      </c>
      <c r="G246" s="12" t="str">
        <f>IF(Tasks[[#This Row],[Location]]=0, "", Tasks[[#This Row],[Location]])</f>
        <v/>
      </c>
      <c r="H246" s="12" t="str">
        <f>Tasks[[#This Row],[To Package]]</f>
        <v>Fire Suppression</v>
      </c>
      <c r="I246" s="12" t="str">
        <f>Tasks[[#This Row],[To Organisation]]</f>
        <v>Broken Arrow Construction Corporation</v>
      </c>
    </row>
    <row r="247" spans="1:9" ht="15.5" x14ac:dyDescent="0.35">
      <c r="A247" s="14" t="str">
        <f>HYPERLINK(_xlfn.CONCAT(Edit_URL,Tasks[[#This Row],[Ref]]),Tasks[[#This Row],[Ref]])</f>
        <v>T74290.89</v>
      </c>
      <c r="B247" s="15" t="str" cm="1">
        <f t="array" ref="B247">_xlfn.SWITCH(LEFT(Tasks[[#This Row],[Status]],1),"O","Opened","C","Completed","S","Signed Off", "V", "Signed Off","ERROR")</f>
        <v>Signed Off</v>
      </c>
      <c r="C247" s="15" t="str" cm="1">
        <f t="array" ref="C247">_xlfn.SWITCH(LEFT(Tasks[[#This Row],[Type]], 3), "Fie", "Field Report", "Con", "Contractor QC", "Gen", "Contractor QC", "Pun", "Contractor QC", "Qua", "Contractor QC", "Fin", "Punch List")</f>
        <v>Contractor QC</v>
      </c>
      <c r="D247" s="15" t="str">
        <f>_xlfn.LET(
_xlpm.leftValue, TRIM(LEFT(Tasks[[#This Row],[Description]], 45)),
IF(LEN(_xlpm.leftValue) &lt; 40, _xlpm.leftValue, _xlfn.CONCAT(_xlpm.leftValue, "…"))
)</f>
        <v>Drywall and finish around switch￼</v>
      </c>
      <c r="E247" s="15" t="str" cm="1">
        <f t="array" ref="E247">_xlfn.LET(
_xlpm.inTower, COUNTIF(Tower_Num_Table[Tower Rm Numbers], LEFT(Task_Summary_Table[[#This Row],[Area/Room]], 3)) &gt; 0,
_xlpm.typeResult, _xlfn.SWITCH(LEFT(Tasks[[#This Row],[Page]], 2), "Hi", "Historic", "An", "Annex", "Si", "Site", "S5", "Project Task", "SWITCH ERROR"),
IF(_xlpm.inTower, "West Tower", _xlpm.typeResult)
)</f>
        <v>Annex</v>
      </c>
      <c r="F247" s="12" t="str">
        <f>IFERROR(MID(Tasks[[#This Row],[Page]], FIND("Level", Tasks[[#This Row],[Page]]), 7), IF(ISNUMBER(FIND("Roof", Tasks[[#This Row],[Page]])), "Roof",  IF(ISNUMBER(FIND("S590", Tasks[[#This Row],[Page]])), "",  IF(ISNUMBER(FIND("Site", Tasks[[#This Row],[Page]])), "", "ERROR"))))</f>
        <v>Level 1</v>
      </c>
      <c r="G247" s="12" t="str">
        <f>IF(Tasks[[#This Row],[Location]]=0, "", Tasks[[#This Row],[Location]])</f>
        <v>110 - Chapel</v>
      </c>
      <c r="H247" s="12" t="str">
        <f>Tasks[[#This Row],[To Package]]</f>
        <v>Metal Stud / Drywall</v>
      </c>
      <c r="I247" s="12" t="str">
        <f>Tasks[[#This Row],[To Organisation]]</f>
        <v>Pete King Construction</v>
      </c>
    </row>
    <row r="248" spans="1:9" ht="15.5" x14ac:dyDescent="0.35">
      <c r="A248" s="14" t="str">
        <f>HYPERLINK(_xlfn.CONCAT(Edit_URL,Tasks[[#This Row],[Ref]]),Tasks[[#This Row],[Ref]])</f>
        <v>T74290.102</v>
      </c>
      <c r="B248" s="15" t="str" cm="1">
        <f t="array" ref="B248">_xlfn.SWITCH(LEFT(Tasks[[#This Row],[Status]],1),"O","Opened","C","Completed","S","Signed Off", "V", "Signed Off","ERROR")</f>
        <v>Signed Off</v>
      </c>
      <c r="C248" s="15" t="str" cm="1">
        <f t="array" ref="C248">_xlfn.SWITCH(LEFT(Tasks[[#This Row],[Type]], 3), "Fie", "Field Report", "Con", "Contractor QC", "Gen", "Contractor QC", "Pun", "Contractor QC", "Qua", "Contractor QC", "Fin", "Punch List")</f>
        <v>Contractor QC</v>
      </c>
      <c r="D248" s="15" t="str">
        <f>_xlfn.LET(
_xlpm.leftValue, TRIM(LEFT(Tasks[[#This Row],[Description]], 45)),
IF(LEN(_xlpm.leftValue) &lt; 40, _xlpm.leftValue, _xlfn.CONCAT(_xlpm.leftValue, "…"))
)</f>
        <v>GFRG crack repair - mock up for future repair…</v>
      </c>
      <c r="E248" s="15" t="str" cm="1">
        <f t="array" ref="E248">_xlfn.LET(
_xlpm.inTower, COUNTIF(Tower_Num_Table[Tower Rm Numbers], LEFT(Task_Summary_Table[[#This Row],[Area/Room]], 3)) &gt; 0,
_xlpm.typeResult, _xlfn.SWITCH(LEFT(Tasks[[#This Row],[Page]], 2), "Hi", "Historic", "An", "Annex", "Si", "Site", "S5", "Project Task", "SWITCH ERROR"),
IF(_xlpm.inTower, "West Tower", _xlpm.typeResult)
)</f>
        <v>Annex</v>
      </c>
      <c r="F248" s="12" t="str">
        <f>IFERROR(MID(Tasks[[#This Row],[Page]], FIND("Level", Tasks[[#This Row],[Page]]), 7), IF(ISNUMBER(FIND("Roof", Tasks[[#This Row],[Page]])), "Roof",  IF(ISNUMBER(FIND("S590", Tasks[[#This Row],[Page]])), "",  IF(ISNUMBER(FIND("Site", Tasks[[#This Row],[Page]])), "", "ERROR"))))</f>
        <v>Level 1</v>
      </c>
      <c r="G248" s="12" t="str">
        <f>IF(Tasks[[#This Row],[Location]]=0, "", Tasks[[#This Row],[Location]])</f>
        <v>114 - Family File</v>
      </c>
      <c r="H248" s="12" t="str">
        <f>Tasks[[#This Row],[To Package]]</f>
        <v>GFRG</v>
      </c>
      <c r="I248" s="12" t="str">
        <f>Tasks[[#This Row],[To Organisation]]</f>
        <v>Pete King Construction</v>
      </c>
    </row>
    <row r="249" spans="1:9" ht="15.5" x14ac:dyDescent="0.35">
      <c r="A249" s="14" t="str">
        <f>HYPERLINK(_xlfn.CONCAT(Edit_URL,Tasks[[#This Row],[Ref]]),Tasks[[#This Row],[Ref]])</f>
        <v>T74290.44</v>
      </c>
      <c r="B249" s="15" t="str" cm="1">
        <f t="array" ref="B249">_xlfn.SWITCH(LEFT(Tasks[[#This Row],[Status]],1),"O","Opened","C","Completed","S","Signed Off", "V", "Signed Off","ERROR")</f>
        <v>Signed Off</v>
      </c>
      <c r="C249" s="15" t="str" cm="1">
        <f t="array" ref="C249">_xlfn.SWITCH(LEFT(Tasks[[#This Row],[Type]], 3), "Fie", "Field Report", "Con", "Contractor QC", "Gen", "Contractor QC", "Pun", "Contractor QC", "Qua", "Contractor QC", "Fin", "Punch List")</f>
        <v>Contractor QC</v>
      </c>
      <c r="D249" s="15" t="str">
        <f>_xlfn.LET(
_xlpm.leftValue, TRIM(LEFT(Tasks[[#This Row],[Description]], 45)),
IF(LEN(_xlpm.leftValue) &lt; 40, _xlpm.leftValue, _xlfn.CONCAT(_xlpm.leftValue, "…"))
)</f>
        <v>Complete the grout around the base of the toi…</v>
      </c>
      <c r="E249" s="15" t="str" cm="1">
        <f t="array" ref="E249">_xlfn.LET(
_xlpm.inTower, COUNTIF(Tower_Num_Table[Tower Rm Numbers], LEFT(Task_Summary_Table[[#This Row],[Area/Room]], 3)) &gt; 0,
_xlpm.typeResult, _xlfn.SWITCH(LEFT(Tasks[[#This Row],[Page]], 2), "Hi", "Historic", "An", "Annex", "Si", "Site", "S5", "Project Task", "SWITCH ERROR"),
IF(_xlpm.inTower, "West Tower", _xlpm.typeResult)
)</f>
        <v>Annex</v>
      </c>
      <c r="F249" s="12" t="str">
        <f>IFERROR(MID(Tasks[[#This Row],[Page]], FIND("Level", Tasks[[#This Row],[Page]]), 7), IF(ISNUMBER(FIND("Roof", Tasks[[#This Row],[Page]])), "Roof",  IF(ISNUMBER(FIND("S590", Tasks[[#This Row],[Page]])), "",  IF(ISNUMBER(FIND("Site", Tasks[[#This Row],[Page]])), "", "ERROR"))))</f>
        <v>Level 1</v>
      </c>
      <c r="G249" s="12" t="str">
        <f>IF(Tasks[[#This Row],[Location]]=0, "", Tasks[[#This Row],[Location]])</f>
        <v>125 - Receiving Restroom</v>
      </c>
      <c r="H249" s="12" t="str">
        <f>Tasks[[#This Row],[To Package]]</f>
        <v>Tile</v>
      </c>
      <c r="I249" s="12" t="str">
        <f>Tasks[[#This Row],[To Organisation]]</f>
        <v>Global Stone and Tile, LLC</v>
      </c>
    </row>
    <row r="250" spans="1:9" ht="15.5" x14ac:dyDescent="0.35">
      <c r="A250" s="14" t="str">
        <f>HYPERLINK(_xlfn.CONCAT(Edit_URL,Tasks[[#This Row],[Ref]]),Tasks[[#This Row],[Ref]])</f>
        <v>T74290.7</v>
      </c>
      <c r="B250" s="15" t="str" cm="1">
        <f t="array" ref="B250">_xlfn.SWITCH(LEFT(Tasks[[#This Row],[Status]],1),"O","Opened","C","Completed","S","Signed Off", "V", "Signed Off","ERROR")</f>
        <v>Signed Off</v>
      </c>
      <c r="C250" s="15" t="str" cm="1">
        <f t="array" ref="C250">_xlfn.SWITCH(LEFT(Tasks[[#This Row],[Type]], 3), "Fie", "Field Report", "Con", "Contractor QC", "Gen", "Contractor QC", "Pun", "Contractor QC", "Qua", "Contractor QC", "Fin", "Punch List")</f>
        <v>Contractor QC</v>
      </c>
      <c r="D250" s="15" t="str">
        <f>_xlfn.LET(
_xlpm.leftValue, TRIM(LEFT(Tasks[[#This Row],[Description]], 45)),
IF(LEN(_xlpm.leftValue) &lt; 40, _xlpm.leftValue, _xlfn.CONCAT(_xlpm.leftValue, "…"))
)</f>
        <v>Re/Re floor tile under toilet to allow the to…</v>
      </c>
      <c r="E250" s="15" t="str" cm="1">
        <f t="array" ref="E250">_xlfn.LET(
_xlpm.inTower, COUNTIF(Tower_Num_Table[Tower Rm Numbers], LEFT(Task_Summary_Table[[#This Row],[Area/Room]], 3)) &gt; 0,
_xlpm.typeResult, _xlfn.SWITCH(LEFT(Tasks[[#This Row],[Page]], 2), "Hi", "Historic", "An", "Annex", "Si", "Site", "S5", "Project Task", "SWITCH ERROR"),
IF(_xlpm.inTower, "West Tower", _xlpm.typeResult)
)</f>
        <v>Annex</v>
      </c>
      <c r="F250" s="12" t="str">
        <f>IFERROR(MID(Tasks[[#This Row],[Page]], FIND("Level", Tasks[[#This Row],[Page]]), 7), IF(ISNUMBER(FIND("Roof", Tasks[[#This Row],[Page]])), "Roof",  IF(ISNUMBER(FIND("S590", Tasks[[#This Row],[Page]])), "",  IF(ISNUMBER(FIND("Site", Tasks[[#This Row],[Page]])), "", "ERROR"))))</f>
        <v>Level 1</v>
      </c>
      <c r="G250" s="12" t="str">
        <f>IF(Tasks[[#This Row],[Location]]=0, "", Tasks[[#This Row],[Location]])</f>
        <v>125 - Receiving Restroom</v>
      </c>
      <c r="H250" s="12" t="str">
        <f>Tasks[[#This Row],[To Package]]</f>
        <v>Westland -- Annex</v>
      </c>
      <c r="I250" s="12" t="str">
        <f>Tasks[[#This Row],[To Organisation]]</f>
        <v>Westland Construction, Inc.</v>
      </c>
    </row>
    <row r="251" spans="1:9" ht="15.5" x14ac:dyDescent="0.35">
      <c r="A251" s="14" t="str">
        <f>HYPERLINK(_xlfn.CONCAT(Edit_URL,Tasks[[#This Row],[Ref]]),Tasks[[#This Row],[Ref]])</f>
        <v>T74290.106</v>
      </c>
      <c r="B251" s="15" t="str" cm="1">
        <f t="array" ref="B251">_xlfn.SWITCH(LEFT(Tasks[[#This Row],[Status]],1),"O","Opened","C","Completed","S","Signed Off", "V", "Signed Off","ERROR")</f>
        <v>Signed Off</v>
      </c>
      <c r="C251" s="15" t="str" cm="1">
        <f t="array" ref="C251">_xlfn.SWITCH(LEFT(Tasks[[#This Row],[Type]], 3), "Fie", "Field Report", "Con", "Contractor QC", "Gen", "Contractor QC", "Pun", "Contractor QC", "Qua", "Contractor QC", "Fin", "Punch List")</f>
        <v>Contractor QC</v>
      </c>
      <c r="D251" s="15" t="str">
        <f>_xlfn.LET(
_xlpm.leftValue, TRIM(LEFT(Tasks[[#This Row],[Description]], 45)),
IF(LEN(_xlpm.leftValue) &lt; 40, _xlpm.leftValue, _xlfn.CONCAT(_xlpm.leftValue, "…"))
)</f>
        <v>Exit light needs to be moved up. It is touchi…</v>
      </c>
      <c r="E251" s="15" t="str" cm="1">
        <f t="array" ref="E251">_xlfn.LET(
_xlpm.inTower, COUNTIF(Tower_Num_Table[Tower Rm Numbers], LEFT(Task_Summary_Table[[#This Row],[Area/Room]], 3)) &gt; 0,
_xlpm.typeResult, _xlfn.SWITCH(LEFT(Tasks[[#This Row],[Page]], 2), "Hi", "Historic", "An", "Annex", "Si", "Site", "S5", "Project Task", "SWITCH ERROR"),
IF(_xlpm.inTower, "West Tower", _xlpm.typeResult)
)</f>
        <v>Annex</v>
      </c>
      <c r="F251" s="12" t="str">
        <f>IFERROR(MID(Tasks[[#This Row],[Page]], FIND("Level", Tasks[[#This Row],[Page]]), 7), IF(ISNUMBER(FIND("Roof", Tasks[[#This Row],[Page]])), "Roof",  IF(ISNUMBER(FIND("S590", Tasks[[#This Row],[Page]])), "",  IF(ISNUMBER(FIND("Site", Tasks[[#This Row],[Page]])), "", "ERROR"))))</f>
        <v>Level 1</v>
      </c>
      <c r="G251" s="12" t="str">
        <f>IF(Tasks[[#This Row],[Location]]=0, "", Tasks[[#This Row],[Location]])</f>
        <v>138 - Folding</v>
      </c>
      <c r="H251" s="12" t="str">
        <f>Tasks[[#This Row],[To Package]]</f>
        <v>Electrical</v>
      </c>
      <c r="I251" s="12" t="str">
        <f>Tasks[[#This Row],[To Organisation]]</f>
        <v>Wilkinson Electric Inc</v>
      </c>
    </row>
    <row r="252" spans="1:9" ht="15.5" x14ac:dyDescent="0.35">
      <c r="A252" s="14" t="str">
        <f>HYPERLINK(_xlfn.CONCAT(Edit_URL,Tasks[[#This Row],[Ref]]),Tasks[[#This Row],[Ref]])</f>
        <v>T74290.105</v>
      </c>
      <c r="B252" s="15" t="str" cm="1">
        <f t="array" ref="B252">_xlfn.SWITCH(LEFT(Tasks[[#This Row],[Status]],1),"O","Opened","C","Completed","S","Signed Off", "V", "Signed Off","ERROR")</f>
        <v>Signed Off</v>
      </c>
      <c r="C252" s="15" t="str" cm="1">
        <f t="array" ref="C252">_xlfn.SWITCH(LEFT(Tasks[[#This Row],[Type]], 3), "Fie", "Field Report", "Con", "Contractor QC", "Gen", "Contractor QC", "Pun", "Contractor QC", "Qua", "Contractor QC", "Fin", "Punch List")</f>
        <v>Contractor QC</v>
      </c>
      <c r="D252" s="15" t="str">
        <f>_xlfn.LET(
_xlpm.leftValue, TRIM(LEFT(Tasks[[#This Row],[Description]], 45)),
IF(LEN(_xlpm.leftValue) &lt; 40, _xlpm.leftValue, _xlfn.CONCAT(_xlpm.leftValue, "…"))
)</f>
        <v>Prime and paint ceiling￼</v>
      </c>
      <c r="E252" s="15" t="str" cm="1">
        <f t="array" ref="E252">_xlfn.LET(
_xlpm.inTower, COUNTIF(Tower_Num_Table[Tower Rm Numbers], LEFT(Task_Summary_Table[[#This Row],[Area/Room]], 3)) &gt; 0,
_xlpm.typeResult, _xlfn.SWITCH(LEFT(Tasks[[#This Row],[Page]], 2), "Hi", "Historic", "An", "Annex", "Si", "Site", "S5", "Project Task", "SWITCH ERROR"),
IF(_xlpm.inTower, "West Tower", _xlpm.typeResult)
)</f>
        <v>Annex</v>
      </c>
      <c r="F252" s="12" t="str">
        <f>IFERROR(MID(Tasks[[#This Row],[Page]], FIND("Level", Tasks[[#This Row],[Page]]), 7), IF(ISNUMBER(FIND("Roof", Tasks[[#This Row],[Page]])), "Roof",  IF(ISNUMBER(FIND("S590", Tasks[[#This Row],[Page]])), "",  IF(ISNUMBER(FIND("Site", Tasks[[#This Row],[Page]])), "", "ERROR"))))</f>
        <v>Level 1</v>
      </c>
      <c r="G252" s="12" t="str">
        <f>IF(Tasks[[#This Row],[Location]]=0, "", Tasks[[#This Row],[Location]])</f>
        <v>152A - Jan</v>
      </c>
      <c r="H252" s="12" t="str">
        <f>Tasks[[#This Row],[To Package]]</f>
        <v>Paint</v>
      </c>
      <c r="I252" s="12" t="str">
        <f>Tasks[[#This Row],[To Organisation]]</f>
        <v>Accent Painting and Special Coatings, LLC</v>
      </c>
    </row>
    <row r="253" spans="1:9" ht="15.5" x14ac:dyDescent="0.35">
      <c r="A253" s="14" t="str">
        <f>HYPERLINK(_xlfn.CONCAT(Edit_URL,Tasks[[#This Row],[Ref]]),Tasks[[#This Row],[Ref]])</f>
        <v>T74290.73</v>
      </c>
      <c r="B253" s="15" t="str" cm="1">
        <f t="array" ref="B253">_xlfn.SWITCH(LEFT(Tasks[[#This Row],[Status]],1),"O","Opened","C","Completed","S","Signed Off", "V", "Signed Off","ERROR")</f>
        <v>Signed Off</v>
      </c>
      <c r="C253" s="15" t="str" cm="1">
        <f t="array" ref="C253">_xlfn.SWITCH(LEFT(Tasks[[#This Row],[Type]], 3), "Fie", "Field Report", "Con", "Contractor QC", "Gen", "Contractor QC", "Pun", "Contractor QC", "Qua", "Contractor QC", "Fin", "Punch List")</f>
        <v>Contractor QC</v>
      </c>
      <c r="D253" s="15" t="str">
        <f>_xlfn.LET(
_xlpm.leftValue, TRIM(LEFT(Tasks[[#This Row],[Description]], 45)),
IF(LEN(_xlpm.leftValue) &lt; 40, _xlpm.leftValue, _xlfn.CONCAT(_xlpm.leftValue, "…"))
)</f>
        <v>Install countertop￼</v>
      </c>
      <c r="E253" s="15" t="str" cm="1">
        <f t="array" ref="E253">_xlfn.LET(
_xlpm.inTower, COUNTIF(Tower_Num_Table[Tower Rm Numbers], LEFT(Task_Summary_Table[[#This Row],[Area/Room]], 3)) &gt; 0,
_xlpm.typeResult, _xlfn.SWITCH(LEFT(Tasks[[#This Row],[Page]], 2), "Hi", "Historic", "An", "Annex", "Si", "Site", "S5", "Project Task", "SWITCH ERROR"),
IF(_xlpm.inTower, "West Tower", _xlpm.typeResult)
)</f>
        <v>Annex</v>
      </c>
      <c r="F253" s="12" t="str">
        <f>IFERROR(MID(Tasks[[#This Row],[Page]], FIND("Level", Tasks[[#This Row],[Page]]), 7), IF(ISNUMBER(FIND("Roof", Tasks[[#This Row],[Page]])), "Roof",  IF(ISNUMBER(FIND("S590", Tasks[[#This Row],[Page]])), "",  IF(ISNUMBER(FIND("Site", Tasks[[#This Row],[Page]])), "", "ERROR"))))</f>
        <v>Level 1</v>
      </c>
      <c r="G253" s="12" t="str">
        <f>IF(Tasks[[#This Row],[Location]]=0, "", Tasks[[#This Row],[Location]])</f>
        <v>132B - Clothing</v>
      </c>
      <c r="H253" s="12" t="str">
        <f>Tasks[[#This Row],[To Package]]</f>
        <v>Tile</v>
      </c>
      <c r="I253" s="12" t="str">
        <f>Tasks[[#This Row],[To Organisation]]</f>
        <v>Global Stone and Tile, LLC</v>
      </c>
    </row>
    <row r="254" spans="1:9" ht="15.5" x14ac:dyDescent="0.35">
      <c r="A254" s="14" t="str">
        <f>HYPERLINK(_xlfn.CONCAT(Edit_URL,Tasks[[#This Row],[Ref]]),Tasks[[#This Row],[Ref]])</f>
        <v>T74290.113</v>
      </c>
      <c r="B254" s="15" t="str" cm="1">
        <f t="array" ref="B254">_xlfn.SWITCH(LEFT(Tasks[[#This Row],[Status]],1),"O","Opened","C","Completed","S","Signed Off", "V", "Signed Off","ERROR")</f>
        <v>Signed Off</v>
      </c>
      <c r="C254" s="15" t="str" cm="1">
        <f t="array" ref="C254">_xlfn.SWITCH(LEFT(Tasks[[#This Row],[Type]], 3), "Fie", "Field Report", "Con", "Contractor QC", "Gen", "Contractor QC", "Pun", "Contractor QC", "Qua", "Contractor QC", "Fin", "Punch List")</f>
        <v>Contractor QC</v>
      </c>
      <c r="D254" s="15" t="str">
        <f>_xlfn.LET(
_xlpm.leftValue, TRIM(LEFT(Tasks[[#This Row],[Description]], 45)),
IF(LEN(_xlpm.leftValue) &lt; 40, _xlpm.leftValue, _xlfn.CONCAT(_xlpm.leftValue, "…"))
)</f>
        <v>Repair chip on entablature</v>
      </c>
      <c r="E254" s="15" t="str" cm="1">
        <f t="array" ref="E254">_xlfn.LET(
_xlpm.inTower, COUNTIF(Tower_Num_Table[Tower Rm Numbers], LEFT(Task_Summary_Table[[#This Row],[Area/Room]], 3)) &gt; 0,
_xlpm.typeResult, _xlfn.SWITCH(LEFT(Tasks[[#This Row],[Page]], 2), "Hi", "Historic", "An", "Annex", "Si", "Site", "S5", "Project Task", "SWITCH ERROR"),
IF(_xlpm.inTower, "West Tower", _xlpm.typeResult)
)</f>
        <v>Annex</v>
      </c>
      <c r="F254" s="12" t="str">
        <f>IFERROR(MID(Tasks[[#This Row],[Page]], FIND("Level", Tasks[[#This Row],[Page]]), 7), IF(ISNUMBER(FIND("Roof", Tasks[[#This Row],[Page]])), "Roof",  IF(ISNUMBER(FIND("S590", Tasks[[#This Row],[Page]])), "",  IF(ISNUMBER(FIND("Site", Tasks[[#This Row],[Page]])), "", "ERROR"))))</f>
        <v>Level 1</v>
      </c>
      <c r="G254" s="12" t="str">
        <f>IF(Tasks[[#This Row],[Location]]=0, "", Tasks[[#This Row],[Location]])</f>
        <v>109 - Waiting</v>
      </c>
      <c r="H254" s="12" t="str">
        <f>Tasks[[#This Row],[To Package]]</f>
        <v>GFRG</v>
      </c>
      <c r="I254" s="12" t="str">
        <f>Tasks[[#This Row],[To Organisation]]</f>
        <v>Pete King Construction</v>
      </c>
    </row>
    <row r="255" spans="1:9" ht="15.5" x14ac:dyDescent="0.35">
      <c r="A255" s="14" t="str">
        <f>HYPERLINK(_xlfn.CONCAT(Edit_URL,Tasks[[#This Row],[Ref]]),Tasks[[#This Row],[Ref]])</f>
        <v>T74290.64</v>
      </c>
      <c r="B255" s="15" t="str" cm="1">
        <f t="array" ref="B255">_xlfn.SWITCH(LEFT(Tasks[[#This Row],[Status]],1),"O","Opened","C","Completed","S","Signed Off", "V", "Signed Off","ERROR")</f>
        <v>Signed Off</v>
      </c>
      <c r="C255" s="15" t="str" cm="1">
        <f t="array" ref="C255">_xlfn.SWITCH(LEFT(Tasks[[#This Row],[Type]], 3), "Fie", "Field Report", "Con", "Contractor QC", "Gen", "Contractor QC", "Pun", "Contractor QC", "Qua", "Contractor QC", "Fin", "Punch List")</f>
        <v>Contractor QC</v>
      </c>
      <c r="D255" s="15" t="str">
        <f>_xlfn.LET(
_xlpm.leftValue, TRIM(LEFT(Tasks[[#This Row],[Description]], 45)),
IF(LEN(_xlpm.leftValue) &lt; 40, _xlpm.leftValue, _xlfn.CONCAT(_xlpm.leftValue, "…"))
)</f>
        <v>Fill gap behind trim￼</v>
      </c>
      <c r="E255" s="15" t="str" cm="1">
        <f t="array" ref="E255">_xlfn.LET(
_xlpm.inTower, COUNTIF(Tower_Num_Table[Tower Rm Numbers], LEFT(Task_Summary_Table[[#This Row],[Area/Room]], 3)) &gt; 0,
_xlpm.typeResult, _xlfn.SWITCH(LEFT(Tasks[[#This Row],[Page]], 2), "Hi", "Historic", "An", "Annex", "Si", "Site", "S5", "Project Task", "SWITCH ERROR"),
IF(_xlpm.inTower, "West Tower", _xlpm.typeResult)
)</f>
        <v>Annex</v>
      </c>
      <c r="F255" s="12" t="str">
        <f>IFERROR(MID(Tasks[[#This Row],[Page]], FIND("Level", Tasks[[#This Row],[Page]]), 7), IF(ISNUMBER(FIND("Roof", Tasks[[#This Row],[Page]])), "Roof",  IF(ISNUMBER(FIND("S590", Tasks[[#This Row],[Page]])), "",  IF(ISNUMBER(FIND("Site", Tasks[[#This Row],[Page]])), "", "ERROR"))))</f>
        <v>Level 1</v>
      </c>
      <c r="G255" s="12" t="str">
        <f>IF(Tasks[[#This Row],[Location]]=0, "", Tasks[[#This Row],[Location]])</f>
        <v>151 - Folding</v>
      </c>
      <c r="H255" s="12" t="str">
        <f>Tasks[[#This Row],[To Package]]</f>
        <v xml:space="preserve">Finish Carpentry </v>
      </c>
      <c r="I255" s="12" t="str">
        <f>Tasks[[#This Row],[To Organisation]]</f>
        <v>Fetzers' Inc.</v>
      </c>
    </row>
    <row r="256" spans="1:9" ht="15.5" x14ac:dyDescent="0.35">
      <c r="A256" s="14" t="str">
        <f>HYPERLINK(_xlfn.CONCAT(Edit_URL,Tasks[[#This Row],[Ref]]),Tasks[[#This Row],[Ref]])</f>
        <v>T74290.78</v>
      </c>
      <c r="B256" s="15" t="str" cm="1">
        <f t="array" ref="B256">_xlfn.SWITCH(LEFT(Tasks[[#This Row],[Status]],1),"O","Opened","C","Completed","S","Signed Off", "V", "Signed Off","ERROR")</f>
        <v>Signed Off</v>
      </c>
      <c r="C256" s="15" t="str" cm="1">
        <f t="array" ref="C256">_xlfn.SWITCH(LEFT(Tasks[[#This Row],[Type]], 3), "Fie", "Field Report", "Con", "Contractor QC", "Gen", "Contractor QC", "Pun", "Contractor QC", "Qua", "Contractor QC", "Fin", "Punch List")</f>
        <v>Contractor QC</v>
      </c>
      <c r="D256" s="15" t="str">
        <f>_xlfn.LET(
_xlpm.leftValue, TRIM(LEFT(Tasks[[#This Row],[Description]], 45)),
IF(LEN(_xlpm.leftValue) &lt; 40, _xlpm.leftValue, _xlfn.CONCAT(_xlpm.leftValue, "…"))
)</f>
        <v>Complete sub top for counter installation. Cu…</v>
      </c>
      <c r="E256" s="15" t="str" cm="1">
        <f t="array" ref="E256">_xlfn.LET(
_xlpm.inTower, COUNTIF(Tower_Num_Table[Tower Rm Numbers], LEFT(Task_Summary_Table[[#This Row],[Area/Room]], 3)) &gt; 0,
_xlpm.typeResult, _xlfn.SWITCH(LEFT(Tasks[[#This Row],[Page]], 2), "Hi", "Historic", "An", "Annex", "Si", "Site", "S5", "Project Task", "SWITCH ERROR"),
IF(_xlpm.inTower, "West Tower", _xlpm.typeResult)
)</f>
        <v>Annex</v>
      </c>
      <c r="F256" s="12" t="str">
        <f>IFERROR(MID(Tasks[[#This Row],[Page]], FIND("Level", Tasks[[#This Row],[Page]]), 7), IF(ISNUMBER(FIND("Roof", Tasks[[#This Row],[Page]])), "Roof",  IF(ISNUMBER(FIND("S590", Tasks[[#This Row],[Page]])), "",  IF(ISNUMBER(FIND("Site", Tasks[[#This Row],[Page]])), "", "ERROR"))))</f>
        <v>Level 1</v>
      </c>
      <c r="G256" s="12" t="str">
        <f>IF(Tasks[[#This Row],[Location]]=0, "", Tasks[[#This Row],[Location]])</f>
        <v>176 - Youth</v>
      </c>
      <c r="H256" s="12" t="str">
        <f>Tasks[[#This Row],[To Package]]</f>
        <v xml:space="preserve">Finish Carpentry </v>
      </c>
      <c r="I256" s="12" t="str">
        <f>Tasks[[#This Row],[To Organisation]]</f>
        <v>Fetzers' Inc.</v>
      </c>
    </row>
    <row r="257" spans="1:9" ht="15.5" x14ac:dyDescent="0.35">
      <c r="A257" s="14" t="str">
        <f>HYPERLINK(_xlfn.CONCAT(Edit_URL,Tasks[[#This Row],[Ref]]),Tasks[[#This Row],[Ref]])</f>
        <v>T74290.19</v>
      </c>
      <c r="B257" s="15" t="str" cm="1">
        <f t="array" ref="B257">_xlfn.SWITCH(LEFT(Tasks[[#This Row],[Status]],1),"O","Opened","C","Completed","S","Signed Off", "V", "Signed Off","ERROR")</f>
        <v>Signed Off</v>
      </c>
      <c r="C257" s="15" t="str" cm="1">
        <f t="array" ref="C257">_xlfn.SWITCH(LEFT(Tasks[[#This Row],[Type]], 3), "Fie", "Field Report", "Con", "Contractor QC", "Gen", "Contractor QC", "Pun", "Contractor QC", "Qua", "Contractor QC", "Fin", "Punch List")</f>
        <v>Contractor QC</v>
      </c>
      <c r="D257" s="15" t="str">
        <f>_xlfn.LET(
_xlpm.leftValue, TRIM(LEFT(Tasks[[#This Row],[Description]], 45)),
IF(LEN(_xlpm.leftValue) &lt; 40, _xlpm.leftValue, _xlfn.CONCAT(_xlpm.leftValue, "…"))
)</f>
        <v>How is the being finished?￼</v>
      </c>
      <c r="E257" s="15" t="str" cm="1">
        <f t="array" ref="E257">_xlfn.LET(
_xlpm.inTower, COUNTIF(Tower_Num_Table[Tower Rm Numbers], LEFT(Task_Summary_Table[[#This Row],[Area/Room]], 3)) &gt; 0,
_xlpm.typeResult, _xlfn.SWITCH(LEFT(Tasks[[#This Row],[Page]], 2), "Hi", "Historic", "An", "Annex", "Si", "Site", "S5", "Project Task", "SWITCH ERROR"),
IF(_xlpm.inTower, "West Tower", _xlpm.typeResult)
)</f>
        <v>Annex</v>
      </c>
      <c r="F257" s="12" t="str">
        <f>IFERROR(MID(Tasks[[#This Row],[Page]], FIND("Level", Tasks[[#This Row],[Page]]), 7), IF(ISNUMBER(FIND("Roof", Tasks[[#This Row],[Page]])), "Roof",  IF(ISNUMBER(FIND("S590", Tasks[[#This Row],[Page]])), "",  IF(ISNUMBER(FIND("Site", Tasks[[#This Row],[Page]])), "", "ERROR"))))</f>
        <v>Level 1</v>
      </c>
      <c r="G257" s="12" t="str">
        <f>IF(Tasks[[#This Row],[Location]]=0, "", Tasks[[#This Row],[Location]])</f>
        <v>105 - Waiting</v>
      </c>
      <c r="H257" s="12" t="str">
        <f>Tasks[[#This Row],[To Package]]</f>
        <v xml:space="preserve">Finish Carpentry </v>
      </c>
      <c r="I257" s="12" t="str">
        <f>Tasks[[#This Row],[To Organisation]]</f>
        <v>Fetzers' Inc.</v>
      </c>
    </row>
    <row r="258" spans="1:9" ht="15.5" x14ac:dyDescent="0.35">
      <c r="A258" s="14" t="str">
        <f>HYPERLINK(_xlfn.CONCAT(Edit_URL,Tasks[[#This Row],[Ref]]),Tasks[[#This Row],[Ref]])</f>
        <v>T74290.12</v>
      </c>
      <c r="B258" s="15" t="str" cm="1">
        <f t="array" ref="B258">_xlfn.SWITCH(LEFT(Tasks[[#This Row],[Status]],1),"O","Opened","C","Completed","S","Signed Off", "V", "Signed Off","ERROR")</f>
        <v>Signed Off</v>
      </c>
      <c r="C258" s="15" t="str" cm="1">
        <f t="array" ref="C258">_xlfn.SWITCH(LEFT(Tasks[[#This Row],[Type]], 3), "Fie", "Field Report", "Con", "Contractor QC", "Gen", "Contractor QC", "Pun", "Contractor QC", "Qua", "Contractor QC", "Fin", "Punch List")</f>
        <v>Contractor QC</v>
      </c>
      <c r="D258" s="15" t="str">
        <f>_xlfn.LET(
_xlpm.leftValue, TRIM(LEFT(Tasks[[#This Row],[Description]], 45)),
IF(LEN(_xlpm.leftValue) &lt; 40, _xlpm.leftValue, _xlfn.CONCAT(_xlpm.leftValue, "…"))
)</f>
        <v>How will this sill be finished?</v>
      </c>
      <c r="E258" s="15" t="str" cm="1">
        <f t="array" ref="E258">_xlfn.LET(
_xlpm.inTower, COUNTIF(Tower_Num_Table[Tower Rm Numbers], LEFT(Task_Summary_Table[[#This Row],[Area/Room]], 3)) &gt; 0,
_xlpm.typeResult, _xlfn.SWITCH(LEFT(Tasks[[#This Row],[Page]], 2), "Hi", "Historic", "An", "Annex", "Si", "Site", "S5", "Project Task", "SWITCH ERROR"),
IF(_xlpm.inTower, "West Tower", _xlpm.typeResult)
)</f>
        <v>Annex</v>
      </c>
      <c r="F258" s="12" t="str">
        <f>IFERROR(MID(Tasks[[#This Row],[Page]], FIND("Level", Tasks[[#This Row],[Page]]), 7), IF(ISNUMBER(FIND("Roof", Tasks[[#This Row],[Page]])), "Roof",  IF(ISNUMBER(FIND("S590", Tasks[[#This Row],[Page]])), "",  IF(ISNUMBER(FIND("Site", Tasks[[#This Row],[Page]])), "", "ERROR"))))</f>
        <v>Level 1</v>
      </c>
      <c r="G258" s="12" t="str">
        <f>IF(Tasks[[#This Row],[Location]]=0, "", Tasks[[#This Row],[Location]])</f>
        <v>103 - Foyer</v>
      </c>
      <c r="H258" s="12" t="str">
        <f>Tasks[[#This Row],[To Package]]</f>
        <v>Westland -- Annex</v>
      </c>
      <c r="I258" s="12" t="str">
        <f>Tasks[[#This Row],[To Organisation]]</f>
        <v>Westland Construction, Inc.</v>
      </c>
    </row>
    <row r="259" spans="1:9" ht="15.5" x14ac:dyDescent="0.35">
      <c r="A259" s="14" t="str">
        <f>HYPERLINK(_xlfn.CONCAT(Edit_URL,Tasks[[#This Row],[Ref]]),Tasks[[#This Row],[Ref]])</f>
        <v>T74290.38</v>
      </c>
      <c r="B259" s="15" t="str" cm="1">
        <f t="array" ref="B259">_xlfn.SWITCH(LEFT(Tasks[[#This Row],[Status]],1),"O","Opened","C","Completed","S","Signed Off", "V", "Signed Off","ERROR")</f>
        <v>Signed Off</v>
      </c>
      <c r="C259" s="15" t="str" cm="1">
        <f t="array" ref="C259">_xlfn.SWITCH(LEFT(Tasks[[#This Row],[Type]], 3), "Fie", "Field Report", "Con", "Contractor QC", "Gen", "Contractor QC", "Pun", "Contractor QC", "Qua", "Contractor QC", "Fin", "Punch List")</f>
        <v>Contractor QC</v>
      </c>
      <c r="D259" s="15" t="str">
        <f>_xlfn.LET(
_xlpm.leftValue, TRIM(LEFT(Tasks[[#This Row],[Description]], 45)),
IF(LEN(_xlpm.leftValue) &lt; 40, _xlpm.leftValue, _xlfn.CONCAT(_xlpm.leftValue, "…"))
)</f>
        <v>Finish the stars and the Quatre foil on the e…</v>
      </c>
      <c r="E259" s="15" t="str" cm="1">
        <f t="array" ref="E259">_xlfn.LET(
_xlpm.inTower, COUNTIF(Tower_Num_Table[Tower Rm Numbers], LEFT(Task_Summary_Table[[#This Row],[Area/Room]], 3)) &gt; 0,
_xlpm.typeResult, _xlfn.SWITCH(LEFT(Tasks[[#This Row],[Page]], 2), "Hi", "Historic", "An", "Annex", "Si", "Site", "S5", "Project Task", "SWITCH ERROR"),
IF(_xlpm.inTower, "West Tower", _xlpm.typeResult)
)</f>
        <v>Annex</v>
      </c>
      <c r="F259" s="12" t="str">
        <f>IFERROR(MID(Tasks[[#This Row],[Page]], FIND("Level", Tasks[[#This Row],[Page]]), 7), IF(ISNUMBER(FIND("Roof", Tasks[[#This Row],[Page]])), "Roof",  IF(ISNUMBER(FIND("S590", Tasks[[#This Row],[Page]])), "",  IF(ISNUMBER(FIND("Site", Tasks[[#This Row],[Page]])), "", "ERROR"))))</f>
        <v>Level 1</v>
      </c>
      <c r="G259" s="12" t="str">
        <f>IF(Tasks[[#This Row],[Location]]=0, "", Tasks[[#This Row],[Location]])</f>
        <v>111 - Instruction 1</v>
      </c>
      <c r="H259" s="12" t="str">
        <f>Tasks[[#This Row],[To Package]]</f>
        <v>GFRG</v>
      </c>
      <c r="I259" s="12" t="str">
        <f>Tasks[[#This Row],[To Organisation]]</f>
        <v>Pete King Construction</v>
      </c>
    </row>
    <row r="260" spans="1:9" ht="15.5" x14ac:dyDescent="0.35">
      <c r="A260" s="14" t="str">
        <f>HYPERLINK(_xlfn.CONCAT(Edit_URL,Tasks[[#This Row],[Ref]]),Tasks[[#This Row],[Ref]])</f>
        <v>T74290.85</v>
      </c>
      <c r="B260" s="15" t="str" cm="1">
        <f t="array" ref="B260">_xlfn.SWITCH(LEFT(Tasks[[#This Row],[Status]],1),"O","Opened","C","Completed","S","Signed Off", "V", "Signed Off","ERROR")</f>
        <v>Signed Off</v>
      </c>
      <c r="C260" s="15" t="str" cm="1">
        <f t="array" ref="C260">_xlfn.SWITCH(LEFT(Tasks[[#This Row],[Type]], 3), "Fie", "Field Report", "Con", "Contractor QC", "Gen", "Contractor QC", "Pun", "Contractor QC", "Qua", "Contractor QC", "Fin", "Punch List")</f>
        <v>Contractor QC</v>
      </c>
      <c r="D260" s="15" t="str">
        <f>_xlfn.LET(
_xlpm.leftValue, TRIM(LEFT(Tasks[[#This Row],[Description]], 45)),
IF(LEN(_xlpm.leftValue) &lt; 40, _xlpm.leftValue, _xlfn.CONCAT(_xlpm.leftValue, "…"))
)</f>
        <v>Trim under countertops</v>
      </c>
      <c r="E260" s="15" t="str" cm="1">
        <f t="array" ref="E260">_xlfn.LET(
_xlpm.inTower, COUNTIF(Tower_Num_Table[Tower Rm Numbers], LEFT(Task_Summary_Table[[#This Row],[Area/Room]], 3)) &gt; 0,
_xlpm.typeResult, _xlfn.SWITCH(LEFT(Tasks[[#This Row],[Page]], 2), "Hi", "Historic", "An", "Annex", "Si", "Site", "S5", "Project Task", "SWITCH ERROR"),
IF(_xlpm.inTower, "West Tower", _xlpm.typeResult)
)</f>
        <v>Annex</v>
      </c>
      <c r="F260" s="12" t="str">
        <f>IFERROR(MID(Tasks[[#This Row],[Page]], FIND("Level", Tasks[[#This Row],[Page]]), 7), IF(ISNUMBER(FIND("Roof", Tasks[[#This Row],[Page]])), "Roof",  IF(ISNUMBER(FIND("S590", Tasks[[#This Row],[Page]])), "",  IF(ISNUMBER(FIND("Site", Tasks[[#This Row],[Page]])), "", "ERROR"))))</f>
        <v>Level 1</v>
      </c>
      <c r="G260" s="12" t="str">
        <f>IF(Tasks[[#This Row],[Location]]=0, "", Tasks[[#This Row],[Location]])</f>
        <v>114 - Family File</v>
      </c>
      <c r="H260" s="12" t="str">
        <f>Tasks[[#This Row],[To Package]]</f>
        <v xml:space="preserve">Finish Carpentry </v>
      </c>
      <c r="I260" s="12" t="str">
        <f>Tasks[[#This Row],[To Organisation]]</f>
        <v>Fetzers' Inc.</v>
      </c>
    </row>
    <row r="261" spans="1:9" ht="15.5" x14ac:dyDescent="0.35">
      <c r="A261" s="14" t="str">
        <f>HYPERLINK(_xlfn.CONCAT(Edit_URL,Tasks[[#This Row],[Ref]]),Tasks[[#This Row],[Ref]])</f>
        <v>T74290.83</v>
      </c>
      <c r="B261" s="15" t="str" cm="1">
        <f t="array" ref="B261">_xlfn.SWITCH(LEFT(Tasks[[#This Row],[Status]],1),"O","Opened","C","Completed","S","Signed Off", "V", "Signed Off","ERROR")</f>
        <v>Signed Off</v>
      </c>
      <c r="C261" s="15" t="str" cm="1">
        <f t="array" ref="C261">_xlfn.SWITCH(LEFT(Tasks[[#This Row],[Type]], 3), "Fie", "Field Report", "Con", "Contractor QC", "Gen", "Contractor QC", "Pun", "Contractor QC", "Qua", "Contractor QC", "Fin", "Punch List")</f>
        <v>Contractor QC</v>
      </c>
      <c r="D261" s="15" t="str">
        <f>_xlfn.LET(
_xlpm.leftValue, TRIM(LEFT(Tasks[[#This Row],[Description]], 45)),
IF(LEN(_xlpm.leftValue) &lt; 40, _xlpm.leftValue, _xlfn.CONCAT(_xlpm.leftValue, "…"))
)</f>
        <v>Complete GFRG￼</v>
      </c>
      <c r="E261" s="15" t="str" cm="1">
        <f t="array" ref="E261">_xlfn.LET(
_xlpm.inTower, COUNTIF(Tower_Num_Table[Tower Rm Numbers], LEFT(Task_Summary_Table[[#This Row],[Area/Room]], 3)) &gt; 0,
_xlpm.typeResult, _xlfn.SWITCH(LEFT(Tasks[[#This Row],[Page]], 2), "Hi", "Historic", "An", "Annex", "Si", "Site", "S5", "Project Task", "SWITCH ERROR"),
IF(_xlpm.inTower, "West Tower", _xlpm.typeResult)
)</f>
        <v>Annex</v>
      </c>
      <c r="F261" s="12" t="str">
        <f>IFERROR(MID(Tasks[[#This Row],[Page]], FIND("Level", Tasks[[#This Row],[Page]]), 7), IF(ISNUMBER(FIND("Roof", Tasks[[#This Row],[Page]])), "Roof",  IF(ISNUMBER(FIND("S590", Tasks[[#This Row],[Page]])), "",  IF(ISNUMBER(FIND("Site", Tasks[[#This Row],[Page]])), "", "ERROR"))))</f>
        <v>Level 1</v>
      </c>
      <c r="G261" s="12" t="str">
        <f>IF(Tasks[[#This Row],[Location]]=0, "", Tasks[[#This Row],[Location]])</f>
        <v>103 - Foyer</v>
      </c>
      <c r="H261" s="12" t="str">
        <f>Tasks[[#This Row],[To Package]]</f>
        <v>GFRG</v>
      </c>
      <c r="I261" s="12" t="str">
        <f>Tasks[[#This Row],[To Organisation]]</f>
        <v>Pete King Construction</v>
      </c>
    </row>
    <row r="262" spans="1:9" ht="15.5" x14ac:dyDescent="0.35">
      <c r="A262" s="14" t="str">
        <f>HYPERLINK(_xlfn.CONCAT(Edit_URL,Tasks[[#This Row],[Ref]]),Tasks[[#This Row],[Ref]])</f>
        <v>T74290.51</v>
      </c>
      <c r="B262" s="15" t="str" cm="1">
        <f t="array" ref="B262">_xlfn.SWITCH(LEFT(Tasks[[#This Row],[Status]],1),"O","Opened","C","Completed","S","Signed Off", "V", "Signed Off","ERROR")</f>
        <v>Signed Off</v>
      </c>
      <c r="C262" s="15" t="str" cm="1">
        <f t="array" ref="C262">_xlfn.SWITCH(LEFT(Tasks[[#This Row],[Type]], 3), "Fie", "Field Report", "Con", "Contractor QC", "Gen", "Contractor QC", "Pun", "Contractor QC", "Qua", "Contractor QC", "Fin", "Punch List")</f>
        <v>Contractor QC</v>
      </c>
      <c r="D262" s="15" t="str">
        <f>_xlfn.LET(
_xlpm.leftValue, TRIM(LEFT(Tasks[[#This Row],[Description]], 45)),
IF(LEN(_xlpm.leftValue) &lt; 40, _xlpm.leftValue, _xlfn.CONCAT(_xlpm.leftValue, "…"))
)</f>
        <v>Change sprinkler head to nonflexible￼</v>
      </c>
      <c r="E262" s="15" t="str" cm="1">
        <f t="array" ref="E262">_xlfn.LET(
_xlpm.inTower, COUNTIF(Tower_Num_Table[Tower Rm Numbers], LEFT(Task_Summary_Table[[#This Row],[Area/Room]], 3)) &gt; 0,
_xlpm.typeResult, _xlfn.SWITCH(LEFT(Tasks[[#This Row],[Page]], 2), "Hi", "Historic", "An", "Annex", "Si", "Site", "S5", "Project Task", "SWITCH ERROR"),
IF(_xlpm.inTower, "West Tower", _xlpm.typeResult)
)</f>
        <v>Annex</v>
      </c>
      <c r="F262" s="12" t="str">
        <f>IFERROR(MID(Tasks[[#This Row],[Page]], FIND("Level", Tasks[[#This Row],[Page]]), 7), IF(ISNUMBER(FIND("Roof", Tasks[[#This Row],[Page]])), "Roof",  IF(ISNUMBER(FIND("S590", Tasks[[#This Row],[Page]])), "",  IF(ISNUMBER(FIND("Site", Tasks[[#This Row],[Page]])), "", "ERROR"))))</f>
        <v>Level 1</v>
      </c>
      <c r="G262" s="12" t="str">
        <f>IF(Tasks[[#This Row],[Location]]=0, "", Tasks[[#This Row],[Location]])</f>
        <v>157 - Elec.</v>
      </c>
      <c r="H262" s="12" t="str">
        <f>Tasks[[#This Row],[To Package]]</f>
        <v>Fire Suppression</v>
      </c>
      <c r="I262" s="12" t="str">
        <f>Tasks[[#This Row],[To Organisation]]</f>
        <v>Broken Arrow Construction Corporation</v>
      </c>
    </row>
    <row r="263" spans="1:9" ht="15.5" x14ac:dyDescent="0.35">
      <c r="A263" s="14" t="str">
        <f>HYPERLINK(_xlfn.CONCAT(Edit_URL,Tasks[[#This Row],[Ref]]),Tasks[[#This Row],[Ref]])</f>
        <v>T74290.91</v>
      </c>
      <c r="B263" s="15" t="str" cm="1">
        <f t="array" ref="B263">_xlfn.SWITCH(LEFT(Tasks[[#This Row],[Status]],1),"O","Opened","C","Completed","S","Signed Off", "V", "Signed Off","ERROR")</f>
        <v>Completed</v>
      </c>
      <c r="C263" s="15" t="str" cm="1">
        <f t="array" ref="C263">_xlfn.SWITCH(LEFT(Tasks[[#This Row],[Type]], 3), "Fie", "Field Report", "Con", "Contractor QC", "Gen", "Contractor QC", "Pun", "Contractor QC", "Qua", "Contractor QC", "Fin", "Punch List")</f>
        <v>Contractor QC</v>
      </c>
      <c r="D263" s="15" t="str">
        <f>_xlfn.LET(
_xlpm.leftValue, TRIM(LEFT(Tasks[[#This Row],[Description]], 45)),
IF(LEN(_xlpm.leftValue) &lt; 40, _xlpm.leftValue, _xlfn.CONCAT(_xlpm.leftValue, "…"))
)</f>
        <v>Seal along foundation￼</v>
      </c>
      <c r="E263" s="15" t="str" cm="1">
        <f t="array" ref="E263">_xlfn.LET(
_xlpm.inTower, COUNTIF(Tower_Num_Table[Tower Rm Numbers], LEFT(Task_Summary_Table[[#This Row],[Area/Room]], 3)) &gt; 0,
_xlpm.typeResult, _xlfn.SWITCH(LEFT(Tasks[[#This Row],[Page]], 2), "Hi", "Historic", "An", "Annex", "Si", "Site", "S5", "Project Task", "SWITCH ERROR"),
IF(_xlpm.inTower, "West Tower", _xlpm.typeResult)
)</f>
        <v>Annex</v>
      </c>
      <c r="F263" s="12" t="str">
        <f>IFERROR(MID(Tasks[[#This Row],[Page]], FIND("Level", Tasks[[#This Row],[Page]]), 7), IF(ISNUMBER(FIND("Roof", Tasks[[#This Row],[Page]])), "Roof",  IF(ISNUMBER(FIND("S590", Tasks[[#This Row],[Page]])), "",  IF(ISNUMBER(FIND("Site", Tasks[[#This Row],[Page]])), "", "ERROR"))))</f>
        <v>Level 1</v>
      </c>
      <c r="G263" s="12" t="str">
        <f>IF(Tasks[[#This Row],[Location]]=0, "", Tasks[[#This Row],[Location]])</f>
        <v/>
      </c>
      <c r="H263" s="12" t="str">
        <f>Tasks[[#This Row],[To Package]]</f>
        <v>Westland -- Annex</v>
      </c>
      <c r="I263" s="12" t="str">
        <f>Tasks[[#This Row],[To Organisation]]</f>
        <v>Westland Construction, Inc.</v>
      </c>
    </row>
    <row r="264" spans="1:9" ht="15.5" x14ac:dyDescent="0.35">
      <c r="A264" s="14" t="str">
        <f>HYPERLINK(_xlfn.CONCAT(Edit_URL,Tasks[[#This Row],[Ref]]),Tasks[[#This Row],[Ref]])</f>
        <v>T74290.67</v>
      </c>
      <c r="B264" s="15" t="str" cm="1">
        <f t="array" ref="B264">_xlfn.SWITCH(LEFT(Tasks[[#This Row],[Status]],1),"O","Opened","C","Completed","S","Signed Off", "V", "Signed Off","ERROR")</f>
        <v>Completed</v>
      </c>
      <c r="C264" s="15" t="str" cm="1">
        <f t="array" ref="C264">_xlfn.SWITCH(LEFT(Tasks[[#This Row],[Type]], 3), "Fie", "Field Report", "Con", "Contractor QC", "Gen", "Contractor QC", "Pun", "Contractor QC", "Qua", "Contractor QC", "Fin", "Punch List")</f>
        <v>Contractor QC</v>
      </c>
      <c r="D264" s="15" t="str">
        <f>_xlfn.LET(
_xlpm.leftValue, TRIM(LEFT(Tasks[[#This Row],[Description]], 45)),
IF(LEN(_xlpm.leftValue) &lt; 40, _xlpm.leftValue, _xlfn.CONCAT(_xlpm.leftValue, "…"))
)</f>
        <v>Complete drywall above door and finish￼</v>
      </c>
      <c r="E264" s="15" t="str" cm="1">
        <f t="array" ref="E264">_xlfn.LET(
_xlpm.inTower, COUNTIF(Tower_Num_Table[Tower Rm Numbers], LEFT(Task_Summary_Table[[#This Row],[Area/Room]], 3)) &gt; 0,
_xlpm.typeResult, _xlfn.SWITCH(LEFT(Tasks[[#This Row],[Page]], 2), "Hi", "Historic", "An", "Annex", "Si", "Site", "S5", "Project Task", "SWITCH ERROR"),
IF(_xlpm.inTower, "West Tower", _xlpm.typeResult)
)</f>
        <v>Annex</v>
      </c>
      <c r="F264" s="12" t="str">
        <f>IFERROR(MID(Tasks[[#This Row],[Page]], FIND("Level", Tasks[[#This Row],[Page]]), 7), IF(ISNUMBER(FIND("Roof", Tasks[[#This Row],[Page]])), "Roof",  IF(ISNUMBER(FIND("S590", Tasks[[#This Row],[Page]])), "",  IF(ISNUMBER(FIND("Site", Tasks[[#This Row],[Page]])), "", "ERROR"))))</f>
        <v>Level 0</v>
      </c>
      <c r="G264" s="12" t="str">
        <f>IF(Tasks[[#This Row],[Location]]=0, "", Tasks[[#This Row],[Location]])</f>
        <v>002 - Electrical</v>
      </c>
      <c r="H264" s="12" t="str">
        <f>Tasks[[#This Row],[To Package]]</f>
        <v>Metal Stud / Drywall</v>
      </c>
      <c r="I264" s="12" t="str">
        <f>Tasks[[#This Row],[To Organisation]]</f>
        <v>Pete King Construction</v>
      </c>
    </row>
    <row r="265" spans="1:9" ht="15.5" x14ac:dyDescent="0.35">
      <c r="A265" s="14" t="str">
        <f>HYPERLINK(_xlfn.CONCAT(Edit_URL,Tasks[[#This Row],[Ref]]),Tasks[[#This Row],[Ref]])</f>
        <v>T74290.59</v>
      </c>
      <c r="B265" s="15" t="str" cm="1">
        <f t="array" ref="B265">_xlfn.SWITCH(LEFT(Tasks[[#This Row],[Status]],1),"O","Opened","C","Completed","S","Signed Off", "V", "Signed Off","ERROR")</f>
        <v>Completed</v>
      </c>
      <c r="C265" s="15" t="str" cm="1">
        <f t="array" ref="C265">_xlfn.SWITCH(LEFT(Tasks[[#This Row],[Type]], 3), "Fie", "Field Report", "Con", "Contractor QC", "Gen", "Contractor QC", "Pun", "Contractor QC", "Qua", "Contractor QC", "Fin", "Punch List")</f>
        <v>Contractor QC</v>
      </c>
      <c r="D265" s="15" t="str">
        <f>_xlfn.LET(
_xlpm.leftValue, TRIM(LEFT(Tasks[[#This Row],[Description]], 45)),
IF(LEN(_xlpm.leftValue) &lt; 40, _xlpm.leftValue, _xlfn.CONCAT(_xlpm.leftValue, "…"))
)</f>
        <v>Caulk around all the bases of the columns…</v>
      </c>
      <c r="E265" s="15" t="str" cm="1">
        <f t="array" ref="E265">_xlfn.LET(
_xlpm.inTower, COUNTIF(Tower_Num_Table[Tower Rm Numbers], LEFT(Task_Summary_Table[[#This Row],[Area/Room]], 3)) &gt; 0,
_xlpm.typeResult, _xlfn.SWITCH(LEFT(Tasks[[#This Row],[Page]], 2), "Hi", "Historic", "An", "Annex", "Si", "Site", "S5", "Project Task", "SWITCH ERROR"),
IF(_xlpm.inTower, "West Tower", _xlpm.typeResult)
)</f>
        <v>Annex</v>
      </c>
      <c r="F265" s="12" t="str">
        <f>IFERROR(MID(Tasks[[#This Row],[Page]], FIND("Level", Tasks[[#This Row],[Page]]), 7), IF(ISNUMBER(FIND("Roof", Tasks[[#This Row],[Page]])), "Roof",  IF(ISNUMBER(FIND("S590", Tasks[[#This Row],[Page]])), "",  IF(ISNUMBER(FIND("Site", Tasks[[#This Row],[Page]])), "", "ERROR"))))</f>
        <v>Level 1</v>
      </c>
      <c r="G265" s="12" t="str">
        <f>IF(Tasks[[#This Row],[Location]]=0, "", Tasks[[#This Row],[Location]])</f>
        <v>109 - Waiting</v>
      </c>
      <c r="H265" s="12" t="str">
        <f>Tasks[[#This Row],[To Package]]</f>
        <v>Tile</v>
      </c>
      <c r="I265" s="12" t="str">
        <f>Tasks[[#This Row],[To Organisation]]</f>
        <v>Global Stone and Tile, LLC</v>
      </c>
    </row>
    <row r="266" spans="1:9" ht="15.5" x14ac:dyDescent="0.35">
      <c r="A266" s="14" t="str">
        <f>HYPERLINK(_xlfn.CONCAT(Edit_URL,Tasks[[#This Row],[Ref]]),Tasks[[#This Row],[Ref]])</f>
        <v>T74290.53</v>
      </c>
      <c r="B266" s="15" t="str" cm="1">
        <f t="array" ref="B266">_xlfn.SWITCH(LEFT(Tasks[[#This Row],[Status]],1),"O","Opened","C","Completed","S","Signed Off", "V", "Signed Off","ERROR")</f>
        <v>Signed Off</v>
      </c>
      <c r="C266" s="15" t="str" cm="1">
        <f t="array" ref="C266">_xlfn.SWITCH(LEFT(Tasks[[#This Row],[Type]], 3), "Fie", "Field Report", "Con", "Contractor QC", "Gen", "Contractor QC", "Pun", "Contractor QC", "Qua", "Contractor QC", "Fin", "Punch List")</f>
        <v>Contractor QC</v>
      </c>
      <c r="D266" s="15" t="str">
        <f>_xlfn.LET(
_xlpm.leftValue, TRIM(LEFT(Tasks[[#This Row],[Description]], 45)),
IF(LEN(_xlpm.leftValue) &lt; 40, _xlpm.leftValue, _xlfn.CONCAT(_xlpm.leftValue, "…"))
)</f>
        <v>Does this MDF need to be changed to half inch…</v>
      </c>
      <c r="E266" s="15" t="str" cm="1">
        <f t="array" ref="E266">_xlfn.LET(
_xlpm.inTower, COUNTIF(Tower_Num_Table[Tower Rm Numbers], LEFT(Task_Summary_Table[[#This Row],[Area/Room]], 3)) &gt; 0,
_xlpm.typeResult, _xlfn.SWITCH(LEFT(Tasks[[#This Row],[Page]], 2), "Hi", "Historic", "An", "Annex", "Si", "Site", "S5", "Project Task", "SWITCH ERROR"),
IF(_xlpm.inTower, "West Tower", _xlpm.typeResult)
)</f>
        <v>Annex</v>
      </c>
      <c r="F266" s="12" t="str">
        <f>IFERROR(MID(Tasks[[#This Row],[Page]], FIND("Level", Tasks[[#This Row],[Page]]), 7), IF(ISNUMBER(FIND("Roof", Tasks[[#This Row],[Page]])), "Roof",  IF(ISNUMBER(FIND("S590", Tasks[[#This Row],[Page]])), "",  IF(ISNUMBER(FIND("Site", Tasks[[#This Row],[Page]])), "", "ERROR"))))</f>
        <v>Level 1</v>
      </c>
      <c r="G266" s="12" t="str">
        <f>IF(Tasks[[#This Row],[Location]]=0, "", Tasks[[#This Row],[Location]])</f>
        <v>114 - Family File</v>
      </c>
      <c r="H266" s="12" t="str">
        <f>Tasks[[#This Row],[To Package]]</f>
        <v xml:space="preserve">Finish Carpentry </v>
      </c>
      <c r="I266" s="12" t="str">
        <f>Tasks[[#This Row],[To Organisation]]</f>
        <v>Fetzers' Inc.</v>
      </c>
    </row>
    <row r="267" spans="1:9" ht="15.5" x14ac:dyDescent="0.35">
      <c r="A267" s="14" t="str">
        <f>HYPERLINK(_xlfn.CONCAT(Edit_URL,Tasks[[#This Row],[Ref]]),Tasks[[#This Row],[Ref]])</f>
        <v>T74290.65</v>
      </c>
      <c r="B267" s="15" t="str" cm="1">
        <f t="array" ref="B267">_xlfn.SWITCH(LEFT(Tasks[[#This Row],[Status]],1),"O","Opened","C","Completed","S","Signed Off", "V", "Signed Off","ERROR")</f>
        <v>Signed Off</v>
      </c>
      <c r="C267" s="15" t="str" cm="1">
        <f t="array" ref="C267">_xlfn.SWITCH(LEFT(Tasks[[#This Row],[Type]], 3), "Fie", "Field Report", "Con", "Contractor QC", "Gen", "Contractor QC", "Pun", "Contractor QC", "Qua", "Contractor QC", "Fin", "Punch List")</f>
        <v>Contractor QC</v>
      </c>
      <c r="D267" s="15" t="str">
        <f>_xlfn.LET(
_xlpm.leftValue, TRIM(LEFT(Tasks[[#This Row],[Description]], 45)),
IF(LEN(_xlpm.leftValue) &lt; 40, _xlpm.leftValue, _xlfn.CONCAT(_xlpm.leftValue, "…"))
)</f>
        <v>Complete marble base￼</v>
      </c>
      <c r="E267" s="15" t="str" cm="1">
        <f t="array" ref="E267">_xlfn.LET(
_xlpm.inTower, COUNTIF(Tower_Num_Table[Tower Rm Numbers], LEFT(Task_Summary_Table[[#This Row],[Area/Room]], 3)) &gt; 0,
_xlpm.typeResult, _xlfn.SWITCH(LEFT(Tasks[[#This Row],[Page]], 2), "Hi", "Historic", "An", "Annex", "Si", "Site", "S5", "Project Task", "SWITCH ERROR"),
IF(_xlpm.inTower, "West Tower", _xlpm.typeResult)
)</f>
        <v>Annex</v>
      </c>
      <c r="F267" s="12" t="str">
        <f>IFERROR(MID(Tasks[[#This Row],[Page]], FIND("Level", Tasks[[#This Row],[Page]]), 7), IF(ISNUMBER(FIND("Roof", Tasks[[#This Row],[Page]])), "Roof",  IF(ISNUMBER(FIND("S590", Tasks[[#This Row],[Page]])), "",  IF(ISNUMBER(FIND("Site", Tasks[[#This Row],[Page]])), "", "ERROR"))))</f>
        <v>Level 1</v>
      </c>
      <c r="G267" s="12" t="str">
        <f>IF(Tasks[[#This Row],[Location]]=0, "", Tasks[[#This Row],[Location]])</f>
        <v>151 - Folding</v>
      </c>
      <c r="H267" s="12" t="str">
        <f>Tasks[[#This Row],[To Package]]</f>
        <v>Tile</v>
      </c>
      <c r="I267" s="12" t="str">
        <f>Tasks[[#This Row],[To Organisation]]</f>
        <v>Global Stone and Tile, LLC</v>
      </c>
    </row>
    <row r="268" spans="1:9" ht="15.5" x14ac:dyDescent="0.35">
      <c r="A268" s="14" t="str">
        <f>HYPERLINK(_xlfn.CONCAT(Edit_URL,Tasks[[#This Row],[Ref]]),Tasks[[#This Row],[Ref]])</f>
        <v>T74290.72</v>
      </c>
      <c r="B268" s="15" t="str" cm="1">
        <f t="array" ref="B268">_xlfn.SWITCH(LEFT(Tasks[[#This Row],[Status]],1),"O","Opened","C","Completed","S","Signed Off", "V", "Signed Off","ERROR")</f>
        <v>Signed Off</v>
      </c>
      <c r="C268" s="15" t="str" cm="1">
        <f t="array" ref="C268">_xlfn.SWITCH(LEFT(Tasks[[#This Row],[Type]], 3), "Fie", "Field Report", "Con", "Contractor QC", "Gen", "Contractor QC", "Pun", "Contractor QC", "Qua", "Contractor QC", "Fin", "Punch List")</f>
        <v>Contractor QC</v>
      </c>
      <c r="D268" s="15" t="str">
        <f>_xlfn.LET(
_xlpm.leftValue, TRIM(LEFT(Tasks[[#This Row],[Description]], 45)),
IF(LEN(_xlpm.leftValue) &lt; 40, _xlpm.leftValue, _xlfn.CONCAT(_xlpm.leftValue, "…"))
)</f>
        <v>Address gaps on ends of countertops</v>
      </c>
      <c r="E268" s="15" t="str" cm="1">
        <f t="array" ref="E268">_xlfn.LET(
_xlpm.inTower, COUNTIF(Tower_Num_Table[Tower Rm Numbers], LEFT(Task_Summary_Table[[#This Row],[Area/Room]], 3)) &gt; 0,
_xlpm.typeResult, _xlfn.SWITCH(LEFT(Tasks[[#This Row],[Page]], 2), "Hi", "Historic", "An", "Annex", "Si", "Site", "S5", "Project Task", "SWITCH ERROR"),
IF(_xlpm.inTower, "West Tower", _xlpm.typeResult)
)</f>
        <v>Annex</v>
      </c>
      <c r="F268" s="12" t="str">
        <f>IFERROR(MID(Tasks[[#This Row],[Page]], FIND("Level", Tasks[[#This Row],[Page]]), 7), IF(ISNUMBER(FIND("Roof", Tasks[[#This Row],[Page]])), "Roof",  IF(ISNUMBER(FIND("S590", Tasks[[#This Row],[Page]])), "",  IF(ISNUMBER(FIND("Site", Tasks[[#This Row],[Page]])), "", "ERROR"))))</f>
        <v>Level 1</v>
      </c>
      <c r="G268" s="12" t="str">
        <f>IF(Tasks[[#This Row],[Location]]=0, "", Tasks[[#This Row],[Location]])</f>
        <v>114 - Family File</v>
      </c>
      <c r="H268" s="12" t="str">
        <f>Tasks[[#This Row],[To Package]]</f>
        <v>Tile</v>
      </c>
      <c r="I268" s="12" t="str">
        <f>Tasks[[#This Row],[To Organisation]]</f>
        <v>Global Stone and Tile, LLC</v>
      </c>
    </row>
    <row r="269" spans="1:9" ht="15.5" x14ac:dyDescent="0.35">
      <c r="A269" s="14" t="str">
        <f>HYPERLINK(_xlfn.CONCAT(Edit_URL,Tasks[[#This Row],[Ref]]),Tasks[[#This Row],[Ref]])</f>
        <v>T74290.45</v>
      </c>
      <c r="B269" s="15" t="str" cm="1">
        <f t="array" ref="B269">_xlfn.SWITCH(LEFT(Tasks[[#This Row],[Status]],1),"O","Opened","C","Completed","S","Signed Off", "V", "Signed Off","ERROR")</f>
        <v>Signed Off</v>
      </c>
      <c r="C269" s="15" t="str" cm="1">
        <f t="array" ref="C269">_xlfn.SWITCH(LEFT(Tasks[[#This Row],[Type]], 3), "Fie", "Field Report", "Con", "Contractor QC", "Gen", "Contractor QC", "Pun", "Contractor QC", "Qua", "Contractor QC", "Fin", "Punch List")</f>
        <v>Contractor QC</v>
      </c>
      <c r="D269" s="15" t="str">
        <f>_xlfn.LET(
_xlpm.leftValue, TRIM(LEFT(Tasks[[#This Row],[Description]], 45)),
IF(LEN(_xlpm.leftValue) &lt; 40, _xlpm.leftValue, _xlfn.CONCAT(_xlpm.leftValue, "…"))
)</f>
        <v>Prime and paint ceiling￼</v>
      </c>
      <c r="E269" s="15" t="str" cm="1">
        <f t="array" ref="E269">_xlfn.LET(
_xlpm.inTower, COUNTIF(Tower_Num_Table[Tower Rm Numbers], LEFT(Task_Summary_Table[[#This Row],[Area/Room]], 3)) &gt; 0,
_xlpm.typeResult, _xlfn.SWITCH(LEFT(Tasks[[#This Row],[Page]], 2), "Hi", "Historic", "An", "Annex", "Si", "Site", "S5", "Project Task", "SWITCH ERROR"),
IF(_xlpm.inTower, "West Tower", _xlpm.typeResult)
)</f>
        <v>Annex</v>
      </c>
      <c r="F269" s="12" t="str">
        <f>IFERROR(MID(Tasks[[#This Row],[Page]], FIND("Level", Tasks[[#This Row],[Page]]), 7), IF(ISNUMBER(FIND("Roof", Tasks[[#This Row],[Page]])), "Roof",  IF(ISNUMBER(FIND("S590", Tasks[[#This Row],[Page]])), "",  IF(ISNUMBER(FIND("Site", Tasks[[#This Row],[Page]])), "", "ERROR"))))</f>
        <v>Level 1</v>
      </c>
      <c r="G269" s="12" t="str">
        <f>IF(Tasks[[#This Row],[Location]]=0, "", Tasks[[#This Row],[Location]])</f>
        <v>121A - Jan</v>
      </c>
      <c r="H269" s="12" t="str">
        <f>Tasks[[#This Row],[To Package]]</f>
        <v>Paint</v>
      </c>
      <c r="I269" s="12" t="str">
        <f>Tasks[[#This Row],[To Organisation]]</f>
        <v>Accent Painting and Special Coatings, LLC</v>
      </c>
    </row>
    <row r="270" spans="1:9" ht="15.5" x14ac:dyDescent="0.35">
      <c r="A270" s="14" t="str">
        <f>HYPERLINK(_xlfn.CONCAT(Edit_URL,Tasks[[#This Row],[Ref]]),Tasks[[#This Row],[Ref]])</f>
        <v>T74290.100</v>
      </c>
      <c r="B270" s="15" t="str" cm="1">
        <f t="array" ref="B270">_xlfn.SWITCH(LEFT(Tasks[[#This Row],[Status]],1),"O","Opened","C","Completed","S","Signed Off", "V", "Signed Off","ERROR")</f>
        <v>Signed Off</v>
      </c>
      <c r="C270" s="15" t="str" cm="1">
        <f t="array" ref="C270">_xlfn.SWITCH(LEFT(Tasks[[#This Row],[Type]], 3), "Fie", "Field Report", "Con", "Contractor QC", "Gen", "Contractor QC", "Pun", "Contractor QC", "Qua", "Contractor QC", "Fin", "Punch List")</f>
        <v>Contractor QC</v>
      </c>
      <c r="D270" s="15" t="str">
        <f>_xlfn.LET(
_xlpm.leftValue, TRIM(LEFT(Tasks[[#This Row],[Description]], 45)),
IF(LEN(_xlpm.leftValue) &lt; 40, _xlpm.leftValue, _xlfn.CONCAT(_xlpm.leftValue, "…"))
)</f>
        <v>Remove screws from inside the track￼</v>
      </c>
      <c r="E270" s="15" t="str" cm="1">
        <f t="array" ref="E270">_xlfn.LET(
_xlpm.inTower, COUNTIF(Tower_Num_Table[Tower Rm Numbers], LEFT(Task_Summary_Table[[#This Row],[Area/Room]], 3)) &gt; 0,
_xlpm.typeResult, _xlfn.SWITCH(LEFT(Tasks[[#This Row],[Page]], 2), "Hi", "Historic", "An", "Annex", "Si", "Site", "S5", "Project Task", "SWITCH ERROR"),
IF(_xlpm.inTower, "West Tower", _xlpm.typeResult)
)</f>
        <v>Annex</v>
      </c>
      <c r="F270" s="12" t="str">
        <f>IFERROR(MID(Tasks[[#This Row],[Page]], FIND("Level", Tasks[[#This Row],[Page]]), 7), IF(ISNUMBER(FIND("Roof", Tasks[[#This Row],[Page]])), "Roof",  IF(ISNUMBER(FIND("S590", Tasks[[#This Row],[Page]])), "",  IF(ISNUMBER(FIND("Site", Tasks[[#This Row],[Page]])), "", "ERROR"))))</f>
        <v>Level 1</v>
      </c>
      <c r="G270" s="12" t="str">
        <f>IF(Tasks[[#This Row],[Location]]=0, "", Tasks[[#This Row],[Location]])</f>
        <v>162 - Instruction Women</v>
      </c>
      <c r="H270" s="12" t="str">
        <f>Tasks[[#This Row],[To Package]]</f>
        <v xml:space="preserve">Finish Carpentry </v>
      </c>
      <c r="I270" s="12" t="str">
        <f>Tasks[[#This Row],[To Organisation]]</f>
        <v>Fetzers' Inc.</v>
      </c>
    </row>
    <row r="271" spans="1:9" ht="15.5" x14ac:dyDescent="0.35">
      <c r="A271" s="14" t="str">
        <f>HYPERLINK(_xlfn.CONCAT(Edit_URL,Tasks[[#This Row],[Ref]]),Tasks[[#This Row],[Ref]])</f>
        <v>T74290.131</v>
      </c>
      <c r="B271" s="15" t="str" cm="1">
        <f t="array" ref="B271">_xlfn.SWITCH(LEFT(Tasks[[#This Row],[Status]],1),"O","Opened","C","Completed","S","Signed Off", "V", "Signed Off","ERROR")</f>
        <v>Signed Off</v>
      </c>
      <c r="C271" s="15" t="str" cm="1">
        <f t="array" ref="C271">_xlfn.SWITCH(LEFT(Tasks[[#This Row],[Type]], 3), "Fie", "Field Report", "Con", "Contractor QC", "Gen", "Contractor QC", "Pun", "Contractor QC", "Qua", "Contractor QC", "Fin", "Punch List")</f>
        <v>Contractor QC</v>
      </c>
      <c r="D271" s="15" t="str">
        <f>_xlfn.LET(
_xlpm.leftValue, TRIM(LEFT(Tasks[[#This Row],[Description]], 45)),
IF(LEN(_xlpm.leftValue) &lt; 40, _xlpm.leftValue, _xlfn.CONCAT(_xlpm.leftValue, "…"))
)</f>
        <v>GFRG crown mold needs to be straightened…</v>
      </c>
      <c r="E271" s="15" t="str" cm="1">
        <f t="array" ref="E271">_xlfn.LET(
_xlpm.inTower, COUNTIF(Tower_Num_Table[Tower Rm Numbers], LEFT(Task_Summary_Table[[#This Row],[Area/Room]], 3)) &gt; 0,
_xlpm.typeResult, _xlfn.SWITCH(LEFT(Tasks[[#This Row],[Page]], 2), "Hi", "Historic", "An", "Annex", "Si", "Site", "S5", "Project Task", "SWITCH ERROR"),
IF(_xlpm.inTower, "West Tower", _xlpm.typeResult)
)</f>
        <v>Annex</v>
      </c>
      <c r="F271" s="12" t="str">
        <f>IFERROR(MID(Tasks[[#This Row],[Page]], FIND("Level", Tasks[[#This Row],[Page]]), 7), IF(ISNUMBER(FIND("Roof", Tasks[[#This Row],[Page]])), "Roof",  IF(ISNUMBER(FIND("S590", Tasks[[#This Row],[Page]])), "",  IF(ISNUMBER(FIND("Site", Tasks[[#This Row],[Page]])), "", "ERROR"))))</f>
        <v>Level 1</v>
      </c>
      <c r="G271" s="12" t="str">
        <f>IF(Tasks[[#This Row],[Location]]=0, "", Tasks[[#This Row],[Location]])</f>
        <v>146 - Hall</v>
      </c>
      <c r="H271" s="12" t="str">
        <f>Tasks[[#This Row],[To Package]]</f>
        <v>GFRG</v>
      </c>
      <c r="I271" s="12" t="str">
        <f>Tasks[[#This Row],[To Organisation]]</f>
        <v>Pete King Construction</v>
      </c>
    </row>
    <row r="272" spans="1:9" ht="15.5" x14ac:dyDescent="0.35">
      <c r="A272" s="14" t="str">
        <f>HYPERLINK(_xlfn.CONCAT(Edit_URL,Tasks[[#This Row],[Ref]]),Tasks[[#This Row],[Ref]])</f>
        <v>T74290.1</v>
      </c>
      <c r="B272" s="15" t="str" cm="1">
        <f t="array" ref="B272">_xlfn.SWITCH(LEFT(Tasks[[#This Row],[Status]],1),"O","Opened","C","Completed","S","Signed Off", "V", "Signed Off","ERROR")</f>
        <v>Signed Off</v>
      </c>
      <c r="C272" s="15" t="str" cm="1">
        <f t="array" ref="C272">_xlfn.SWITCH(LEFT(Tasks[[#This Row],[Type]], 3), "Fie", "Field Report", "Con", "Contractor QC", "Gen", "Contractor QC", "Pun", "Contractor QC", "Qua", "Contractor QC", "Fin", "Punch List")</f>
        <v>Contractor QC</v>
      </c>
      <c r="D272" s="15" t="str">
        <f>_xlfn.LET(
_xlpm.leftValue, TRIM(LEFT(Tasks[[#This Row],[Description]], 45)),
IF(LEN(_xlpm.leftValue) &lt; 40, _xlpm.leftValue, _xlfn.CONCAT(_xlpm.leftValue, "…"))
)</f>
        <v>Lower access panel to clear ceiling height…</v>
      </c>
      <c r="E272" s="15" t="str" cm="1">
        <f t="array" ref="E2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72" s="12" t="str">
        <f>IFERROR(MID(Tasks[[#This Row],[Page]], FIND("Level", Tasks[[#This Row],[Page]]), 7), IF(ISNUMBER(FIND("Roof", Tasks[[#This Row],[Page]])), "Roof",  IF(ISNUMBER(FIND("S590", Tasks[[#This Row],[Page]])), "",  IF(ISNUMBER(FIND("Site", Tasks[[#This Row],[Page]])), "", "ERROR"))))</f>
        <v>Level 0</v>
      </c>
      <c r="G272" s="12" t="str">
        <f>IF(Tasks[[#This Row],[Location]]=0, "", Tasks[[#This Row],[Location]])</f>
        <v>052 - Stair Lobby</v>
      </c>
      <c r="H272" s="12" t="str">
        <f>Tasks[[#This Row],[To Package]]</f>
        <v>Metal Stud / Drywall</v>
      </c>
      <c r="I272" s="12" t="str">
        <f>Tasks[[#This Row],[To Organisation]]</f>
        <v>Pete King Construction</v>
      </c>
    </row>
    <row r="273" spans="1:9" ht="15.5" x14ac:dyDescent="0.35">
      <c r="A273" s="14" t="str">
        <f>HYPERLINK(_xlfn.CONCAT(Edit_URL,Tasks[[#This Row],[Ref]]),Tasks[[#This Row],[Ref]])</f>
        <v>T74290.25</v>
      </c>
      <c r="B273" s="15" t="str" cm="1">
        <f t="array" ref="B273">_xlfn.SWITCH(LEFT(Tasks[[#This Row],[Status]],1),"O","Opened","C","Completed","S","Signed Off", "V", "Signed Off","ERROR")</f>
        <v>Signed Off</v>
      </c>
      <c r="C273" s="15" t="str" cm="1">
        <f t="array" ref="C273">_xlfn.SWITCH(LEFT(Tasks[[#This Row],[Type]], 3), "Fie", "Field Report", "Con", "Contractor QC", "Gen", "Contractor QC", "Pun", "Contractor QC", "Qua", "Contractor QC", "Fin", "Punch List")</f>
        <v>Contractor QC</v>
      </c>
      <c r="D273" s="15" t="str">
        <f>_xlfn.LET(
_xlpm.leftValue, TRIM(LEFT(Tasks[[#This Row],[Description]], 45)),
IF(LEN(_xlpm.leftValue) &lt; 40, _xlpm.leftValue, _xlfn.CONCAT(_xlpm.leftValue, "…"))
)</f>
        <v>Fill in honeycomb with non-shrink grout￼…</v>
      </c>
      <c r="E273" s="15" t="str" cm="1">
        <f t="array" ref="E273">_xlfn.LET(
_xlpm.inTower, COUNTIF(Tower_Num_Table[Tower Rm Numbers], LEFT(Task_Summary_Table[[#This Row],[Area/Room]], 3)) &gt; 0,
_xlpm.typeResult, _xlfn.SWITCH(LEFT(Tasks[[#This Row],[Page]], 2), "Hi", "Historic", "An", "Annex", "Si", "Site", "S5", "Project Task", "SWITCH ERROR"),
IF(_xlpm.inTower, "West Tower", _xlpm.typeResult)
)</f>
        <v>Historic</v>
      </c>
      <c r="F273" s="12" t="str">
        <f>IFERROR(MID(Tasks[[#This Row],[Page]], FIND("Level", Tasks[[#This Row],[Page]]), 7), IF(ISNUMBER(FIND("Roof", Tasks[[#This Row],[Page]])), "Roof",  IF(ISNUMBER(FIND("S590", Tasks[[#This Row],[Page]])), "",  IF(ISNUMBER(FIND("Site", Tasks[[#This Row],[Page]])), "", "ERROR"))))</f>
        <v>Level 0</v>
      </c>
      <c r="G273" s="12" t="str">
        <f>IF(Tasks[[#This Row],[Location]]=0, "", Tasks[[#This Row],[Location]])</f>
        <v>Stairs Level 1</v>
      </c>
      <c r="H273" s="12" t="str">
        <f>Tasks[[#This Row],[To Package]]</f>
        <v>Concrete</v>
      </c>
      <c r="I273" s="12" t="str">
        <f>Tasks[[#This Row],[To Organisation]]</f>
        <v>Innovative Concrete, LLC</v>
      </c>
    </row>
    <row r="274" spans="1:9" ht="15.5" x14ac:dyDescent="0.35">
      <c r="A274" s="14" t="str">
        <f>HYPERLINK(_xlfn.CONCAT(Edit_URL,Tasks[[#This Row],[Ref]]),Tasks[[#This Row],[Ref]])</f>
        <v>T74290.5</v>
      </c>
      <c r="B274" s="15" t="str" cm="1">
        <f t="array" ref="B274">_xlfn.SWITCH(LEFT(Tasks[[#This Row],[Status]],1),"O","Opened","C","Completed","S","Signed Off", "V", "Signed Off","ERROR")</f>
        <v>Signed Off</v>
      </c>
      <c r="C274" s="15" t="str" cm="1">
        <f t="array" ref="C274">_xlfn.SWITCH(LEFT(Tasks[[#This Row],[Type]], 3), "Fie", "Field Report", "Con", "Contractor QC", "Gen", "Contractor QC", "Pun", "Contractor QC", "Qua", "Contractor QC", "Fin", "Punch List")</f>
        <v>Contractor QC</v>
      </c>
      <c r="D274" s="15" t="str">
        <f>_xlfn.LET(
_xlpm.leftValue, TRIM(LEFT(Tasks[[#This Row],[Description]], 45)),
IF(LEN(_xlpm.leftValue) &lt; 40, _xlpm.leftValue, _xlfn.CONCAT(_xlpm.leftValue, "…"))
)</f>
        <v>Ensure alignment of can lights￼</v>
      </c>
      <c r="E274" s="15" t="str" cm="1">
        <f t="array" ref="E27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74" s="12" t="str">
        <f>IFERROR(MID(Tasks[[#This Row],[Page]], FIND("Level", Tasks[[#This Row],[Page]]), 7), IF(ISNUMBER(FIND("Roof", Tasks[[#This Row],[Page]])), "Roof",  IF(ISNUMBER(FIND("S590", Tasks[[#This Row],[Page]])), "",  IF(ISNUMBER(FIND("Site", Tasks[[#This Row],[Page]])), "", "ERROR"))))</f>
        <v>Level 0</v>
      </c>
      <c r="G274" s="12" t="str">
        <f>IF(Tasks[[#This Row],[Location]]=0, "", Tasks[[#This Row],[Location]])</f>
        <v>052 - Stair Lobby</v>
      </c>
      <c r="H274" s="12" t="str">
        <f>Tasks[[#This Row],[To Package]]</f>
        <v>Electrical</v>
      </c>
      <c r="I274" s="12" t="str">
        <f>Tasks[[#This Row],[To Organisation]]</f>
        <v>Wilkinson Electric Inc</v>
      </c>
    </row>
    <row r="275" spans="1:9" ht="15.5" x14ac:dyDescent="0.35">
      <c r="A275" s="14" t="str">
        <f>HYPERLINK(_xlfn.CONCAT(Edit_URL,Tasks[[#This Row],[Ref]]),Tasks[[#This Row],[Ref]])</f>
        <v>T74290.90</v>
      </c>
      <c r="B275" s="15" t="str" cm="1">
        <f t="array" ref="B275">_xlfn.SWITCH(LEFT(Tasks[[#This Row],[Status]],1),"O","Opened","C","Completed","S","Signed Off", "V", "Signed Off","ERROR")</f>
        <v>Signed Off</v>
      </c>
      <c r="C275" s="15" t="str" cm="1">
        <f t="array" ref="C275">_xlfn.SWITCH(LEFT(Tasks[[#This Row],[Type]], 3), "Fie", "Field Report", "Con", "Contractor QC", "Gen", "Contractor QC", "Pun", "Contractor QC", "Qua", "Contractor QC", "Fin", "Punch List")</f>
        <v>Contractor QC</v>
      </c>
      <c r="D275" s="15" t="str">
        <f>_xlfn.LET(
_xlpm.leftValue, TRIM(LEFT(Tasks[[#This Row],[Description]], 45)),
IF(LEN(_xlpm.leftValue) &lt; 40, _xlpm.leftValue, _xlfn.CONCAT(_xlpm.leftValue, "…"))
)</f>
        <v>Complete stainless steel drip edge along roof…</v>
      </c>
      <c r="E275" s="15" t="str" cm="1">
        <f t="array" ref="E275">_xlfn.LET(
_xlpm.inTower, COUNTIF(Tower_Num_Table[Tower Rm Numbers], LEFT(Task_Summary_Table[[#This Row],[Area/Room]], 3)) &gt; 0,
_xlpm.typeResult, _xlfn.SWITCH(LEFT(Tasks[[#This Row],[Page]], 2), "Hi", "Historic", "An", "Annex", "Si", "Site", "S5", "Project Task", "SWITCH ERROR"),
IF(_xlpm.inTower, "West Tower", _xlpm.typeResult)
)</f>
        <v>Annex</v>
      </c>
      <c r="F275" s="12" t="str">
        <f>IFERROR(MID(Tasks[[#This Row],[Page]], FIND("Level", Tasks[[#This Row],[Page]]), 7), IF(ISNUMBER(FIND("Roof", Tasks[[#This Row],[Page]])), "Roof",  IF(ISNUMBER(FIND("S590", Tasks[[#This Row],[Page]])), "",  IF(ISNUMBER(FIND("Site", Tasks[[#This Row],[Page]])), "", "ERROR"))))</f>
        <v>Roof</v>
      </c>
      <c r="G275" s="12" t="str">
        <f>IF(Tasks[[#This Row],[Location]]=0, "", Tasks[[#This Row],[Location]])</f>
        <v>Roof West</v>
      </c>
      <c r="H275" s="12" t="str">
        <f>Tasks[[#This Row],[To Package]]</f>
        <v>Roofing</v>
      </c>
      <c r="I275" s="12" t="str">
        <f>Tasks[[#This Row],[To Organisation]]</f>
        <v>Broken Arrow Construction Corporation</v>
      </c>
    </row>
    <row r="276" spans="1:9" ht="15.5" x14ac:dyDescent="0.35">
      <c r="A276" s="14" t="str">
        <f>HYPERLINK(_xlfn.CONCAT(Edit_URL,Tasks[[#This Row],[Ref]]),Tasks[[#This Row],[Ref]])</f>
        <v>T74290.4</v>
      </c>
      <c r="B276" s="15" t="str" cm="1">
        <f t="array" ref="B276">_xlfn.SWITCH(LEFT(Tasks[[#This Row],[Status]],1),"O","Opened","C","Completed","S","Signed Off", "V", "Signed Off","ERROR")</f>
        <v>Signed Off</v>
      </c>
      <c r="C276" s="15" t="str" cm="1">
        <f t="array" ref="C276">_xlfn.SWITCH(LEFT(Tasks[[#This Row],[Type]], 3), "Fie", "Field Report", "Con", "Contractor QC", "Gen", "Contractor QC", "Pun", "Contractor QC", "Qua", "Contractor QC", "Fin", "Punch List")</f>
        <v>Contractor QC</v>
      </c>
      <c r="D276" s="15" t="str">
        <f>_xlfn.LET(
_xlpm.leftValue, TRIM(LEFT(Tasks[[#This Row],[Description]], 45)),
IF(LEN(_xlpm.leftValue) &lt; 40, _xlpm.leftValue, _xlfn.CONCAT(_xlpm.leftValue, "…"))
)</f>
        <v>Install bracket and fire sprinkler head￼…</v>
      </c>
      <c r="E276" s="15" t="str" cm="1">
        <f t="array" ref="E2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76" s="12" t="str">
        <f>IFERROR(MID(Tasks[[#This Row],[Page]], FIND("Level", Tasks[[#This Row],[Page]]), 7), IF(ISNUMBER(FIND("Roof", Tasks[[#This Row],[Page]])), "Roof",  IF(ISNUMBER(FIND("S590", Tasks[[#This Row],[Page]])), "",  IF(ISNUMBER(FIND("Site", Tasks[[#This Row],[Page]])), "", "ERROR"))))</f>
        <v>Level 0</v>
      </c>
      <c r="G276" s="12" t="str">
        <f>IF(Tasks[[#This Row],[Location]]=0, "", Tasks[[#This Row],[Location]])</f>
        <v>052 - Stair Lobby</v>
      </c>
      <c r="H276" s="12" t="str">
        <f>Tasks[[#This Row],[To Package]]</f>
        <v>Fire Suppression</v>
      </c>
      <c r="I276" s="12" t="str">
        <f>Tasks[[#This Row],[To Organisation]]</f>
        <v>Broken Arrow Construction Corporation</v>
      </c>
    </row>
    <row r="277" spans="1:9" ht="15.5" x14ac:dyDescent="0.35">
      <c r="A277" s="14" t="str">
        <f>HYPERLINK(_xlfn.CONCAT(Edit_URL,Tasks[[#This Row],[Ref]]),Tasks[[#This Row],[Ref]])</f>
        <v>T74290.125</v>
      </c>
      <c r="B277" s="15" t="str" cm="1">
        <f t="array" ref="B277">_xlfn.SWITCH(LEFT(Tasks[[#This Row],[Status]],1),"O","Opened","C","Completed","S","Signed Off", "V", "Signed Off","ERROR")</f>
        <v>Signed Off</v>
      </c>
      <c r="C277" s="15" t="str" cm="1">
        <f t="array" ref="C277">_xlfn.SWITCH(LEFT(Tasks[[#This Row],[Type]], 3), "Fie", "Field Report", "Con", "Contractor QC", "Gen", "Contractor QC", "Pun", "Contractor QC", "Qua", "Contractor QC", "Fin", "Punch List")</f>
        <v>Contractor QC</v>
      </c>
      <c r="D277" s="15" t="str">
        <f>_xlfn.LET(
_xlpm.leftValue, TRIM(LEFT(Tasks[[#This Row],[Description]], 45)),
IF(LEN(_xlpm.leftValue) &lt; 40, _xlpm.leftValue, _xlfn.CONCAT(_xlpm.leftValue, "…"))
)</f>
        <v>Epoxy screws on trim</v>
      </c>
      <c r="E277" s="15" t="str" cm="1">
        <f t="array" ref="E277">_xlfn.LET(
_xlpm.inTower, COUNTIF(Tower_Num_Table[Tower Rm Numbers], LEFT(Task_Summary_Table[[#This Row],[Area/Room]], 3)) &gt; 0,
_xlpm.typeResult, _xlfn.SWITCH(LEFT(Tasks[[#This Row],[Page]], 2), "Hi", "Historic", "An", "Annex", "Si", "Site", "S5", "Project Task", "SWITCH ERROR"),
IF(_xlpm.inTower, "West Tower", _xlpm.typeResult)
)</f>
        <v>Annex</v>
      </c>
      <c r="F277" s="12" t="str">
        <f>IFERROR(MID(Tasks[[#This Row],[Page]], FIND("Level", Tasks[[#This Row],[Page]]), 7), IF(ISNUMBER(FIND("Roof", Tasks[[#This Row],[Page]])), "Roof",  IF(ISNUMBER(FIND("S590", Tasks[[#This Row],[Page]])), "",  IF(ISNUMBER(FIND("Site", Tasks[[#This Row],[Page]])), "", "ERROR"))))</f>
        <v>Level 1</v>
      </c>
      <c r="G277" s="12" t="str">
        <f>IF(Tasks[[#This Row],[Location]]=0, "", Tasks[[#This Row],[Location]])</f>
        <v>156 - Vest</v>
      </c>
      <c r="H277" s="12" t="str">
        <f>Tasks[[#This Row],[To Package]]</f>
        <v xml:space="preserve">Finish Carpentry </v>
      </c>
      <c r="I277" s="12" t="str">
        <f>Tasks[[#This Row],[To Organisation]]</f>
        <v>Fetzers' Inc.</v>
      </c>
    </row>
    <row r="278" spans="1:9" ht="15.5" x14ac:dyDescent="0.35">
      <c r="A278" s="14" t="str">
        <f>HYPERLINK(_xlfn.CONCAT(Edit_URL,Tasks[[#This Row],[Ref]]),Tasks[[#This Row],[Ref]])</f>
        <v>T74290.14</v>
      </c>
      <c r="B278" s="15" t="str" cm="1">
        <f t="array" ref="B278">_xlfn.SWITCH(LEFT(Tasks[[#This Row],[Status]],1),"O","Opened","C","Completed","S","Signed Off", "V", "Signed Off","ERROR")</f>
        <v>Signed Off</v>
      </c>
      <c r="C278" s="15" t="str" cm="1">
        <f t="array" ref="C278">_xlfn.SWITCH(LEFT(Tasks[[#This Row],[Type]], 3), "Fie", "Field Report", "Con", "Contractor QC", "Gen", "Contractor QC", "Pun", "Contractor QC", "Qua", "Contractor QC", "Fin", "Punch List")</f>
        <v>Contractor QC</v>
      </c>
      <c r="D278" s="15" t="str">
        <f>_xlfn.LET(
_xlpm.leftValue, TRIM(LEFT(Tasks[[#This Row],[Description]], 45)),
IF(LEN(_xlpm.leftValue) &lt; 40, _xlpm.leftValue, _xlfn.CONCAT(_xlpm.leftValue, "…"))
)</f>
        <v>Hole for can light cut too big for finish tri…</v>
      </c>
      <c r="E278" s="15" t="str" cm="1">
        <f t="array" ref="E278">_xlfn.LET(
_xlpm.inTower, COUNTIF(Tower_Num_Table[Tower Rm Numbers], LEFT(Task_Summary_Table[[#This Row],[Area/Room]], 3)) &gt; 0,
_xlpm.typeResult, _xlfn.SWITCH(LEFT(Tasks[[#This Row],[Page]], 2), "Hi", "Historic", "An", "Annex", "Si", "Site", "S5", "Project Task", "SWITCH ERROR"),
IF(_xlpm.inTower, "West Tower", _xlpm.typeResult)
)</f>
        <v>Annex</v>
      </c>
      <c r="F278" s="12" t="str">
        <f>IFERROR(MID(Tasks[[#This Row],[Page]], FIND("Level", Tasks[[#This Row],[Page]]), 7), IF(ISNUMBER(FIND("Roof", Tasks[[#This Row],[Page]])), "Roof",  IF(ISNUMBER(FIND("S590", Tasks[[#This Row],[Page]])), "",  IF(ISNUMBER(FIND("Site", Tasks[[#This Row],[Page]])), "", "ERROR"))))</f>
        <v>Level 1</v>
      </c>
      <c r="G278" s="12" t="str">
        <f>IF(Tasks[[#This Row],[Location]]=0, "", Tasks[[#This Row],[Location]])</f>
        <v>135 - Workers Dressing - Men</v>
      </c>
      <c r="H278" s="12" t="str">
        <f>Tasks[[#This Row],[To Package]]</f>
        <v>Metal Stud / Drywall</v>
      </c>
      <c r="I278" s="12" t="str">
        <f>Tasks[[#This Row],[To Organisation]]</f>
        <v>Pete King Construction</v>
      </c>
    </row>
    <row r="279" spans="1:9" ht="15.5" x14ac:dyDescent="0.35">
      <c r="A279" s="14" t="str">
        <f>HYPERLINK(_xlfn.CONCAT(Edit_URL,Tasks[[#This Row],[Ref]]),Tasks[[#This Row],[Ref]])</f>
        <v>T74290.84</v>
      </c>
      <c r="B279" s="15" t="str" cm="1">
        <f t="array" ref="B279">_xlfn.SWITCH(LEFT(Tasks[[#This Row],[Status]],1),"O","Opened","C","Completed","S","Signed Off", "V", "Signed Off","ERROR")</f>
        <v>Signed Off</v>
      </c>
      <c r="C279" s="15" t="str" cm="1">
        <f t="array" ref="C279">_xlfn.SWITCH(LEFT(Tasks[[#This Row],[Type]], 3), "Fie", "Field Report", "Con", "Contractor QC", "Gen", "Contractor QC", "Pun", "Contractor QC", "Qua", "Contractor QC", "Fin", "Punch List")</f>
        <v>Contractor QC</v>
      </c>
      <c r="D279" s="15" t="str">
        <f>_xlfn.LET(
_xlpm.leftValue, TRIM(LEFT(Tasks[[#This Row],[Description]], 45)),
IF(LEN(_xlpm.leftValue) &lt; 40, _xlpm.leftValue, _xlfn.CONCAT(_xlpm.leftValue, "…"))
)</f>
        <v>Damaged cabinet door</v>
      </c>
      <c r="E279" s="15" t="str" cm="1">
        <f t="array" ref="E279">_xlfn.LET(
_xlpm.inTower, COUNTIF(Tower_Num_Table[Tower Rm Numbers], LEFT(Task_Summary_Table[[#This Row],[Area/Room]], 3)) &gt; 0,
_xlpm.typeResult, _xlfn.SWITCH(LEFT(Tasks[[#This Row],[Page]], 2), "Hi", "Historic", "An", "Annex", "Si", "Site", "S5", "Project Task", "SWITCH ERROR"),
IF(_xlpm.inTower, "West Tower", _xlpm.typeResult)
)</f>
        <v>Annex</v>
      </c>
      <c r="F279" s="12" t="str">
        <f>IFERROR(MID(Tasks[[#This Row],[Page]], FIND("Level", Tasks[[#This Row],[Page]]), 7), IF(ISNUMBER(FIND("Roof", Tasks[[#This Row],[Page]])), "Roof",  IF(ISNUMBER(FIND("S590", Tasks[[#This Row],[Page]])), "",  IF(ISNUMBER(FIND("Site", Tasks[[#This Row],[Page]])), "", "ERROR"))))</f>
        <v>Level 1</v>
      </c>
      <c r="G279" s="12" t="str">
        <f>IF(Tasks[[#This Row],[Location]]=0, "", Tasks[[#This Row],[Location]])</f>
        <v>169 - Dressing</v>
      </c>
      <c r="H279" s="12" t="str">
        <f>Tasks[[#This Row],[To Package]]</f>
        <v>Paint</v>
      </c>
      <c r="I279" s="12" t="str">
        <f>Tasks[[#This Row],[To Organisation]]</f>
        <v>Accent Painting and Special Coatings, LLC</v>
      </c>
    </row>
    <row r="280" spans="1:9" ht="15.5" x14ac:dyDescent="0.35">
      <c r="A280" s="14" t="str">
        <f>HYPERLINK(_xlfn.CONCAT(Edit_URL,Tasks[[#This Row],[Ref]]),Tasks[[#This Row],[Ref]])</f>
        <v>T74290.3</v>
      </c>
      <c r="B280" s="15" t="str" cm="1">
        <f t="array" ref="B280">_xlfn.SWITCH(LEFT(Tasks[[#This Row],[Status]],1),"O","Opened","C","Completed","S","Signed Off", "V", "Signed Off","ERROR")</f>
        <v>Signed Off</v>
      </c>
      <c r="C280" s="15" t="str" cm="1">
        <f t="array" ref="C280">_xlfn.SWITCH(LEFT(Tasks[[#This Row],[Type]], 3), "Fie", "Field Report", "Con", "Contractor QC", "Gen", "Contractor QC", "Pun", "Contractor QC", "Qua", "Contractor QC", "Fin", "Punch List")</f>
        <v>Contractor QC</v>
      </c>
      <c r="D280" s="15" t="str">
        <f>_xlfn.LET(
_xlpm.leftValue, TRIM(LEFT(Tasks[[#This Row],[Description]], 45)),
IF(LEN(_xlpm.leftValue) &lt; 40, _xlpm.leftValue, _xlfn.CONCAT(_xlpm.leftValue, "…"))
)</f>
        <v>Reframe light opening to 28th and a quarter i…</v>
      </c>
      <c r="E280" s="15" t="str" cm="1">
        <f t="array" ref="E28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80" s="12" t="str">
        <f>IFERROR(MID(Tasks[[#This Row],[Page]], FIND("Level", Tasks[[#This Row],[Page]]), 7), IF(ISNUMBER(FIND("Roof", Tasks[[#This Row],[Page]])), "Roof",  IF(ISNUMBER(FIND("S590", Tasks[[#This Row],[Page]])), "",  IF(ISNUMBER(FIND("Site", Tasks[[#This Row],[Page]])), "", "ERROR"))))</f>
        <v>Level 0</v>
      </c>
      <c r="G280" s="12" t="str">
        <f>IF(Tasks[[#This Row],[Location]]=0, "", Tasks[[#This Row],[Location]])</f>
        <v>052 - Stair Lobby</v>
      </c>
      <c r="H280" s="12" t="str">
        <f>Tasks[[#This Row],[To Package]]</f>
        <v>Metal Stud / Drywall</v>
      </c>
      <c r="I280" s="12" t="str">
        <f>Tasks[[#This Row],[To Organisation]]</f>
        <v>Pete King Construction</v>
      </c>
    </row>
    <row r="281" spans="1:9" ht="15.5" x14ac:dyDescent="0.35">
      <c r="A281" s="14" t="str">
        <f>HYPERLINK(_xlfn.CONCAT(Edit_URL,Tasks[[#This Row],[Ref]]),Tasks[[#This Row],[Ref]])</f>
        <v>T74290.63</v>
      </c>
      <c r="B281" s="15" t="str" cm="1">
        <f t="array" ref="B281">_xlfn.SWITCH(LEFT(Tasks[[#This Row],[Status]],1),"O","Opened","C","Completed","S","Signed Off", "V", "Signed Off","ERROR")</f>
        <v>Signed Off</v>
      </c>
      <c r="C281" s="15" t="str" cm="1">
        <f t="array" ref="C281">_xlfn.SWITCH(LEFT(Tasks[[#This Row],[Type]], 3), "Fie", "Field Report", "Con", "Contractor QC", "Gen", "Contractor QC", "Pun", "Contractor QC", "Qua", "Contractor QC", "Fin", "Punch List")</f>
        <v>Contractor QC</v>
      </c>
      <c r="D281" s="15" t="str">
        <f>_xlfn.LET(
_xlpm.leftValue, TRIM(LEFT(Tasks[[#This Row],[Description]], 45)),
IF(LEN(_xlpm.leftValue) &lt; 40, _xlpm.leftValue, _xlfn.CONCAT(_xlpm.leftValue, "…"))
)</f>
        <v>File the tops of the columns￼</v>
      </c>
      <c r="E281" s="15" t="str" cm="1">
        <f t="array" ref="E281">_xlfn.LET(
_xlpm.inTower, COUNTIF(Tower_Num_Table[Tower Rm Numbers], LEFT(Task_Summary_Table[[#This Row],[Area/Room]], 3)) &gt; 0,
_xlpm.typeResult, _xlfn.SWITCH(LEFT(Tasks[[#This Row],[Page]], 2), "Hi", "Historic", "An", "Annex", "Si", "Site", "S5", "Project Task", "SWITCH ERROR"),
IF(_xlpm.inTower, "West Tower", _xlpm.typeResult)
)</f>
        <v>Annex</v>
      </c>
      <c r="F281" s="12" t="str">
        <f>IFERROR(MID(Tasks[[#This Row],[Page]], FIND("Level", Tasks[[#This Row],[Page]]), 7), IF(ISNUMBER(FIND("Roof", Tasks[[#This Row],[Page]])), "Roof",  IF(ISNUMBER(FIND("S590", Tasks[[#This Row],[Page]])), "",  IF(ISNUMBER(FIND("Site", Tasks[[#This Row],[Page]])), "", "ERROR"))))</f>
        <v>Level 1</v>
      </c>
      <c r="G281" s="12" t="str">
        <f>IF(Tasks[[#This Row],[Location]]=0, "", Tasks[[#This Row],[Location]])</f>
        <v>110 - Chapel</v>
      </c>
      <c r="H281" s="12" t="str">
        <f>Tasks[[#This Row],[To Package]]</f>
        <v>GFRG</v>
      </c>
      <c r="I281" s="12" t="str">
        <f>Tasks[[#This Row],[To Organisation]]</f>
        <v>Pete King Construction</v>
      </c>
    </row>
    <row r="282" spans="1:9" ht="15.5" x14ac:dyDescent="0.35">
      <c r="A282" s="14" t="str">
        <f>HYPERLINK(_xlfn.CONCAT(Edit_URL,Tasks[[#This Row],[Ref]]),Tasks[[#This Row],[Ref]])</f>
        <v>T74290.8</v>
      </c>
      <c r="B282" s="15" t="str" cm="1">
        <f t="array" ref="B282">_xlfn.SWITCH(LEFT(Tasks[[#This Row],[Status]],1),"O","Opened","C","Completed","S","Signed Off", "V", "Signed Off","ERROR")</f>
        <v>Signed Off</v>
      </c>
      <c r="C282" s="15" t="str" cm="1">
        <f t="array" ref="C282">_xlfn.SWITCH(LEFT(Tasks[[#This Row],[Type]], 3), "Fie", "Field Report", "Con", "Contractor QC", "Gen", "Contractor QC", "Pun", "Contractor QC", "Qua", "Contractor QC", "Fin", "Punch List")</f>
        <v>Contractor QC</v>
      </c>
      <c r="D282" s="15" t="str">
        <f>_xlfn.LET(
_xlpm.leftValue, TRIM(LEFT(Tasks[[#This Row],[Description]], 45)),
IF(LEN(_xlpm.leftValue) &lt; 40, _xlpm.leftValue, _xlfn.CONCAT(_xlpm.leftValue, "…"))
)</f>
        <v>Final coat on Cove and touch ups after primer…</v>
      </c>
      <c r="E282" s="15" t="str" cm="1">
        <f t="array" ref="E282">_xlfn.LET(
_xlpm.inTower, COUNTIF(Tower_Num_Table[Tower Rm Numbers], LEFT(Task_Summary_Table[[#This Row],[Area/Room]], 3)) &gt; 0,
_xlpm.typeResult, _xlfn.SWITCH(LEFT(Tasks[[#This Row],[Page]], 2), "Hi", "Historic", "An", "Annex", "Si", "Site", "S5", "Project Task", "SWITCH ERROR"),
IF(_xlpm.inTower, "West Tower", _xlpm.typeResult)
)</f>
        <v>Annex</v>
      </c>
      <c r="F282" s="12" t="str">
        <f>IFERROR(MID(Tasks[[#This Row],[Page]], FIND("Level", Tasks[[#This Row],[Page]]), 7), IF(ISNUMBER(FIND("Roof", Tasks[[#This Row],[Page]])), "Roof",  IF(ISNUMBER(FIND("S590", Tasks[[#This Row],[Page]])), "",  IF(ISNUMBER(FIND("Site", Tasks[[#This Row],[Page]])), "", "ERROR"))))</f>
        <v>Level 1</v>
      </c>
      <c r="G282" s="12" t="str">
        <f>IF(Tasks[[#This Row],[Location]]=0, "", Tasks[[#This Row],[Location]])</f>
        <v>105 - Waiting</v>
      </c>
      <c r="H282" s="12" t="str">
        <f>Tasks[[#This Row],[To Package]]</f>
        <v>Westland -- Annex</v>
      </c>
      <c r="I282" s="12" t="str">
        <f>Tasks[[#This Row],[To Organisation]]</f>
        <v>Westland Construction, Inc.</v>
      </c>
    </row>
    <row r="283" spans="1:9" ht="15.5" x14ac:dyDescent="0.35">
      <c r="A283" s="14" t="str">
        <f>HYPERLINK(_xlfn.CONCAT(Edit_URL,Tasks[[#This Row],[Ref]]),Tasks[[#This Row],[Ref]])</f>
        <v>T74290.37</v>
      </c>
      <c r="B283" s="15" t="str" cm="1">
        <f t="array" ref="B283">_xlfn.SWITCH(LEFT(Tasks[[#This Row],[Status]],1),"O","Opened","C","Completed","S","Signed Off", "V", "Signed Off","ERROR")</f>
        <v>Signed Off</v>
      </c>
      <c r="C283" s="15" t="str" cm="1">
        <f t="array" ref="C283">_xlfn.SWITCH(LEFT(Tasks[[#This Row],[Type]], 3), "Fie", "Field Report", "Con", "Contractor QC", "Gen", "Contractor QC", "Pun", "Contractor QC", "Qua", "Contractor QC", "Fin", "Punch List")</f>
        <v>Contractor QC</v>
      </c>
      <c r="D283" s="15" t="str">
        <f>_xlfn.LET(
_xlpm.leftValue, TRIM(LEFT(Tasks[[#This Row],[Description]], 45)),
IF(LEN(_xlpm.leftValue) &lt; 40, _xlpm.leftValue, _xlfn.CONCAT(_xlpm.leftValue, "…"))
)</f>
        <v>Skim coat the cove along the ceiling prep for…</v>
      </c>
      <c r="E283" s="15" t="str" cm="1">
        <f t="array" ref="E283">_xlfn.LET(
_xlpm.inTower, COUNTIF(Tower_Num_Table[Tower Rm Numbers], LEFT(Task_Summary_Table[[#This Row],[Area/Room]], 3)) &gt; 0,
_xlpm.typeResult, _xlfn.SWITCH(LEFT(Tasks[[#This Row],[Page]], 2), "Hi", "Historic", "An", "Annex", "Si", "Site", "S5", "Project Task", "SWITCH ERROR"),
IF(_xlpm.inTower, "West Tower", _xlpm.typeResult)
)</f>
        <v>Annex</v>
      </c>
      <c r="F283" s="12" t="str">
        <f>IFERROR(MID(Tasks[[#This Row],[Page]], FIND("Level", Tasks[[#This Row],[Page]]), 7), IF(ISNUMBER(FIND("Roof", Tasks[[#This Row],[Page]])), "Roof",  IF(ISNUMBER(FIND("S590", Tasks[[#This Row],[Page]])), "",  IF(ISNUMBER(FIND("Site", Tasks[[#This Row],[Page]])), "", "ERROR"))))</f>
        <v>Level 1</v>
      </c>
      <c r="G283" s="12" t="str">
        <f>IF(Tasks[[#This Row],[Location]]=0, "", Tasks[[#This Row],[Location]])</f>
        <v>109 - Waiting</v>
      </c>
      <c r="H283" s="12" t="str">
        <f>Tasks[[#This Row],[To Package]]</f>
        <v>Metal Stud / Drywall</v>
      </c>
      <c r="I283" s="12" t="str">
        <f>Tasks[[#This Row],[To Organisation]]</f>
        <v>Pete King Construction</v>
      </c>
    </row>
    <row r="284" spans="1:9" ht="15.5" x14ac:dyDescent="0.35">
      <c r="A284" s="14" t="str">
        <f>HYPERLINK(_xlfn.CONCAT(Edit_URL,Tasks[[#This Row],[Ref]]),Tasks[[#This Row],[Ref]])</f>
        <v>T74290.52</v>
      </c>
      <c r="B284" s="15" t="str" cm="1">
        <f t="array" ref="B284">_xlfn.SWITCH(LEFT(Tasks[[#This Row],[Status]],1),"O","Opened","C","Completed","S","Signed Off", "V", "Signed Off","ERROR")</f>
        <v>Signed Off</v>
      </c>
      <c r="C284" s="15" t="str" cm="1">
        <f t="array" ref="C284">_xlfn.SWITCH(LEFT(Tasks[[#This Row],[Type]], 3), "Fie", "Field Report", "Con", "Contractor QC", "Gen", "Contractor QC", "Pun", "Contractor QC", "Qua", "Contractor QC", "Fin", "Punch List")</f>
        <v>Contractor QC</v>
      </c>
      <c r="D284" s="15" t="str">
        <f>_xlfn.LET(
_xlpm.leftValue, TRIM(LEFT(Tasks[[#This Row],[Description]], 45)),
IF(LEN(_xlpm.leftValue) &lt; 40, _xlpm.leftValue, _xlfn.CONCAT(_xlpm.leftValue, "…"))
)</f>
        <v>Install drywall for fire break￼</v>
      </c>
      <c r="E284" s="15" t="str" cm="1">
        <f t="array" ref="E284">_xlfn.LET(
_xlpm.inTower, COUNTIF(Tower_Num_Table[Tower Rm Numbers], LEFT(Task_Summary_Table[[#This Row],[Area/Room]], 3)) &gt; 0,
_xlpm.typeResult, _xlfn.SWITCH(LEFT(Tasks[[#This Row],[Page]], 2), "Hi", "Historic", "An", "Annex", "Si", "Site", "S5", "Project Task", "SWITCH ERROR"),
IF(_xlpm.inTower, "West Tower", _xlpm.typeResult)
)</f>
        <v>Annex</v>
      </c>
      <c r="F284" s="12" t="str">
        <f>IFERROR(MID(Tasks[[#This Row],[Page]], FIND("Level", Tasks[[#This Row],[Page]]), 7), IF(ISNUMBER(FIND("Roof", Tasks[[#This Row],[Page]])), "Roof",  IF(ISNUMBER(FIND("S590", Tasks[[#This Row],[Page]])), "",  IF(ISNUMBER(FIND("Site", Tasks[[#This Row],[Page]])), "", "ERROR"))))</f>
        <v>Level 1</v>
      </c>
      <c r="G284" s="12" t="str">
        <f>IF(Tasks[[#This Row],[Location]]=0, "", Tasks[[#This Row],[Location]])</f>
        <v>157 - Elec.</v>
      </c>
      <c r="H284" s="12" t="str">
        <f>Tasks[[#This Row],[To Package]]</f>
        <v>Metal Stud / Drywall</v>
      </c>
      <c r="I284" s="12" t="str">
        <f>Tasks[[#This Row],[To Organisation]]</f>
        <v>Pete King Construction</v>
      </c>
    </row>
    <row r="285" spans="1:9" ht="15.5" x14ac:dyDescent="0.35">
      <c r="A285" s="14" t="str">
        <f>HYPERLINK(_xlfn.CONCAT(Edit_URL,Tasks[[#This Row],[Ref]]),Tasks[[#This Row],[Ref]])</f>
        <v>T74290.29</v>
      </c>
      <c r="B285" s="15" t="str" cm="1">
        <f t="array" ref="B285">_xlfn.SWITCH(LEFT(Tasks[[#This Row],[Status]],1),"O","Opened","C","Completed","S","Signed Off", "V", "Signed Off","ERROR")</f>
        <v>Signed Off</v>
      </c>
      <c r="C285" s="15" t="str" cm="1">
        <f t="array" ref="C285">_xlfn.SWITCH(LEFT(Tasks[[#This Row],[Type]], 3), "Fie", "Field Report", "Con", "Contractor QC", "Gen", "Contractor QC", "Pun", "Contractor QC", "Qua", "Contractor QC", "Fin", "Punch List")</f>
        <v>Contractor QC</v>
      </c>
      <c r="D285" s="15" t="str">
        <f>_xlfn.LET(
_xlpm.leftValue, TRIM(LEFT(Tasks[[#This Row],[Description]], 45)),
IF(LEN(_xlpm.leftValue) &lt; 40, _xlpm.leftValue, _xlfn.CONCAT(_xlpm.leftValue, "…"))
)</f>
        <v>Complete conduit to be able to get ready for…</v>
      </c>
      <c r="E285" s="15" t="str" cm="1">
        <f t="array" ref="E2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85" s="12" t="str">
        <f>IFERROR(MID(Tasks[[#This Row],[Page]], FIND("Level", Tasks[[#This Row],[Page]]), 7), IF(ISNUMBER(FIND("Roof", Tasks[[#This Row],[Page]])), "Roof",  IF(ISNUMBER(FIND("S590", Tasks[[#This Row],[Page]])), "",  IF(ISNUMBER(FIND("Site", Tasks[[#This Row],[Page]])), "", "ERROR"))))</f>
        <v>Level 0</v>
      </c>
      <c r="G285" s="12" t="str">
        <f>IF(Tasks[[#This Row],[Location]]=0, "", Tasks[[#This Row],[Location]])</f>
        <v>052 - Stair Lobby</v>
      </c>
      <c r="H285" s="12" t="str">
        <f>Tasks[[#This Row],[To Package]]</f>
        <v>Electrical</v>
      </c>
      <c r="I285" s="12" t="str">
        <f>Tasks[[#This Row],[To Organisation]]</f>
        <v>Wilkinson Electric Inc</v>
      </c>
    </row>
    <row r="286" spans="1:9" ht="15.5" x14ac:dyDescent="0.35">
      <c r="A286" s="14" t="str">
        <f>HYPERLINK(_xlfn.CONCAT(Edit_URL,Tasks[[#This Row],[Ref]]),Tasks[[#This Row],[Ref]])</f>
        <v>T74290.28</v>
      </c>
      <c r="B286" s="15" t="str" cm="1">
        <f t="array" ref="B286">_xlfn.SWITCH(LEFT(Tasks[[#This Row],[Status]],1),"O","Opened","C","Completed","S","Signed Off", "V", "Signed Off","ERROR")</f>
        <v>Signed Off</v>
      </c>
      <c r="C286" s="15" t="str" cm="1">
        <f t="array" ref="C286">_xlfn.SWITCH(LEFT(Tasks[[#This Row],[Type]], 3), "Fie", "Field Report", "Con", "Contractor QC", "Gen", "Contractor QC", "Pun", "Contractor QC", "Qua", "Contractor QC", "Fin", "Punch List")</f>
        <v>Contractor QC</v>
      </c>
      <c r="D286" s="15" t="str">
        <f>_xlfn.LET(
_xlpm.leftValue, TRIM(LEFT(Tasks[[#This Row],[Description]], 45)),
IF(LEN(_xlpm.leftValue) &lt; 40, _xlpm.leftValue, _xlfn.CONCAT(_xlpm.leftValue, "…"))
)</f>
        <v>Complete conduit to be able to get ready for…</v>
      </c>
      <c r="E286" s="15" t="str" cm="1">
        <f t="array" ref="E28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86" s="12" t="str">
        <f>IFERROR(MID(Tasks[[#This Row],[Page]], FIND("Level", Tasks[[#This Row],[Page]]), 7), IF(ISNUMBER(FIND("Roof", Tasks[[#This Row],[Page]])), "Roof",  IF(ISNUMBER(FIND("S590", Tasks[[#This Row],[Page]])), "",  IF(ISNUMBER(FIND("Site", Tasks[[#This Row],[Page]])), "", "ERROR"))))</f>
        <v>Level 0</v>
      </c>
      <c r="G286" s="12" t="str">
        <f>IF(Tasks[[#This Row],[Location]]=0, "", Tasks[[#This Row],[Location]])</f>
        <v>052 - Stair Lobby</v>
      </c>
      <c r="H286" s="12" t="str">
        <f>Tasks[[#This Row],[To Package]]</f>
        <v>Electrical</v>
      </c>
      <c r="I286" s="12" t="str">
        <f>Tasks[[#This Row],[To Organisation]]</f>
        <v>Wilkinson Electric Inc</v>
      </c>
    </row>
    <row r="287" spans="1:9" ht="15.5" x14ac:dyDescent="0.35">
      <c r="A287" s="14" t="str">
        <f>HYPERLINK(_xlfn.CONCAT(Edit_URL,Tasks[[#This Row],[Ref]]),Tasks[[#This Row],[Ref]])</f>
        <v>T55794.7</v>
      </c>
      <c r="B287" s="15" t="str" cm="1">
        <f t="array" ref="B287">_xlfn.SWITCH(LEFT(Tasks[[#This Row],[Status]],1),"O","Opened","C","Completed","S","Signed Off", "V", "Signed Off","ERROR")</f>
        <v>Signed Off</v>
      </c>
      <c r="C287" s="15" t="str" cm="1">
        <f t="array" ref="C287">_xlfn.SWITCH(LEFT(Tasks[[#This Row],[Type]], 3), "Fie", "Field Report", "Con", "Contractor QC", "Gen", "Contractor QC", "Pun", "Contractor QC", "Qua", "Contractor QC", "Fin", "Punch List")</f>
        <v>Contractor QC</v>
      </c>
      <c r="D287" s="15" t="str">
        <f>_xlfn.LET(
_xlpm.leftValue, TRIM(LEFT(Tasks[[#This Row],[Description]], 45)),
IF(LEN(_xlpm.leftValue) &lt; 40, _xlpm.leftValue, _xlfn.CONCAT(_xlpm.leftValue, "…"))
)</f>
        <v>Rough in for light sconce and plumbing for va…</v>
      </c>
      <c r="E287" s="15" t="str" cm="1">
        <f t="array" ref="E2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87" s="12" t="str">
        <f>IFERROR(MID(Tasks[[#This Row],[Page]], FIND("Level", Tasks[[#This Row],[Page]]), 7), IF(ISNUMBER(FIND("Roof", Tasks[[#This Row],[Page]])), "Roof",  IF(ISNUMBER(FIND("S590", Tasks[[#This Row],[Page]])), "",  IF(ISNUMBER(FIND("Site", Tasks[[#This Row],[Page]])), "", "ERROR"))))</f>
        <v>Level 1</v>
      </c>
      <c r="G287" s="12" t="str">
        <f>IF(Tasks[[#This Row],[Location]]=0, "", Tasks[[#This Row],[Location]])</f>
        <v>186 - Womens Restroom</v>
      </c>
      <c r="H287" s="12" t="str">
        <f>Tasks[[#This Row],[To Package]]</f>
        <v>Electrical</v>
      </c>
      <c r="I287" s="12" t="str">
        <f>Tasks[[#This Row],[To Organisation]]</f>
        <v>Wilkinson Electric Inc</v>
      </c>
    </row>
    <row r="288" spans="1:9" ht="15.5" x14ac:dyDescent="0.35">
      <c r="A288" s="14" t="str">
        <f>HYPERLINK(_xlfn.CONCAT(Edit_URL,Tasks[[#This Row],[Ref]]),Tasks[[#This Row],[Ref]])</f>
        <v>T74290.155</v>
      </c>
      <c r="B288" s="15" t="str" cm="1">
        <f t="array" ref="B288">_xlfn.SWITCH(LEFT(Tasks[[#This Row],[Status]],1),"O","Opened","C","Completed","S","Signed Off", "V", "Signed Off","ERROR")</f>
        <v>Opened</v>
      </c>
      <c r="C288" s="15" t="str" cm="1">
        <f t="array" ref="C288">_xlfn.SWITCH(LEFT(Tasks[[#This Row],[Type]], 3), "Fie", "Field Report", "Con", "Contractor QC", "Gen", "Contractor QC", "Pun", "Contractor QC", "Qua", "Contractor QC", "Fin", "Punch List")</f>
        <v>Contractor QC</v>
      </c>
      <c r="D288" s="15" t="str">
        <f>_xlfn.LET(
_xlpm.leftValue, TRIM(LEFT(Tasks[[#This Row],[Description]], 45)),
IF(LEN(_xlpm.leftValue) &lt; 40, _xlpm.leftValue, _xlfn.CONCAT(_xlpm.leftValue, "…"))
)</f>
        <v>Remove paint off of pavers</v>
      </c>
      <c r="E288" s="15" t="str" cm="1">
        <f t="array" ref="E288">_xlfn.LET(
_xlpm.inTower, COUNTIF(Tower_Num_Table[Tower Rm Numbers], LEFT(Task_Summary_Table[[#This Row],[Area/Room]], 3)) &gt; 0,
_xlpm.typeResult, _xlfn.SWITCH(LEFT(Tasks[[#This Row],[Page]], 2), "Hi", "Historic", "An", "Annex", "Si", "Site", "S5", "Project Task", "SWITCH ERROR"),
IF(_xlpm.inTower, "West Tower", _xlpm.typeResult)
)</f>
        <v>Site</v>
      </c>
      <c r="F288" s="12" t="str">
        <f>IFERROR(MID(Tasks[[#This Row],[Page]], FIND("Level", Tasks[[#This Row],[Page]]), 7), IF(ISNUMBER(FIND("Roof", Tasks[[#This Row],[Page]])), "Roof",  IF(ISNUMBER(FIND("S590", Tasks[[#This Row],[Page]])), "",  IF(ISNUMBER(FIND("Site", Tasks[[#This Row],[Page]])), "", "ERROR"))))</f>
        <v/>
      </c>
      <c r="G288" s="12" t="str">
        <f>IF(Tasks[[#This Row],[Location]]=0, "", Tasks[[#This Row],[Location]])</f>
        <v>Site Area H</v>
      </c>
      <c r="H288" s="12" t="str">
        <f>Tasks[[#This Row],[To Package]]</f>
        <v>Paint</v>
      </c>
      <c r="I288" s="12" t="str">
        <f>Tasks[[#This Row],[To Organisation]]</f>
        <v>Accent Painting and Special Coatings, LLC</v>
      </c>
    </row>
    <row r="289" spans="1:9" ht="15.5" x14ac:dyDescent="0.35">
      <c r="A289" s="14" t="str">
        <f>HYPERLINK(_xlfn.CONCAT(Edit_URL,Tasks[[#This Row],[Ref]]),Tasks[[#This Row],[Ref]])</f>
        <v>T74291.1</v>
      </c>
      <c r="B289" s="15" t="str" cm="1">
        <f t="array" ref="B289">_xlfn.SWITCH(LEFT(Tasks[[#This Row],[Status]],1),"O","Opened","C","Completed","S","Signed Off", "V", "Signed Off","ERROR")</f>
        <v>Opened</v>
      </c>
      <c r="C289" s="15" t="str" cm="1">
        <f t="array" ref="C289">_xlfn.SWITCH(LEFT(Tasks[[#This Row],[Type]], 3), "Fie", "Field Report", "Con", "Contractor QC", "Gen", "Contractor QC", "Pun", "Contractor QC", "Qua", "Contractor QC", "Fin", "Punch List")</f>
        <v>Contractor QC</v>
      </c>
      <c r="D289" s="15" t="str">
        <f>_xlfn.LET(
_xlpm.leftValue, TRIM(LEFT(Tasks[[#This Row],[Description]], 45)),
IF(LEN(_xlpm.leftValue) &lt; 40, _xlpm.leftValue, _xlfn.CONCAT(_xlpm.leftValue, "…"))
)</f>
        <v>Plumbing access cabinet for instruction sinks…</v>
      </c>
      <c r="E289" s="15" t="str" cm="1">
        <f t="array" ref="E289">_xlfn.LET(
_xlpm.inTower, COUNTIF(Tower_Num_Table[Tower Rm Numbers], LEFT(Task_Summary_Table[[#This Row],[Area/Room]], 3)) &gt; 0,
_xlpm.typeResult, _xlfn.SWITCH(LEFT(Tasks[[#This Row],[Page]], 2), "Hi", "Historic", "An", "Annex", "Si", "Site", "S5", "Project Task", "SWITCH ERROR"),
IF(_xlpm.inTower, "West Tower", _xlpm.typeResult)
)</f>
        <v>Historic</v>
      </c>
      <c r="F289" s="12" t="str">
        <f>IFERROR(MID(Tasks[[#This Row],[Page]], FIND("Level", Tasks[[#This Row],[Page]]), 7), IF(ISNUMBER(FIND("Roof", Tasks[[#This Row],[Page]])), "Roof",  IF(ISNUMBER(FIND("S590", Tasks[[#This Row],[Page]])), "",  IF(ISNUMBER(FIND("Site", Tasks[[#This Row],[Page]])), "", "ERROR"))))</f>
        <v>Level 3</v>
      </c>
      <c r="G289" s="12" t="str">
        <f>IF(Tasks[[#This Row],[Location]]=0, "", Tasks[[#This Row],[Location]])</f>
        <v>313 - Instruction Womens</v>
      </c>
      <c r="H289" s="12" t="str">
        <f>Tasks[[#This Row],[To Package]]</f>
        <v>Westland -- Historic</v>
      </c>
      <c r="I289" s="12" t="str">
        <f>Tasks[[#This Row],[To Organisation]]</f>
        <v>Westland Construction, Inc.</v>
      </c>
    </row>
    <row r="290" spans="1:9" ht="15.5" x14ac:dyDescent="0.35">
      <c r="A290" s="14" t="str">
        <f>HYPERLINK(_xlfn.CONCAT(Edit_URL,Tasks[[#This Row],[Ref]]),Tasks[[#This Row],[Ref]])</f>
        <v>T74290.22</v>
      </c>
      <c r="B290" s="15" t="str" cm="1">
        <f t="array" ref="B290">_xlfn.SWITCH(LEFT(Tasks[[#This Row],[Status]],1),"O","Opened","C","Completed","S","Signed Off", "V", "Signed Off","ERROR")</f>
        <v>Completed</v>
      </c>
      <c r="C290" s="15" t="str" cm="1">
        <f t="array" ref="C290">_xlfn.SWITCH(LEFT(Tasks[[#This Row],[Type]], 3), "Fie", "Field Report", "Con", "Contractor QC", "Gen", "Contractor QC", "Pun", "Contractor QC", "Qua", "Contractor QC", "Fin", "Punch List")</f>
        <v>Contractor QC</v>
      </c>
      <c r="D290" s="15" t="str">
        <f>_xlfn.LET(
_xlpm.leftValue, TRIM(LEFT(Tasks[[#This Row],[Description]], 45)),
IF(LEN(_xlpm.leftValue) &lt; 40, _xlpm.leftValue, _xlfn.CONCAT(_xlpm.leftValue, "…"))
)</f>
        <v>Patch roof for possible punctures￼</v>
      </c>
      <c r="E290" s="15" t="str" cm="1">
        <f t="array" ref="E290">_xlfn.LET(
_xlpm.inTower, COUNTIF(Tower_Num_Table[Tower Rm Numbers], LEFT(Task_Summary_Table[[#This Row],[Area/Room]], 3)) &gt; 0,
_xlpm.typeResult, _xlfn.SWITCH(LEFT(Tasks[[#This Row],[Page]], 2), "Hi", "Historic", "An", "Annex", "Si", "Site", "S5", "Project Task", "SWITCH ERROR"),
IF(_xlpm.inTower, "West Tower", _xlpm.typeResult)
)</f>
        <v>Historic</v>
      </c>
      <c r="F290" s="12" t="str">
        <f>IFERROR(MID(Tasks[[#This Row],[Page]], FIND("Level", Tasks[[#This Row],[Page]]), 7), IF(ISNUMBER(FIND("Roof", Tasks[[#This Row],[Page]])), "Roof",  IF(ISNUMBER(FIND("S590", Tasks[[#This Row],[Page]])), "",  IF(ISNUMBER(FIND("Site", Tasks[[#This Row],[Page]])), "", "ERROR"))))</f>
        <v>Roof</v>
      </c>
      <c r="G290" s="12" t="str">
        <f>IF(Tasks[[#This Row],[Location]]=0, "", Tasks[[#This Row],[Location]])</f>
        <v>Main Roof Area</v>
      </c>
      <c r="H290" s="12" t="str">
        <f>Tasks[[#This Row],[To Package]]</f>
        <v>Roofing</v>
      </c>
      <c r="I290" s="12" t="str">
        <f>Tasks[[#This Row],[To Organisation]]</f>
        <v>Broken Arrow Construction Corporation</v>
      </c>
    </row>
    <row r="291" spans="1:9" ht="15.5" x14ac:dyDescent="0.35">
      <c r="A291" s="14" t="str">
        <f>HYPERLINK(_xlfn.CONCAT(Edit_URL,Tasks[[#This Row],[Ref]]),Tasks[[#This Row],[Ref]])</f>
        <v>T74290.118</v>
      </c>
      <c r="B291" s="15" t="str" cm="1">
        <f t="array" ref="B291">_xlfn.SWITCH(LEFT(Tasks[[#This Row],[Status]],1),"O","Opened","C","Completed","S","Signed Off", "V", "Signed Off","ERROR")</f>
        <v>Completed</v>
      </c>
      <c r="C291" s="15" t="str" cm="1">
        <f t="array" ref="C291">_xlfn.SWITCH(LEFT(Tasks[[#This Row],[Type]], 3), "Fie", "Field Report", "Con", "Contractor QC", "Gen", "Contractor QC", "Pun", "Contractor QC", "Qua", "Contractor QC", "Fin", "Punch List")</f>
        <v>Contractor QC</v>
      </c>
      <c r="D291" s="15" t="str">
        <f>_xlfn.LET(
_xlpm.leftValue, TRIM(LEFT(Tasks[[#This Row],[Description]], 45)),
IF(LEN(_xlpm.leftValue) &lt; 40, _xlpm.leftValue, _xlfn.CONCAT(_xlpm.leftValue, "…"))
)</f>
        <v>North Entry 101 framing at the tri arched win…</v>
      </c>
      <c r="E291" s="15" t="str" cm="1">
        <f t="array" ref="E291">_xlfn.LET(
_xlpm.inTower, COUNTIF(Tower_Num_Table[Tower Rm Numbers], LEFT(Task_Summary_Table[[#This Row],[Area/Room]], 3)) &gt; 0,
_xlpm.typeResult, _xlfn.SWITCH(LEFT(Tasks[[#This Row],[Page]], 2), "Hi", "Historic", "An", "Annex", "Si", "Site", "S5", "Project Task", "SWITCH ERROR"),
IF(_xlpm.inTower, "West Tower", _xlpm.typeResult)
)</f>
        <v>Annex</v>
      </c>
      <c r="F291" s="12" t="str">
        <f>IFERROR(MID(Tasks[[#This Row],[Page]], FIND("Level", Tasks[[#This Row],[Page]]), 7), IF(ISNUMBER(FIND("Roof", Tasks[[#This Row],[Page]])), "Roof",  IF(ISNUMBER(FIND("S590", Tasks[[#This Row],[Page]])), "",  IF(ISNUMBER(FIND("Site", Tasks[[#This Row],[Page]])), "", "ERROR"))))</f>
        <v>Level 1</v>
      </c>
      <c r="G291" s="12" t="str">
        <f>IF(Tasks[[#This Row],[Location]]=0, "", Tasks[[#This Row],[Location]])</f>
        <v>101 - Entry</v>
      </c>
      <c r="H291" s="12" t="str">
        <f>Tasks[[#This Row],[To Package]]</f>
        <v>Metal Stud / Drywall</v>
      </c>
      <c r="I291" s="12" t="str">
        <f>Tasks[[#This Row],[To Organisation]]</f>
        <v>Pete King Construction</v>
      </c>
    </row>
    <row r="292" spans="1:9" ht="15.5" x14ac:dyDescent="0.35">
      <c r="A292" s="14" t="str">
        <f>HYPERLINK(_xlfn.CONCAT(Edit_URL,Tasks[[#This Row],[Ref]]),Tasks[[#This Row],[Ref]])</f>
        <v>T55794.12</v>
      </c>
      <c r="B292" s="15" t="str" cm="1">
        <f t="array" ref="B292">_xlfn.SWITCH(LEFT(Tasks[[#This Row],[Status]],1),"O","Opened","C","Completed","S","Signed Off", "V", "Signed Off","ERROR")</f>
        <v>Opened</v>
      </c>
      <c r="C292" s="15" t="str" cm="1">
        <f t="array" ref="C292">_xlfn.SWITCH(LEFT(Tasks[[#This Row],[Type]], 3), "Fie", "Field Report", "Con", "Contractor QC", "Gen", "Contractor QC", "Pun", "Contractor QC", "Qua", "Contractor QC", "Fin", "Punch List")</f>
        <v>Contractor QC</v>
      </c>
      <c r="D292" s="15" t="str">
        <f>_xlfn.LET(
_xlpm.leftValue, TRIM(LEFT(Tasks[[#This Row],[Description]], 45)),
IF(LEN(_xlpm.leftValue) &lt; 40, _xlpm.leftValue, _xlfn.CONCAT(_xlpm.leftValue, "…"))
)</f>
        <v>duct insulation at barrel ceiling needs to be…</v>
      </c>
      <c r="E292" s="15" t="str" cm="1">
        <f t="array" ref="E292">_xlfn.LET(
_xlpm.inTower, COUNTIF(Tower_Num_Table[Tower Rm Numbers], LEFT(Task_Summary_Table[[#This Row],[Area/Room]], 3)) &gt; 0,
_xlpm.typeResult, _xlfn.SWITCH(LEFT(Tasks[[#This Row],[Page]], 2), "Hi", "Historic", "An", "Annex", "Si", "Site", "S5", "Project Task", "SWITCH ERROR"),
IF(_xlpm.inTower, "West Tower", _xlpm.typeResult)
)</f>
        <v>Historic</v>
      </c>
      <c r="F292" s="12" t="str">
        <f>IFERROR(MID(Tasks[[#This Row],[Page]], FIND("Level", Tasks[[#This Row],[Page]]), 7), IF(ISNUMBER(FIND("Roof", Tasks[[#This Row],[Page]])), "Roof",  IF(ISNUMBER(FIND("S590", Tasks[[#This Row],[Page]])), "",  IF(ISNUMBER(FIND("Site", Tasks[[#This Row],[Page]])), "", "ERROR"))))</f>
        <v>Level 2</v>
      </c>
      <c r="G292" s="12" t="str">
        <f>IF(Tasks[[#This Row],[Location]]=0, "", Tasks[[#This Row],[Location]])</f>
        <v>209 - Instruction Room A-2</v>
      </c>
      <c r="H292" s="12" t="str">
        <f>Tasks[[#This Row],[To Package]]</f>
        <v>HVAC</v>
      </c>
      <c r="I292" s="12" t="str">
        <f>Tasks[[#This Row],[To Organisation]]</f>
        <v>US Mechanical</v>
      </c>
    </row>
    <row r="293" spans="1:9" ht="15.5" x14ac:dyDescent="0.35">
      <c r="A293" s="14" t="str">
        <f>HYPERLINK(_xlfn.CONCAT(Edit_URL,Tasks[[#This Row],[Ref]]),Tasks[[#This Row],[Ref]])</f>
        <v>T74290.153</v>
      </c>
      <c r="B293" s="15" t="str" cm="1">
        <f t="array" ref="B293">_xlfn.SWITCH(LEFT(Tasks[[#This Row],[Status]],1),"O","Opened","C","Completed","S","Signed Off", "V", "Signed Off","ERROR")</f>
        <v>Opened</v>
      </c>
      <c r="C293" s="15" t="str" cm="1">
        <f t="array" ref="C293">_xlfn.SWITCH(LEFT(Tasks[[#This Row],[Type]], 3), "Fie", "Field Report", "Con", "Contractor QC", "Gen", "Contractor QC", "Pun", "Contractor QC", "Qua", "Contractor QC", "Fin", "Punch List")</f>
        <v>Contractor QC</v>
      </c>
      <c r="D293" s="15" t="str">
        <f>_xlfn.LET(
_xlpm.leftValue, TRIM(LEFT(Tasks[[#This Row],[Description]], 45)),
IF(LEN(_xlpm.leftValue) &lt; 40, _xlpm.leftValue, _xlfn.CONCAT(_xlpm.leftValue, "…"))
)</f>
        <v>Complete painting trim</v>
      </c>
      <c r="E293" s="15" t="str" cm="1">
        <f t="array" ref="E293">_xlfn.LET(
_xlpm.inTower, COUNTIF(Tower_Num_Table[Tower Rm Numbers], LEFT(Task_Summary_Table[[#This Row],[Area/Room]], 3)) &gt; 0,
_xlpm.typeResult, _xlfn.SWITCH(LEFT(Tasks[[#This Row],[Page]], 2), "Hi", "Historic", "An", "Annex", "Si", "Site", "S5", "Project Task", "SWITCH ERROR"),
IF(_xlpm.inTower, "West Tower", _xlpm.typeResult)
)</f>
        <v>Historic</v>
      </c>
      <c r="F293" s="12" t="str">
        <f>IFERROR(MID(Tasks[[#This Row],[Page]], FIND("Level", Tasks[[#This Row],[Page]]), 7), IF(ISNUMBER(FIND("Roof", Tasks[[#This Row],[Page]])), "Roof",  IF(ISNUMBER(FIND("S590", Tasks[[#This Row],[Page]])), "",  IF(ISNUMBER(FIND("Site", Tasks[[#This Row],[Page]])), "", "ERROR"))))</f>
        <v>Level 5</v>
      </c>
      <c r="G293" s="12" t="str">
        <f>IF(Tasks[[#This Row],[Location]]=0, "", Tasks[[#This Row],[Location]])</f>
        <v/>
      </c>
      <c r="H293" s="12" t="str">
        <f>Tasks[[#This Row],[To Package]]</f>
        <v>Paint</v>
      </c>
      <c r="I293" s="12" t="str">
        <f>Tasks[[#This Row],[To Organisation]]</f>
        <v>Accent Painting and Special Coatings, LLC</v>
      </c>
    </row>
    <row r="294" spans="1:9" ht="15.5" x14ac:dyDescent="0.35">
      <c r="A294" s="14" t="str">
        <f>HYPERLINK(_xlfn.CONCAT(Edit_URL,Tasks[[#This Row],[Ref]]),Tasks[[#This Row],[Ref]])</f>
        <v>T74290.151</v>
      </c>
      <c r="B294" s="15" t="str" cm="1">
        <f t="array" ref="B294">_xlfn.SWITCH(LEFT(Tasks[[#This Row],[Status]],1),"O","Opened","C","Completed","S","Signed Off", "V", "Signed Off","ERROR")</f>
        <v>Opened</v>
      </c>
      <c r="C294" s="15" t="str" cm="1">
        <f t="array" ref="C294">_xlfn.SWITCH(LEFT(Tasks[[#This Row],[Type]], 3), "Fie", "Field Report", "Con", "Contractor QC", "Gen", "Contractor QC", "Pun", "Contractor QC", "Qua", "Contractor QC", "Fin", "Punch List")</f>
        <v>Contractor QC</v>
      </c>
      <c r="D294" s="15" t="str">
        <f>_xlfn.LET(
_xlpm.leftValue, TRIM(LEFT(Tasks[[#This Row],[Description]], 45)),
IF(LEN(_xlpm.leftValue) &lt; 40, _xlpm.leftValue, _xlfn.CONCAT(_xlpm.leftValue, "…"))
)</f>
        <v>Install exit sign</v>
      </c>
      <c r="E294" s="15" t="str" cm="1">
        <f t="array" ref="E294">_xlfn.LET(
_xlpm.inTower, COUNTIF(Tower_Num_Table[Tower Rm Numbers], LEFT(Task_Summary_Table[[#This Row],[Area/Room]], 3)) &gt; 0,
_xlpm.typeResult, _xlfn.SWITCH(LEFT(Tasks[[#This Row],[Page]], 2), "Hi", "Historic", "An", "Annex", "Si", "Site", "S5", "Project Task", "SWITCH ERROR"),
IF(_xlpm.inTower, "West Tower", _xlpm.typeResult)
)</f>
        <v>Historic</v>
      </c>
      <c r="F294" s="12" t="str">
        <f>IFERROR(MID(Tasks[[#This Row],[Page]], FIND("Level", Tasks[[#This Row],[Page]]), 7), IF(ISNUMBER(FIND("Roof", Tasks[[#This Row],[Page]])), "Roof",  IF(ISNUMBER(FIND("S590", Tasks[[#This Row],[Page]])), "",  IF(ISNUMBER(FIND("Site", Tasks[[#This Row],[Page]])), "", "ERROR"))))</f>
        <v>Level 5</v>
      </c>
      <c r="G294" s="12" t="str">
        <f>IF(Tasks[[#This Row],[Location]]=0, "", Tasks[[#This Row],[Location]])</f>
        <v/>
      </c>
      <c r="H294" s="12" t="str">
        <f>Tasks[[#This Row],[To Package]]</f>
        <v>Electrical</v>
      </c>
      <c r="I294" s="12" t="str">
        <f>Tasks[[#This Row],[To Organisation]]</f>
        <v>Wilkinson Electric Inc</v>
      </c>
    </row>
    <row r="295" spans="1:9" ht="15.5" x14ac:dyDescent="0.35">
      <c r="A295" s="14" t="str">
        <f>HYPERLINK(_xlfn.CONCAT(Edit_URL,Tasks[[#This Row],[Ref]]),Tasks[[#This Row],[Ref]])</f>
        <v>T74290.137</v>
      </c>
      <c r="B295" s="15" t="str" cm="1">
        <f t="array" ref="B295">_xlfn.SWITCH(LEFT(Tasks[[#This Row],[Status]],1),"O","Opened","C","Completed","S","Signed Off", "V", "Signed Off","ERROR")</f>
        <v>Opened</v>
      </c>
      <c r="C295" s="15" t="str" cm="1">
        <f t="array" ref="C295">_xlfn.SWITCH(LEFT(Tasks[[#This Row],[Type]], 3), "Fie", "Field Report", "Con", "Contractor QC", "Gen", "Contractor QC", "Pun", "Contractor QC", "Qua", "Contractor QC", "Fin", "Punch List")</f>
        <v>Contractor QC</v>
      </c>
      <c r="D295" s="15" t="str">
        <f>_xlfn.LET(
_xlpm.leftValue, TRIM(LEFT(Tasks[[#This Row],[Description]], 45)),
IF(LEN(_xlpm.leftValue) &lt; 40, _xlpm.leftValue, _xlfn.CONCAT(_xlpm.leftValue, "…"))
)</f>
        <v>Replace finish trim for can lights over cloth…</v>
      </c>
      <c r="E295" s="15" t="str" cm="1">
        <f t="array" ref="E295">_xlfn.LET(
_xlpm.inTower, COUNTIF(Tower_Num_Table[Tower Rm Numbers], LEFT(Task_Summary_Table[[#This Row],[Area/Room]], 3)) &gt; 0,
_xlpm.typeResult, _xlfn.SWITCH(LEFT(Tasks[[#This Row],[Page]], 2), "Hi", "Historic", "An", "Annex", "Si", "Site", "S5", "Project Task", "SWITCH ERROR"),
IF(_xlpm.inTower, "West Tower", _xlpm.typeResult)
)</f>
        <v>Annex</v>
      </c>
      <c r="F295" s="12" t="str">
        <f>IFERROR(MID(Tasks[[#This Row],[Page]], FIND("Level", Tasks[[#This Row],[Page]]), 7), IF(ISNUMBER(FIND("Roof", Tasks[[#This Row],[Page]])), "Roof",  IF(ISNUMBER(FIND("S590", Tasks[[#This Row],[Page]])), "",  IF(ISNUMBER(FIND("Site", Tasks[[#This Row],[Page]])), "", "ERROR"))))</f>
        <v>Level 1</v>
      </c>
      <c r="G295" s="12" t="str">
        <f>IF(Tasks[[#This Row],[Location]]=0, "", Tasks[[#This Row],[Location]])</f>
        <v/>
      </c>
      <c r="H295" s="12" t="str">
        <f>Tasks[[#This Row],[To Package]]</f>
        <v>Electrical</v>
      </c>
      <c r="I295" s="12" t="str">
        <f>Tasks[[#This Row],[To Organisation]]</f>
        <v>Wilkinson Electric Inc</v>
      </c>
    </row>
    <row r="296" spans="1:9" ht="15.5" x14ac:dyDescent="0.35">
      <c r="A296" s="14" t="str">
        <f>HYPERLINK(_xlfn.CONCAT(Edit_URL,Tasks[[#This Row],[Ref]]),Tasks[[#This Row],[Ref]])</f>
        <v>T74290.15</v>
      </c>
      <c r="B296" s="15" t="str" cm="1">
        <f t="array" ref="B296">_xlfn.SWITCH(LEFT(Tasks[[#This Row],[Status]],1),"O","Opened","C","Completed","S","Signed Off", "V", "Signed Off","ERROR")</f>
        <v>Opened</v>
      </c>
      <c r="C296" s="15" t="str" cm="1">
        <f t="array" ref="C296">_xlfn.SWITCH(LEFT(Tasks[[#This Row],[Type]], 3), "Fie", "Field Report", "Con", "Contractor QC", "Gen", "Contractor QC", "Pun", "Contractor QC", "Qua", "Contractor QC", "Fin", "Punch List")</f>
        <v>Contractor QC</v>
      </c>
      <c r="D296" s="15" t="str">
        <f>_xlfn.LET(
_xlpm.leftValue, TRIM(LEFT(Tasks[[#This Row],[Description]], 45)),
IF(LEN(_xlpm.leftValue) &lt; 40, _xlpm.leftValue, _xlfn.CONCAT(_xlpm.leftValue, "…"))
)</f>
        <v>Spire needs final coat of paint</v>
      </c>
      <c r="E296" s="15" t="str" cm="1">
        <f t="array" ref="E296">_xlfn.LET(
_xlpm.inTower, COUNTIF(Tower_Num_Table[Tower Rm Numbers], LEFT(Task_Summary_Table[[#This Row],[Area/Room]], 3)) &gt; 0,
_xlpm.typeResult, _xlfn.SWITCH(LEFT(Tasks[[#This Row],[Page]], 2), "Hi", "Historic", "An", "Annex", "Si", "Site", "S5", "Project Task", "SWITCH ERROR"),
IF(_xlpm.inTower, "West Tower", _xlpm.typeResult)
)</f>
        <v>Historic</v>
      </c>
      <c r="F296" s="12" t="str">
        <f>IFERROR(MID(Tasks[[#This Row],[Page]], FIND("Level", Tasks[[#This Row],[Page]]), 7), IF(ISNUMBER(FIND("Roof", Tasks[[#This Row],[Page]])), "Roof",  IF(ISNUMBER(FIND("S590", Tasks[[#This Row],[Page]])), "",  IF(ISNUMBER(FIND("Site", Tasks[[#This Row],[Page]])), "", "ERROR"))))</f>
        <v>Roof</v>
      </c>
      <c r="G296" s="12" t="str">
        <f>IF(Tasks[[#This Row],[Location]]=0, "", Tasks[[#This Row],[Location]])</f>
        <v>Spire Roof Area</v>
      </c>
      <c r="H296" s="12" t="str">
        <f>Tasks[[#This Row],[To Package]]</f>
        <v>Paint</v>
      </c>
      <c r="I296" s="12" t="str">
        <f>Tasks[[#This Row],[To Organisation]]</f>
        <v>Accent Painting and Special Coatings, LLC</v>
      </c>
    </row>
    <row r="297" spans="1:9" ht="15.5" x14ac:dyDescent="0.35">
      <c r="A297" s="14" t="str">
        <f>HYPERLINK(_xlfn.CONCAT(Edit_URL,Tasks[[#This Row],[Ref]]),Tasks[[#This Row],[Ref]])</f>
        <v>T74290.87</v>
      </c>
      <c r="B297" s="15" t="str" cm="1">
        <f t="array" ref="B297">_xlfn.SWITCH(LEFT(Tasks[[#This Row],[Status]],1),"O","Opened","C","Completed","S","Signed Off", "V", "Signed Off","ERROR")</f>
        <v>Opened</v>
      </c>
      <c r="C297" s="15" t="str" cm="1">
        <f t="array" ref="C297">_xlfn.SWITCH(LEFT(Tasks[[#This Row],[Type]], 3), "Fie", "Field Report", "Con", "Contractor QC", "Gen", "Contractor QC", "Pun", "Contractor QC", "Qua", "Contractor QC", "Fin", "Punch List")</f>
        <v>Contractor QC</v>
      </c>
      <c r="D297" s="15" t="str">
        <f>_xlfn.LET(
_xlpm.leftValue, TRIM(LEFT(Tasks[[#This Row],[Description]], 45)),
IF(LEN(_xlpm.leftValue) &lt; 40, _xlpm.leftValue, _xlfn.CONCAT(_xlpm.leftValue, "…"))
)</f>
        <v>Straighten reveal along entablature on both n…</v>
      </c>
      <c r="E297" s="15" t="str" cm="1">
        <f t="array" ref="E297">_xlfn.LET(
_xlpm.inTower, COUNTIF(Tower_Num_Table[Tower Rm Numbers], LEFT(Task_Summary_Table[[#This Row],[Area/Room]], 3)) &gt; 0,
_xlpm.typeResult, _xlfn.SWITCH(LEFT(Tasks[[#This Row],[Page]], 2), "Hi", "Historic", "An", "Annex", "Si", "Site", "S5", "Project Task", "SWITCH ERROR"),
IF(_xlpm.inTower, "West Tower", _xlpm.typeResult)
)</f>
        <v>Historic</v>
      </c>
      <c r="F297" s="12" t="str">
        <f>IFERROR(MID(Tasks[[#This Row],[Page]], FIND("Level", Tasks[[#This Row],[Page]]), 7), IF(ISNUMBER(FIND("Roof", Tasks[[#This Row],[Page]])), "Roof",  IF(ISNUMBER(FIND("S590", Tasks[[#This Row],[Page]])), "",  IF(ISNUMBER(FIND("Site", Tasks[[#This Row],[Page]])), "", "ERROR"))))</f>
        <v>Level 4</v>
      </c>
      <c r="G297" s="12" t="str">
        <f>IF(Tasks[[#This Row],[Location]]=0, "", Tasks[[#This Row],[Location]])</f>
        <v>408 - Assembly Room</v>
      </c>
      <c r="H297" s="12" t="str">
        <f>Tasks[[#This Row],[To Package]]</f>
        <v>GFRG</v>
      </c>
      <c r="I297" s="12" t="str">
        <f>Tasks[[#This Row],[To Organisation]]</f>
        <v>Pete King Construction</v>
      </c>
    </row>
    <row r="298" spans="1:9" ht="15.5" x14ac:dyDescent="0.35">
      <c r="A298" s="14" t="str">
        <f>HYPERLINK(_xlfn.CONCAT(Edit_URL,Tasks[[#This Row],[Ref]]),Tasks[[#This Row],[Ref]])</f>
        <v>T74290.88</v>
      </c>
      <c r="B298" s="15" t="str" cm="1">
        <f t="array" ref="B298">_xlfn.SWITCH(LEFT(Tasks[[#This Row],[Status]],1),"O","Opened","C","Completed","S","Signed Off", "V", "Signed Off","ERROR")</f>
        <v>Opened</v>
      </c>
      <c r="C298" s="15" t="str" cm="1">
        <f t="array" ref="C298">_xlfn.SWITCH(LEFT(Tasks[[#This Row],[Type]], 3), "Fie", "Field Report", "Con", "Contractor QC", "Gen", "Contractor QC", "Pun", "Contractor QC", "Qua", "Contractor QC", "Fin", "Punch List")</f>
        <v>Contractor QC</v>
      </c>
      <c r="D298" s="15" t="str">
        <f>_xlfn.LET(
_xlpm.leftValue, TRIM(LEFT(Tasks[[#This Row],[Description]], 45)),
IF(LEN(_xlpm.leftValue) &lt; 40, _xlpm.leftValue, _xlfn.CONCAT(_xlpm.leftValue, "…"))
)</f>
        <v>Need to frame in access panel￼</v>
      </c>
      <c r="E298" s="15" t="str" cm="1">
        <f t="array" ref="E298">_xlfn.LET(
_xlpm.inTower, COUNTIF(Tower_Num_Table[Tower Rm Numbers], LEFT(Task_Summary_Table[[#This Row],[Area/Room]], 3)) &gt; 0,
_xlpm.typeResult, _xlfn.SWITCH(LEFT(Tasks[[#This Row],[Page]], 2), "Hi", "Historic", "An", "Annex", "Si", "Site", "S5", "Project Task", "SWITCH ERROR"),
IF(_xlpm.inTower, "West Tower", _xlpm.typeResult)
)</f>
        <v>Historic</v>
      </c>
      <c r="F298" s="12" t="str">
        <f>IFERROR(MID(Tasks[[#This Row],[Page]], FIND("Level", Tasks[[#This Row],[Page]]), 7), IF(ISNUMBER(FIND("Roof", Tasks[[#This Row],[Page]])), "Roof",  IF(ISNUMBER(FIND("S590", Tasks[[#This Row],[Page]])), "",  IF(ISNUMBER(FIND("Site", Tasks[[#This Row],[Page]])), "", "ERROR"))))</f>
        <v>Level 0</v>
      </c>
      <c r="G298" s="12" t="str">
        <f>IF(Tasks[[#This Row],[Location]]=0, "", Tasks[[#This Row],[Location]])</f>
        <v>STAIR 10</v>
      </c>
      <c r="H298" s="12" t="str">
        <f>Tasks[[#This Row],[To Package]]</f>
        <v>Metal Stud / Drywall</v>
      </c>
      <c r="I298" s="12" t="str">
        <f>Tasks[[#This Row],[To Organisation]]</f>
        <v>Pete King Construction</v>
      </c>
    </row>
    <row r="299" spans="1:9" ht="15.5" x14ac:dyDescent="0.35">
      <c r="A299" s="14" t="str">
        <f>HYPERLINK(_xlfn.CONCAT(Edit_URL,Tasks[[#This Row],[Ref]]),Tasks[[#This Row],[Ref]])</f>
        <v>T74290.97</v>
      </c>
      <c r="B299" s="15" t="str" cm="1">
        <f t="array" ref="B299">_xlfn.SWITCH(LEFT(Tasks[[#This Row],[Status]],1),"O","Opened","C","Completed","S","Signed Off", "V", "Signed Off","ERROR")</f>
        <v>Opened</v>
      </c>
      <c r="C299" s="15" t="str" cm="1">
        <f t="array" ref="C299">_xlfn.SWITCH(LEFT(Tasks[[#This Row],[Type]], 3), "Fie", "Field Report", "Con", "Contractor QC", "Gen", "Contractor QC", "Pun", "Contractor QC", "Qua", "Contractor QC", "Fin", "Punch List")</f>
        <v>Contractor QC</v>
      </c>
      <c r="D299" s="15" t="str">
        <f>_xlfn.LET(
_xlpm.leftValue, TRIM(LEFT(Tasks[[#This Row],[Description]], 45)),
IF(LEN(_xlpm.leftValue) &lt; 40, _xlpm.leftValue, _xlfn.CONCAT(_xlpm.leftValue, "…"))
)</f>
        <v>Remove paint off of finished cabinetry. Remov…</v>
      </c>
      <c r="E299" s="15" t="str" cm="1">
        <f t="array" ref="E299">_xlfn.LET(
_xlpm.inTower, COUNTIF(Tower_Num_Table[Tower Rm Numbers], LEFT(Task_Summary_Table[[#This Row],[Area/Room]], 3)) &gt; 0,
_xlpm.typeResult, _xlfn.SWITCH(LEFT(Tasks[[#This Row],[Page]], 2), "Hi", "Historic", "An", "Annex", "Si", "Site", "S5", "Project Task", "SWITCH ERROR"),
IF(_xlpm.inTower, "West Tower", _xlpm.typeResult)
)</f>
        <v>Annex</v>
      </c>
      <c r="F299" s="12" t="str">
        <f>IFERROR(MID(Tasks[[#This Row],[Page]], FIND("Level", Tasks[[#This Row],[Page]]), 7), IF(ISNUMBER(FIND("Roof", Tasks[[#This Row],[Page]])), "Roof",  IF(ISNUMBER(FIND("S590", Tasks[[#This Row],[Page]])), "",  IF(ISNUMBER(FIND("Site", Tasks[[#This Row],[Page]])), "", "ERROR"))))</f>
        <v>Level 0</v>
      </c>
      <c r="G299" s="12" t="str">
        <f>IF(Tasks[[#This Row],[Location]]=0, "", Tasks[[#This Row],[Location]])</f>
        <v>015 - WORKER TRAINING</v>
      </c>
      <c r="H299" s="12" t="str">
        <f>Tasks[[#This Row],[To Package]]</f>
        <v>Paint</v>
      </c>
      <c r="I299" s="12" t="str">
        <f>Tasks[[#This Row],[To Organisation]]</f>
        <v>Accent Painting and Special Coatings, LLC</v>
      </c>
    </row>
    <row r="300" spans="1:9" ht="15.5" x14ac:dyDescent="0.35">
      <c r="A300" s="14" t="str">
        <f>HYPERLINK(_xlfn.CONCAT(Edit_URL,Tasks[[#This Row],[Ref]]),Tasks[[#This Row],[Ref]])</f>
        <v>T74290.111</v>
      </c>
      <c r="B300" s="15" t="str" cm="1">
        <f t="array" ref="B300">_xlfn.SWITCH(LEFT(Tasks[[#This Row],[Status]],1),"O","Opened","C","Completed","S","Signed Off", "V", "Signed Off","ERROR")</f>
        <v>Opened</v>
      </c>
      <c r="C300" s="15" t="str" cm="1">
        <f t="array" ref="C300">_xlfn.SWITCH(LEFT(Tasks[[#This Row],[Type]], 3), "Fie", "Field Report", "Con", "Contractor QC", "Gen", "Contractor QC", "Pun", "Contractor QC", "Qua", "Contractor QC", "Fin", "Punch List")</f>
        <v>Contractor QC</v>
      </c>
      <c r="D300" s="15" t="str">
        <f>_xlfn.LET(
_xlpm.leftValue, TRIM(LEFT(Tasks[[#This Row],[Description]], 45)),
IF(LEN(_xlpm.leftValue) &lt; 40, _xlpm.leftValue, _xlfn.CONCAT(_xlpm.leftValue, "…"))
)</f>
        <v>Finish trim between window and sill</v>
      </c>
      <c r="E300" s="15" t="str" cm="1">
        <f t="array" ref="E30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0" s="12" t="str">
        <f>IFERROR(MID(Tasks[[#This Row],[Page]], FIND("Level", Tasks[[#This Row],[Page]]), 7), IF(ISNUMBER(FIND("Roof", Tasks[[#This Row],[Page]])), "Roof",  IF(ISNUMBER(FIND("S590", Tasks[[#This Row],[Page]])), "",  IF(ISNUMBER(FIND("Site", Tasks[[#This Row],[Page]])), "", "ERROR"))))</f>
        <v>Level 3</v>
      </c>
      <c r="G300" s="12" t="str">
        <f>IF(Tasks[[#This Row],[Location]]=0, "", Tasks[[#This Row],[Location]])</f>
        <v>329B - SE Stairs</v>
      </c>
      <c r="H300" s="12" t="str">
        <f>Tasks[[#This Row],[To Package]]</f>
        <v xml:space="preserve">Finish Carpentry </v>
      </c>
      <c r="I300" s="12" t="str">
        <f>Tasks[[#This Row],[To Organisation]]</f>
        <v>Fetzers' Inc.</v>
      </c>
    </row>
    <row r="301" spans="1:9" ht="15.5" x14ac:dyDescent="0.35">
      <c r="A301" s="14" t="str">
        <f>HYPERLINK(_xlfn.CONCAT(Edit_URL,Tasks[[#This Row],[Ref]]),Tasks[[#This Row],[Ref]])</f>
        <v>T74290.21</v>
      </c>
      <c r="B301" s="15" t="str" cm="1">
        <f t="array" ref="B301">_xlfn.SWITCH(LEFT(Tasks[[#This Row],[Status]],1),"O","Opened","C","Completed","S","Signed Off", "V", "Signed Off","ERROR")</f>
        <v>Opened</v>
      </c>
      <c r="C301" s="15" t="str" cm="1">
        <f t="array" ref="C301">_xlfn.SWITCH(LEFT(Tasks[[#This Row],[Type]], 3), "Fie", "Field Report", "Con", "Contractor QC", "Gen", "Contractor QC", "Pun", "Contractor QC", "Qua", "Contractor QC", "Fin", "Punch List")</f>
        <v>Contractor QC</v>
      </c>
      <c r="D301" s="15" t="str">
        <f>_xlfn.LET(
_xlpm.leftValue, TRIM(LEFT(Tasks[[#This Row],[Description]], 45)),
IF(LEN(_xlpm.leftValue) &lt; 40, _xlpm.leftValue, _xlfn.CONCAT(_xlpm.leftValue, "…"))
)</f>
        <v>Repair cuts in roofing membrane on first leve…</v>
      </c>
      <c r="E301" s="15" t="str" cm="1">
        <f t="array" ref="E301">_xlfn.LET(
_xlpm.inTower, COUNTIF(Tower_Num_Table[Tower Rm Numbers], LEFT(Task_Summary_Table[[#This Row],[Area/Room]], 3)) &gt; 0,
_xlpm.typeResult, _xlfn.SWITCH(LEFT(Tasks[[#This Row],[Page]], 2), "Hi", "Historic", "An", "Annex", "Si", "Site", "S5", "Project Task", "SWITCH ERROR"),
IF(_xlpm.inTower, "West Tower", _xlpm.typeResult)
)</f>
        <v>Historic</v>
      </c>
      <c r="F301" s="12" t="str">
        <f>IFERROR(MID(Tasks[[#This Row],[Page]], FIND("Level", Tasks[[#This Row],[Page]]), 7), IF(ISNUMBER(FIND("Roof", Tasks[[#This Row],[Page]])), "Roof",  IF(ISNUMBER(FIND("S590", Tasks[[#This Row],[Page]])), "",  IF(ISNUMBER(FIND("Site", Tasks[[#This Row],[Page]])), "", "ERROR"))))</f>
        <v>Roof</v>
      </c>
      <c r="G301" s="12" t="str">
        <f>IF(Tasks[[#This Row],[Location]]=0, "", Tasks[[#This Row],[Location]])</f>
        <v>Spire Roof Area</v>
      </c>
      <c r="H301" s="12" t="str">
        <f>Tasks[[#This Row],[To Package]]</f>
        <v>Roofing</v>
      </c>
      <c r="I301" s="12" t="str">
        <f>Tasks[[#This Row],[To Organisation]]</f>
        <v>Broken Arrow Construction Corporation</v>
      </c>
    </row>
    <row r="302" spans="1:9" ht="15.5" x14ac:dyDescent="0.35">
      <c r="A302" s="14" t="str">
        <f>HYPERLINK(_xlfn.CONCAT(Edit_URL,Tasks[[#This Row],[Ref]]),Tasks[[#This Row],[Ref]])</f>
        <v>T74290.121</v>
      </c>
      <c r="B302" s="15" t="str" cm="1">
        <f t="array" ref="B302">_xlfn.SWITCH(LEFT(Tasks[[#This Row],[Status]],1),"O","Opened","C","Completed","S","Signed Off", "V", "Signed Off","ERROR")</f>
        <v>Opened</v>
      </c>
      <c r="C302" s="15" t="str" cm="1">
        <f t="array" ref="C302">_xlfn.SWITCH(LEFT(Tasks[[#This Row],[Type]], 3), "Fie", "Field Report", "Con", "Contractor QC", "Gen", "Contractor QC", "Pun", "Contractor QC", "Qua", "Contractor QC", "Fin", "Punch List")</f>
        <v>Contractor QC</v>
      </c>
      <c r="D302" s="15" t="str">
        <f>_xlfn.LET(
_xlpm.leftValue, TRIM(LEFT(Tasks[[#This Row],[Description]], 45)),
IF(LEN(_xlpm.leftValue) &lt; 40, _xlpm.leftValue, _xlfn.CONCAT(_xlpm.leftValue, "…"))
)</f>
        <v>Cap at half wall at stair 4 is to sharp and n…</v>
      </c>
      <c r="E302" s="15" t="str" cm="1">
        <f t="array" ref="E302">_xlfn.LET(
_xlpm.inTower, COUNTIF(Tower_Num_Table[Tower Rm Numbers], LEFT(Task_Summary_Table[[#This Row],[Area/Room]], 3)) &gt; 0,
_xlpm.typeResult, _xlfn.SWITCH(LEFT(Tasks[[#This Row],[Page]], 2), "Hi", "Historic", "An", "Annex", "Si", "Site", "S5", "Project Task", "SWITCH ERROR"),
IF(_xlpm.inTower, "West Tower", _xlpm.typeResult)
)</f>
        <v>Historic</v>
      </c>
      <c r="F302" s="12" t="str">
        <f>IFERROR(MID(Tasks[[#This Row],[Page]], FIND("Level", Tasks[[#This Row],[Page]]), 7), IF(ISNUMBER(FIND("Roof", Tasks[[#This Row],[Page]])), "Roof",  IF(ISNUMBER(FIND("S590", Tasks[[#This Row],[Page]])), "",  IF(ISNUMBER(FIND("Site", Tasks[[#This Row],[Page]])), "", "ERROR"))))</f>
        <v>Level 0</v>
      </c>
      <c r="G302" s="12" t="str">
        <f>IF(Tasks[[#This Row],[Location]]=0, "", Tasks[[#This Row],[Location]])</f>
        <v>067B - LANDING</v>
      </c>
      <c r="H302" s="12" t="str">
        <f>Tasks[[#This Row],[To Package]]</f>
        <v xml:space="preserve">Finish Carpentry </v>
      </c>
      <c r="I302" s="12" t="str">
        <f>Tasks[[#This Row],[To Organisation]]</f>
        <v>Fetzers' Inc.</v>
      </c>
    </row>
    <row r="303" spans="1:9" ht="15.5" x14ac:dyDescent="0.35">
      <c r="A303" s="14" t="str">
        <f>HYPERLINK(_xlfn.CONCAT(Edit_URL,Tasks[[#This Row],[Ref]]),Tasks[[#This Row],[Ref]])</f>
        <v>T74290.123</v>
      </c>
      <c r="B303" s="15" t="str" cm="1">
        <f t="array" ref="B303">_xlfn.SWITCH(LEFT(Tasks[[#This Row],[Status]],1),"O","Opened","C","Completed","S","Signed Off", "V", "Signed Off","ERROR")</f>
        <v>Opened</v>
      </c>
      <c r="C303" s="15" t="str" cm="1">
        <f t="array" ref="C303">_xlfn.SWITCH(LEFT(Tasks[[#This Row],[Type]], 3), "Fie", "Field Report", "Con", "Contractor QC", "Gen", "Contractor QC", "Pun", "Contractor QC", "Qua", "Contractor QC", "Fin", "Punch List")</f>
        <v>Contractor QC</v>
      </c>
      <c r="D303" s="15" t="str">
        <f>_xlfn.LET(
_xlpm.leftValue, TRIM(LEFT(Tasks[[#This Row],[Description]], 45)),
IF(LEN(_xlpm.leftValue) &lt; 40, _xlpm.leftValue, _xlfn.CONCAT(_xlpm.leftValue, "…"))
)</f>
        <v>Lighting canopies have not been centered in t…</v>
      </c>
      <c r="E303" s="15" t="str" cm="1">
        <f t="array" ref="E303">_xlfn.LET(
_xlpm.inTower, COUNTIF(Tower_Num_Table[Tower Rm Numbers], LEFT(Task_Summary_Table[[#This Row],[Area/Room]], 3)) &gt; 0,
_xlpm.typeResult, _xlfn.SWITCH(LEFT(Tasks[[#This Row],[Page]], 2), "Hi", "Historic", "An", "Annex", "Si", "Site", "S5", "Project Task", "SWITCH ERROR"),
IF(_xlpm.inTower, "West Tower", _xlpm.typeResult)
)</f>
        <v>Historic</v>
      </c>
      <c r="F303" s="12" t="str">
        <f>IFERROR(MID(Tasks[[#This Row],[Page]], FIND("Level", Tasks[[#This Row],[Page]]), 7), IF(ISNUMBER(FIND("Roof", Tasks[[#This Row],[Page]])), "Roof",  IF(ISNUMBER(FIND("S590", Tasks[[#This Row],[Page]])), "",  IF(ISNUMBER(FIND("Site", Tasks[[#This Row],[Page]])), "", "ERROR"))))</f>
        <v>Level 4</v>
      </c>
      <c r="G303" s="12" t="str">
        <f>IF(Tasks[[#This Row],[Location]]=0, "", Tasks[[#This Row],[Location]])</f>
        <v>408 - Assembly Room</v>
      </c>
      <c r="H303" s="12" t="str">
        <f>Tasks[[#This Row],[To Package]]</f>
        <v>Electrical</v>
      </c>
      <c r="I303" s="12" t="str">
        <f>Tasks[[#This Row],[To Organisation]]</f>
        <v>Wilkinson Electric Inc</v>
      </c>
    </row>
    <row r="304" spans="1:9" ht="15.5" x14ac:dyDescent="0.35">
      <c r="A304" s="14" t="str">
        <f>HYPERLINK(_xlfn.CONCAT(Edit_URL,Tasks[[#This Row],[Ref]]),Tasks[[#This Row],[Ref]])</f>
        <v>T74290.134</v>
      </c>
      <c r="B304" s="15" t="str" cm="1">
        <f t="array" ref="B304">_xlfn.SWITCH(LEFT(Tasks[[#This Row],[Status]],1),"O","Opened","C","Completed","S","Signed Off", "V", "Signed Off","ERROR")</f>
        <v>Opened</v>
      </c>
      <c r="C304" s="15" t="str" cm="1">
        <f t="array" ref="C304">_xlfn.SWITCH(LEFT(Tasks[[#This Row],[Type]], 3), "Fie", "Field Report", "Con", "Contractor QC", "Gen", "Contractor QC", "Pun", "Contractor QC", "Qua", "Contractor QC", "Fin", "Punch List")</f>
        <v>Contractor QC</v>
      </c>
      <c r="D304" s="15" t="str">
        <f>_xlfn.LET(
_xlpm.leftValue, TRIM(LEFT(Tasks[[#This Row],[Description]], 45)),
IF(LEN(_xlpm.leftValue) &lt; 40, _xlpm.leftValue, _xlfn.CONCAT(_xlpm.leftValue, "…"))
)</f>
        <v>Scuff marks on the painted walls</v>
      </c>
      <c r="E304" s="15" t="str" cm="1">
        <f t="array" ref="E304">_xlfn.LET(
_xlpm.inTower, COUNTIF(Tower_Num_Table[Tower Rm Numbers], LEFT(Task_Summary_Table[[#This Row],[Area/Room]], 3)) &gt; 0,
_xlpm.typeResult, _xlfn.SWITCH(LEFT(Tasks[[#This Row],[Page]], 2), "Hi", "Historic", "An", "Annex", "Si", "Site", "S5", "Project Task", "SWITCH ERROR"),
IF(_xlpm.inTower, "West Tower", _xlpm.typeResult)
)</f>
        <v>Historic</v>
      </c>
      <c r="F304" s="12" t="str">
        <f>IFERROR(MID(Tasks[[#This Row],[Page]], FIND("Level", Tasks[[#This Row],[Page]]), 7), IF(ISNUMBER(FIND("Roof", Tasks[[#This Row],[Page]])), "Roof",  IF(ISNUMBER(FIND("S590", Tasks[[#This Row],[Page]])), "",  IF(ISNUMBER(FIND("Site", Tasks[[#This Row],[Page]])), "", "ERROR"))))</f>
        <v>Level 3</v>
      </c>
      <c r="G304" s="12" t="str">
        <f>IF(Tasks[[#This Row],[Location]]=0, "", Tasks[[#This Row],[Location]])</f>
        <v>329B - SE Stairs</v>
      </c>
      <c r="H304" s="12" t="str">
        <f>Tasks[[#This Row],[To Package]]</f>
        <v>Paint</v>
      </c>
      <c r="I304" s="12" t="str">
        <f>Tasks[[#This Row],[To Organisation]]</f>
        <v>Accent Painting and Special Coatings, LLC</v>
      </c>
    </row>
    <row r="305" spans="1:9" ht="15.5" x14ac:dyDescent="0.35">
      <c r="A305" s="14" t="str">
        <f>HYPERLINK(_xlfn.CONCAT(Edit_URL,Tasks[[#This Row],[Ref]]),Tasks[[#This Row],[Ref]])</f>
        <v>T74290.135</v>
      </c>
      <c r="B305" s="15" t="str" cm="1">
        <f t="array" ref="B305">_xlfn.SWITCH(LEFT(Tasks[[#This Row],[Status]],1),"O","Opened","C","Completed","S","Signed Off", "V", "Signed Off","ERROR")</f>
        <v>Opened</v>
      </c>
      <c r="C305" s="15" t="str" cm="1">
        <f t="array" ref="C305">_xlfn.SWITCH(LEFT(Tasks[[#This Row],[Type]], 3), "Fie", "Field Report", "Con", "Contractor QC", "Gen", "Contractor QC", "Pun", "Contractor QC", "Qua", "Contractor QC", "Fin", "Punch List")</f>
        <v>Contractor QC</v>
      </c>
      <c r="D305" s="15" t="str">
        <f>_xlfn.LET(
_xlpm.leftValue, TRIM(LEFT(Tasks[[#This Row],[Description]], 45)),
IF(LEN(_xlpm.leftValue) &lt; 40, _xlpm.leftValue, _xlfn.CONCAT(_xlpm.leftValue, "…"))
)</f>
        <v>Complete trim on both exterior windows</v>
      </c>
      <c r="E305" s="15" t="str" cm="1">
        <f t="array" ref="E305">_xlfn.LET(
_xlpm.inTower, COUNTIF(Tower_Num_Table[Tower Rm Numbers], LEFT(Task_Summary_Table[[#This Row],[Area/Room]], 3)) &gt; 0,
_xlpm.typeResult, _xlfn.SWITCH(LEFT(Tasks[[#This Row],[Page]], 2), "Hi", "Historic", "An", "Annex", "Si", "Site", "S5", "Project Task", "SWITCH ERROR"),
IF(_xlpm.inTower, "West Tower", _xlpm.typeResult)
)</f>
        <v>Historic</v>
      </c>
      <c r="F305" s="12" t="str">
        <f>IFERROR(MID(Tasks[[#This Row],[Page]], FIND("Level", Tasks[[#This Row],[Page]]), 7), IF(ISNUMBER(FIND("Roof", Tasks[[#This Row],[Page]])), "Roof",  IF(ISNUMBER(FIND("S590", Tasks[[#This Row],[Page]])), "",  IF(ISNUMBER(FIND("Site", Tasks[[#This Row],[Page]])), "", "ERROR"))))</f>
        <v>Level 2</v>
      </c>
      <c r="G305" s="12" t="str">
        <f>IF(Tasks[[#This Row],[Location]]=0, "", Tasks[[#This Row],[Location]])</f>
        <v>218 - Lobby</v>
      </c>
      <c r="H305" s="12" t="str">
        <f>Tasks[[#This Row],[To Package]]</f>
        <v xml:space="preserve">Finish Carpentry </v>
      </c>
      <c r="I305" s="12" t="str">
        <f>Tasks[[#This Row],[To Organisation]]</f>
        <v>Fetzers' Inc.</v>
      </c>
    </row>
    <row r="306" spans="1:9" ht="15.5" x14ac:dyDescent="0.35">
      <c r="A306" s="14" t="str">
        <f>HYPERLINK(_xlfn.CONCAT(Edit_URL,Tasks[[#This Row],[Ref]]),Tasks[[#This Row],[Ref]])</f>
        <v>T74290.141</v>
      </c>
      <c r="B306" s="15" t="str" cm="1">
        <f t="array" ref="B306">_xlfn.SWITCH(LEFT(Tasks[[#This Row],[Status]],1),"O","Opened","C","Completed","S","Signed Off", "V", "Signed Off","ERROR")</f>
        <v>Opened</v>
      </c>
      <c r="C306" s="15" t="str" cm="1">
        <f t="array" ref="C306">_xlfn.SWITCH(LEFT(Tasks[[#This Row],[Type]], 3), "Fie", "Field Report", "Con", "Contractor QC", "Gen", "Contractor QC", "Pun", "Contractor QC", "Qua", "Contractor QC", "Fin", "Punch List")</f>
        <v>Contractor QC</v>
      </c>
      <c r="D306" s="15" t="str">
        <f>_xlfn.LET(
_xlpm.leftValue, TRIM(LEFT(Tasks[[#This Row],[Description]], 45)),
IF(LEN(_xlpm.leftValue) &lt; 40, _xlpm.leftValue, _xlfn.CONCAT(_xlpm.leftValue, "…"))
)</f>
        <v>Repaint wall from drywall repair filling in u…</v>
      </c>
      <c r="E306" s="15" t="str" cm="1">
        <f t="array" ref="E306">_xlfn.LET(
_xlpm.inTower, COUNTIF(Tower_Num_Table[Tower Rm Numbers], LEFT(Task_Summary_Table[[#This Row],[Area/Room]], 3)) &gt; 0,
_xlpm.typeResult, _xlfn.SWITCH(LEFT(Tasks[[#This Row],[Page]], 2), "Hi", "Historic", "An", "Annex", "Si", "Site", "S5", "Project Task", "SWITCH ERROR"),
IF(_xlpm.inTower, "West Tower", _xlpm.typeResult)
)</f>
        <v>Historic</v>
      </c>
      <c r="F306" s="12" t="str">
        <f>IFERROR(MID(Tasks[[#This Row],[Page]], FIND("Level", Tasks[[#This Row],[Page]]), 7), IF(ISNUMBER(FIND("Roof", Tasks[[#This Row],[Page]])), "Roof",  IF(ISNUMBER(FIND("S590", Tasks[[#This Row],[Page]])), "",  IF(ISNUMBER(FIND("Site", Tasks[[#This Row],[Page]])), "", "ERROR"))))</f>
        <v>Level 3</v>
      </c>
      <c r="G306" s="12" t="str">
        <f>IF(Tasks[[#This Row],[Location]]=0, "", Tasks[[#This Row],[Location]])</f>
        <v>321 - Study</v>
      </c>
      <c r="H306" s="12" t="str">
        <f>Tasks[[#This Row],[To Package]]</f>
        <v>Paint</v>
      </c>
      <c r="I306" s="12" t="str">
        <f>Tasks[[#This Row],[To Organisation]]</f>
        <v>Accent Painting and Special Coatings, LLC</v>
      </c>
    </row>
    <row r="307" spans="1:9" ht="15.5" x14ac:dyDescent="0.35">
      <c r="A307" s="14" t="str">
        <f>HYPERLINK(_xlfn.CONCAT(Edit_URL,Tasks[[#This Row],[Ref]]),Tasks[[#This Row],[Ref]])</f>
        <v>T74290.142</v>
      </c>
      <c r="B307" s="15" t="str" cm="1">
        <f t="array" ref="B307">_xlfn.SWITCH(LEFT(Tasks[[#This Row],[Status]],1),"O","Opened","C","Completed","S","Signed Off", "V", "Signed Off","ERROR")</f>
        <v>Opened</v>
      </c>
      <c r="C307" s="15" t="str" cm="1">
        <f t="array" ref="C307">_xlfn.SWITCH(LEFT(Tasks[[#This Row],[Type]], 3), "Fie", "Field Report", "Con", "Contractor QC", "Gen", "Contractor QC", "Pun", "Contractor QC", "Qua", "Contractor QC", "Fin", "Punch List")</f>
        <v>Contractor QC</v>
      </c>
      <c r="D307" s="15" t="str">
        <f>_xlfn.LET(
_xlpm.leftValue, TRIM(LEFT(Tasks[[#This Row],[Description]], 45)),
IF(LEN(_xlpm.leftValue) &lt; 40, _xlpm.leftValue, _xlfn.CONCAT(_xlpm.leftValue, "…"))
)</f>
        <v>Complete shaft liner to the concrete and fire…</v>
      </c>
      <c r="E307" s="15" t="str" cm="1">
        <f t="array" ref="E307">_xlfn.LET(
_xlpm.inTower, COUNTIF(Tower_Num_Table[Tower Rm Numbers], LEFT(Task_Summary_Table[[#This Row],[Area/Room]], 3)) &gt; 0,
_xlpm.typeResult, _xlfn.SWITCH(LEFT(Tasks[[#This Row],[Page]], 2), "Hi", "Historic", "An", "Annex", "Si", "Site", "S5", "Project Task", "SWITCH ERROR"),
IF(_xlpm.inTower, "West Tower", _xlpm.typeResult)
)</f>
        <v>Historic</v>
      </c>
      <c r="F307" s="12" t="str">
        <f>IFERROR(MID(Tasks[[#This Row],[Page]], FIND("Level", Tasks[[#This Row],[Page]]), 7), IF(ISNUMBER(FIND("Roof", Tasks[[#This Row],[Page]])), "Roof",  IF(ISNUMBER(FIND("S590", Tasks[[#This Row],[Page]])), "",  IF(ISNUMBER(FIND("Site", Tasks[[#This Row],[Page]])), "", "ERROR"))))</f>
        <v>Level 0</v>
      </c>
      <c r="G307" s="12" t="str">
        <f>IF(Tasks[[#This Row],[Location]]=0, "", Tasks[[#This Row],[Location]])</f>
        <v>STAIR 10</v>
      </c>
      <c r="H307" s="12" t="str">
        <f>Tasks[[#This Row],[To Package]]</f>
        <v>Metal Stud / Drywall</v>
      </c>
      <c r="I307" s="12" t="str">
        <f>Tasks[[#This Row],[To Organisation]]</f>
        <v>Pete King Construction</v>
      </c>
    </row>
    <row r="308" spans="1:9" ht="15.5" x14ac:dyDescent="0.35">
      <c r="A308" s="14" t="str">
        <f>HYPERLINK(_xlfn.CONCAT(Edit_URL,Tasks[[#This Row],[Ref]]),Tasks[[#This Row],[Ref]])</f>
        <v>T74290.69</v>
      </c>
      <c r="B308" s="15" t="str" cm="1">
        <f t="array" ref="B308">_xlfn.SWITCH(LEFT(Tasks[[#This Row],[Status]],1),"O","Opened","C","Completed","S","Signed Off", "V", "Signed Off","ERROR")</f>
        <v>Opened</v>
      </c>
      <c r="C308" s="15" t="str" cm="1">
        <f t="array" ref="C308">_xlfn.SWITCH(LEFT(Tasks[[#This Row],[Type]], 3), "Fie", "Field Report", "Con", "Contractor QC", "Gen", "Contractor QC", "Pun", "Contractor QC", "Qua", "Contractor QC", "Fin", "Punch List")</f>
        <v>Contractor QC</v>
      </c>
      <c r="D308" s="15" t="str">
        <f>_xlfn.LET(
_xlpm.leftValue, TRIM(LEFT(Tasks[[#This Row],[Description]], 45)),
IF(LEN(_xlpm.leftValue) &lt; 40, _xlpm.leftValue, _xlfn.CONCAT(_xlpm.leftValue, "…"))
)</f>
        <v>How do we finish the base of each column on t…</v>
      </c>
      <c r="E308" s="15" t="str" cm="1">
        <f t="array" ref="E308">_xlfn.LET(
_xlpm.inTower, COUNTIF(Tower_Num_Table[Tower Rm Numbers], LEFT(Task_Summary_Table[[#This Row],[Area/Room]], 3)) &gt; 0,
_xlpm.typeResult, _xlfn.SWITCH(LEFT(Tasks[[#This Row],[Page]], 2), "Hi", "Historic", "An", "Annex", "Si", "Site", "S5", "Project Task", "SWITCH ERROR"),
IF(_xlpm.inTower, "West Tower", _xlpm.typeResult)
)</f>
        <v>Annex</v>
      </c>
      <c r="F308" s="12" t="str">
        <f>IFERROR(MID(Tasks[[#This Row],[Page]], FIND("Level", Tasks[[#This Row],[Page]]), 7), IF(ISNUMBER(FIND("Roof", Tasks[[#This Row],[Page]])), "Roof",  IF(ISNUMBER(FIND("S590", Tasks[[#This Row],[Page]])), "",  IF(ISNUMBER(FIND("Site", Tasks[[#This Row],[Page]])), "", "ERROR"))))</f>
        <v>Roof</v>
      </c>
      <c r="G308" s="12" t="str">
        <f>IF(Tasks[[#This Row],[Location]]=0, "", Tasks[[#This Row],[Location]])</f>
        <v>Roof Center</v>
      </c>
      <c r="H308" s="12" t="str">
        <f>Tasks[[#This Row],[To Package]]</f>
        <v>Metal Stud / Drywall</v>
      </c>
      <c r="I308" s="12" t="str">
        <f>Tasks[[#This Row],[To Organisation]]</f>
        <v>Pete King Construction</v>
      </c>
    </row>
    <row r="309" spans="1:9" ht="15.5" x14ac:dyDescent="0.35">
      <c r="A309" s="14" t="str">
        <f>HYPERLINK(_xlfn.CONCAT(Edit_URL,Tasks[[#This Row],[Ref]]),Tasks[[#This Row],[Ref]])</f>
        <v>T74290.77</v>
      </c>
      <c r="B309" s="15" t="str" cm="1">
        <f t="array" ref="B309">_xlfn.SWITCH(LEFT(Tasks[[#This Row],[Status]],1),"O","Opened","C","Completed","S","Signed Off", "V", "Signed Off","ERROR")</f>
        <v>Opened</v>
      </c>
      <c r="C309" s="15" t="str" cm="1">
        <f t="array" ref="C309">_xlfn.SWITCH(LEFT(Tasks[[#This Row],[Type]], 3), "Fie", "Field Report", "Con", "Contractor QC", "Gen", "Contractor QC", "Pun", "Contractor QC", "Qua", "Contractor QC", "Fin", "Punch List")</f>
        <v>Contractor QC</v>
      </c>
      <c r="D309" s="15" t="str">
        <f>_xlfn.LET(
_xlpm.leftValue, TRIM(LEFT(Tasks[[#This Row],[Description]], 45)),
IF(LEN(_xlpm.leftValue) &lt; 40, _xlpm.leftValue, _xlfn.CONCAT(_xlpm.leftValue, "…"))
)</f>
        <v>Scratches on side panel of finished cabinets￼…</v>
      </c>
      <c r="E309" s="15" t="str" cm="1">
        <f t="array" ref="E309">_xlfn.LET(
_xlpm.inTower, COUNTIF(Tower_Num_Table[Tower Rm Numbers], LEFT(Task_Summary_Table[[#This Row],[Area/Room]], 3)) &gt; 0,
_xlpm.typeResult, _xlfn.SWITCH(LEFT(Tasks[[#This Row],[Page]], 2), "Hi", "Historic", "An", "Annex", "Si", "Site", "S5", "Project Task", "SWITCH ERROR"),
IF(_xlpm.inTower, "West Tower", _xlpm.typeResult)
)</f>
        <v>Annex</v>
      </c>
      <c r="F309" s="12" t="str">
        <f>IFERROR(MID(Tasks[[#This Row],[Page]], FIND("Level", Tasks[[#This Row],[Page]]), 7), IF(ISNUMBER(FIND("Roof", Tasks[[#This Row],[Page]])), "Roof",  IF(ISNUMBER(FIND("S590", Tasks[[#This Row],[Page]])), "",  IF(ISNUMBER(FIND("Site", Tasks[[#This Row],[Page]])), "", "ERROR"))))</f>
        <v>Level 1</v>
      </c>
      <c r="G309" s="12" t="str">
        <f>IF(Tasks[[#This Row],[Location]]=0, "", Tasks[[#This Row],[Location]])</f>
        <v>176 - Youth</v>
      </c>
      <c r="H309" s="12" t="str">
        <f>Tasks[[#This Row],[To Package]]</f>
        <v xml:space="preserve">Finish Carpentry </v>
      </c>
      <c r="I309" s="12" t="str">
        <f>Tasks[[#This Row],[To Organisation]]</f>
        <v>Fetzers' Inc.</v>
      </c>
    </row>
    <row r="310" spans="1:9" ht="15.5" x14ac:dyDescent="0.35">
      <c r="A310" s="14" t="str">
        <f>HYPERLINK(_xlfn.CONCAT(Edit_URL,Tasks[[#This Row],[Ref]]),Tasks[[#This Row],[Ref]])</f>
        <v>T74290.104</v>
      </c>
      <c r="B310" s="15" t="str" cm="1">
        <f t="array" ref="B310">_xlfn.SWITCH(LEFT(Tasks[[#This Row],[Status]],1),"O","Opened","C","Completed","S","Signed Off", "V", "Signed Off","ERROR")</f>
        <v>Opened</v>
      </c>
      <c r="C310" s="15" t="str" cm="1">
        <f t="array" ref="C310">_xlfn.SWITCH(LEFT(Tasks[[#This Row],[Type]], 3), "Fie", "Field Report", "Con", "Contractor QC", "Gen", "Contractor QC", "Pun", "Contractor QC", "Qua", "Contractor QC", "Fin", "Punch List")</f>
        <v>Contractor QC</v>
      </c>
      <c r="D310" s="15" t="str">
        <f>_xlfn.LET(
_xlpm.leftValue, TRIM(LEFT(Tasks[[#This Row],[Description]], 45)),
IF(LEN(_xlpm.leftValue) &lt; 40, _xlpm.leftValue, _xlfn.CONCAT(_xlpm.leftValue, "…"))
)</f>
        <v>Paint access panels￼</v>
      </c>
      <c r="E310" s="15" t="str" cm="1">
        <f t="array" ref="E310">_xlfn.LET(
_xlpm.inTower, COUNTIF(Tower_Num_Table[Tower Rm Numbers], LEFT(Task_Summary_Table[[#This Row],[Area/Room]], 3)) &gt; 0,
_xlpm.typeResult, _xlfn.SWITCH(LEFT(Tasks[[#This Row],[Page]], 2), "Hi", "Historic", "An", "Annex", "Si", "Site", "S5", "Project Task", "SWITCH ERROR"),
IF(_xlpm.inTower, "West Tower", _xlpm.typeResult)
)</f>
        <v>Annex</v>
      </c>
      <c r="F310" s="12" t="str">
        <f>IFERROR(MID(Tasks[[#This Row],[Page]], FIND("Level", Tasks[[#This Row],[Page]]), 7), IF(ISNUMBER(FIND("Roof", Tasks[[#This Row],[Page]])), "Roof",  IF(ISNUMBER(FIND("S590", Tasks[[#This Row],[Page]])), "",  IF(ISNUMBER(FIND("Site", Tasks[[#This Row],[Page]])), "", "ERROR"))))</f>
        <v>Level 1</v>
      </c>
      <c r="G310" s="12" t="str">
        <f>IF(Tasks[[#This Row],[Location]]=0, "", Tasks[[#This Row],[Location]])</f>
        <v>152 - Women</v>
      </c>
      <c r="H310" s="12" t="str">
        <f>Tasks[[#This Row],[To Package]]</f>
        <v>Paint</v>
      </c>
      <c r="I310" s="12" t="str">
        <f>Tasks[[#This Row],[To Organisation]]</f>
        <v>Accent Painting and Special Coatings, LLC</v>
      </c>
    </row>
    <row r="311" spans="1:9" ht="15.5" x14ac:dyDescent="0.35">
      <c r="A311" s="14" t="str">
        <f>HYPERLINK(_xlfn.CONCAT(Edit_URL,Tasks[[#This Row],[Ref]]),Tasks[[#This Row],[Ref]])</f>
        <v>T74290.117</v>
      </c>
      <c r="B311" s="15" t="str" cm="1">
        <f t="array" ref="B311">_xlfn.SWITCH(LEFT(Tasks[[#This Row],[Status]],1),"O","Opened","C","Completed","S","Signed Off", "V", "Signed Off","ERROR")</f>
        <v>Opened</v>
      </c>
      <c r="C311" s="15" t="str" cm="1">
        <f t="array" ref="C311">_xlfn.SWITCH(LEFT(Tasks[[#This Row],[Type]], 3), "Fie", "Field Report", "Con", "Contractor QC", "Gen", "Contractor QC", "Pun", "Contractor QC", "Qua", "Contractor QC", "Fin", "Punch List")</f>
        <v>Contractor QC</v>
      </c>
      <c r="D311" s="15" t="str">
        <f>_xlfn.LET(
_xlpm.leftValue, TRIM(LEFT(Tasks[[#This Row],[Description]], 45)),
IF(LEN(_xlpm.leftValue) &lt; 40, _xlpm.leftValue, _xlfn.CONCAT(_xlpm.leftValue, "…"))
)</f>
        <v>West tower top of concrete has exposed bar th…</v>
      </c>
      <c r="E311" s="15" t="str" cm="1">
        <f t="array" ref="E311">_xlfn.LET(
_xlpm.inTower, COUNTIF(Tower_Num_Table[Tower Rm Numbers], LEFT(Task_Summary_Table[[#This Row],[Area/Room]], 3)) &gt; 0,
_xlpm.typeResult, _xlfn.SWITCH(LEFT(Tasks[[#This Row],[Page]], 2), "Hi", "Historic", "An", "Annex", "Si", "Site", "S5", "Project Task", "SWITCH ERROR"),
IF(_xlpm.inTower, "West Tower", _xlpm.typeResult)
)</f>
        <v>Historic</v>
      </c>
      <c r="F311" s="12" t="str">
        <f>IFERROR(MID(Tasks[[#This Row],[Page]], FIND("Level", Tasks[[#This Row],[Page]]), 7), IF(ISNUMBER(FIND("Roof", Tasks[[#This Row],[Page]])), "Roof",  IF(ISNUMBER(FIND("S590", Tasks[[#This Row],[Page]])), "",  IF(ISNUMBER(FIND("Site", Tasks[[#This Row],[Page]])), "", "ERROR"))))</f>
        <v>Roof</v>
      </c>
      <c r="G311" s="12" t="str">
        <f>IF(Tasks[[#This Row],[Location]]=0, "", Tasks[[#This Row],[Location]])</f>
        <v/>
      </c>
      <c r="H311" s="12" t="str">
        <f>Tasks[[#This Row],[To Package]]</f>
        <v>Concrete</v>
      </c>
      <c r="I311" s="12" t="str">
        <f>Tasks[[#This Row],[To Organisation]]</f>
        <v>Innovative Concrete, LLC</v>
      </c>
    </row>
    <row r="312" spans="1:9" ht="15.5" x14ac:dyDescent="0.35">
      <c r="A312" s="14" t="str">
        <f>HYPERLINK(_xlfn.CONCAT(Edit_URL,Tasks[[#This Row],[Ref]]),Tasks[[#This Row],[Ref]])</f>
        <v>T74290.119</v>
      </c>
      <c r="B312" s="15" t="str" cm="1">
        <f t="array" ref="B312">_xlfn.SWITCH(LEFT(Tasks[[#This Row],[Status]],1),"O","Opened","C","Completed","S","Signed Off", "V", "Signed Off","ERROR")</f>
        <v>Opened</v>
      </c>
      <c r="C312" s="15" t="str" cm="1">
        <f t="array" ref="C312">_xlfn.SWITCH(LEFT(Tasks[[#This Row],[Type]], 3), "Fie", "Field Report", "Con", "Contractor QC", "Gen", "Contractor QC", "Pun", "Contractor QC", "Qua", "Contractor QC", "Fin", "Punch List")</f>
        <v>Contractor QC</v>
      </c>
      <c r="D312" s="15" t="str">
        <f>_xlfn.LET(
_xlpm.leftValue, TRIM(LEFT(Tasks[[#This Row],[Description]], 45)),
IF(LEN(_xlpm.leftValue) &lt; 40, _xlpm.leftValue, _xlfn.CONCAT(_xlpm.leftValue, "…"))
)</f>
        <v>Upper cabinet lighting in the admin area has…</v>
      </c>
      <c r="E312" s="15" t="str" cm="1">
        <f t="array" ref="E312">_xlfn.LET(
_xlpm.inTower, COUNTIF(Tower_Num_Table[Tower Rm Numbers], LEFT(Task_Summary_Table[[#This Row],[Area/Room]], 3)) &gt; 0,
_xlpm.typeResult, _xlfn.SWITCH(LEFT(Tasks[[#This Row],[Page]], 2), "Hi", "Historic", "An", "Annex", "Si", "Site", "S5", "Project Task", "SWITCH ERROR"),
IF(_xlpm.inTower, "West Tower", _xlpm.typeResult)
)</f>
        <v>Annex</v>
      </c>
      <c r="F312" s="12" t="str">
        <f>IFERROR(MID(Tasks[[#This Row],[Page]], FIND("Level", Tasks[[#This Row],[Page]]), 7), IF(ISNUMBER(FIND("Roof", Tasks[[#This Row],[Page]])), "Roof",  IF(ISNUMBER(FIND("S590", Tasks[[#This Row],[Page]])), "",  IF(ISNUMBER(FIND("Site", Tasks[[#This Row],[Page]])), "", "ERROR"))))</f>
        <v>Level 1</v>
      </c>
      <c r="G312" s="12" t="str">
        <f>IF(Tasks[[#This Row],[Location]]=0, "", Tasks[[#This Row],[Location]])</f>
        <v>113 - Administration</v>
      </c>
      <c r="H312" s="12" t="str">
        <f>Tasks[[#This Row],[To Package]]</f>
        <v>Electrical</v>
      </c>
      <c r="I312" s="12" t="str">
        <f>Tasks[[#This Row],[To Organisation]]</f>
        <v>Wilkinson Electric Inc</v>
      </c>
    </row>
    <row r="313" spans="1:9" ht="15.5" x14ac:dyDescent="0.35">
      <c r="A313" s="14" t="str">
        <f>HYPERLINK(_xlfn.CONCAT(Edit_URL,Tasks[[#This Row],[Ref]]),Tasks[[#This Row],[Ref]])</f>
        <v>T74290.23</v>
      </c>
      <c r="B313" s="15" t="str" cm="1">
        <f t="array" ref="B313">_xlfn.SWITCH(LEFT(Tasks[[#This Row],[Status]],1),"O","Opened","C","Completed","S","Signed Off", "V", "Signed Off","ERROR")</f>
        <v>Opened</v>
      </c>
      <c r="C313" s="15" t="str" cm="1">
        <f t="array" ref="C313">_xlfn.SWITCH(LEFT(Tasks[[#This Row],[Type]], 3), "Fie", "Field Report", "Con", "Contractor QC", "Gen", "Contractor QC", "Pun", "Contractor QC", "Qua", "Contractor QC", "Fin", "Punch List")</f>
        <v>Contractor QC</v>
      </c>
      <c r="D313" s="15" t="str">
        <f>_xlfn.LET(
_xlpm.leftValue, TRIM(LEFT(Tasks[[#This Row],[Description]], 45)),
IF(LEN(_xlpm.leftValue) &lt; 40, _xlpm.leftValue, _xlfn.CONCAT(_xlpm.leftValue, "…"))
)</f>
        <v>Clean construction debris and materials from…</v>
      </c>
      <c r="E313" s="15" t="str" cm="1">
        <f t="array" ref="E313">_xlfn.LET(
_xlpm.inTower, COUNTIF(Tower_Num_Table[Tower Rm Numbers], LEFT(Task_Summary_Table[[#This Row],[Area/Room]], 3)) &gt; 0,
_xlpm.typeResult, _xlfn.SWITCH(LEFT(Tasks[[#This Row],[Page]], 2), "Hi", "Historic", "An", "Annex", "Si", "Site", "S5", "Project Task", "SWITCH ERROR"),
IF(_xlpm.inTower, "West Tower", _xlpm.typeResult)
)</f>
        <v>Annex</v>
      </c>
      <c r="F313" s="12" t="str">
        <f>IFERROR(MID(Tasks[[#This Row],[Page]], FIND("Level", Tasks[[#This Row],[Page]]), 7), IF(ISNUMBER(FIND("Roof", Tasks[[#This Row],[Page]])), "Roof",  IF(ISNUMBER(FIND("S590", Tasks[[#This Row],[Page]])), "",  IF(ISNUMBER(FIND("Site", Tasks[[#This Row],[Page]])), "", "ERROR"))))</f>
        <v>Roof</v>
      </c>
      <c r="G313" s="12" t="str">
        <f>IF(Tasks[[#This Row],[Location]]=0, "", Tasks[[#This Row],[Location]])</f>
        <v>Roof West</v>
      </c>
      <c r="H313" s="12" t="str">
        <f>Tasks[[#This Row],[To Package]]</f>
        <v>Westland -- Annex</v>
      </c>
      <c r="I313" s="12" t="str">
        <f>Tasks[[#This Row],[To Organisation]]</f>
        <v>Westland Construction, Inc.</v>
      </c>
    </row>
    <row r="314" spans="1:9" ht="15.5" x14ac:dyDescent="0.35">
      <c r="A314" s="14" t="str">
        <f>HYPERLINK(_xlfn.CONCAT(Edit_URL,Tasks[[#This Row],[Ref]]),Tasks[[#This Row],[Ref]])</f>
        <v>T74290.26</v>
      </c>
      <c r="B314" s="15" t="str" cm="1">
        <f t="array" ref="B314">_xlfn.SWITCH(LEFT(Tasks[[#This Row],[Status]],1),"O","Opened","C","Completed","S","Signed Off", "V", "Signed Off","ERROR")</f>
        <v>Opened</v>
      </c>
      <c r="C314" s="15" t="str" cm="1">
        <f t="array" ref="C314">_xlfn.SWITCH(LEFT(Tasks[[#This Row],[Type]], 3), "Fie", "Field Report", "Con", "Contractor QC", "Gen", "Contractor QC", "Pun", "Contractor QC", "Qua", "Contractor QC", "Fin", "Punch List")</f>
        <v>Contractor QC</v>
      </c>
      <c r="D314" s="15" t="str">
        <f>_xlfn.LET(
_xlpm.leftValue, TRIM(LEFT(Tasks[[#This Row],[Description]], 45)),
IF(LEN(_xlpm.leftValue) &lt; 40, _xlpm.leftValue, _xlfn.CONCAT(_xlpm.leftValue, "…"))
)</f>
        <v>Complete exterior around circle windows</v>
      </c>
      <c r="E314" s="15" t="str" cm="1">
        <f t="array" ref="E314">_xlfn.LET(
_xlpm.inTower, COUNTIF(Tower_Num_Table[Tower Rm Numbers], LEFT(Task_Summary_Table[[#This Row],[Area/Room]], 3)) &gt; 0,
_xlpm.typeResult, _xlfn.SWITCH(LEFT(Tasks[[#This Row],[Page]], 2), "Hi", "Historic", "An", "Annex", "Si", "Site", "S5", "Project Task", "SWITCH ERROR"),
IF(_xlpm.inTower, "West Tower", _xlpm.typeResult)
)</f>
        <v>Annex</v>
      </c>
      <c r="F314" s="12" t="str">
        <f>IFERROR(MID(Tasks[[#This Row],[Page]], FIND("Level", Tasks[[#This Row],[Page]]), 7), IF(ISNUMBER(FIND("Roof", Tasks[[#This Row],[Page]])), "Roof",  IF(ISNUMBER(FIND("S590", Tasks[[#This Row],[Page]])), "",  IF(ISNUMBER(FIND("Site", Tasks[[#This Row],[Page]])), "", "ERROR"))))</f>
        <v>Roof</v>
      </c>
      <c r="G314" s="12" t="str">
        <f>IF(Tasks[[#This Row],[Location]]=0, "", Tasks[[#This Row],[Location]])</f>
        <v>Roof West</v>
      </c>
      <c r="H314" s="12" t="str">
        <f>Tasks[[#This Row],[To Package]]</f>
        <v>Westland -- Annex</v>
      </c>
      <c r="I314" s="12" t="str">
        <f>Tasks[[#This Row],[To Organisation]]</f>
        <v>Westland Construction, Inc.</v>
      </c>
    </row>
    <row r="315" spans="1:9" ht="15.5" x14ac:dyDescent="0.35">
      <c r="A315" s="14" t="str">
        <f>HYPERLINK(_xlfn.CONCAT(Edit_URL,Tasks[[#This Row],[Ref]]),Tasks[[#This Row],[Ref]])</f>
        <v>T74290.33</v>
      </c>
      <c r="B315" s="15" t="str" cm="1">
        <f t="array" ref="B315">_xlfn.SWITCH(LEFT(Tasks[[#This Row],[Status]],1),"O","Opened","C","Completed","S","Signed Off", "V", "Signed Off","ERROR")</f>
        <v>Opened</v>
      </c>
      <c r="C315" s="15" t="str" cm="1">
        <f t="array" ref="C315">_xlfn.SWITCH(LEFT(Tasks[[#This Row],[Type]], 3), "Fie", "Field Report", "Con", "Contractor QC", "Gen", "Contractor QC", "Pun", "Contractor QC", "Qua", "Contractor QC", "Fin", "Punch List")</f>
        <v>Contractor QC</v>
      </c>
      <c r="D315" s="15" t="str">
        <f>_xlfn.LET(
_xlpm.leftValue, TRIM(LEFT(Tasks[[#This Row],[Description]], 45)),
IF(LEN(_xlpm.leftValue) &lt; 40, _xlpm.leftValue, _xlfn.CONCAT(_xlpm.leftValue, "…"))
)</f>
        <v>Seal along bottom of each of the tall windows…</v>
      </c>
      <c r="E315" s="15" t="str" cm="1">
        <f t="array" ref="E315">_xlfn.LET(
_xlpm.inTower, COUNTIF(Tower_Num_Table[Tower Rm Numbers], LEFT(Task_Summary_Table[[#This Row],[Area/Room]], 3)) &gt; 0,
_xlpm.typeResult, _xlfn.SWITCH(LEFT(Tasks[[#This Row],[Page]], 2), "Hi", "Historic", "An", "Annex", "Si", "Site", "S5", "Project Task", "SWITCH ERROR"),
IF(_xlpm.inTower, "West Tower", _xlpm.typeResult)
)</f>
        <v>Annex</v>
      </c>
      <c r="F315" s="12" t="str">
        <f>IFERROR(MID(Tasks[[#This Row],[Page]], FIND("Level", Tasks[[#This Row],[Page]]), 7), IF(ISNUMBER(FIND("Roof", Tasks[[#This Row],[Page]])), "Roof",  IF(ISNUMBER(FIND("S590", Tasks[[#This Row],[Page]])), "",  IF(ISNUMBER(FIND("Site", Tasks[[#This Row],[Page]])), "", "ERROR"))))</f>
        <v>Roof</v>
      </c>
      <c r="G315" s="12" t="str">
        <f>IF(Tasks[[#This Row],[Location]]=0, "", Tasks[[#This Row],[Location]])</f>
        <v/>
      </c>
      <c r="H315" s="12" t="str">
        <f>Tasks[[#This Row],[To Package]]</f>
        <v>Roofing</v>
      </c>
      <c r="I315" s="12" t="str">
        <f>Tasks[[#This Row],[To Organisation]]</f>
        <v>Broken Arrow Construction Corporation</v>
      </c>
    </row>
    <row r="316" spans="1:9" ht="15.5" x14ac:dyDescent="0.35">
      <c r="A316" s="14" t="str">
        <f>HYPERLINK(_xlfn.CONCAT(Edit_URL,Tasks[[#This Row],[Ref]]),Tasks[[#This Row],[Ref]])</f>
        <v>T74290.34</v>
      </c>
      <c r="B316" s="15" t="str" cm="1">
        <f t="array" ref="B316">_xlfn.SWITCH(LEFT(Tasks[[#This Row],[Status]],1),"O","Opened","C","Completed","S","Signed Off", "V", "Signed Off","ERROR")</f>
        <v>Opened</v>
      </c>
      <c r="C316" s="15" t="str" cm="1">
        <f t="array" ref="C316">_xlfn.SWITCH(LEFT(Tasks[[#This Row],[Type]], 3), "Fie", "Field Report", "Con", "Contractor QC", "Gen", "Contractor QC", "Pun", "Contractor QC", "Qua", "Contractor QC", "Fin", "Punch List")</f>
        <v>Contractor QC</v>
      </c>
      <c r="D316" s="15" t="str">
        <f>_xlfn.LET(
_xlpm.leftValue, TRIM(LEFT(Tasks[[#This Row],[Description]], 45)),
IF(LEN(_xlpm.leftValue) &lt; 40, _xlpm.leftValue, _xlfn.CONCAT(_xlpm.leftValue, "…"))
)</f>
        <v>Waterproof joint￼</v>
      </c>
      <c r="E316" s="15" t="str" cm="1">
        <f t="array" ref="E316">_xlfn.LET(
_xlpm.inTower, COUNTIF(Tower_Num_Table[Tower Rm Numbers], LEFT(Task_Summary_Table[[#This Row],[Area/Room]], 3)) &gt; 0,
_xlpm.typeResult, _xlfn.SWITCH(LEFT(Tasks[[#This Row],[Page]], 2), "Hi", "Historic", "An", "Annex", "Si", "Site", "S5", "Project Task", "SWITCH ERROR"),
IF(_xlpm.inTower, "West Tower", _xlpm.typeResult)
)</f>
        <v>Annex</v>
      </c>
      <c r="F316" s="12" t="str">
        <f>IFERROR(MID(Tasks[[#This Row],[Page]], FIND("Level", Tasks[[#This Row],[Page]]), 7), IF(ISNUMBER(FIND("Roof", Tasks[[#This Row],[Page]])), "Roof",  IF(ISNUMBER(FIND("S590", Tasks[[#This Row],[Page]])), "",  IF(ISNUMBER(FIND("Site", Tasks[[#This Row],[Page]])), "", "ERROR"))))</f>
        <v>Roof</v>
      </c>
      <c r="G316" s="12" t="str">
        <f>IF(Tasks[[#This Row],[Location]]=0, "", Tasks[[#This Row],[Location]])</f>
        <v>Roof South</v>
      </c>
      <c r="H316" s="12" t="str">
        <f>Tasks[[#This Row],[To Package]]</f>
        <v>Westland -- Annex</v>
      </c>
      <c r="I316" s="12" t="str">
        <f>Tasks[[#This Row],[To Organisation]]</f>
        <v>Westland Construction, Inc.</v>
      </c>
    </row>
    <row r="317" spans="1:9" ht="15.5" x14ac:dyDescent="0.35">
      <c r="A317" s="14" t="str">
        <f>HYPERLINK(_xlfn.CONCAT(Edit_URL,Tasks[[#This Row],[Ref]]),Tasks[[#This Row],[Ref]])</f>
        <v>T74290.35</v>
      </c>
      <c r="B317" s="15" t="str" cm="1">
        <f t="array" ref="B317">_xlfn.SWITCH(LEFT(Tasks[[#This Row],[Status]],1),"O","Opened","C","Completed","S","Signed Off", "V", "Signed Off","ERROR")</f>
        <v>Opened</v>
      </c>
      <c r="C317" s="15" t="str" cm="1">
        <f t="array" ref="C317">_xlfn.SWITCH(LEFT(Tasks[[#This Row],[Type]], 3), "Fie", "Field Report", "Con", "Contractor QC", "Gen", "Contractor QC", "Pun", "Contractor QC", "Qua", "Contractor QC", "Fin", "Punch List")</f>
        <v>Contractor QC</v>
      </c>
      <c r="D317" s="15" t="str">
        <f>_xlfn.LET(
_xlpm.leftValue, TRIM(LEFT(Tasks[[#This Row],[Description]], 45)),
IF(LEN(_xlpm.leftValue) &lt; 40, _xlpm.leftValue, _xlfn.CONCAT(_xlpm.leftValue, "…"))
)</f>
        <v>Clean out all roof drains</v>
      </c>
      <c r="E317" s="15" t="str" cm="1">
        <f t="array" ref="E317">_xlfn.LET(
_xlpm.inTower, COUNTIF(Tower_Num_Table[Tower Rm Numbers], LEFT(Task_Summary_Table[[#This Row],[Area/Room]], 3)) &gt; 0,
_xlpm.typeResult, _xlfn.SWITCH(LEFT(Tasks[[#This Row],[Page]], 2), "Hi", "Historic", "An", "Annex", "Si", "Site", "S5", "Project Task", "SWITCH ERROR"),
IF(_xlpm.inTower, "West Tower", _xlpm.typeResult)
)</f>
        <v>Annex</v>
      </c>
      <c r="F317" s="12" t="str">
        <f>IFERROR(MID(Tasks[[#This Row],[Page]], FIND("Level", Tasks[[#This Row],[Page]]), 7), IF(ISNUMBER(FIND("Roof", Tasks[[#This Row],[Page]])), "Roof",  IF(ISNUMBER(FIND("S590", Tasks[[#This Row],[Page]])), "",  IF(ISNUMBER(FIND("Site", Tasks[[#This Row],[Page]])), "", "ERROR"))))</f>
        <v>Roof</v>
      </c>
      <c r="G317" s="12" t="str">
        <f>IF(Tasks[[#This Row],[Location]]=0, "", Tasks[[#This Row],[Location]])</f>
        <v>Roof South</v>
      </c>
      <c r="H317" s="12" t="str">
        <f>Tasks[[#This Row],[To Package]]</f>
        <v>Westland -- Annex</v>
      </c>
      <c r="I317" s="12" t="str">
        <f>Tasks[[#This Row],[To Organisation]]</f>
        <v>Westland Construction, Inc.</v>
      </c>
    </row>
    <row r="318" spans="1:9" ht="15.5" x14ac:dyDescent="0.35">
      <c r="A318" s="14" t="str">
        <f>HYPERLINK(_xlfn.CONCAT(Edit_URL,Tasks[[#This Row],[Ref]]),Tasks[[#This Row],[Ref]])</f>
        <v>T74290.36</v>
      </c>
      <c r="B318" s="15" t="str" cm="1">
        <f t="array" ref="B318">_xlfn.SWITCH(LEFT(Tasks[[#This Row],[Status]],1),"O","Opened","C","Completed","S","Signed Off", "V", "Signed Off","ERROR")</f>
        <v>Opened</v>
      </c>
      <c r="C318" s="15" t="str" cm="1">
        <f t="array" ref="C318">_xlfn.SWITCH(LEFT(Tasks[[#This Row],[Type]], 3), "Fie", "Field Report", "Con", "Contractor QC", "Gen", "Contractor QC", "Pun", "Contractor QC", "Qua", "Contractor QC", "Fin", "Punch List")</f>
        <v>Contractor QC</v>
      </c>
      <c r="D318" s="15" t="str">
        <f>_xlfn.LET(
_xlpm.leftValue, TRIM(LEFT(Tasks[[#This Row],[Description]], 45)),
IF(LEN(_xlpm.leftValue) &lt; 40, _xlpm.leftValue, _xlfn.CONCAT(_xlpm.leftValue, "…"))
)</f>
        <v>Install flashing</v>
      </c>
      <c r="E318" s="15" t="str" cm="1">
        <f t="array" ref="E318">_xlfn.LET(
_xlpm.inTower, COUNTIF(Tower_Num_Table[Tower Rm Numbers], LEFT(Task_Summary_Table[[#This Row],[Area/Room]], 3)) &gt; 0,
_xlpm.typeResult, _xlfn.SWITCH(LEFT(Tasks[[#This Row],[Page]], 2), "Hi", "Historic", "An", "Annex", "Si", "Site", "S5", "Project Task", "SWITCH ERROR"),
IF(_xlpm.inTower, "West Tower", _xlpm.typeResult)
)</f>
        <v>Annex</v>
      </c>
      <c r="F318" s="12" t="str">
        <f>IFERROR(MID(Tasks[[#This Row],[Page]], FIND("Level", Tasks[[#This Row],[Page]]), 7), IF(ISNUMBER(FIND("Roof", Tasks[[#This Row],[Page]])), "Roof",  IF(ISNUMBER(FIND("S590", Tasks[[#This Row],[Page]])), "",  IF(ISNUMBER(FIND("Site", Tasks[[#This Row],[Page]])), "", "ERROR"))))</f>
        <v>Roof</v>
      </c>
      <c r="G318" s="12" t="str">
        <f>IF(Tasks[[#This Row],[Location]]=0, "", Tasks[[#This Row],[Location]])</f>
        <v>Roof South</v>
      </c>
      <c r="H318" s="12" t="str">
        <f>Tasks[[#This Row],[To Package]]</f>
        <v>Roofing</v>
      </c>
      <c r="I318" s="12" t="str">
        <f>Tasks[[#This Row],[To Organisation]]</f>
        <v>Broken Arrow Construction Corporation</v>
      </c>
    </row>
    <row r="319" spans="1:9" ht="15.5" x14ac:dyDescent="0.35">
      <c r="A319" s="14" t="str">
        <f>HYPERLINK(_xlfn.CONCAT(Edit_URL,Tasks[[#This Row],[Ref]]),Tasks[[#This Row],[Ref]])</f>
        <v>T74290.62</v>
      </c>
      <c r="B319" s="15" t="str" cm="1">
        <f t="array" ref="B319">_xlfn.SWITCH(LEFT(Tasks[[#This Row],[Status]],1),"O","Opened","C","Completed","S","Signed Off", "V", "Signed Off","ERROR")</f>
        <v>Opened</v>
      </c>
      <c r="C319" s="15" t="str" cm="1">
        <f t="array" ref="C319">_xlfn.SWITCH(LEFT(Tasks[[#This Row],[Type]], 3), "Fie", "Field Report", "Con", "Contractor QC", "Gen", "Contractor QC", "Pun", "Contractor QC", "Qua", "Contractor QC", "Fin", "Punch List")</f>
        <v>Contractor QC</v>
      </c>
      <c r="D319" s="15" t="str">
        <f>_xlfn.LET(
_xlpm.leftValue, TRIM(LEFT(Tasks[[#This Row],[Description]], 45)),
IF(LEN(_xlpm.leftValue) &lt; 40, _xlpm.leftValue, _xlfn.CONCAT(_xlpm.leftValue, "…"))
)</f>
        <v>Complete baseboard backing￼</v>
      </c>
      <c r="E319" s="15" t="str" cm="1">
        <f t="array" ref="E319">_xlfn.LET(
_xlpm.inTower, COUNTIF(Tower_Num_Table[Tower Rm Numbers], LEFT(Task_Summary_Table[[#This Row],[Area/Room]], 3)) &gt; 0,
_xlpm.typeResult, _xlfn.SWITCH(LEFT(Tasks[[#This Row],[Page]], 2), "Hi", "Historic", "An", "Annex", "Si", "Site", "S5", "Project Task", "SWITCH ERROR"),
IF(_xlpm.inTower, "West Tower", _xlpm.typeResult)
)</f>
        <v>Annex</v>
      </c>
      <c r="F319" s="12" t="str">
        <f>IFERROR(MID(Tasks[[#This Row],[Page]], FIND("Level", Tasks[[#This Row],[Page]]), 7), IF(ISNUMBER(FIND("Roof", Tasks[[#This Row],[Page]])), "Roof",  IF(ISNUMBER(FIND("S590", Tasks[[#This Row],[Page]])), "",  IF(ISNUMBER(FIND("Site", Tasks[[#This Row],[Page]])), "", "ERROR"))))</f>
        <v>Level 1</v>
      </c>
      <c r="G319" s="12" t="str">
        <f>IF(Tasks[[#This Row],[Location]]=0, "", Tasks[[#This Row],[Location]])</f>
        <v>101 - Entry</v>
      </c>
      <c r="H319" s="12" t="str">
        <f>Tasks[[#This Row],[To Package]]</f>
        <v>Westland -- Annex</v>
      </c>
      <c r="I319" s="12" t="str">
        <f>Tasks[[#This Row],[To Organisation]]</f>
        <v>Westland Construction, Inc.</v>
      </c>
    </row>
    <row r="320" spans="1:9" ht="15.5" x14ac:dyDescent="0.35">
      <c r="A320" s="14" t="str">
        <f>HYPERLINK(_xlfn.CONCAT(Edit_URL,Tasks[[#This Row],[Ref]]),Tasks[[#This Row],[Ref]])</f>
        <v>T74291.2</v>
      </c>
      <c r="B320" s="15" t="str" cm="1">
        <f t="array" ref="B320">_xlfn.SWITCH(LEFT(Tasks[[#This Row],[Status]],1),"O","Opened","C","Completed","S","Signed Off", "V", "Signed Off","ERROR")</f>
        <v>Opened</v>
      </c>
      <c r="C320" s="15" t="str" cm="1">
        <f t="array" ref="C320">_xlfn.SWITCH(LEFT(Tasks[[#This Row],[Type]], 3), "Fie", "Field Report", "Con", "Contractor QC", "Gen", "Contractor QC", "Pun", "Contractor QC", "Qua", "Contractor QC", "Fin", "Punch List")</f>
        <v>Contractor QC</v>
      </c>
      <c r="D320" s="15" t="str">
        <f>_xlfn.LET(
_xlpm.leftValue, TRIM(LEFT(Tasks[[#This Row],[Description]], 45)),
IF(LEN(_xlpm.leftValue) &lt; 40, _xlpm.leftValue, _xlfn.CONCAT(_xlpm.leftValue, "…"))
)</f>
        <v>Sprinkler piping throughout electrical room n…</v>
      </c>
      <c r="E320" s="15" t="str" cm="1">
        <f t="array" ref="E320">_xlfn.LET(
_xlpm.inTower, COUNTIF(Tower_Num_Table[Tower Rm Numbers], LEFT(Task_Summary_Table[[#This Row],[Area/Room]], 3)) &gt; 0,
_xlpm.typeResult, _xlfn.SWITCH(LEFT(Tasks[[#This Row],[Page]], 2), "Hi", "Historic", "An", "Annex", "Si", "Site", "S5", "Project Task", "SWITCH ERROR"),
IF(_xlpm.inTower, "West Tower", _xlpm.typeResult)
)</f>
        <v>Annex</v>
      </c>
      <c r="F320" s="12" t="str">
        <f>IFERROR(MID(Tasks[[#This Row],[Page]], FIND("Level", Tasks[[#This Row],[Page]]), 7), IF(ISNUMBER(FIND("Roof", Tasks[[#This Row],[Page]])), "Roof",  IF(ISNUMBER(FIND("S590", Tasks[[#This Row],[Page]])), "",  IF(ISNUMBER(FIND("Site", Tasks[[#This Row],[Page]])), "", "ERROR"))))</f>
        <v>Level 0</v>
      </c>
      <c r="G320" s="12" t="str">
        <f>IF(Tasks[[#This Row],[Location]]=0, "", Tasks[[#This Row],[Location]])</f>
        <v>040 - Elec.</v>
      </c>
      <c r="H320" s="12" t="str">
        <f>Tasks[[#This Row],[To Package]]</f>
        <v>Fire Suppression</v>
      </c>
      <c r="I320" s="12" t="str">
        <f>Tasks[[#This Row],[To Organisation]]</f>
        <v>Broken Arrow Construction Corporation</v>
      </c>
    </row>
    <row r="321" spans="1:9" ht="15.5" x14ac:dyDescent="0.35">
      <c r="A321" s="14" t="str">
        <f>HYPERLINK(_xlfn.CONCAT(Edit_URL,Tasks[[#This Row],[Ref]]),Tasks[[#This Row],[Ref]])</f>
        <v>T74290.74</v>
      </c>
      <c r="B321" s="15" t="str" cm="1">
        <f t="array" ref="B321">_xlfn.SWITCH(LEFT(Tasks[[#This Row],[Status]],1),"O","Opened","C","Completed","S","Signed Off", "V", "Signed Off","ERROR")</f>
        <v>Opened</v>
      </c>
      <c r="C321" s="15" t="str" cm="1">
        <f t="array" ref="C321">_xlfn.SWITCH(LEFT(Tasks[[#This Row],[Type]], 3), "Fie", "Field Report", "Con", "Contractor QC", "Gen", "Contractor QC", "Pun", "Contractor QC", "Qua", "Contractor QC", "Fin", "Punch List")</f>
        <v>Contractor QC</v>
      </c>
      <c r="D321" s="15" t="str">
        <f>_xlfn.LET(
_xlpm.leftValue, TRIM(LEFT(Tasks[[#This Row],[Description]], 45)),
IF(LEN(_xlpm.leftValue) &lt; 40, _xlpm.leftValue, _xlfn.CONCAT(_xlpm.leftValue, "…"))
)</f>
        <v>Seal around roof drains (3)</v>
      </c>
      <c r="E321" s="15" t="str" cm="1">
        <f t="array" ref="E321">_xlfn.LET(
_xlpm.inTower, COUNTIF(Tower_Num_Table[Tower Rm Numbers], LEFT(Task_Summary_Table[[#This Row],[Area/Room]], 3)) &gt; 0,
_xlpm.typeResult, _xlfn.SWITCH(LEFT(Tasks[[#This Row],[Page]], 2), "Hi", "Historic", "An", "Annex", "Si", "Site", "S5", "Project Task", "SWITCH ERROR"),
IF(_xlpm.inTower, "West Tower", _xlpm.typeResult)
)</f>
        <v>Annex</v>
      </c>
      <c r="F321" s="12" t="str">
        <f>IFERROR(MID(Tasks[[#This Row],[Page]], FIND("Level", Tasks[[#This Row],[Page]]), 7), IF(ISNUMBER(FIND("Roof", Tasks[[#This Row],[Page]])), "Roof",  IF(ISNUMBER(FIND("S590", Tasks[[#This Row],[Page]])), "",  IF(ISNUMBER(FIND("Site", Tasks[[#This Row],[Page]])), "", "ERROR"))))</f>
        <v>Level 1</v>
      </c>
      <c r="G321" s="12" t="str">
        <f>IF(Tasks[[#This Row],[Location]]=0, "", Tasks[[#This Row],[Location]])</f>
        <v/>
      </c>
      <c r="H321" s="12" t="str">
        <f>Tasks[[#This Row],[To Package]]</f>
        <v>Westland -- Annex</v>
      </c>
      <c r="I321" s="12" t="str">
        <f>Tasks[[#This Row],[To Organisation]]</f>
        <v>Westland Construction, Inc.</v>
      </c>
    </row>
    <row r="322" spans="1:9" ht="15.5" x14ac:dyDescent="0.35">
      <c r="A322" s="14" t="str">
        <f>HYPERLINK(_xlfn.CONCAT(Edit_URL,Tasks[[#This Row],[Ref]]),Tasks[[#This Row],[Ref]])</f>
        <v>T74290.116</v>
      </c>
      <c r="B322" s="15" t="str" cm="1">
        <f t="array" ref="B322">_xlfn.SWITCH(LEFT(Tasks[[#This Row],[Status]],1),"O","Opened","C","Completed","S","Signed Off", "V", "Signed Off","ERROR")</f>
        <v>Opened</v>
      </c>
      <c r="C322" s="15" t="str" cm="1">
        <f t="array" ref="C322">_xlfn.SWITCH(LEFT(Tasks[[#This Row],[Type]], 3), "Fie", "Field Report", "Con", "Contractor QC", "Gen", "Contractor QC", "Pun", "Contractor QC", "Qua", "Contractor QC", "Fin", "Punch List")</f>
        <v>Contractor QC</v>
      </c>
      <c r="D322" s="15" t="str">
        <f>_xlfn.LET(
_xlpm.leftValue, TRIM(LEFT(Tasks[[#This Row],[Description]], 45)),
IF(LEN(_xlpm.leftValue) &lt; 40, _xlpm.leftValue, _xlfn.CONCAT(_xlpm.leftValue, "…"))
)</f>
        <v>West historic wall at west tower addition con…</v>
      </c>
      <c r="E322" s="15" t="str" cm="1">
        <f t="array" ref="E322">_xlfn.LET(
_xlpm.inTower, COUNTIF(Tower_Num_Table[Tower Rm Numbers], LEFT(Task_Summary_Table[[#This Row],[Area/Room]], 3)) &gt; 0,
_xlpm.typeResult, _xlfn.SWITCH(LEFT(Tasks[[#This Row],[Page]], 2), "Hi", "Historic", "An", "Annex", "Si", "Site", "S5", "Project Task", "SWITCH ERROR"),
IF(_xlpm.inTower, "West Tower", _xlpm.typeResult)
)</f>
        <v>Annex</v>
      </c>
      <c r="F322" s="12" t="str">
        <f>IFERROR(MID(Tasks[[#This Row],[Page]], FIND("Level", Tasks[[#This Row],[Page]]), 7), IF(ISNUMBER(FIND("Roof", Tasks[[#This Row],[Page]])), "Roof",  IF(ISNUMBER(FIND("S590", Tasks[[#This Row],[Page]])), "",  IF(ISNUMBER(FIND("Site", Tasks[[#This Row],[Page]])), "", "ERROR"))))</f>
        <v>Level 1</v>
      </c>
      <c r="G322" s="12" t="str">
        <f>IF(Tasks[[#This Row],[Location]]=0, "", Tasks[[#This Row],[Location]])</f>
        <v/>
      </c>
      <c r="H322" s="12" t="str">
        <f>Tasks[[#This Row],[To Package]]</f>
        <v>Plaster</v>
      </c>
      <c r="I322" s="12" t="str">
        <f>Tasks[[#This Row],[To Organisation]]</f>
        <v>R. Phillips Plastering LLC</v>
      </c>
    </row>
    <row r="323" spans="1:9" ht="15.5" x14ac:dyDescent="0.35">
      <c r="A323" s="14" t="str">
        <f>HYPERLINK(_xlfn.CONCAT(Edit_URL,Tasks[[#This Row],[Ref]]),Tasks[[#This Row],[Ref]])</f>
        <v>T55794.4</v>
      </c>
      <c r="B323" s="15" t="str" cm="1">
        <f t="array" ref="B323">_xlfn.SWITCH(LEFT(Tasks[[#This Row],[Status]],1),"O","Opened","C","Completed","S","Signed Off", "V", "Signed Off","ERROR")</f>
        <v>Opened</v>
      </c>
      <c r="C323" s="15" t="str" cm="1">
        <f t="array" ref="C323">_xlfn.SWITCH(LEFT(Tasks[[#This Row],[Type]], 3), "Fie", "Field Report", "Con", "Contractor QC", "Gen", "Contractor QC", "Pun", "Contractor QC", "Qua", "Contractor QC", "Fin", "Punch List")</f>
        <v>Contractor QC</v>
      </c>
      <c r="D323" s="15" t="str">
        <f>_xlfn.LET(
_xlpm.leftValue, TRIM(LEFT(Tasks[[#This Row],[Description]], 45)),
IF(LEN(_xlpm.leftValue) &lt; 40, _xlpm.leftValue, _xlfn.CONCAT(_xlpm.leftValue, "…"))
)</f>
        <v>Fire Proofing needs to be replaced at floor d…</v>
      </c>
      <c r="E323" s="15" t="str" cm="1">
        <f t="array" ref="E323">_xlfn.LET(
_xlpm.inTower, COUNTIF(Tower_Num_Table[Tower Rm Numbers], LEFT(Task_Summary_Table[[#This Row],[Area/Room]], 3)) &gt; 0,
_xlpm.typeResult, _xlfn.SWITCH(LEFT(Tasks[[#This Row],[Page]], 2), "Hi", "Historic", "An", "Annex", "Si", "Site", "S5", "Project Task", "SWITCH ERROR"),
IF(_xlpm.inTower, "West Tower", _xlpm.typeResult)
)</f>
        <v>Annex</v>
      </c>
      <c r="F323" s="12" t="str">
        <f>IFERROR(MID(Tasks[[#This Row],[Page]], FIND("Level", Tasks[[#This Row],[Page]]), 7), IF(ISNUMBER(FIND("Roof", Tasks[[#This Row],[Page]])), "Roof",  IF(ISNUMBER(FIND("S590", Tasks[[#This Row],[Page]])), "",  IF(ISNUMBER(FIND("Site", Tasks[[#This Row],[Page]])), "", "ERROR"))))</f>
        <v>Level 0</v>
      </c>
      <c r="G323" s="12" t="str">
        <f>IF(Tasks[[#This Row],[Location]]=0, "", Tasks[[#This Row],[Location]])</f>
        <v>001 - North Mechanical</v>
      </c>
      <c r="H323" s="12" t="str">
        <f>Tasks[[#This Row],[To Package]]</f>
        <v>HVAC</v>
      </c>
      <c r="I323" s="12" t="str">
        <f>Tasks[[#This Row],[To Organisation]]</f>
        <v>US Mechanical</v>
      </c>
    </row>
    <row r="324" spans="1:9" ht="15.5" x14ac:dyDescent="0.35">
      <c r="A324" s="14" t="str">
        <f>HYPERLINK(_xlfn.CONCAT(Edit_URL,Tasks[[#This Row],[Ref]]),Tasks[[#This Row],[Ref]])</f>
        <v>T59123.66</v>
      </c>
      <c r="B324" s="15" t="str" cm="1">
        <f t="array" ref="B324">_xlfn.SWITCH(LEFT(Tasks[[#This Row],[Status]],1),"O","Opened","C","Completed","S","Signed Off", "V", "Signed Off","ERROR")</f>
        <v>Opened</v>
      </c>
      <c r="C324" s="15" t="str" cm="1">
        <f t="array" ref="C324">_xlfn.SWITCH(LEFT(Tasks[[#This Row],[Type]], 3), "Fie", "Field Report", "Con", "Contractor QC", "Gen", "Contractor QC", "Pun", "Contractor QC", "Qua", "Contractor QC", "Fin", "Punch List")</f>
        <v>Contractor QC</v>
      </c>
      <c r="D324" s="15" t="str">
        <f>_xlfn.LET(
_xlpm.leftValue, TRIM(LEFT(Tasks[[#This Row],[Description]], 45)),
IF(LEN(_xlpm.leftValue) &lt; 40, _xlpm.leftValue, _xlfn.CONCAT(_xlpm.leftValue, "…"))
)</f>
        <v>Cap the two unused conduit feeders</v>
      </c>
      <c r="E324" s="15" t="str" cm="1">
        <f t="array" ref="E324">_xlfn.LET(
_xlpm.inTower, COUNTIF(Tower_Num_Table[Tower Rm Numbers], LEFT(Task_Summary_Table[[#This Row],[Area/Room]], 3)) &gt; 0,
_xlpm.typeResult, _xlfn.SWITCH(LEFT(Tasks[[#This Row],[Page]], 2), "Hi", "Historic", "An", "Annex", "Si", "Site", "S5", "Project Task", "SWITCH ERROR"),
IF(_xlpm.inTower, "West Tower", _xlpm.typeResult)
)</f>
        <v>Annex</v>
      </c>
      <c r="F324" s="12" t="str">
        <f>IFERROR(MID(Tasks[[#This Row],[Page]], FIND("Level", Tasks[[#This Row],[Page]]), 7), IF(ISNUMBER(FIND("Roof", Tasks[[#This Row],[Page]])), "Roof",  IF(ISNUMBER(FIND("S590", Tasks[[#This Row],[Page]])), "",  IF(ISNUMBER(FIND("Site", Tasks[[#This Row],[Page]])), "", "ERROR"))))</f>
        <v>Level 0</v>
      </c>
      <c r="G324" s="12" t="str">
        <f>IF(Tasks[[#This Row],[Location]]=0, "", Tasks[[#This Row],[Location]])</f>
        <v>002 - Electrical</v>
      </c>
      <c r="H324" s="12" t="str">
        <f>Tasks[[#This Row],[To Package]]</f>
        <v>Electrical</v>
      </c>
      <c r="I324" s="12" t="str">
        <f>Tasks[[#This Row],[To Organisation]]</f>
        <v>Wilkinson Electric Inc</v>
      </c>
    </row>
    <row r="325" spans="1:9" ht="15.5" x14ac:dyDescent="0.35">
      <c r="A325" s="14" t="str">
        <f>HYPERLINK(_xlfn.CONCAT(Edit_URL,Tasks[[#This Row],[Ref]]),Tasks[[#This Row],[Ref]])</f>
        <v>T1.9536908</v>
      </c>
      <c r="B325" s="15" t="str" cm="1">
        <f t="array" ref="B325">_xlfn.SWITCH(LEFT(Tasks[[#This Row],[Status]],1),"O","Opened","C","Completed","S","Signed Off", "V", "Signed Off","ERROR")</f>
        <v>Opened</v>
      </c>
      <c r="C325" s="15" t="str" cm="1">
        <f t="array" ref="C325">_xlfn.SWITCH(LEFT(Tasks[[#This Row],[Type]], 3), "Fie", "Field Report", "Con", "Contractor QC", "Gen", "Contractor QC", "Pun", "Contractor QC", "Qua", "Contractor QC", "Fin", "Punch List")</f>
        <v>Contractor QC</v>
      </c>
      <c r="D325" s="15" t="str">
        <f>_xlfn.LET(
_xlpm.leftValue, TRIM(LEFT(Tasks[[#This Row],[Description]], 45)),
IF(LEN(_xlpm.leftValue) &lt; 40, _xlpm.leftValue, _xlfn.CONCAT(_xlpm.leftValue, "…"))
)</f>
        <v>ARW 62-4 - Level 5 concrete infill frames and…</v>
      </c>
      <c r="E325" s="15" t="str" cm="1">
        <f t="array" ref="E325">_xlfn.LET(
_xlpm.inTower, COUNTIF(Tower_Num_Table[Tower Rm Numbers], LEFT(Task_Summary_Table[[#This Row],[Area/Room]], 3)) &gt; 0,
_xlpm.typeResult, _xlfn.SWITCH(LEFT(Tasks[[#This Row],[Page]], 2), "Hi", "Historic", "An", "Annex", "Si", "Site", "S5", "Project Task", "SWITCH ERROR"),
IF(_xlpm.inTower, "West Tower", _xlpm.typeResult)
)</f>
        <v>Historic</v>
      </c>
      <c r="F325" s="12" t="str">
        <f>IFERROR(MID(Tasks[[#This Row],[Page]], FIND("Level", Tasks[[#This Row],[Page]]), 7), IF(ISNUMBER(FIND("Roof", Tasks[[#This Row],[Page]])), "Roof",  IF(ISNUMBER(FIND("S590", Tasks[[#This Row],[Page]])), "",  IF(ISNUMBER(FIND("Site", Tasks[[#This Row],[Page]])), "", "ERROR"))))</f>
        <v>Level 5</v>
      </c>
      <c r="G325" s="12" t="str">
        <f>IF(Tasks[[#This Row],[Location]]=0, "", Tasks[[#This Row],[Location]])</f>
        <v/>
      </c>
      <c r="H325" s="12" t="str">
        <f>Tasks[[#This Row],[To Package]]</f>
        <v>Westland -- Historic</v>
      </c>
      <c r="I325" s="12" t="str">
        <f>Tasks[[#This Row],[To Organisation]]</f>
        <v>Westland Construction, Inc.</v>
      </c>
    </row>
    <row r="326" spans="1:9" ht="15.5" x14ac:dyDescent="0.35">
      <c r="A326" s="14" t="str">
        <f>HYPERLINK(_xlfn.CONCAT(Edit_URL,Tasks[[#This Row],[Ref]]),Tasks[[#This Row],[Ref]])</f>
        <v>T55794.2</v>
      </c>
      <c r="B326" s="15" t="str" cm="1">
        <f t="array" ref="B326">_xlfn.SWITCH(LEFT(Tasks[[#This Row],[Status]],1),"O","Opened","C","Completed","S","Signed Off", "V", "Signed Off","ERROR")</f>
        <v>Opened</v>
      </c>
      <c r="C326" s="15" t="str" cm="1">
        <f t="array" ref="C326">_xlfn.SWITCH(LEFT(Tasks[[#This Row],[Type]], 3), "Fie", "Field Report", "Con", "Contractor QC", "Gen", "Contractor QC", "Pun", "Contractor QC", "Qua", "Contractor QC", "Fin", "Punch List")</f>
        <v>Contractor QC</v>
      </c>
      <c r="D326" s="15" t="str">
        <f>_xlfn.LET(
_xlpm.leftValue, TRIM(LEFT(Tasks[[#This Row],[Description]], 45)),
IF(LEN(_xlpm.leftValue) &lt; 40, _xlpm.leftValue, _xlfn.CONCAT(_xlpm.leftValue, "…"))
)</f>
        <v>Fire sprinkler sidewalls are not at same elev…</v>
      </c>
      <c r="E326" s="15" t="str" cm="1">
        <f t="array" ref="E326">_xlfn.LET(
_xlpm.inTower, COUNTIF(Tower_Num_Table[Tower Rm Numbers], LEFT(Task_Summary_Table[[#This Row],[Area/Room]], 3)) &gt; 0,
_xlpm.typeResult, _xlfn.SWITCH(LEFT(Tasks[[#This Row],[Page]], 2), "Hi", "Historic", "An", "Annex", "Si", "Site", "S5", "Project Task", "SWITCH ERROR"),
IF(_xlpm.inTower, "West Tower", _xlpm.typeResult)
)</f>
        <v>Historic</v>
      </c>
      <c r="F326" s="12" t="str">
        <f>IFERROR(MID(Tasks[[#This Row],[Page]], FIND("Level", Tasks[[#This Row],[Page]]), 7), IF(ISNUMBER(FIND("Roof", Tasks[[#This Row],[Page]])), "Roof",  IF(ISNUMBER(FIND("S590", Tasks[[#This Row],[Page]])), "",  IF(ISNUMBER(FIND("Site", Tasks[[#This Row],[Page]])), "", "ERROR"))))</f>
        <v>Level 3</v>
      </c>
      <c r="G326" s="12" t="str">
        <f>IF(Tasks[[#This Row],[Location]]=0, "", Tasks[[#This Row],[Location]])</f>
        <v>318 - Instruction 4</v>
      </c>
      <c r="H326" s="12" t="str">
        <f>Tasks[[#This Row],[To Package]]</f>
        <v>Fire Suppression</v>
      </c>
      <c r="I326" s="12" t="str">
        <f>Tasks[[#This Row],[To Organisation]]</f>
        <v>Broken Arrow Construction Corporation</v>
      </c>
    </row>
    <row r="327" spans="1:9" ht="15.5" x14ac:dyDescent="0.35">
      <c r="A327" s="14" t="str">
        <f>HYPERLINK(_xlfn.CONCAT(Edit_URL,Tasks[[#This Row],[Ref]]),Tasks[[#This Row],[Ref]])</f>
        <v>T59123.42</v>
      </c>
      <c r="B327" s="15" t="str" cm="1">
        <f t="array" ref="B327">_xlfn.SWITCH(LEFT(Tasks[[#This Row],[Status]],1),"O","Opened","C","Completed","S","Signed Off", "V", "Signed Off","ERROR")</f>
        <v>Opened</v>
      </c>
      <c r="C327" s="15" t="str" cm="1">
        <f t="array" ref="C327">_xlfn.SWITCH(LEFT(Tasks[[#This Row],[Type]], 3), "Fie", "Field Report", "Con", "Contractor QC", "Gen", "Contractor QC", "Pun", "Contractor QC", "Qua", "Contractor QC", "Fin", "Punch List")</f>
        <v>Contractor QC</v>
      </c>
      <c r="D327" s="15" t="str">
        <f>_xlfn.LET(
_xlpm.leftValue, TRIM(LEFT(Tasks[[#This Row],[Description]], 45)),
IF(LEN(_xlpm.leftValue) &lt; 40, _xlpm.leftValue, _xlfn.CONCAT(_xlpm.leftValue, "…"))
)</f>
        <v>Controls to be tied into fan coil units</v>
      </c>
      <c r="E327" s="15" t="str" cm="1">
        <f t="array" ref="E327">_xlfn.LET(
_xlpm.inTower, COUNTIF(Tower_Num_Table[Tower Rm Numbers], LEFT(Task_Summary_Table[[#This Row],[Area/Room]], 3)) &gt; 0,
_xlpm.typeResult, _xlfn.SWITCH(LEFT(Tasks[[#This Row],[Page]], 2), "Hi", "Historic", "An", "Annex", "Si", "Site", "S5", "Project Task", "SWITCH ERROR"),
IF(_xlpm.inTower, "West Tower", _xlpm.typeResult)
)</f>
        <v>Historic</v>
      </c>
      <c r="F327" s="12" t="str">
        <f>IFERROR(MID(Tasks[[#This Row],[Page]], FIND("Level", Tasks[[#This Row],[Page]]), 7), IF(ISNUMBER(FIND("Roof", Tasks[[#This Row],[Page]])), "Roof",  IF(ISNUMBER(FIND("S590", Tasks[[#This Row],[Page]])), "",  IF(ISNUMBER(FIND("Site", Tasks[[#This Row],[Page]])), "", "ERROR"))))</f>
        <v>Level 4</v>
      </c>
      <c r="G327" s="12" t="str">
        <f>IF(Tasks[[#This Row],[Location]]=0, "", Tasks[[#This Row],[Location]])</f>
        <v>410 - Study</v>
      </c>
      <c r="H327" s="12" t="str">
        <f>Tasks[[#This Row],[To Package]]</f>
        <v>HVAC</v>
      </c>
      <c r="I327" s="12" t="str">
        <f>Tasks[[#This Row],[To Organisation]]</f>
        <v>US Mechanical</v>
      </c>
    </row>
    <row r="328" spans="1:9" ht="15.5" x14ac:dyDescent="0.35">
      <c r="A328" s="14" t="str">
        <f>HYPERLINK(_xlfn.CONCAT(Edit_URL,Tasks[[#This Row],[Ref]]),Tasks[[#This Row],[Ref]])</f>
        <v>T55794.3</v>
      </c>
      <c r="B328" s="15" t="str" cm="1">
        <f t="array" ref="B328">_xlfn.SWITCH(LEFT(Tasks[[#This Row],[Status]],1),"O","Opened","C","Completed","S","Signed Off", "V", "Signed Off","ERROR")</f>
        <v>Completed</v>
      </c>
      <c r="C328" s="15" t="str" cm="1">
        <f t="array" ref="C328">_xlfn.SWITCH(LEFT(Tasks[[#This Row],[Type]], 3), "Fie", "Field Report", "Con", "Contractor QC", "Gen", "Contractor QC", "Pun", "Contractor QC", "Qua", "Contractor QC", "Fin", "Punch List")</f>
        <v>Contractor QC</v>
      </c>
      <c r="D328" s="15" t="str">
        <f>_xlfn.LET(
_xlpm.leftValue, TRIM(LEFT(Tasks[[#This Row],[Description]], 45)),
IF(LEN(_xlpm.leftValue) &lt; 40, _xlpm.leftValue, _xlfn.CONCAT(_xlpm.leftValue, "…"))
)</f>
        <v>Fire sprinkler installed over electrical pane…</v>
      </c>
      <c r="E328" s="15" t="str" cm="1">
        <f t="array" ref="E328">_xlfn.LET(
_xlpm.inTower, COUNTIF(Tower_Num_Table[Tower Rm Numbers], LEFT(Task_Summary_Table[[#This Row],[Area/Room]], 3)) &gt; 0,
_xlpm.typeResult, _xlfn.SWITCH(LEFT(Tasks[[#This Row],[Page]], 2), "Hi", "Historic", "An", "Annex", "Si", "Site", "S5", "Project Task", "SWITCH ERROR"),
IF(_xlpm.inTower, "West Tower", _xlpm.typeResult)
)</f>
        <v>Annex</v>
      </c>
      <c r="F328" s="12" t="str">
        <f>IFERROR(MID(Tasks[[#This Row],[Page]], FIND("Level", Tasks[[#This Row],[Page]]), 7), IF(ISNUMBER(FIND("Roof", Tasks[[#This Row],[Page]])), "Roof",  IF(ISNUMBER(FIND("S590", Tasks[[#This Row],[Page]])), "",  IF(ISNUMBER(FIND("Site", Tasks[[#This Row],[Page]])), "", "ERROR"))))</f>
        <v>Level 0</v>
      </c>
      <c r="G328" s="12" t="str">
        <f>IF(Tasks[[#This Row],[Location]]=0, "", Tasks[[#This Row],[Location]])</f>
        <v>040 - Elec.</v>
      </c>
      <c r="H328" s="12" t="str">
        <f>Tasks[[#This Row],[To Package]]</f>
        <v>Fire Suppression</v>
      </c>
      <c r="I328" s="12" t="str">
        <f>Tasks[[#This Row],[To Organisation]]</f>
        <v>Broken Arrow Construction Corporation</v>
      </c>
    </row>
    <row r="329" spans="1:9" ht="15.5" x14ac:dyDescent="0.35">
      <c r="A329" s="14" t="str">
        <f>HYPERLINK(_xlfn.CONCAT(Edit_URL,Tasks[[#This Row],[Ref]]),Tasks[[#This Row],[Ref]])</f>
        <v>T59123.62</v>
      </c>
      <c r="B329" s="15" t="str" cm="1">
        <f t="array" ref="B329">_xlfn.SWITCH(LEFT(Tasks[[#This Row],[Status]],1),"O","Opened","C","Completed","S","Signed Off", "V", "Signed Off","ERROR")</f>
        <v>Opened</v>
      </c>
      <c r="C329" s="15" t="str" cm="1">
        <f t="array" ref="C329">_xlfn.SWITCH(LEFT(Tasks[[#This Row],[Type]], 3), "Fie", "Field Report", "Con", "Contractor QC", "Gen", "Contractor QC", "Pun", "Contractor QC", "Qua", "Contractor QC", "Fin", "Punch List")</f>
        <v>Contractor QC</v>
      </c>
      <c r="D329" s="15" t="str">
        <f>_xlfn.LET(
_xlpm.leftValue, TRIM(LEFT(Tasks[[#This Row],[Description]], 45)),
IF(LEN(_xlpm.leftValue) &lt; 40, _xlpm.leftValue, _xlfn.CONCAT(_xlpm.leftValue, "…"))
)</f>
        <v>Sprinkler cap is removed and head is 1” low.…</v>
      </c>
      <c r="E329" s="15" t="str" cm="1">
        <f t="array" ref="E329">_xlfn.LET(
_xlpm.inTower, COUNTIF(Tower_Num_Table[Tower Rm Numbers], LEFT(Task_Summary_Table[[#This Row],[Area/Room]], 3)) &gt; 0,
_xlpm.typeResult, _xlfn.SWITCH(LEFT(Tasks[[#This Row],[Page]], 2), "Hi", "Historic", "An", "Annex", "Si", "Site", "S5", "Project Task", "SWITCH ERROR"),
IF(_xlpm.inTower, "West Tower", _xlpm.typeResult)
)</f>
        <v>Historic</v>
      </c>
      <c r="F329" s="12" t="str">
        <f>IFERROR(MID(Tasks[[#This Row],[Page]], FIND("Level", Tasks[[#This Row],[Page]]), 7), IF(ISNUMBER(FIND("Roof", Tasks[[#This Row],[Page]])), "Roof",  IF(ISNUMBER(FIND("S590", Tasks[[#This Row],[Page]])), "",  IF(ISNUMBER(FIND("Site", Tasks[[#This Row],[Page]])), "", "ERROR"))))</f>
        <v>Level 5</v>
      </c>
      <c r="G329" s="12" t="str">
        <f>IF(Tasks[[#This Row],[Location]]=0, "", Tasks[[#This Row],[Location]])</f>
        <v>515 - Elec.</v>
      </c>
      <c r="H329" s="12" t="str">
        <f>Tasks[[#This Row],[To Package]]</f>
        <v>Fire Suppression</v>
      </c>
      <c r="I329" s="12" t="str">
        <f>Tasks[[#This Row],[To Organisation]]</f>
        <v>Broken Arrow Construction Corporation</v>
      </c>
    </row>
    <row r="330" spans="1:9" ht="15.5" x14ac:dyDescent="0.35">
      <c r="A330" s="14" t="str">
        <f>HYPERLINK(_xlfn.CONCAT(Edit_URL,Tasks[[#This Row],[Ref]]),Tasks[[#This Row],[Ref]])</f>
        <v>T74290.144</v>
      </c>
      <c r="B330" s="15" t="str" cm="1">
        <f t="array" ref="B330">_xlfn.SWITCH(LEFT(Tasks[[#This Row],[Status]],1),"O","Opened","C","Completed","S","Signed Off", "V", "Signed Off","ERROR")</f>
        <v>Opened</v>
      </c>
      <c r="C330" s="15" t="str" cm="1">
        <f t="array" ref="C330">_xlfn.SWITCH(LEFT(Tasks[[#This Row],[Type]], 3), "Fie", "Field Report", "Con", "Contractor QC", "Gen", "Contractor QC", "Pun", "Contractor QC", "Qua", "Contractor QC", "Fin", "Punch List")</f>
        <v>Contractor QC</v>
      </c>
      <c r="D330" s="15" t="str">
        <f>_xlfn.LET(
_xlpm.leftValue, TRIM(LEFT(Tasks[[#This Row],[Description]], 45)),
IF(LEN(_xlpm.leftValue) &lt; 40, _xlpm.leftValue, _xlfn.CONCAT(_xlpm.leftValue, "…"))
)</f>
        <v>Touch up wall and base board</v>
      </c>
      <c r="E330" s="15" t="str" cm="1">
        <f t="array" ref="E3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30" s="12" t="str">
        <f>IFERROR(MID(Tasks[[#This Row],[Page]], FIND("Level", Tasks[[#This Row],[Page]]), 7), IF(ISNUMBER(FIND("Roof", Tasks[[#This Row],[Page]])), "Roof",  IF(ISNUMBER(FIND("S590", Tasks[[#This Row],[Page]])), "",  IF(ISNUMBER(FIND("Site", Tasks[[#This Row],[Page]])), "", "ERROR"))))</f>
        <v>Level 5</v>
      </c>
      <c r="G330" s="12" t="str">
        <f>IF(Tasks[[#This Row],[Location]]=0, "", Tasks[[#This Row],[Location]])</f>
        <v>521 - Instruction 11</v>
      </c>
      <c r="H330" s="12" t="str">
        <f>Tasks[[#This Row],[To Package]]</f>
        <v>Paint</v>
      </c>
      <c r="I330" s="12" t="str">
        <f>Tasks[[#This Row],[To Organisation]]</f>
        <v>Accent Painting and Special Coatings, LLC</v>
      </c>
    </row>
    <row r="331" spans="1:9" ht="15.5" x14ac:dyDescent="0.35">
      <c r="A331" s="14" t="str">
        <f>HYPERLINK(_xlfn.CONCAT(Edit_URL,Tasks[[#This Row],[Ref]]),Tasks[[#This Row],[Ref]])</f>
        <v>T1.9539000</v>
      </c>
      <c r="B331" s="15" t="str" cm="1">
        <f t="array" ref="B331">_xlfn.SWITCH(LEFT(Tasks[[#This Row],[Status]],1),"O","Opened","C","Completed","S","Signed Off", "V", "Signed Off","ERROR")</f>
        <v>Signed Off</v>
      </c>
      <c r="C331" s="15" t="str" cm="1">
        <f t="array" ref="C331">_xlfn.SWITCH(LEFT(Tasks[[#This Row],[Type]], 3), "Fie", "Field Report", "Con", "Contractor QC", "Gen", "Contractor QC", "Pun", "Contractor QC", "Qua", "Contractor QC", "Fin", "Punch List")</f>
        <v>Contractor QC</v>
      </c>
      <c r="D331" s="15" t="str">
        <f>_xlfn.LET(
_xlpm.leftValue, TRIM(LEFT(Tasks[[#This Row],[Description]], 45)),
IF(LEN(_xlpm.leftValue) &lt; 40, _xlpm.leftValue, _xlfn.CONCAT(_xlpm.leftValue, "…"))
)</f>
        <v>Missing laundry bell</v>
      </c>
      <c r="E331" s="15" t="str" cm="1">
        <f t="array" ref="E331">_xlfn.LET(
_xlpm.inTower, COUNTIF(Tower_Num_Table[Tower Rm Numbers], LEFT(Task_Summary_Table[[#This Row],[Area/Room]], 3)) &gt; 0,
_xlpm.typeResult, _xlfn.SWITCH(LEFT(Tasks[[#This Row],[Page]], 2), "Hi", "Historic", "An", "Annex", "Si", "Site", "S5", "Project Task", "SWITCH ERROR"),
IF(_xlpm.inTower, "West Tower", _xlpm.typeResult)
)</f>
        <v>Annex</v>
      </c>
      <c r="F331" s="12" t="str">
        <f>IFERROR(MID(Tasks[[#This Row],[Page]], FIND("Level", Tasks[[#This Row],[Page]]), 7), IF(ISNUMBER(FIND("Roof", Tasks[[#This Row],[Page]])), "Roof",  IF(ISNUMBER(FIND("S590", Tasks[[#This Row],[Page]])), "",  IF(ISNUMBER(FIND("Site", Tasks[[#This Row],[Page]])), "", "ERROR"))))</f>
        <v>Level 1</v>
      </c>
      <c r="G331" s="12" t="str">
        <f>IF(Tasks[[#This Row],[Location]]=0, "", Tasks[[#This Row],[Location]])</f>
        <v/>
      </c>
      <c r="H331" s="12" t="str">
        <f>Tasks[[#This Row],[To Package]]</f>
        <v>Electrical</v>
      </c>
      <c r="I331" s="12" t="str">
        <f>Tasks[[#This Row],[To Organisation]]</f>
        <v>Wilkinson Electric Inc</v>
      </c>
    </row>
    <row r="332" spans="1:9" ht="15.5" x14ac:dyDescent="0.35">
      <c r="A332" s="14" t="str">
        <f>HYPERLINK(_xlfn.CONCAT(Edit_URL,Tasks[[#This Row],[Ref]]),Tasks[[#This Row],[Ref]])</f>
        <v>T59123.10</v>
      </c>
      <c r="B332" s="15" t="str" cm="1">
        <f t="array" ref="B332">_xlfn.SWITCH(LEFT(Tasks[[#This Row],[Status]],1),"O","Opened","C","Completed","S","Signed Off", "V", "Signed Off","ERROR")</f>
        <v>Signed Off</v>
      </c>
      <c r="C332" s="15" t="str" cm="1">
        <f t="array" ref="C332">_xlfn.SWITCH(LEFT(Tasks[[#This Row],[Type]], 3), "Fie", "Field Report", "Con", "Contractor QC", "Gen", "Contractor QC", "Pun", "Contractor QC", "Qua", "Contractor QC", "Fin", "Punch List")</f>
        <v>Contractor QC</v>
      </c>
      <c r="D332" s="15" t="str">
        <f>_xlfn.LET(
_xlpm.leftValue, TRIM(LEFT(Tasks[[#This Row],[Description]], 45)),
IF(LEN(_xlpm.leftValue) &lt; 40, _xlpm.leftValue, _xlfn.CONCAT(_xlpm.leftValue, "…"))
)</f>
        <v>Layout of outlets at south wall not per plan…</v>
      </c>
      <c r="E332" s="15" t="str" cm="1">
        <f t="array" ref="E332">_xlfn.LET(
_xlpm.inTower, COUNTIF(Tower_Num_Table[Tower Rm Numbers], LEFT(Task_Summary_Table[[#This Row],[Area/Room]], 3)) &gt; 0,
_xlpm.typeResult, _xlfn.SWITCH(LEFT(Tasks[[#This Row],[Page]], 2), "Hi", "Historic", "An", "Annex", "Si", "Site", "S5", "Project Task", "SWITCH ERROR"),
IF(_xlpm.inTower, "West Tower", _xlpm.typeResult)
)</f>
        <v>Annex</v>
      </c>
      <c r="F332" s="12" t="str">
        <f>IFERROR(MID(Tasks[[#This Row],[Page]], FIND("Level", Tasks[[#This Row],[Page]]), 7), IF(ISNUMBER(FIND("Roof", Tasks[[#This Row],[Page]])), "Roof",  IF(ISNUMBER(FIND("S590", Tasks[[#This Row],[Page]])), "",  IF(ISNUMBER(FIND("Site", Tasks[[#This Row],[Page]])), "", "ERROR"))))</f>
        <v>Level 1</v>
      </c>
      <c r="G332" s="12" t="str">
        <f>IF(Tasks[[#This Row],[Location]]=0, "", Tasks[[#This Row],[Location]])</f>
        <v>141 - Dressing Men</v>
      </c>
      <c r="H332" s="12" t="str">
        <f>Tasks[[#This Row],[To Package]]</f>
        <v>Electrical</v>
      </c>
      <c r="I332" s="12" t="str">
        <f>Tasks[[#This Row],[To Organisation]]</f>
        <v>Wilkinson Electric Inc</v>
      </c>
    </row>
    <row r="333" spans="1:9" ht="15.5" x14ac:dyDescent="0.35">
      <c r="A333" s="14" t="str">
        <f>HYPERLINK(_xlfn.CONCAT(Edit_URL,Tasks[[#This Row],[Ref]]),Tasks[[#This Row],[Ref]])</f>
        <v>T59123.13</v>
      </c>
      <c r="B333" s="15" t="str" cm="1">
        <f t="array" ref="B333">_xlfn.SWITCH(LEFT(Tasks[[#This Row],[Status]],1),"O","Opened","C","Completed","S","Signed Off", "V", "Signed Off","ERROR")</f>
        <v>Signed Off</v>
      </c>
      <c r="C333" s="15" t="str" cm="1">
        <f t="array" ref="C333">_xlfn.SWITCH(LEFT(Tasks[[#This Row],[Type]], 3), "Fie", "Field Report", "Con", "Contractor QC", "Gen", "Contractor QC", "Pun", "Contractor QC", "Qua", "Contractor QC", "Fin", "Punch List")</f>
        <v>Contractor QC</v>
      </c>
      <c r="D333" s="15" t="str">
        <f>_xlfn.LET(
_xlpm.leftValue, TRIM(LEFT(Tasks[[#This Row],[Description]], 45)),
IF(LEN(_xlpm.leftValue) &lt; 40, _xlpm.leftValue, _xlfn.CONCAT(_xlpm.leftValue, "…"))
)</f>
        <v>Power outlet missing</v>
      </c>
      <c r="E333" s="15" t="str" cm="1">
        <f t="array" ref="E333">_xlfn.LET(
_xlpm.inTower, COUNTIF(Tower_Num_Table[Tower Rm Numbers], LEFT(Task_Summary_Table[[#This Row],[Area/Room]], 3)) &gt; 0,
_xlpm.typeResult, _xlfn.SWITCH(LEFT(Tasks[[#This Row],[Page]], 2), "Hi", "Historic", "An", "Annex", "Si", "Site", "S5", "Project Task", "SWITCH ERROR"),
IF(_xlpm.inTower, "West Tower", _xlpm.typeResult)
)</f>
        <v>Annex</v>
      </c>
      <c r="F333" s="12" t="str">
        <f>IFERROR(MID(Tasks[[#This Row],[Page]], FIND("Level", Tasks[[#This Row],[Page]]), 7), IF(ISNUMBER(FIND("Roof", Tasks[[#This Row],[Page]])), "Roof",  IF(ISNUMBER(FIND("S590", Tasks[[#This Row],[Page]])), "",  IF(ISNUMBER(FIND("Site", Tasks[[#This Row],[Page]])), "", "ERROR"))))</f>
        <v>Level 1</v>
      </c>
      <c r="G333" s="12" t="str">
        <f>IF(Tasks[[#This Row],[Location]]=0, "", Tasks[[#This Row],[Location]])</f>
        <v>140 - Booth - Men</v>
      </c>
      <c r="H333" s="12" t="str">
        <f>Tasks[[#This Row],[To Package]]</f>
        <v>Electrical</v>
      </c>
      <c r="I333" s="12" t="str">
        <f>Tasks[[#This Row],[To Organisation]]</f>
        <v>Wilkinson Electric Inc</v>
      </c>
    </row>
    <row r="334" spans="1:9" ht="15.5" x14ac:dyDescent="0.35">
      <c r="A334" s="14" t="str">
        <f>HYPERLINK(_xlfn.CONCAT(Edit_URL,Tasks[[#This Row],[Ref]]),Tasks[[#This Row],[Ref]])</f>
        <v>T59123.12</v>
      </c>
      <c r="B334" s="15" t="str" cm="1">
        <f t="array" ref="B334">_xlfn.SWITCH(LEFT(Tasks[[#This Row],[Status]],1),"O","Opened","C","Completed","S","Signed Off", "V", "Signed Off","ERROR")</f>
        <v>Signed Off</v>
      </c>
      <c r="C334" s="15" t="str" cm="1">
        <f t="array" ref="C334">_xlfn.SWITCH(LEFT(Tasks[[#This Row],[Type]], 3), "Fie", "Field Report", "Con", "Contractor QC", "Gen", "Contractor QC", "Pun", "Contractor QC", "Qua", "Contractor QC", "Fin", "Punch List")</f>
        <v>Contractor QC</v>
      </c>
      <c r="D334" s="15" t="str">
        <f>_xlfn.LET(
_xlpm.leftValue, TRIM(LEFT(Tasks[[#This Row],[Description]], 45)),
IF(LEN(_xlpm.leftValue) &lt; 40, _xlpm.leftValue, _xlfn.CONCAT(_xlpm.leftValue, "…"))
)</f>
        <v>Power outlet missing</v>
      </c>
      <c r="E334" s="15" t="str" cm="1">
        <f t="array" ref="E334">_xlfn.LET(
_xlpm.inTower, COUNTIF(Tower_Num_Table[Tower Rm Numbers], LEFT(Task_Summary_Table[[#This Row],[Area/Room]], 3)) &gt; 0,
_xlpm.typeResult, _xlfn.SWITCH(LEFT(Tasks[[#This Row],[Page]], 2), "Hi", "Historic", "An", "Annex", "Si", "Site", "S5", "Project Task", "SWITCH ERROR"),
IF(_xlpm.inTower, "West Tower", _xlpm.typeResult)
)</f>
        <v>Annex</v>
      </c>
      <c r="F334" s="12" t="str">
        <f>IFERROR(MID(Tasks[[#This Row],[Page]], FIND("Level", Tasks[[#This Row],[Page]]), 7), IF(ISNUMBER(FIND("Roof", Tasks[[#This Row],[Page]])), "Roof",  IF(ISNUMBER(FIND("S590", Tasks[[#This Row],[Page]])), "",  IF(ISNUMBER(FIND("Site", Tasks[[#This Row],[Page]])), "", "ERROR"))))</f>
        <v>Level 1</v>
      </c>
      <c r="G334" s="12" t="str">
        <f>IF(Tasks[[#This Row],[Location]]=0, "", Tasks[[#This Row],[Location]])</f>
        <v>141 - Dressing Men</v>
      </c>
      <c r="H334" s="12" t="str">
        <f>Tasks[[#This Row],[To Package]]</f>
        <v>Electrical</v>
      </c>
      <c r="I334" s="12" t="str">
        <f>Tasks[[#This Row],[To Organisation]]</f>
        <v>Wilkinson Electric Inc</v>
      </c>
    </row>
    <row r="335" spans="1:9" ht="15.5" x14ac:dyDescent="0.35">
      <c r="A335" s="14" t="str">
        <f>HYPERLINK(_xlfn.CONCAT(Edit_URL,Tasks[[#This Row],[Ref]]),Tasks[[#This Row],[Ref]])</f>
        <v>T59123.14</v>
      </c>
      <c r="B335" s="15" t="str" cm="1">
        <f t="array" ref="B335">_xlfn.SWITCH(LEFT(Tasks[[#This Row],[Status]],1),"O","Opened","C","Completed","S","Signed Off", "V", "Signed Off","ERROR")</f>
        <v>Signed Off</v>
      </c>
      <c r="C335" s="15" t="str" cm="1">
        <f t="array" ref="C335">_xlfn.SWITCH(LEFT(Tasks[[#This Row],[Type]], 3), "Fie", "Field Report", "Con", "Contractor QC", "Gen", "Contractor QC", "Pun", "Contractor QC", "Qua", "Contractor QC", "Fin", "Punch List")</f>
        <v>Contractor QC</v>
      </c>
      <c r="D335" s="15" t="str">
        <f>_xlfn.LET(
_xlpm.leftValue, TRIM(LEFT(Tasks[[#This Row],[Description]], 45)),
IF(LEN(_xlpm.leftValue) &lt; 40, _xlpm.leftValue, _xlfn.CONCAT(_xlpm.leftValue, "…"))
)</f>
        <v>Missing outlet - shaft wall not yet framed…</v>
      </c>
      <c r="E335" s="15" t="str" cm="1">
        <f t="array" ref="E335">_xlfn.LET(
_xlpm.inTower, COUNTIF(Tower_Num_Table[Tower Rm Numbers], LEFT(Task_Summary_Table[[#This Row],[Area/Room]], 3)) &gt; 0,
_xlpm.typeResult, _xlfn.SWITCH(LEFT(Tasks[[#This Row],[Page]], 2), "Hi", "Historic", "An", "Annex", "Si", "Site", "S5", "Project Task", "SWITCH ERROR"),
IF(_xlpm.inTower, "West Tower", _xlpm.typeResult)
)</f>
        <v>Annex</v>
      </c>
      <c r="F335" s="12" t="str">
        <f>IFERROR(MID(Tasks[[#This Row],[Page]], FIND("Level", Tasks[[#This Row],[Page]]), 7), IF(ISNUMBER(FIND("Roof", Tasks[[#This Row],[Page]])), "Roof",  IF(ISNUMBER(FIND("S590", Tasks[[#This Row],[Page]])), "",  IF(ISNUMBER(FIND("Site", Tasks[[#This Row],[Page]])), "", "ERROR"))))</f>
        <v>Level 1</v>
      </c>
      <c r="G335" s="12" t="str">
        <f>IF(Tasks[[#This Row],[Location]]=0, "", Tasks[[#This Row],[Location]])</f>
        <v>140 - Booth - Men</v>
      </c>
      <c r="H335" s="12" t="str">
        <f>Tasks[[#This Row],[To Package]]</f>
        <v>Electrical</v>
      </c>
      <c r="I335" s="12" t="str">
        <f>Tasks[[#This Row],[To Organisation]]</f>
        <v>Wilkinson Electric Inc</v>
      </c>
    </row>
    <row r="336" spans="1:9" ht="15.5" x14ac:dyDescent="0.35">
      <c r="A336" s="14" t="str">
        <f>HYPERLINK(_xlfn.CONCAT(Edit_URL,Tasks[[#This Row],[Ref]]),Tasks[[#This Row],[Ref]])</f>
        <v>T59123.11</v>
      </c>
      <c r="B336" s="15" t="str" cm="1">
        <f t="array" ref="B336">_xlfn.SWITCH(LEFT(Tasks[[#This Row],[Status]],1),"O","Opened","C","Completed","S","Signed Off", "V", "Signed Off","ERROR")</f>
        <v>Signed Off</v>
      </c>
      <c r="C336" s="15" t="str" cm="1">
        <f t="array" ref="C336">_xlfn.SWITCH(LEFT(Tasks[[#This Row],[Type]], 3), "Fie", "Field Report", "Con", "Contractor QC", "Gen", "Contractor QC", "Pun", "Contractor QC", "Qua", "Contractor QC", "Fin", "Punch List")</f>
        <v>Contractor QC</v>
      </c>
      <c r="D336" s="15" t="str">
        <f>_xlfn.LET(
_xlpm.leftValue, TRIM(LEFT(Tasks[[#This Row],[Description]], 45)),
IF(LEN(_xlpm.leftValue) &lt; 40, _xlpm.leftValue, _xlfn.CONCAT(_xlpm.leftValue, "…"))
)</f>
        <v>Insulation of mechanical piping at mechanical…</v>
      </c>
      <c r="E336" s="15" t="str" cm="1">
        <f t="array" ref="E336">_xlfn.LET(
_xlpm.inTower, COUNTIF(Tower_Num_Table[Tower Rm Numbers], LEFT(Task_Summary_Table[[#This Row],[Area/Room]], 3)) &gt; 0,
_xlpm.typeResult, _xlfn.SWITCH(LEFT(Tasks[[#This Row],[Page]], 2), "Hi", "Historic", "An", "Annex", "Si", "Site", "S5", "Project Task", "SWITCH ERROR"),
IF(_xlpm.inTower, "West Tower", _xlpm.typeResult)
)</f>
        <v>Annex</v>
      </c>
      <c r="F336" s="12" t="str">
        <f>IFERROR(MID(Tasks[[#This Row],[Page]], FIND("Level", Tasks[[#This Row],[Page]]), 7), IF(ISNUMBER(FIND("Roof", Tasks[[#This Row],[Page]])), "Roof",  IF(ISNUMBER(FIND("S590", Tasks[[#This Row],[Page]])), "",  IF(ISNUMBER(FIND("Site", Tasks[[#This Row],[Page]])), "", "ERROR"))))</f>
        <v>Level 1</v>
      </c>
      <c r="G336" s="12" t="str">
        <f>IF(Tasks[[#This Row],[Location]]=0, "", Tasks[[#This Row],[Location]])</f>
        <v>140 - Booth - Men</v>
      </c>
      <c r="H336" s="12" t="str">
        <f>Tasks[[#This Row],[To Package]]</f>
        <v>Plumbing</v>
      </c>
      <c r="I336" s="12" t="str">
        <f>Tasks[[#This Row],[To Organisation]]</f>
        <v>US Mechanical</v>
      </c>
    </row>
    <row r="337" spans="1:9" ht="15.5" x14ac:dyDescent="0.35">
      <c r="A337" s="14" t="str">
        <f>HYPERLINK(_xlfn.CONCAT(Edit_URL,Tasks[[#This Row],[Ref]]),Tasks[[#This Row],[Ref]])</f>
        <v>T59123.15</v>
      </c>
      <c r="B337" s="15" t="str" cm="1">
        <f t="array" ref="B337">_xlfn.SWITCH(LEFT(Tasks[[#This Row],[Status]],1),"O","Opened","C","Completed","S","Signed Off", "V", "Signed Off","ERROR")</f>
        <v>Signed Off</v>
      </c>
      <c r="C337" s="15" t="str" cm="1">
        <f t="array" ref="C337">_xlfn.SWITCH(LEFT(Tasks[[#This Row],[Type]], 3), "Fie", "Field Report", "Con", "Contractor QC", "Gen", "Contractor QC", "Pun", "Contractor QC", "Qua", "Contractor QC", "Fin", "Punch List")</f>
        <v>Contractor QC</v>
      </c>
      <c r="D337" s="15" t="str">
        <f>_xlfn.LET(
_xlpm.leftValue, TRIM(LEFT(Tasks[[#This Row],[Description]], 45)),
IF(LEN(_xlpm.leftValue) &lt; 40, _xlpm.leftValue, _xlfn.CONCAT(_xlpm.leftValue, "…"))
)</f>
        <v>Missing power outlet</v>
      </c>
      <c r="E337" s="15" t="str" cm="1">
        <f t="array" ref="E337">_xlfn.LET(
_xlpm.inTower, COUNTIF(Tower_Num_Table[Tower Rm Numbers], LEFT(Task_Summary_Table[[#This Row],[Area/Room]], 3)) &gt; 0,
_xlpm.typeResult, _xlfn.SWITCH(LEFT(Tasks[[#This Row],[Page]], 2), "Hi", "Historic", "An", "Annex", "Si", "Site", "S5", "Project Task", "SWITCH ERROR"),
IF(_xlpm.inTower, "West Tower", _xlpm.typeResult)
)</f>
        <v>Annex</v>
      </c>
      <c r="F337" s="12" t="str">
        <f>IFERROR(MID(Tasks[[#This Row],[Page]], FIND("Level", Tasks[[#This Row],[Page]]), 7), IF(ISNUMBER(FIND("Roof", Tasks[[#This Row],[Page]])), "Roof",  IF(ISNUMBER(FIND("S590", Tasks[[#This Row],[Page]])), "",  IF(ISNUMBER(FIND("Site", Tasks[[#This Row],[Page]])), "", "ERROR"))))</f>
        <v>Level 1</v>
      </c>
      <c r="G337" s="12" t="str">
        <f>IF(Tasks[[#This Row],[Location]]=0, "", Tasks[[#This Row],[Location]])</f>
        <v>140 - Booth - Men</v>
      </c>
      <c r="H337" s="12" t="str">
        <f>Tasks[[#This Row],[To Package]]</f>
        <v>Electrical</v>
      </c>
      <c r="I337" s="12" t="str">
        <f>Tasks[[#This Row],[To Organisation]]</f>
        <v>Wilkinson Electric Inc</v>
      </c>
    </row>
    <row r="338" spans="1:9" ht="15.5" x14ac:dyDescent="0.35">
      <c r="A338" s="14" t="str">
        <f>HYPERLINK(_xlfn.CONCAT(Edit_URL,Tasks[[#This Row],[Ref]]),Tasks[[#This Row],[Ref]])</f>
        <v>T59123.2</v>
      </c>
      <c r="B338" s="15" t="str" cm="1">
        <f t="array" ref="B338">_xlfn.SWITCH(LEFT(Tasks[[#This Row],[Status]],1),"O","Opened","C","Completed","S","Signed Off", "V", "Signed Off","ERROR")</f>
        <v>Signed Off</v>
      </c>
      <c r="C338" s="15" t="str" cm="1">
        <f t="array" ref="C338">_xlfn.SWITCH(LEFT(Tasks[[#This Row],[Type]], 3), "Fie", "Field Report", "Con", "Contractor QC", "Gen", "Contractor QC", "Pun", "Contractor QC", "Qua", "Contractor QC", "Fin", "Punch List")</f>
        <v>Contractor QC</v>
      </c>
      <c r="D338" s="15" t="str">
        <f>_xlfn.LET(
_xlpm.leftValue, TRIM(LEFT(Tasks[[#This Row],[Description]], 45)),
IF(LEN(_xlpm.leftValue) &lt; 40, _xlpm.leftValue, _xlfn.CONCAT(_xlpm.leftValue, "…"))
)</f>
        <v>Exit Sign Mounting Elevation Too High</v>
      </c>
      <c r="E338" s="15" t="str" cm="1">
        <f t="array" ref="E338">_xlfn.LET(
_xlpm.inTower, COUNTIF(Tower_Num_Table[Tower Rm Numbers], LEFT(Task_Summary_Table[[#This Row],[Area/Room]], 3)) &gt; 0,
_xlpm.typeResult, _xlfn.SWITCH(LEFT(Tasks[[#This Row],[Page]], 2), "Hi", "Historic", "An", "Annex", "Si", "Site", "S5", "Project Task", "SWITCH ERROR"),
IF(_xlpm.inTower, "West Tower", _xlpm.typeResult)
)</f>
        <v>Annex</v>
      </c>
      <c r="F338" s="12" t="str">
        <f>IFERROR(MID(Tasks[[#This Row],[Page]], FIND("Level", Tasks[[#This Row],[Page]]), 7), IF(ISNUMBER(FIND("Roof", Tasks[[#This Row],[Page]])), "Roof",  IF(ISNUMBER(FIND("S590", Tasks[[#This Row],[Page]])), "",  IF(ISNUMBER(FIND("Site", Tasks[[#This Row],[Page]])), "", "ERROR"))))</f>
        <v>Level 1</v>
      </c>
      <c r="G338" s="12" t="str">
        <f>IF(Tasks[[#This Row],[Location]]=0, "", Tasks[[#This Row],[Location]])</f>
        <v>141 - Dressing Men</v>
      </c>
      <c r="H338" s="12" t="str">
        <f>Tasks[[#This Row],[To Package]]</f>
        <v>Electrical</v>
      </c>
      <c r="I338" s="12" t="str">
        <f>Tasks[[#This Row],[To Organisation]]</f>
        <v>Wilkinson Electric Inc</v>
      </c>
    </row>
    <row r="339" spans="1:9" ht="15.5" x14ac:dyDescent="0.35">
      <c r="A339" s="14" t="str">
        <f>HYPERLINK(_xlfn.CONCAT(Edit_URL,Tasks[[#This Row],[Ref]]),Tasks[[#This Row],[Ref]])</f>
        <v>T59123.26</v>
      </c>
      <c r="B339" s="15" t="str" cm="1">
        <f t="array" ref="B339">_xlfn.SWITCH(LEFT(Tasks[[#This Row],[Status]],1),"O","Opened","C","Completed","S","Signed Off", "V", "Signed Off","ERROR")</f>
        <v>Signed Off</v>
      </c>
      <c r="C339" s="15" t="str" cm="1">
        <f t="array" ref="C339">_xlfn.SWITCH(LEFT(Tasks[[#This Row],[Type]], 3), "Fie", "Field Report", "Con", "Contractor QC", "Gen", "Contractor QC", "Pun", "Contractor QC", "Qua", "Contractor QC", "Fin", "Punch List")</f>
        <v>Contractor QC</v>
      </c>
      <c r="D339" s="15" t="str">
        <f>_xlfn.LET(
_xlpm.leftValue, TRIM(LEFT(Tasks[[#This Row],[Description]], 45)),
IF(LEN(_xlpm.leftValue) &lt; 40, _xlpm.leftValue, _xlfn.CONCAT(_xlpm.leftValue, "…"))
)</f>
        <v>Missing WAP rough in</v>
      </c>
      <c r="E339" s="15" t="str" cm="1">
        <f t="array" ref="E339">_xlfn.LET(
_xlpm.inTower, COUNTIF(Tower_Num_Table[Tower Rm Numbers], LEFT(Task_Summary_Table[[#This Row],[Area/Room]], 3)) &gt; 0,
_xlpm.typeResult, _xlfn.SWITCH(LEFT(Tasks[[#This Row],[Page]], 2), "Hi", "Historic", "An", "Annex", "Si", "Site", "S5", "Project Task", "SWITCH ERROR"),
IF(_xlpm.inTower, "West Tower", _xlpm.typeResult)
)</f>
        <v>Annex</v>
      </c>
      <c r="F339" s="12" t="str">
        <f>IFERROR(MID(Tasks[[#This Row],[Page]], FIND("Level", Tasks[[#This Row],[Page]]), 7), IF(ISNUMBER(FIND("Roof", Tasks[[#This Row],[Page]])), "Roof",  IF(ISNUMBER(FIND("S590", Tasks[[#This Row],[Page]])), "",  IF(ISNUMBER(FIND("Site", Tasks[[#This Row],[Page]])), "", "ERROR"))))</f>
        <v>Level 1</v>
      </c>
      <c r="G339" s="12" t="str">
        <f>IF(Tasks[[#This Row],[Location]]=0, "", Tasks[[#This Row],[Location]])</f>
        <v>132A - Clothing</v>
      </c>
      <c r="H339" s="12" t="str">
        <f>Tasks[[#This Row],[To Package]]</f>
        <v>Electrical</v>
      </c>
      <c r="I339" s="12" t="str">
        <f>Tasks[[#This Row],[To Organisation]]</f>
        <v>Wilkinson Electric Inc</v>
      </c>
    </row>
    <row r="340" spans="1:9" ht="15.5" x14ac:dyDescent="0.35">
      <c r="A340" s="14" t="str">
        <f>HYPERLINK(_xlfn.CONCAT(Edit_URL,Tasks[[#This Row],[Ref]]),Tasks[[#This Row],[Ref]])</f>
        <v>T59123.70</v>
      </c>
      <c r="B340" s="15" t="str" cm="1">
        <f t="array" ref="B340">_xlfn.SWITCH(LEFT(Tasks[[#This Row],[Status]],1),"O","Opened","C","Completed","S","Signed Off", "V", "Signed Off","ERROR")</f>
        <v>Signed Off</v>
      </c>
      <c r="C340" s="15" t="str" cm="1">
        <f t="array" ref="C340">_xlfn.SWITCH(LEFT(Tasks[[#This Row],[Type]], 3), "Fie", "Field Report", "Con", "Contractor QC", "Gen", "Contractor QC", "Pun", "Contractor QC", "Qua", "Contractor QC", "Fin", "Punch List")</f>
        <v>Contractor QC</v>
      </c>
      <c r="D340" s="15" t="str">
        <f>_xlfn.LET(
_xlpm.leftValue, TRIM(LEFT(Tasks[[#This Row],[Description]], 45)),
IF(LEN(_xlpm.leftValue) &lt; 40, _xlpm.leftValue, _xlfn.CONCAT(_xlpm.leftValue, "…"))
)</f>
        <v>Align sprinkler head with can light￼</v>
      </c>
      <c r="E340" s="15" t="str" cm="1">
        <f t="array" ref="E340">_xlfn.LET(
_xlpm.inTower, COUNTIF(Tower_Num_Table[Tower Rm Numbers], LEFT(Task_Summary_Table[[#This Row],[Area/Room]], 3)) &gt; 0,
_xlpm.typeResult, _xlfn.SWITCH(LEFT(Tasks[[#This Row],[Page]], 2), "Hi", "Historic", "An", "Annex", "Si", "Site", "S5", "Project Task", "SWITCH ERROR"),
IF(_xlpm.inTower, "West Tower", _xlpm.typeResult)
)</f>
        <v>Historic</v>
      </c>
      <c r="F340" s="12" t="str">
        <f>IFERROR(MID(Tasks[[#This Row],[Page]], FIND("Level", Tasks[[#This Row],[Page]]), 7), IF(ISNUMBER(FIND("Roof", Tasks[[#This Row],[Page]])), "Roof",  IF(ISNUMBER(FIND("S590", Tasks[[#This Row],[Page]])), "",  IF(ISNUMBER(FIND("Site", Tasks[[#This Row],[Page]])), "", "ERROR"))))</f>
        <v>Level 0</v>
      </c>
      <c r="G340" s="12" t="str">
        <f>IF(Tasks[[#This Row],[Location]]=0, "", Tasks[[#This Row],[Location]])</f>
        <v>073 - Showers</v>
      </c>
      <c r="H340" s="12" t="str">
        <f>Tasks[[#This Row],[To Package]]</f>
        <v>Fire Suppression</v>
      </c>
      <c r="I340" s="12" t="str">
        <f>Tasks[[#This Row],[To Organisation]]</f>
        <v>Broken Arrow Construction Corporation</v>
      </c>
    </row>
    <row r="341" spans="1:9" ht="15.5" x14ac:dyDescent="0.35">
      <c r="A341" s="14" t="str">
        <f>HYPERLINK(_xlfn.CONCAT(Edit_URL,Tasks[[#This Row],[Ref]]),Tasks[[#This Row],[Ref]])</f>
        <v>T59123.73</v>
      </c>
      <c r="B341" s="15" t="str" cm="1">
        <f t="array" ref="B341">_xlfn.SWITCH(LEFT(Tasks[[#This Row],[Status]],1),"O","Opened","C","Completed","S","Signed Off", "V", "Signed Off","ERROR")</f>
        <v>Signed Off</v>
      </c>
      <c r="C341" s="15" t="str" cm="1">
        <f t="array" ref="C341">_xlfn.SWITCH(LEFT(Tasks[[#This Row],[Type]], 3), "Fie", "Field Report", "Con", "Contractor QC", "Gen", "Contractor QC", "Pun", "Contractor QC", "Qua", "Contractor QC", "Fin", "Punch List")</f>
        <v>Contractor QC</v>
      </c>
      <c r="D341" s="15" t="str">
        <f>_xlfn.LET(
_xlpm.leftValue, TRIM(LEFT(Tasks[[#This Row],[Description]], 45)),
IF(LEN(_xlpm.leftValue) &lt; 40, _xlpm.leftValue, _xlfn.CONCAT(_xlpm.leftValue, "…"))
)</f>
        <v>Low volt switch located on west wall but not…</v>
      </c>
      <c r="E341" s="15" t="str" cm="1">
        <f t="array" ref="E341">_xlfn.LET(
_xlpm.inTower, COUNTIF(Tower_Num_Table[Tower Rm Numbers], LEFT(Task_Summary_Table[[#This Row],[Area/Room]], 3)) &gt; 0,
_xlpm.typeResult, _xlfn.SWITCH(LEFT(Tasks[[#This Row],[Page]], 2), "Hi", "Historic", "An", "Annex", "Si", "Site", "S5", "Project Task", "SWITCH ERROR"),
IF(_xlpm.inTower, "West Tower", _xlpm.typeResult)
)</f>
        <v>Historic</v>
      </c>
      <c r="F341" s="12" t="str">
        <f>IFERROR(MID(Tasks[[#This Row],[Page]], FIND("Level", Tasks[[#This Row],[Page]]), 7), IF(ISNUMBER(FIND("Roof", Tasks[[#This Row],[Page]])), "Roof",  IF(ISNUMBER(FIND("S590", Tasks[[#This Row],[Page]])), "",  IF(ISNUMBER(FIND("Site", Tasks[[#This Row],[Page]])), "", "ERROR"))))</f>
        <v>Level 0</v>
      </c>
      <c r="G341" s="12" t="str">
        <f>IF(Tasks[[#This Row],[Location]]=0, "", Tasks[[#This Row],[Location]])</f>
        <v>071 - Lavatory</v>
      </c>
      <c r="H341" s="12" t="str">
        <f>Tasks[[#This Row],[To Package]]</f>
        <v>Electrical</v>
      </c>
      <c r="I341" s="12" t="str">
        <f>Tasks[[#This Row],[To Organisation]]</f>
        <v>Wilkinson Electric Inc</v>
      </c>
    </row>
    <row r="342" spans="1:9" ht="15.5" x14ac:dyDescent="0.35">
      <c r="A342" s="14" t="str">
        <f>HYPERLINK(_xlfn.CONCAT(Edit_URL,Tasks[[#This Row],[Ref]]),Tasks[[#This Row],[Ref]])</f>
        <v>T59123.72</v>
      </c>
      <c r="B342" s="15" t="str" cm="1">
        <f t="array" ref="B342">_xlfn.SWITCH(LEFT(Tasks[[#This Row],[Status]],1),"O","Opened","C","Completed","S","Signed Off", "V", "Signed Off","ERROR")</f>
        <v>Signed Off</v>
      </c>
      <c r="C342" s="15" t="str" cm="1">
        <f t="array" ref="C342">_xlfn.SWITCH(LEFT(Tasks[[#This Row],[Type]], 3), "Fie", "Field Report", "Con", "Contractor QC", "Gen", "Contractor QC", "Pun", "Contractor QC", "Qua", "Contractor QC", "Fin", "Punch List")</f>
        <v>Contractor QC</v>
      </c>
      <c r="D342" s="15" t="str">
        <f>_xlfn.LET(
_xlpm.leftValue, TRIM(LEFT(Tasks[[#This Row],[Description]], 45)),
IF(LEN(_xlpm.leftValue) &lt; 40, _xlpm.leftValue, _xlfn.CONCAT(_xlpm.leftValue, "…"))
)</f>
        <v>Fire alarm not located on south wall as shown…</v>
      </c>
      <c r="E342" s="15" t="str" cm="1">
        <f t="array" ref="E342">_xlfn.LET(
_xlpm.inTower, COUNTIF(Tower_Num_Table[Tower Rm Numbers], LEFT(Task_Summary_Table[[#This Row],[Area/Room]], 3)) &gt; 0,
_xlpm.typeResult, _xlfn.SWITCH(LEFT(Tasks[[#This Row],[Page]], 2), "Hi", "Historic", "An", "Annex", "Si", "Site", "S5", "Project Task", "SWITCH ERROR"),
IF(_xlpm.inTower, "West Tower", _xlpm.typeResult)
)</f>
        <v>Historic</v>
      </c>
      <c r="F342" s="12" t="str">
        <f>IFERROR(MID(Tasks[[#This Row],[Page]], FIND("Level", Tasks[[#This Row],[Page]]), 7), IF(ISNUMBER(FIND("Roof", Tasks[[#This Row],[Page]])), "Roof",  IF(ISNUMBER(FIND("S590", Tasks[[#This Row],[Page]])), "",  IF(ISNUMBER(FIND("Site", Tasks[[#This Row],[Page]])), "", "ERROR"))))</f>
        <v>Level 0</v>
      </c>
      <c r="G342" s="12" t="str">
        <f>IF(Tasks[[#This Row],[Location]]=0, "", Tasks[[#This Row],[Location]])</f>
        <v>070 - Restroom Girls</v>
      </c>
      <c r="H342" s="12" t="str">
        <f>Tasks[[#This Row],[To Package]]</f>
        <v>Electrical</v>
      </c>
      <c r="I342" s="12" t="str">
        <f>Tasks[[#This Row],[To Organisation]]</f>
        <v>Wilkinson Electric Inc</v>
      </c>
    </row>
    <row r="343" spans="1:9" ht="15.5" x14ac:dyDescent="0.35">
      <c r="A343" s="14" t="str">
        <f>HYPERLINK(_xlfn.CONCAT(Edit_URL,Tasks[[#This Row],[Ref]]),Tasks[[#This Row],[Ref]])</f>
        <v>T59123.45</v>
      </c>
      <c r="B343" s="15" t="str" cm="1">
        <f t="array" ref="B343">_xlfn.SWITCH(LEFT(Tasks[[#This Row],[Status]],1),"O","Opened","C","Completed","S","Signed Off", "V", "Signed Off","ERROR")</f>
        <v>Signed Off</v>
      </c>
      <c r="C343" s="15" t="str" cm="1">
        <f t="array" ref="C343">_xlfn.SWITCH(LEFT(Tasks[[#This Row],[Type]], 3), "Fie", "Field Report", "Con", "Contractor QC", "Gen", "Contractor QC", "Pun", "Contractor QC", "Qua", "Contractor QC", "Fin", "Punch List")</f>
        <v>Contractor QC</v>
      </c>
      <c r="D343" s="15" t="str">
        <f>_xlfn.LET(
_xlpm.leftValue, TRIM(LEFT(Tasks[[#This Row],[Description]], 45)),
IF(LEN(_xlpm.leftValue) &lt; 40, _xlpm.leftValue, _xlfn.CONCAT(_xlpm.leftValue, "…"))
)</f>
        <v>Mount fire suppression heads</v>
      </c>
      <c r="E343" s="15" t="str" cm="1">
        <f t="array" ref="E343">_xlfn.LET(
_xlpm.inTower, COUNTIF(Tower_Num_Table[Tower Rm Numbers], LEFT(Task_Summary_Table[[#This Row],[Area/Room]], 3)) &gt; 0,
_xlpm.typeResult, _xlfn.SWITCH(LEFT(Tasks[[#This Row],[Page]], 2), "Hi", "Historic", "An", "Annex", "Si", "Site", "S5", "Project Task", "SWITCH ERROR"),
IF(_xlpm.inTower, "West Tower", _xlpm.typeResult)
)</f>
        <v>Historic</v>
      </c>
      <c r="F343" s="12" t="str">
        <f>IFERROR(MID(Tasks[[#This Row],[Page]], FIND("Level", Tasks[[#This Row],[Page]]), 7), IF(ISNUMBER(FIND("Roof", Tasks[[#This Row],[Page]])), "Roof",  IF(ISNUMBER(FIND("S590", Tasks[[#This Row],[Page]])), "",  IF(ISNUMBER(FIND("Site", Tasks[[#This Row],[Page]])), "", "ERROR"))))</f>
        <v>Level 4</v>
      </c>
      <c r="G343" s="12" t="str">
        <f>IF(Tasks[[#This Row],[Location]]=0, "", Tasks[[#This Row],[Location]])</f>
        <v>409 - Vestibule</v>
      </c>
      <c r="H343" s="12" t="str">
        <f>Tasks[[#This Row],[To Package]]</f>
        <v>Fire Suppression</v>
      </c>
      <c r="I343" s="12" t="str">
        <f>Tasks[[#This Row],[To Organisation]]</f>
        <v>Broken Arrow Construction Corporation</v>
      </c>
    </row>
    <row r="344" spans="1:9" ht="15.5" x14ac:dyDescent="0.35">
      <c r="A344" s="14" t="str">
        <f>HYPERLINK(_xlfn.CONCAT(Edit_URL,Tasks[[#This Row],[Ref]]),Tasks[[#This Row],[Ref]])</f>
        <v>T59123.35</v>
      </c>
      <c r="B344" s="15" t="str" cm="1">
        <f t="array" ref="B344">_xlfn.SWITCH(LEFT(Tasks[[#This Row],[Status]],1),"O","Opened","C","Completed","S","Signed Off", "V", "Signed Off","ERROR")</f>
        <v>Signed Off</v>
      </c>
      <c r="C344" s="15" t="str" cm="1">
        <f t="array" ref="C344">_xlfn.SWITCH(LEFT(Tasks[[#This Row],[Type]], 3), "Fie", "Field Report", "Con", "Contractor QC", "Gen", "Contractor QC", "Pun", "Contractor QC", "Qua", "Contractor QC", "Fin", "Punch List")</f>
        <v>Contractor QC</v>
      </c>
      <c r="D344" s="15" t="str">
        <f>_xlfn.LET(
_xlpm.leftValue, TRIM(LEFT(Tasks[[#This Row],[Description]], 45)),
IF(LEN(_xlpm.leftValue) &lt; 40, _xlpm.leftValue, _xlfn.CONCAT(_xlpm.leftValue, "…"))
)</f>
        <v>Mount fire suppression heads</v>
      </c>
      <c r="E344" s="15" t="str" cm="1">
        <f t="array" ref="E344">_xlfn.LET(
_xlpm.inTower, COUNTIF(Tower_Num_Table[Tower Rm Numbers], LEFT(Task_Summary_Table[[#This Row],[Area/Room]], 3)) &gt; 0,
_xlpm.typeResult, _xlfn.SWITCH(LEFT(Tasks[[#This Row],[Page]], 2), "Hi", "Historic", "An", "Annex", "Si", "Site", "S5", "Project Task", "SWITCH ERROR"),
IF(_xlpm.inTower, "West Tower", _xlpm.typeResult)
)</f>
        <v>Historic</v>
      </c>
      <c r="F344" s="12" t="str">
        <f>IFERROR(MID(Tasks[[#This Row],[Page]], FIND("Level", Tasks[[#This Row],[Page]]), 7), IF(ISNUMBER(FIND("Roof", Tasks[[#This Row],[Page]])), "Roof",  IF(ISNUMBER(FIND("S590", Tasks[[#This Row],[Page]])), "",  IF(ISNUMBER(FIND("Site", Tasks[[#This Row],[Page]])), "", "ERROR"))))</f>
        <v>Level 4</v>
      </c>
      <c r="G344" s="12" t="str">
        <f>IF(Tasks[[#This Row],[Location]]=0, "", Tasks[[#This Row],[Location]])</f>
        <v>411 - Vestibule</v>
      </c>
      <c r="H344" s="12" t="str">
        <f>Tasks[[#This Row],[To Package]]</f>
        <v>Fire Suppression</v>
      </c>
      <c r="I344" s="12" t="str">
        <f>Tasks[[#This Row],[To Organisation]]</f>
        <v>Broken Arrow Construction Corporation</v>
      </c>
    </row>
    <row r="345" spans="1:9" ht="15.5" x14ac:dyDescent="0.35">
      <c r="A345" s="14" t="str">
        <f>HYPERLINK(_xlfn.CONCAT(Edit_URL,Tasks[[#This Row],[Ref]]),Tasks[[#This Row],[Ref]])</f>
        <v>T59123.38</v>
      </c>
      <c r="B345" s="15" t="str" cm="1">
        <f t="array" ref="B345">_xlfn.SWITCH(LEFT(Tasks[[#This Row],[Status]],1),"O","Opened","C","Completed","S","Signed Off", "V", "Signed Off","ERROR")</f>
        <v>Signed Off</v>
      </c>
      <c r="C345" s="15" t="str" cm="1">
        <f t="array" ref="C345">_xlfn.SWITCH(LEFT(Tasks[[#This Row],[Type]], 3), "Fie", "Field Report", "Con", "Contractor QC", "Gen", "Contractor QC", "Pun", "Contractor QC", "Qua", "Contractor QC", "Fin", "Punch List")</f>
        <v>Contractor QC</v>
      </c>
      <c r="D345" s="15" t="str">
        <f>_xlfn.LET(
_xlpm.leftValue, TRIM(LEFT(Tasks[[#This Row],[Description]], 45)),
IF(LEN(_xlpm.leftValue) &lt; 40, _xlpm.leftValue, _xlfn.CONCAT(_xlpm.leftValue, "…"))
)</f>
        <v>Relocate fire line be above ceiling elevation…</v>
      </c>
      <c r="E345" s="15" t="str" cm="1">
        <f t="array" ref="E345">_xlfn.LET(
_xlpm.inTower, COUNTIF(Tower_Num_Table[Tower Rm Numbers], LEFT(Task_Summary_Table[[#This Row],[Area/Room]], 3)) &gt; 0,
_xlpm.typeResult, _xlfn.SWITCH(LEFT(Tasks[[#This Row],[Page]], 2), "Hi", "Historic", "An", "Annex", "Si", "Site", "S5", "Project Task", "SWITCH ERROR"),
IF(_xlpm.inTower, "West Tower", _xlpm.typeResult)
)</f>
        <v>Historic</v>
      </c>
      <c r="F345" s="12" t="str">
        <f>IFERROR(MID(Tasks[[#This Row],[Page]], FIND("Level", Tasks[[#This Row],[Page]]), 7), IF(ISNUMBER(FIND("Roof", Tasks[[#This Row],[Page]])), "Roof",  IF(ISNUMBER(FIND("S590", Tasks[[#This Row],[Page]])), "",  IF(ISNUMBER(FIND("Site", Tasks[[#This Row],[Page]])), "", "ERROR"))))</f>
        <v>Level 4</v>
      </c>
      <c r="G345" s="12" t="str">
        <f>IF(Tasks[[#This Row],[Location]]=0, "", Tasks[[#This Row],[Location]])</f>
        <v>410 - Study</v>
      </c>
      <c r="H345" s="12" t="str">
        <f>Tasks[[#This Row],[To Package]]</f>
        <v>Fire Suppression</v>
      </c>
      <c r="I345" s="12" t="str">
        <f>Tasks[[#This Row],[To Organisation]]</f>
        <v>Broken Arrow Construction Corporation</v>
      </c>
    </row>
    <row r="346" spans="1:9" ht="15.5" x14ac:dyDescent="0.35">
      <c r="A346" s="14" t="str">
        <f>HYPERLINK(_xlfn.CONCAT(Edit_URL,Tasks[[#This Row],[Ref]]),Tasks[[#This Row],[Ref]])</f>
        <v>T59123.43</v>
      </c>
      <c r="B346" s="15" t="str" cm="1">
        <f t="array" ref="B346">_xlfn.SWITCH(LEFT(Tasks[[#This Row],[Status]],1),"O","Opened","C","Completed","S","Signed Off", "V", "Signed Off","ERROR")</f>
        <v>Signed Off</v>
      </c>
      <c r="C346" s="15" t="str" cm="1">
        <f t="array" ref="C346">_xlfn.SWITCH(LEFT(Tasks[[#This Row],[Type]], 3), "Fie", "Field Report", "Con", "Contractor QC", "Gen", "Contractor QC", "Pun", "Contractor QC", "Qua", "Contractor QC", "Fin", "Punch List")</f>
        <v>Contractor QC</v>
      </c>
      <c r="D346" s="15" t="str">
        <f>_xlfn.LET(
_xlpm.leftValue, TRIM(LEFT(Tasks[[#This Row],[Description]], 45)),
IF(LEN(_xlpm.leftValue) &lt; 40, _xlpm.leftValue, _xlfn.CONCAT(_xlpm.leftValue, "…"))
)</f>
        <v>Hydronic need to be tied in to fan coil units…</v>
      </c>
      <c r="E346" s="15" t="str" cm="1">
        <f t="array" ref="E346">_xlfn.LET(
_xlpm.inTower, COUNTIF(Tower_Num_Table[Tower Rm Numbers], LEFT(Task_Summary_Table[[#This Row],[Area/Room]], 3)) &gt; 0,
_xlpm.typeResult, _xlfn.SWITCH(LEFT(Tasks[[#This Row],[Page]], 2), "Hi", "Historic", "An", "Annex", "Si", "Site", "S5", "Project Task", "SWITCH ERROR"),
IF(_xlpm.inTower, "West Tower", _xlpm.typeResult)
)</f>
        <v>Historic</v>
      </c>
      <c r="F346" s="12" t="str">
        <f>IFERROR(MID(Tasks[[#This Row],[Page]], FIND("Level", Tasks[[#This Row],[Page]]), 7), IF(ISNUMBER(FIND("Roof", Tasks[[#This Row],[Page]])), "Roof",  IF(ISNUMBER(FIND("S590", Tasks[[#This Row],[Page]])), "",  IF(ISNUMBER(FIND("Site", Tasks[[#This Row],[Page]])), "", "ERROR"))))</f>
        <v>Level 4</v>
      </c>
      <c r="G346" s="12" t="str">
        <f>IF(Tasks[[#This Row],[Location]]=0, "", Tasks[[#This Row],[Location]])</f>
        <v>410 - Study</v>
      </c>
      <c r="H346" s="12" t="str">
        <f>Tasks[[#This Row],[To Package]]</f>
        <v>HVAC</v>
      </c>
      <c r="I346" s="12" t="str">
        <f>Tasks[[#This Row],[To Organisation]]</f>
        <v>US Mechanical</v>
      </c>
    </row>
    <row r="347" spans="1:9" ht="15.5" x14ac:dyDescent="0.35">
      <c r="A347" s="14" t="str">
        <f>HYPERLINK(_xlfn.CONCAT(Edit_URL,Tasks[[#This Row],[Ref]]),Tasks[[#This Row],[Ref]])</f>
        <v>T59123.28</v>
      </c>
      <c r="B347" s="15" t="str" cm="1">
        <f t="array" ref="B347">_xlfn.SWITCH(LEFT(Tasks[[#This Row],[Status]],1),"O","Opened","C","Completed","S","Signed Off", "V", "Signed Off","ERROR")</f>
        <v>Signed Off</v>
      </c>
      <c r="C347" s="15" t="str" cm="1">
        <f t="array" ref="C347">_xlfn.SWITCH(LEFT(Tasks[[#This Row],[Type]], 3), "Fie", "Field Report", "Con", "Contractor QC", "Gen", "Contractor QC", "Pun", "Contractor QC", "Qua", "Contractor QC", "Fin", "Punch List")</f>
        <v>Contractor QC</v>
      </c>
      <c r="D347" s="15" t="str">
        <f>_xlfn.LET(
_xlpm.leftValue, TRIM(LEFT(Tasks[[#This Row],[Description]], 45)),
IF(LEN(_xlpm.leftValue) &lt; 40, _xlpm.leftValue, _xlfn.CONCAT(_xlpm.leftValue, "…"))
)</f>
        <v>Alignment of rough in for this room being ver…</v>
      </c>
      <c r="E347" s="15" t="str" cm="1">
        <f t="array" ref="E347">_xlfn.LET(
_xlpm.inTower, COUNTIF(Tower_Num_Table[Tower Rm Numbers], LEFT(Task_Summary_Table[[#This Row],[Area/Room]], 3)) &gt; 0,
_xlpm.typeResult, _xlfn.SWITCH(LEFT(Tasks[[#This Row],[Page]], 2), "Hi", "Historic", "An", "Annex", "Si", "Site", "S5", "Project Task", "SWITCH ERROR"),
IF(_xlpm.inTower, "West Tower", _xlpm.typeResult)
)</f>
        <v>Annex</v>
      </c>
      <c r="F347" s="12" t="str">
        <f>IFERROR(MID(Tasks[[#This Row],[Page]], FIND("Level", Tasks[[#This Row],[Page]]), 7), IF(ISNUMBER(FIND("Roof", Tasks[[#This Row],[Page]])), "Roof",  IF(ISNUMBER(FIND("S590", Tasks[[#This Row],[Page]])), "",  IF(ISNUMBER(FIND("Site", Tasks[[#This Row],[Page]])), "", "ERROR"))))</f>
        <v>Level 1</v>
      </c>
      <c r="G347" s="12" t="str">
        <f>IF(Tasks[[#This Row],[Location]]=0, "", Tasks[[#This Row],[Location]])</f>
        <v>136 - Instruction - Brother</v>
      </c>
      <c r="H347" s="12" t="str">
        <f>Tasks[[#This Row],[To Package]]</f>
        <v>HVAC</v>
      </c>
      <c r="I347" s="12" t="str">
        <f>Tasks[[#This Row],[To Organisation]]</f>
        <v>US Mechanical</v>
      </c>
    </row>
    <row r="348" spans="1:9" ht="15.5" x14ac:dyDescent="0.35">
      <c r="A348" s="14" t="str">
        <f>HYPERLINK(_xlfn.CONCAT(Edit_URL,Tasks[[#This Row],[Ref]]),Tasks[[#This Row],[Ref]])</f>
        <v>T59123.22</v>
      </c>
      <c r="B348" s="15" t="str" cm="1">
        <f t="array" ref="B348">_xlfn.SWITCH(LEFT(Tasks[[#This Row],[Status]],1),"O","Opened","C","Completed","S","Signed Off", "V", "Signed Off","ERROR")</f>
        <v>Signed Off</v>
      </c>
      <c r="C348" s="15" t="str" cm="1">
        <f t="array" ref="C348">_xlfn.SWITCH(LEFT(Tasks[[#This Row],[Type]], 3), "Fie", "Field Report", "Con", "Contractor QC", "Gen", "Contractor QC", "Pun", "Contractor QC", "Qua", "Contractor QC", "Fin", "Punch List")</f>
        <v>Contractor QC</v>
      </c>
      <c r="D348" s="15" t="str">
        <f>_xlfn.LET(
_xlpm.leftValue, TRIM(LEFT(Tasks[[#This Row],[Description]], 45)),
IF(LEN(_xlpm.leftValue) &lt; 40, _xlpm.leftValue, _xlfn.CONCAT(_xlpm.leftValue, "…"))
)</f>
        <v>Verify electrical layout is centered per C3/A…</v>
      </c>
      <c r="E348" s="15" t="str" cm="1">
        <f t="array" ref="E348">_xlfn.LET(
_xlpm.inTower, COUNTIF(Tower_Num_Table[Tower Rm Numbers], LEFT(Task_Summary_Table[[#This Row],[Area/Room]], 3)) &gt; 0,
_xlpm.typeResult, _xlfn.SWITCH(LEFT(Tasks[[#This Row],[Page]], 2), "Hi", "Historic", "An", "Annex", "Si", "Site", "S5", "Project Task", "SWITCH ERROR"),
IF(_xlpm.inTower, "West Tower", _xlpm.typeResult)
)</f>
        <v>Annex</v>
      </c>
      <c r="F348" s="12" t="str">
        <f>IFERROR(MID(Tasks[[#This Row],[Page]], FIND("Level", Tasks[[#This Row],[Page]]), 7), IF(ISNUMBER(FIND("Roof", Tasks[[#This Row],[Page]])), "Roof",  IF(ISNUMBER(FIND("S590", Tasks[[#This Row],[Page]])), "",  IF(ISNUMBER(FIND("Site", Tasks[[#This Row],[Page]])), "", "ERROR"))))</f>
        <v>Level 1</v>
      </c>
      <c r="G348" s="12" t="str">
        <f>IF(Tasks[[#This Row],[Location]]=0, "", Tasks[[#This Row],[Location]])</f>
        <v>132 - Clothing</v>
      </c>
      <c r="H348" s="12" t="str">
        <f>Tasks[[#This Row],[To Package]]</f>
        <v>Electrical</v>
      </c>
      <c r="I348" s="12" t="str">
        <f>Tasks[[#This Row],[To Organisation]]</f>
        <v>Wilkinson Electric Inc</v>
      </c>
    </row>
    <row r="349" spans="1:9" ht="15.5" x14ac:dyDescent="0.35">
      <c r="A349" s="14" t="str">
        <f>HYPERLINK(_xlfn.CONCAT(Edit_URL,Tasks[[#This Row],[Ref]]),Tasks[[#This Row],[Ref]])</f>
        <v>T59123.25</v>
      </c>
      <c r="B349" s="15" t="str" cm="1">
        <f t="array" ref="B349">_xlfn.SWITCH(LEFT(Tasks[[#This Row],[Status]],1),"O","Opened","C","Completed","S","Signed Off", "V", "Signed Off","ERROR")</f>
        <v>Signed Off</v>
      </c>
      <c r="C349" s="15" t="str" cm="1">
        <f t="array" ref="C349">_xlfn.SWITCH(LEFT(Tasks[[#This Row],[Type]], 3), "Fie", "Field Report", "Con", "Contractor QC", "Gen", "Contractor QC", "Pun", "Contractor QC", "Qua", "Contractor QC", "Fin", "Punch List")</f>
        <v>Contractor QC</v>
      </c>
      <c r="D349" s="15" t="str">
        <f>_xlfn.LET(
_xlpm.leftValue, TRIM(LEFT(Tasks[[#This Row],[Description]], 45)),
IF(LEN(_xlpm.leftValue) &lt; 40, _xlpm.leftValue, _xlfn.CONCAT(_xlpm.leftValue, "…"))
)</f>
        <v>Missing duress button</v>
      </c>
      <c r="E349" s="15" t="str" cm="1">
        <f t="array" ref="E349">_xlfn.LET(
_xlpm.inTower, COUNTIF(Tower_Num_Table[Tower Rm Numbers], LEFT(Task_Summary_Table[[#This Row],[Area/Room]], 3)) &gt; 0,
_xlpm.typeResult, _xlfn.SWITCH(LEFT(Tasks[[#This Row],[Page]], 2), "Hi", "Historic", "An", "Annex", "Si", "Site", "S5", "Project Task", "SWITCH ERROR"),
IF(_xlpm.inTower, "West Tower", _xlpm.typeResult)
)</f>
        <v>Annex</v>
      </c>
      <c r="F349" s="12" t="str">
        <f>IFERROR(MID(Tasks[[#This Row],[Page]], FIND("Level", Tasks[[#This Row],[Page]]), 7), IF(ISNUMBER(FIND("Roof", Tasks[[#This Row],[Page]])), "Roof",  IF(ISNUMBER(FIND("S590", Tasks[[#This Row],[Page]])), "",  IF(ISNUMBER(FIND("Site", Tasks[[#This Row],[Page]])), "", "ERROR"))))</f>
        <v>Level 1</v>
      </c>
      <c r="G349" s="12" t="str">
        <f>IF(Tasks[[#This Row],[Location]]=0, "", Tasks[[#This Row],[Location]])</f>
        <v>132A - Clothing</v>
      </c>
      <c r="H349" s="12" t="str">
        <f>Tasks[[#This Row],[To Package]]</f>
        <v>Electrical</v>
      </c>
      <c r="I349" s="12" t="str">
        <f>Tasks[[#This Row],[To Organisation]]</f>
        <v>Wilkinson Electric Inc</v>
      </c>
    </row>
    <row r="350" spans="1:9" ht="15.5" x14ac:dyDescent="0.35">
      <c r="A350" s="14" t="str">
        <f>HYPERLINK(_xlfn.CONCAT(Edit_URL,Tasks[[#This Row],[Ref]]),Tasks[[#This Row],[Ref]])</f>
        <v>T59123.24</v>
      </c>
      <c r="B350" s="15" t="str" cm="1">
        <f t="array" ref="B350">_xlfn.SWITCH(LEFT(Tasks[[#This Row],[Status]],1),"O","Opened","C","Completed","S","Signed Off", "V", "Signed Off","ERROR")</f>
        <v>Signed Off</v>
      </c>
      <c r="C350" s="15" t="str" cm="1">
        <f t="array" ref="C350">_xlfn.SWITCH(LEFT(Tasks[[#This Row],[Type]], 3), "Fie", "Field Report", "Con", "Contractor QC", "Gen", "Contractor QC", "Pun", "Contractor QC", "Qua", "Contractor QC", "Fin", "Punch List")</f>
        <v>Contractor QC</v>
      </c>
      <c r="D350" s="15" t="str">
        <f>_xlfn.LET(
_xlpm.leftValue, TRIM(LEFT(Tasks[[#This Row],[Description]], 45)),
IF(LEN(_xlpm.leftValue) &lt; 40, _xlpm.leftValue, _xlfn.CONCAT(_xlpm.leftValue, "…"))
)</f>
        <v>Missing laundry bell</v>
      </c>
      <c r="E350" s="15" t="str" cm="1">
        <f t="array" ref="E350">_xlfn.LET(
_xlpm.inTower, COUNTIF(Tower_Num_Table[Tower Rm Numbers], LEFT(Task_Summary_Table[[#This Row],[Area/Room]], 3)) &gt; 0,
_xlpm.typeResult, _xlfn.SWITCH(LEFT(Tasks[[#This Row],[Page]], 2), "Hi", "Historic", "An", "Annex", "Si", "Site", "S5", "Project Task", "SWITCH ERROR"),
IF(_xlpm.inTower, "West Tower", _xlpm.typeResult)
)</f>
        <v>Annex</v>
      </c>
      <c r="F350" s="12" t="str">
        <f>IFERROR(MID(Tasks[[#This Row],[Page]], FIND("Level", Tasks[[#This Row],[Page]]), 7), IF(ISNUMBER(FIND("Roof", Tasks[[#This Row],[Page]])), "Roof",  IF(ISNUMBER(FIND("S590", Tasks[[#This Row],[Page]])), "",  IF(ISNUMBER(FIND("Site", Tasks[[#This Row],[Page]])), "", "ERROR"))))</f>
        <v>Level 1</v>
      </c>
      <c r="G350" s="12" t="str">
        <f>IF(Tasks[[#This Row],[Location]]=0, "", Tasks[[#This Row],[Location]])</f>
        <v>132A - Clothing</v>
      </c>
      <c r="H350" s="12" t="str">
        <f>Tasks[[#This Row],[To Package]]</f>
        <v>Electrical</v>
      </c>
      <c r="I350" s="12" t="str">
        <f>Tasks[[#This Row],[To Organisation]]</f>
        <v>Wilkinson Electric Inc</v>
      </c>
    </row>
    <row r="351" spans="1:9" ht="15.5" x14ac:dyDescent="0.35">
      <c r="A351" s="14" t="str">
        <f>HYPERLINK(_xlfn.CONCAT(Edit_URL,Tasks[[#This Row],[Ref]]),Tasks[[#This Row],[Ref]])</f>
        <v>T59123.68</v>
      </c>
      <c r="B351" s="15" t="str" cm="1">
        <f t="array" ref="B351">_xlfn.SWITCH(LEFT(Tasks[[#This Row],[Status]],1),"O","Opened","C","Completed","S","Signed Off", "V", "Signed Off","ERROR")</f>
        <v>Signed Off</v>
      </c>
      <c r="C351" s="15" t="str" cm="1">
        <f t="array" ref="C351">_xlfn.SWITCH(LEFT(Tasks[[#This Row],[Type]], 3), "Fie", "Field Report", "Con", "Contractor QC", "Gen", "Contractor QC", "Pun", "Contractor QC", "Qua", "Contractor QC", "Fin", "Punch List")</f>
        <v>Contractor QC</v>
      </c>
      <c r="D351" s="15" t="str">
        <f>_xlfn.LET(
_xlpm.leftValue, TRIM(LEFT(Tasks[[#This Row],[Description]], 45)),
IF(LEN(_xlpm.leftValue) &lt; 40, _xlpm.leftValue, _xlfn.CONCAT(_xlpm.leftValue, "…"))
)</f>
        <v>Ceiling diffusers not symetrical</v>
      </c>
      <c r="E351" s="15" t="str" cm="1">
        <f t="array" ref="E351">_xlfn.LET(
_xlpm.inTower, COUNTIF(Tower_Num_Table[Tower Rm Numbers], LEFT(Task_Summary_Table[[#This Row],[Area/Room]], 3)) &gt; 0,
_xlpm.typeResult, _xlfn.SWITCH(LEFT(Tasks[[#This Row],[Page]], 2), "Hi", "Historic", "An", "Annex", "Si", "Site", "S5", "Project Task", "SWITCH ERROR"),
IF(_xlpm.inTower, "West Tower", _xlpm.typeResult)
)</f>
        <v>Annex</v>
      </c>
      <c r="F351" s="12" t="str">
        <f>IFERROR(MID(Tasks[[#This Row],[Page]], FIND("Level", Tasks[[#This Row],[Page]]), 7), IF(ISNUMBER(FIND("Roof", Tasks[[#This Row],[Page]])), "Roof",  IF(ISNUMBER(FIND("S590", Tasks[[#This Row],[Page]])), "",  IF(ISNUMBER(FIND("Site", Tasks[[#This Row],[Page]])), "", "ERROR"))))</f>
        <v>Level 1</v>
      </c>
      <c r="G351" s="12" t="str">
        <f>IF(Tasks[[#This Row],[Location]]=0, "", Tasks[[#This Row],[Location]])</f>
        <v>132A - Clothing</v>
      </c>
      <c r="H351" s="12" t="str">
        <f>Tasks[[#This Row],[To Package]]</f>
        <v>HVAC</v>
      </c>
      <c r="I351" s="12" t="str">
        <f>Tasks[[#This Row],[To Organisation]]</f>
        <v>US Mechanical</v>
      </c>
    </row>
    <row r="352" spans="1:9" ht="15.5" x14ac:dyDescent="0.35">
      <c r="A352" s="14" t="str">
        <f>HYPERLINK(_xlfn.CONCAT(Edit_URL,Tasks[[#This Row],[Ref]]),Tasks[[#This Row],[Ref]])</f>
        <v>T1.9552542</v>
      </c>
      <c r="B352" s="15" t="str" cm="1">
        <f t="array" ref="B352">_xlfn.SWITCH(LEFT(Tasks[[#This Row],[Status]],1),"O","Opened","C","Completed","S","Signed Off", "V", "Signed Off","ERROR")</f>
        <v>Signed Off</v>
      </c>
      <c r="C352" s="15" t="str" cm="1">
        <f t="array" ref="C352">_xlfn.SWITCH(LEFT(Tasks[[#This Row],[Type]], 3), "Fie", "Field Report", "Con", "Contractor QC", "Gen", "Contractor QC", "Pun", "Contractor QC", "Qua", "Contractor QC", "Fin", "Punch List")</f>
        <v>Contractor QC</v>
      </c>
      <c r="D352" s="15" t="str">
        <f>_xlfn.LET(
_xlpm.leftValue, TRIM(LEFT(Tasks[[#This Row],[Description]], 45)),
IF(LEN(_xlpm.leftValue) &lt; 40, _xlpm.leftValue, _xlfn.CONCAT(_xlpm.leftValue, "…"))
)</f>
        <v>Drywall mechanical room side of wall above do…</v>
      </c>
      <c r="E352" s="15" t="str" cm="1">
        <f t="array" ref="E352">_xlfn.LET(
_xlpm.inTower, COUNTIF(Tower_Num_Table[Tower Rm Numbers], LEFT(Task_Summary_Table[[#This Row],[Area/Room]], 3)) &gt; 0,
_xlpm.typeResult, _xlfn.SWITCH(LEFT(Tasks[[#This Row],[Page]], 2), "Hi", "Historic", "An", "Annex", "Si", "Site", "S5", "Project Task", "SWITCH ERROR"),
IF(_xlpm.inTower, "West Tower", _xlpm.typeResult)
)</f>
        <v>Annex</v>
      </c>
      <c r="F352" s="12" t="str">
        <f>IFERROR(MID(Tasks[[#This Row],[Page]], FIND("Level", Tasks[[#This Row],[Page]]), 7), IF(ISNUMBER(FIND("Roof", Tasks[[#This Row],[Page]])), "Roof",  IF(ISNUMBER(FIND("S590", Tasks[[#This Row],[Page]])), "",  IF(ISNUMBER(FIND("Site", Tasks[[#This Row],[Page]])), "", "ERROR"))))</f>
        <v>Level 0</v>
      </c>
      <c r="G352" s="12" t="str">
        <f>IF(Tasks[[#This Row],[Location]]=0, "", Tasks[[#This Row],[Location]])</f>
        <v/>
      </c>
      <c r="H352" s="12" t="str">
        <f>Tasks[[#This Row],[To Package]]</f>
        <v>Metal Stud / Drywall</v>
      </c>
      <c r="I352" s="12" t="str">
        <f>Tasks[[#This Row],[To Organisation]]</f>
        <v>Pete King Construction</v>
      </c>
    </row>
    <row r="353" spans="1:9" ht="15.5" x14ac:dyDescent="0.35">
      <c r="A353" s="14" t="str">
        <f>HYPERLINK(_xlfn.CONCAT(Edit_URL,Tasks[[#This Row],[Ref]]),Tasks[[#This Row],[Ref]])</f>
        <v>T59123.33</v>
      </c>
      <c r="B353" s="15" t="str" cm="1">
        <f t="array" ref="B353">_xlfn.SWITCH(LEFT(Tasks[[#This Row],[Status]],1),"O","Opened","C","Completed","S","Signed Off", "V", "Signed Off","ERROR")</f>
        <v>Signed Off</v>
      </c>
      <c r="C353" s="15" t="str" cm="1">
        <f t="array" ref="C353">_xlfn.SWITCH(LEFT(Tasks[[#This Row],[Type]], 3), "Fie", "Field Report", "Con", "Contractor QC", "Gen", "Contractor QC", "Pun", "Contractor QC", "Qua", "Contractor QC", "Fin", "Punch List")</f>
        <v>Contractor QC</v>
      </c>
      <c r="D353" s="15" t="str">
        <f>_xlfn.LET(
_xlpm.leftValue, TRIM(LEFT(Tasks[[#This Row],[Description]], 45)),
IF(LEN(_xlpm.leftValue) &lt; 40, _xlpm.leftValue, _xlfn.CONCAT(_xlpm.leftValue, "…"))
)</f>
        <v>Electrical rough not 8” off casing</v>
      </c>
      <c r="E353" s="15" t="str" cm="1">
        <f t="array" ref="E353">_xlfn.LET(
_xlpm.inTower, COUNTIF(Tower_Num_Table[Tower Rm Numbers], LEFT(Task_Summary_Table[[#This Row],[Area/Room]], 3)) &gt; 0,
_xlpm.typeResult, _xlfn.SWITCH(LEFT(Tasks[[#This Row],[Page]], 2), "Hi", "Historic", "An", "Annex", "Si", "Site", "S5", "Project Task", "SWITCH ERROR"),
IF(_xlpm.inTower, "West Tower", _xlpm.typeResult)
)</f>
        <v>Annex</v>
      </c>
      <c r="F353" s="12" t="str">
        <f>IFERROR(MID(Tasks[[#This Row],[Page]], FIND("Level", Tasks[[#This Row],[Page]]), 7), IF(ISNUMBER(FIND("Roof", Tasks[[#This Row],[Page]])), "Roof",  IF(ISNUMBER(FIND("S590", Tasks[[#This Row],[Page]])), "",  IF(ISNUMBER(FIND("Site", Tasks[[#This Row],[Page]])), "", "ERROR"))))</f>
        <v>Level 1</v>
      </c>
      <c r="G353" s="12" t="str">
        <f>IF(Tasks[[#This Row],[Location]]=0, "", Tasks[[#This Row],[Location]])</f>
        <v>179 - Waiting</v>
      </c>
      <c r="H353" s="12" t="str">
        <f>Tasks[[#This Row],[To Package]]</f>
        <v>Electrical</v>
      </c>
      <c r="I353" s="12" t="str">
        <f>Tasks[[#This Row],[To Organisation]]</f>
        <v>Wilkinson Electric Inc</v>
      </c>
    </row>
    <row r="354" spans="1:9" ht="15.5" x14ac:dyDescent="0.35">
      <c r="A354" s="14" t="str">
        <f>HYPERLINK(_xlfn.CONCAT(Edit_URL,Tasks[[#This Row],[Ref]]),Tasks[[#This Row],[Ref]])</f>
        <v>T59123.29</v>
      </c>
      <c r="B354" s="15" t="str" cm="1">
        <f t="array" ref="B354">_xlfn.SWITCH(LEFT(Tasks[[#This Row],[Status]],1),"O","Opened","C","Completed","S","Signed Off", "V", "Signed Off","ERROR")</f>
        <v>Signed Off</v>
      </c>
      <c r="C354" s="15" t="str" cm="1">
        <f t="array" ref="C354">_xlfn.SWITCH(LEFT(Tasks[[#This Row],[Type]], 3), "Fie", "Field Report", "Con", "Contractor QC", "Gen", "Contractor QC", "Pun", "Contractor QC", "Qua", "Contractor QC", "Fin", "Punch List")</f>
        <v>Contractor QC</v>
      </c>
      <c r="D354" s="15" t="str">
        <f>_xlfn.LET(
_xlpm.leftValue, TRIM(LEFT(Tasks[[#This Row],[Description]], 45)),
IF(LEN(_xlpm.leftValue) &lt; 40, _xlpm.leftValue, _xlfn.CONCAT(_xlpm.leftValue, "…"))
)</f>
        <v>All devices next to door are a little low. Ad…</v>
      </c>
      <c r="E354" s="15" t="str" cm="1">
        <f t="array" ref="E354">_xlfn.LET(
_xlpm.inTower, COUNTIF(Tower_Num_Table[Tower Rm Numbers], LEFT(Task_Summary_Table[[#This Row],[Area/Room]], 3)) &gt; 0,
_xlpm.typeResult, _xlfn.SWITCH(LEFT(Tasks[[#This Row],[Page]], 2), "Hi", "Historic", "An", "Annex", "Si", "Site", "S5", "Project Task", "SWITCH ERROR"),
IF(_xlpm.inTower, "West Tower", _xlpm.typeResult)
)</f>
        <v>Annex</v>
      </c>
      <c r="F354" s="12" t="str">
        <f>IFERROR(MID(Tasks[[#This Row],[Page]], FIND("Level", Tasks[[#This Row],[Page]]), 7), IF(ISNUMBER(FIND("Roof", Tasks[[#This Row],[Page]])), "Roof",  IF(ISNUMBER(FIND("S590", Tasks[[#This Row],[Page]])), "",  IF(ISNUMBER(FIND("Site", Tasks[[#This Row],[Page]])), "", "ERROR"))))</f>
        <v>Level 1</v>
      </c>
      <c r="G354" s="12" t="str">
        <f>IF(Tasks[[#This Row],[Location]]=0, "", Tasks[[#This Row],[Location]])</f>
        <v>112 - President</v>
      </c>
      <c r="H354" s="12" t="str">
        <f>Tasks[[#This Row],[To Package]]</f>
        <v>Electrical</v>
      </c>
      <c r="I354" s="12" t="str">
        <f>Tasks[[#This Row],[To Organisation]]</f>
        <v>Wilkinson Electric Inc</v>
      </c>
    </row>
    <row r="355" spans="1:9" ht="15.5" x14ac:dyDescent="0.35">
      <c r="A355" s="14" t="str">
        <f>HYPERLINK(_xlfn.CONCAT(Edit_URL,Tasks[[#This Row],[Ref]]),Tasks[[#This Row],[Ref]])</f>
        <v>T59123.56</v>
      </c>
      <c r="B355" s="15" t="str" cm="1">
        <f t="array" ref="B355">_xlfn.SWITCH(LEFT(Tasks[[#This Row],[Status]],1),"O","Opened","C","Completed","S","Signed Off", "V", "Signed Off","ERROR")</f>
        <v>Signed Off</v>
      </c>
      <c r="C355" s="15" t="str" cm="1">
        <f t="array" ref="C355">_xlfn.SWITCH(LEFT(Tasks[[#This Row],[Type]], 3), "Fie", "Field Report", "Con", "Contractor QC", "Gen", "Contractor QC", "Pun", "Contractor QC", "Qua", "Contractor QC", "Fin", "Punch List")</f>
        <v>Contractor QC</v>
      </c>
      <c r="D355" s="15" t="str">
        <f>_xlfn.LET(
_xlpm.leftValue, TRIM(LEFT(Tasks[[#This Row],[Description]], 45)),
IF(LEN(_xlpm.leftValue) &lt; 40, _xlpm.leftValue, _xlfn.CONCAT(_xlpm.leftValue, "…"))
)</f>
        <v>Adjust fire suppression head to be equal dist…</v>
      </c>
      <c r="E355" s="15" t="str" cm="1">
        <f t="array" ref="E355">_xlfn.LET(
_xlpm.inTower, COUNTIF(Tower_Num_Table[Tower Rm Numbers], LEFT(Task_Summary_Table[[#This Row],[Area/Room]], 3)) &gt; 0,
_xlpm.typeResult, _xlfn.SWITCH(LEFT(Tasks[[#This Row],[Page]], 2), "Hi", "Historic", "An", "Annex", "Si", "Site", "S5", "Project Task", "SWITCH ERROR"),
IF(_xlpm.inTower, "West Tower", _xlpm.typeResult)
)</f>
        <v>Annex</v>
      </c>
      <c r="F355" s="12" t="str">
        <f>IFERROR(MID(Tasks[[#This Row],[Page]], FIND("Level", Tasks[[#This Row],[Page]]), 7), IF(ISNUMBER(FIND("Roof", Tasks[[#This Row],[Page]])), "Roof",  IF(ISNUMBER(FIND("S590", Tasks[[#This Row],[Page]])), "",  IF(ISNUMBER(FIND("Site", Tasks[[#This Row],[Page]])), "", "ERROR"))))</f>
        <v>Level 1</v>
      </c>
      <c r="G355" s="12" t="str">
        <f>IF(Tasks[[#This Row],[Location]]=0, "", Tasks[[#This Row],[Location]])</f>
        <v>113 - Administration</v>
      </c>
      <c r="H355" s="12" t="str">
        <f>Tasks[[#This Row],[To Package]]</f>
        <v>Electrical</v>
      </c>
      <c r="I355" s="12" t="str">
        <f>Tasks[[#This Row],[To Organisation]]</f>
        <v>Wilkinson Electric Inc</v>
      </c>
    </row>
    <row r="356" spans="1:9" ht="15.5" x14ac:dyDescent="0.35">
      <c r="A356" s="14" t="str">
        <f>HYPERLINK(_xlfn.CONCAT(Edit_URL,Tasks[[#This Row],[Ref]]),Tasks[[#This Row],[Ref]])</f>
        <v>T59123.30</v>
      </c>
      <c r="B356" s="15" t="str" cm="1">
        <f t="array" ref="B356">_xlfn.SWITCH(LEFT(Tasks[[#This Row],[Status]],1),"O","Opened","C","Completed","S","Signed Off", "V", "Signed Off","ERROR")</f>
        <v>Signed Off</v>
      </c>
      <c r="C356" s="15" t="str" cm="1">
        <f t="array" ref="C356">_xlfn.SWITCH(LEFT(Tasks[[#This Row],[Type]], 3), "Fie", "Field Report", "Con", "Contractor QC", "Gen", "Contractor QC", "Pun", "Contractor QC", "Qua", "Contractor QC", "Fin", "Punch List")</f>
        <v>Contractor QC</v>
      </c>
      <c r="D356" s="15" t="str">
        <f>_xlfn.LET(
_xlpm.leftValue, TRIM(LEFT(Tasks[[#This Row],[Description]], 45)),
IF(LEN(_xlpm.leftValue) &lt; 40, _xlpm.leftValue, _xlfn.CONCAT(_xlpm.leftValue, "…"))
)</f>
        <v>Electrical devices are a little low. Adjust t…</v>
      </c>
      <c r="E356" s="15" t="str" cm="1">
        <f t="array" ref="E356">_xlfn.LET(
_xlpm.inTower, COUNTIF(Tower_Num_Table[Tower Rm Numbers], LEFT(Task_Summary_Table[[#This Row],[Area/Room]], 3)) &gt; 0,
_xlpm.typeResult, _xlfn.SWITCH(LEFT(Tasks[[#This Row],[Page]], 2), "Hi", "Historic", "An", "Annex", "Si", "Site", "S5", "Project Task", "SWITCH ERROR"),
IF(_xlpm.inTower, "West Tower", _xlpm.typeResult)
)</f>
        <v>Annex</v>
      </c>
      <c r="F356" s="12" t="str">
        <f>IFERROR(MID(Tasks[[#This Row],[Page]], FIND("Level", Tasks[[#This Row],[Page]]), 7), IF(ISNUMBER(FIND("Roof", Tasks[[#This Row],[Page]])), "Roof",  IF(ISNUMBER(FIND("S590", Tasks[[#This Row],[Page]])), "",  IF(ISNUMBER(FIND("Site", Tasks[[#This Row],[Page]])), "", "ERROR"))))</f>
        <v>Level 1</v>
      </c>
      <c r="G356" s="12" t="str">
        <f>IF(Tasks[[#This Row],[Location]]=0, "", Tasks[[#This Row],[Location]])</f>
        <v>112 - President</v>
      </c>
      <c r="H356" s="12" t="str">
        <f>Tasks[[#This Row],[To Package]]</f>
        <v>Electrical</v>
      </c>
      <c r="I356" s="12" t="str">
        <f>Tasks[[#This Row],[To Organisation]]</f>
        <v>Wilkinson Electric Inc</v>
      </c>
    </row>
    <row r="357" spans="1:9" ht="15.5" x14ac:dyDescent="0.35">
      <c r="A357" s="14" t="str">
        <f>HYPERLINK(_xlfn.CONCAT(Edit_URL,Tasks[[#This Row],[Ref]]),Tasks[[#This Row],[Ref]])</f>
        <v>T59123.55</v>
      </c>
      <c r="B357" s="15" t="str" cm="1">
        <f t="array" ref="B357">_xlfn.SWITCH(LEFT(Tasks[[#This Row],[Status]],1),"O","Opened","C","Completed","S","Signed Off", "V", "Signed Off","ERROR")</f>
        <v>Signed Off</v>
      </c>
      <c r="C357" s="15" t="str" cm="1">
        <f t="array" ref="C357">_xlfn.SWITCH(LEFT(Tasks[[#This Row],[Type]], 3), "Fie", "Field Report", "Con", "Contractor QC", "Gen", "Contractor QC", "Pun", "Contractor QC", "Qua", "Contractor QC", "Fin", "Punch List")</f>
        <v>Contractor QC</v>
      </c>
      <c r="D357" s="15" t="str">
        <f>_xlfn.LET(
_xlpm.leftValue, TRIM(LEFT(Tasks[[#This Row],[Description]], 45)),
IF(LEN(_xlpm.leftValue) &lt; 40, _xlpm.leftValue, _xlfn.CONCAT(_xlpm.leftValue, "…"))
)</f>
        <v>Adjust fire suppression layout</v>
      </c>
      <c r="E357" s="15" t="str" cm="1">
        <f t="array" ref="E357">_xlfn.LET(
_xlpm.inTower, COUNTIF(Tower_Num_Table[Tower Rm Numbers], LEFT(Task_Summary_Table[[#This Row],[Area/Room]], 3)) &gt; 0,
_xlpm.typeResult, _xlfn.SWITCH(LEFT(Tasks[[#This Row],[Page]], 2), "Hi", "Historic", "An", "Annex", "Si", "Site", "S5", "Project Task", "SWITCH ERROR"),
IF(_xlpm.inTower, "West Tower", _xlpm.typeResult)
)</f>
        <v>Annex</v>
      </c>
      <c r="F357" s="12" t="str">
        <f>IFERROR(MID(Tasks[[#This Row],[Page]], FIND("Level", Tasks[[#This Row],[Page]]), 7), IF(ISNUMBER(FIND("Roof", Tasks[[#This Row],[Page]])), "Roof",  IF(ISNUMBER(FIND("S590", Tasks[[#This Row],[Page]])), "",  IF(ISNUMBER(FIND("Site", Tasks[[#This Row],[Page]])), "", "ERROR"))))</f>
        <v>Level 1</v>
      </c>
      <c r="G357" s="12" t="str">
        <f>IF(Tasks[[#This Row],[Location]]=0, "", Tasks[[#This Row],[Location]])</f>
        <v>135 - Workers Dressing - Men</v>
      </c>
      <c r="H357" s="12" t="str">
        <f>Tasks[[#This Row],[To Package]]</f>
        <v>Fire Suppression</v>
      </c>
      <c r="I357" s="12" t="str">
        <f>Tasks[[#This Row],[To Organisation]]</f>
        <v>Broken Arrow Construction Corporation</v>
      </c>
    </row>
    <row r="358" spans="1:9" ht="15.5" x14ac:dyDescent="0.35">
      <c r="A358" s="14" t="str">
        <f>HYPERLINK(_xlfn.CONCAT(Edit_URL,Tasks[[#This Row],[Ref]]),Tasks[[#This Row],[Ref]])</f>
        <v>T59123.27</v>
      </c>
      <c r="B358" s="15" t="str" cm="1">
        <f t="array" ref="B358">_xlfn.SWITCH(LEFT(Tasks[[#This Row],[Status]],1),"O","Opened","C","Completed","S","Signed Off", "V", "Signed Off","ERROR")</f>
        <v>Signed Off</v>
      </c>
      <c r="C358" s="15" t="str" cm="1">
        <f t="array" ref="C358">_xlfn.SWITCH(LEFT(Tasks[[#This Row],[Type]], 3), "Fie", "Field Report", "Con", "Contractor QC", "Gen", "Contractor QC", "Pun", "Contractor QC", "Qua", "Contractor QC", "Fin", "Punch List")</f>
        <v>Contractor QC</v>
      </c>
      <c r="D358" s="15" t="str">
        <f>_xlfn.LET(
_xlpm.leftValue, TRIM(LEFT(Tasks[[#This Row],[Description]], 45)),
IF(LEN(_xlpm.leftValue) &lt; 40, _xlpm.leftValue, _xlfn.CONCAT(_xlpm.leftValue, "…"))
)</f>
        <v>Rough in session clock after framing is compl…</v>
      </c>
      <c r="E358" s="15" t="str" cm="1">
        <f t="array" ref="E358">_xlfn.LET(
_xlpm.inTower, COUNTIF(Tower_Num_Table[Tower Rm Numbers], LEFT(Task_Summary_Table[[#This Row],[Area/Room]], 3)) &gt; 0,
_xlpm.typeResult, _xlfn.SWITCH(LEFT(Tasks[[#This Row],[Page]], 2), "Hi", "Historic", "An", "Annex", "Si", "Site", "S5", "Project Task", "SWITCH ERROR"),
IF(_xlpm.inTower, "West Tower", _xlpm.typeResult)
)</f>
        <v>Annex</v>
      </c>
      <c r="F358" s="12" t="str">
        <f>IFERROR(MID(Tasks[[#This Row],[Page]], FIND("Level", Tasks[[#This Row],[Page]]), 7), IF(ISNUMBER(FIND("Roof", Tasks[[#This Row],[Page]])), "Roof",  IF(ISNUMBER(FIND("S590", Tasks[[#This Row],[Page]])), "",  IF(ISNUMBER(FIND("Site", Tasks[[#This Row],[Page]])), "", "ERROR"))))</f>
        <v>Level 1</v>
      </c>
      <c r="G358" s="12" t="str">
        <f>IF(Tasks[[#This Row],[Location]]=0, "", Tasks[[#This Row],[Location]])</f>
        <v>135 - Workers Dressing - Men</v>
      </c>
      <c r="H358" s="12" t="str">
        <f>Tasks[[#This Row],[To Package]]</f>
        <v>Electrical</v>
      </c>
      <c r="I358" s="12" t="str">
        <f>Tasks[[#This Row],[To Organisation]]</f>
        <v>Wilkinson Electric Inc</v>
      </c>
    </row>
    <row r="359" spans="1:9" ht="15.5" x14ac:dyDescent="0.35">
      <c r="A359" s="14" t="str">
        <f>HYPERLINK(_xlfn.CONCAT(Edit_URL,Tasks[[#This Row],[Ref]]),Tasks[[#This Row],[Ref]])</f>
        <v>T59123.21</v>
      </c>
      <c r="B359" s="15" t="str" cm="1">
        <f t="array" ref="B359">_xlfn.SWITCH(LEFT(Tasks[[#This Row],[Status]],1),"O","Opened","C","Completed","S","Signed Off", "V", "Signed Off","ERROR")</f>
        <v>Signed Off</v>
      </c>
      <c r="C359" s="15" t="str" cm="1">
        <f t="array" ref="C359">_xlfn.SWITCH(LEFT(Tasks[[#This Row],[Type]], 3), "Fie", "Field Report", "Con", "Contractor QC", "Gen", "Contractor QC", "Pun", "Contractor QC", "Qua", "Contractor QC", "Fin", "Punch List")</f>
        <v>Contractor QC</v>
      </c>
      <c r="D359" s="15" t="str">
        <f>_xlfn.LET(
_xlpm.leftValue, TRIM(LEFT(Tasks[[#This Row],[Description]], 45)),
IF(LEN(_xlpm.leftValue) &lt; 40, _xlpm.leftValue, _xlfn.CONCAT(_xlpm.leftValue, "…"))
)</f>
        <v>Outlet not centered between doors. Need to re…</v>
      </c>
      <c r="E359" s="15" t="str" cm="1">
        <f t="array" ref="E359">_xlfn.LET(
_xlpm.inTower, COUNTIF(Tower_Num_Table[Tower Rm Numbers], LEFT(Task_Summary_Table[[#This Row],[Area/Room]], 3)) &gt; 0,
_xlpm.typeResult, _xlfn.SWITCH(LEFT(Tasks[[#This Row],[Page]], 2), "Hi", "Historic", "An", "Annex", "Si", "Site", "S5", "Project Task", "SWITCH ERROR"),
IF(_xlpm.inTower, "West Tower", _xlpm.typeResult)
)</f>
        <v>Annex</v>
      </c>
      <c r="F359" s="12" t="str">
        <f>IFERROR(MID(Tasks[[#This Row],[Page]], FIND("Level", Tasks[[#This Row],[Page]]), 7), IF(ISNUMBER(FIND("Roof", Tasks[[#This Row],[Page]])), "Roof",  IF(ISNUMBER(FIND("S590", Tasks[[#This Row],[Page]])), "",  IF(ISNUMBER(FIND("Site", Tasks[[#This Row],[Page]])), "", "ERROR"))))</f>
        <v>Level 1</v>
      </c>
      <c r="G359" s="12" t="str">
        <f>IF(Tasks[[#This Row],[Location]]=0, "", Tasks[[#This Row],[Location]])</f>
        <v>138 - Folding</v>
      </c>
      <c r="H359" s="12" t="str">
        <f>Tasks[[#This Row],[To Package]]</f>
        <v>Electrical</v>
      </c>
      <c r="I359" s="12" t="str">
        <f>Tasks[[#This Row],[To Organisation]]</f>
        <v>Wilkinson Electric Inc</v>
      </c>
    </row>
    <row r="360" spans="1:9" ht="15.5" x14ac:dyDescent="0.35">
      <c r="A360" s="14" t="str">
        <f>HYPERLINK(_xlfn.CONCAT(Edit_URL,Tasks[[#This Row],[Ref]]),Tasks[[#This Row],[Ref]])</f>
        <v>T59123.20</v>
      </c>
      <c r="B360" s="15" t="str" cm="1">
        <f t="array" ref="B360">_xlfn.SWITCH(LEFT(Tasks[[#This Row],[Status]],1),"O","Opened","C","Completed","S","Signed Off", "V", "Signed Off","ERROR")</f>
        <v>Signed Off</v>
      </c>
      <c r="C360" s="15" t="str" cm="1">
        <f t="array" ref="C360">_xlfn.SWITCH(LEFT(Tasks[[#This Row],[Type]], 3), "Fie", "Field Report", "Con", "Contractor QC", "Gen", "Contractor QC", "Pun", "Contractor QC", "Qua", "Contractor QC", "Fin", "Punch List")</f>
        <v>Contractor QC</v>
      </c>
      <c r="D360" s="15" t="str">
        <f>_xlfn.LET(
_xlpm.leftValue, TRIM(LEFT(Tasks[[#This Row],[Description]], 45)),
IF(LEN(_xlpm.leftValue) &lt; 40, _xlpm.leftValue, _xlfn.CONCAT(_xlpm.leftValue, "…"))
)</f>
        <v>Outlet not centered between doors.</v>
      </c>
      <c r="E360" s="15" t="str" cm="1">
        <f t="array" ref="E360">_xlfn.LET(
_xlpm.inTower, COUNTIF(Tower_Num_Table[Tower Rm Numbers], LEFT(Task_Summary_Table[[#This Row],[Area/Room]], 3)) &gt; 0,
_xlpm.typeResult, _xlfn.SWITCH(LEFT(Tasks[[#This Row],[Page]], 2), "Hi", "Historic", "An", "Annex", "Si", "Site", "S5", "Project Task", "SWITCH ERROR"),
IF(_xlpm.inTower, "West Tower", _xlpm.typeResult)
)</f>
        <v>Annex</v>
      </c>
      <c r="F360" s="12" t="str">
        <f>IFERROR(MID(Tasks[[#This Row],[Page]], FIND("Level", Tasks[[#This Row],[Page]]), 7), IF(ISNUMBER(FIND("Roof", Tasks[[#This Row],[Page]])), "Roof",  IF(ISNUMBER(FIND("S590", Tasks[[#This Row],[Page]])), "",  IF(ISNUMBER(FIND("Site", Tasks[[#This Row],[Page]])), "", "ERROR"))))</f>
        <v>Level 1</v>
      </c>
      <c r="G360" s="12" t="str">
        <f>IF(Tasks[[#This Row],[Location]]=0, "", Tasks[[#This Row],[Location]])</f>
        <v>138 - Folding</v>
      </c>
      <c r="H360" s="12" t="str">
        <f>Tasks[[#This Row],[To Package]]</f>
        <v>Electrical</v>
      </c>
      <c r="I360" s="12" t="str">
        <f>Tasks[[#This Row],[To Organisation]]</f>
        <v>Wilkinson Electric Inc</v>
      </c>
    </row>
    <row r="361" spans="1:9" ht="15.5" x14ac:dyDescent="0.35">
      <c r="A361" s="14" t="str">
        <f>HYPERLINK(_xlfn.CONCAT(Edit_URL,Tasks[[#This Row],[Ref]]),Tasks[[#This Row],[Ref]])</f>
        <v>T59123.16</v>
      </c>
      <c r="B361" s="15" t="str" cm="1">
        <f t="array" ref="B361">_xlfn.SWITCH(LEFT(Tasks[[#This Row],[Status]],1),"O","Opened","C","Completed","S","Signed Off", "V", "Signed Off","ERROR")</f>
        <v>Signed Off</v>
      </c>
      <c r="C361" s="15" t="str" cm="1">
        <f t="array" ref="C361">_xlfn.SWITCH(LEFT(Tasks[[#This Row],[Type]], 3), "Fie", "Field Report", "Con", "Contractor QC", "Gen", "Contractor QC", "Pun", "Contractor QC", "Qua", "Contractor QC", "Fin", "Punch List")</f>
        <v>Contractor QC</v>
      </c>
      <c r="D361" s="15" t="str">
        <f>_xlfn.LET(
_xlpm.leftValue, TRIM(LEFT(Tasks[[#This Row],[Description]], 45)),
IF(LEN(_xlpm.leftValue) &lt; 40, _xlpm.leftValue, _xlfn.CONCAT(_xlpm.leftValue, "…"))
)</f>
        <v>Above Counter Outlet alignment</v>
      </c>
      <c r="E361" s="15" t="str" cm="1">
        <f t="array" ref="E361">_xlfn.LET(
_xlpm.inTower, COUNTIF(Tower_Num_Table[Tower Rm Numbers], LEFT(Task_Summary_Table[[#This Row],[Area/Room]], 3)) &gt; 0,
_xlpm.typeResult, _xlfn.SWITCH(LEFT(Tasks[[#This Row],[Page]], 2), "Hi", "Historic", "An", "Annex", "Si", "Site", "S5", "Project Task", "SWITCH ERROR"),
IF(_xlpm.inTower, "West Tower", _xlpm.typeResult)
)</f>
        <v>Annex</v>
      </c>
      <c r="F361" s="12" t="str">
        <f>IFERROR(MID(Tasks[[#This Row],[Page]], FIND("Level", Tasks[[#This Row],[Page]]), 7), IF(ISNUMBER(FIND("Roof", Tasks[[#This Row],[Page]])), "Roof",  IF(ISNUMBER(FIND("S590", Tasks[[#This Row],[Page]])), "",  IF(ISNUMBER(FIND("Site", Tasks[[#This Row],[Page]])), "", "ERROR"))))</f>
        <v>Level 1</v>
      </c>
      <c r="G361" s="12" t="str">
        <f>IF(Tasks[[#This Row],[Location]]=0, "", Tasks[[#This Row],[Location]])</f>
        <v>134 - Men</v>
      </c>
      <c r="H361" s="12" t="str">
        <f>Tasks[[#This Row],[To Package]]</f>
        <v>Electrical</v>
      </c>
      <c r="I361" s="12" t="str">
        <f>Tasks[[#This Row],[To Organisation]]</f>
        <v>Wilkinson Electric Inc</v>
      </c>
    </row>
    <row r="362" spans="1:9" ht="15.5" x14ac:dyDescent="0.35">
      <c r="A362" s="14" t="str">
        <f>HYPERLINK(_xlfn.CONCAT(Edit_URL,Tasks[[#This Row],[Ref]]),Tasks[[#This Row],[Ref]])</f>
        <v>T59123.19</v>
      </c>
      <c r="B362" s="15" t="str" cm="1">
        <f t="array" ref="B362">_xlfn.SWITCH(LEFT(Tasks[[#This Row],[Status]],1),"O","Opened","C","Completed","S","Signed Off", "V", "Signed Off","ERROR")</f>
        <v>Signed Off</v>
      </c>
      <c r="C362" s="15" t="str" cm="1">
        <f t="array" ref="C362">_xlfn.SWITCH(LEFT(Tasks[[#This Row],[Type]], 3), "Fie", "Field Report", "Con", "Contractor QC", "Gen", "Contractor QC", "Pun", "Contractor QC", "Qua", "Contractor QC", "Fin", "Punch List")</f>
        <v>Contractor QC</v>
      </c>
      <c r="D362" s="15" t="str">
        <f>_xlfn.LET(
_xlpm.leftValue, TRIM(LEFT(Tasks[[#This Row],[Description]], 45)),
IF(LEN(_xlpm.leftValue) &lt; 40, _xlpm.leftValue, _xlfn.CONCAT(_xlpm.leftValue, "…"))
)</f>
        <v>Electrical box needs conduit tied in</v>
      </c>
      <c r="E362" s="15" t="str" cm="1">
        <f t="array" ref="E362">_xlfn.LET(
_xlpm.inTower, COUNTIF(Tower_Num_Table[Tower Rm Numbers], LEFT(Task_Summary_Table[[#This Row],[Area/Room]], 3)) &gt; 0,
_xlpm.typeResult, _xlfn.SWITCH(LEFT(Tasks[[#This Row],[Page]], 2), "Hi", "Historic", "An", "Annex", "Si", "Site", "S5", "Project Task", "SWITCH ERROR"),
IF(_xlpm.inTower, "West Tower", _xlpm.typeResult)
)</f>
        <v>Annex</v>
      </c>
      <c r="F362" s="12" t="str">
        <f>IFERROR(MID(Tasks[[#This Row],[Page]], FIND("Level", Tasks[[#This Row],[Page]]), 7), IF(ISNUMBER(FIND("Roof", Tasks[[#This Row],[Page]])), "Roof",  IF(ISNUMBER(FIND("S590", Tasks[[#This Row],[Page]])), "",  IF(ISNUMBER(FIND("Site", Tasks[[#This Row],[Page]])), "", "ERROR"))))</f>
        <v>Level 1</v>
      </c>
      <c r="G362" s="12" t="str">
        <f>IF(Tasks[[#This Row],[Location]]=0, "", Tasks[[#This Row],[Location]])</f>
        <v>139 - Vest</v>
      </c>
      <c r="H362" s="12" t="str">
        <f>Tasks[[#This Row],[To Package]]</f>
        <v>Electrical</v>
      </c>
      <c r="I362" s="12" t="str">
        <f>Tasks[[#This Row],[To Organisation]]</f>
        <v>Wilkinson Electric Inc</v>
      </c>
    </row>
    <row r="363" spans="1:9" ht="15.5" x14ac:dyDescent="0.35">
      <c r="A363" s="14" t="str">
        <f>HYPERLINK(_xlfn.CONCAT(Edit_URL,Tasks[[#This Row],[Ref]]),Tasks[[#This Row],[Ref]])</f>
        <v>T59123.17</v>
      </c>
      <c r="B363" s="15" t="str" cm="1">
        <f t="array" ref="B363">_xlfn.SWITCH(LEFT(Tasks[[#This Row],[Status]],1),"O","Opened","C","Completed","S","Signed Off", "V", "Signed Off","ERROR")</f>
        <v>Signed Off</v>
      </c>
      <c r="C363" s="15" t="str" cm="1">
        <f t="array" ref="C363">_xlfn.SWITCH(LEFT(Tasks[[#This Row],[Type]], 3), "Fie", "Field Report", "Con", "Contractor QC", "Gen", "Contractor QC", "Pun", "Contractor QC", "Qua", "Contractor QC", "Fin", "Punch List")</f>
        <v>Contractor QC</v>
      </c>
      <c r="D363" s="15" t="str">
        <f>_xlfn.LET(
_xlpm.leftValue, TRIM(LEFT(Tasks[[#This Row],[Description]], 45)),
IF(LEN(_xlpm.leftValue) &lt; 40, _xlpm.leftValue, _xlfn.CONCAT(_xlpm.leftValue, "…"))
)</f>
        <v>HVAC not symmetrical on wall but per architec…</v>
      </c>
      <c r="E363" s="15" t="str" cm="1">
        <f t="array" ref="E363">_xlfn.LET(
_xlpm.inTower, COUNTIF(Tower_Num_Table[Tower Rm Numbers], LEFT(Task_Summary_Table[[#This Row],[Area/Room]], 3)) &gt; 0,
_xlpm.typeResult, _xlfn.SWITCH(LEFT(Tasks[[#This Row],[Page]], 2), "Hi", "Historic", "An", "Annex", "Si", "Site", "S5", "Project Task", "SWITCH ERROR"),
IF(_xlpm.inTower, "West Tower", _xlpm.typeResult)
)</f>
        <v>Annex</v>
      </c>
      <c r="F363" s="12" t="str">
        <f>IFERROR(MID(Tasks[[#This Row],[Page]], FIND("Level", Tasks[[#This Row],[Page]]), 7), IF(ISNUMBER(FIND("Roof", Tasks[[#This Row],[Page]])), "Roof",  IF(ISNUMBER(FIND("S590", Tasks[[#This Row],[Page]])), "",  IF(ISNUMBER(FIND("Site", Tasks[[#This Row],[Page]])), "", "ERROR"))))</f>
        <v>Level 1</v>
      </c>
      <c r="G363" s="12" t="str">
        <f>IF(Tasks[[#This Row],[Location]]=0, "", Tasks[[#This Row],[Location]])</f>
        <v>133 - Instruction Men</v>
      </c>
      <c r="H363" s="12" t="str">
        <f>Tasks[[#This Row],[To Package]]</f>
        <v>HVAC</v>
      </c>
      <c r="I363" s="12" t="str">
        <f>Tasks[[#This Row],[To Organisation]]</f>
        <v>US Mechanical</v>
      </c>
    </row>
    <row r="364" spans="1:9" ht="15.5" x14ac:dyDescent="0.35">
      <c r="A364" s="14" t="str">
        <f>HYPERLINK(_xlfn.CONCAT(Edit_URL,Tasks[[#This Row],[Ref]]),Tasks[[#This Row],[Ref]])</f>
        <v>T59123.9</v>
      </c>
      <c r="B364" s="15" t="str" cm="1">
        <f t="array" ref="B364">_xlfn.SWITCH(LEFT(Tasks[[#This Row],[Status]],1),"O","Opened","C","Completed","S","Signed Off", "V", "Signed Off","ERROR")</f>
        <v>Signed Off</v>
      </c>
      <c r="C364" s="15" t="str" cm="1">
        <f t="array" ref="C364">_xlfn.SWITCH(LEFT(Tasks[[#This Row],[Type]], 3), "Fie", "Field Report", "Con", "Contractor QC", "Gen", "Contractor QC", "Pun", "Contractor QC", "Qua", "Contractor QC", "Fin", "Punch List")</f>
        <v>Contractor QC</v>
      </c>
      <c r="D364" s="15" t="str">
        <f>_xlfn.LET(
_xlpm.leftValue, TRIM(LEFT(Tasks[[#This Row],[Description]], 45)),
IF(LEN(_xlpm.leftValue) &lt; 40, _xlpm.leftValue, _xlfn.CONCAT(_xlpm.leftValue, "…"))
)</f>
        <v>Verify Outlet is located correctly at 141a…</v>
      </c>
      <c r="E364" s="15" t="str" cm="1">
        <f t="array" ref="E364">_xlfn.LET(
_xlpm.inTower, COUNTIF(Tower_Num_Table[Tower Rm Numbers], LEFT(Task_Summary_Table[[#This Row],[Area/Room]], 3)) &gt; 0,
_xlpm.typeResult, _xlfn.SWITCH(LEFT(Tasks[[#This Row],[Page]], 2), "Hi", "Historic", "An", "Annex", "Si", "Site", "S5", "Project Task", "SWITCH ERROR"),
IF(_xlpm.inTower, "West Tower", _xlpm.typeResult)
)</f>
        <v>Annex</v>
      </c>
      <c r="F364" s="12" t="str">
        <f>IFERROR(MID(Tasks[[#This Row],[Page]], FIND("Level", Tasks[[#This Row],[Page]]), 7), IF(ISNUMBER(FIND("Roof", Tasks[[#This Row],[Page]])), "Roof",  IF(ISNUMBER(FIND("S590", Tasks[[#This Row],[Page]])), "",  IF(ISNUMBER(FIND("Site", Tasks[[#This Row],[Page]])), "", "ERROR"))))</f>
        <v>Level 1</v>
      </c>
      <c r="G364" s="12" t="str">
        <f>IF(Tasks[[#This Row],[Location]]=0, "", Tasks[[#This Row],[Location]])</f>
        <v>141 - Dressing Men</v>
      </c>
      <c r="H364" s="12" t="str">
        <f>Tasks[[#This Row],[To Package]]</f>
        <v>Electrical</v>
      </c>
      <c r="I364" s="12" t="str">
        <f>Tasks[[#This Row],[To Organisation]]</f>
        <v>Wilkinson Electric Inc</v>
      </c>
    </row>
    <row r="365" spans="1:9" ht="15.5" x14ac:dyDescent="0.35">
      <c r="A365" s="14" t="str">
        <f>HYPERLINK(_xlfn.CONCAT(Edit_URL,Tasks[[#This Row],[Ref]]),Tasks[[#This Row],[Ref]])</f>
        <v>T59123.8</v>
      </c>
      <c r="B365" s="15" t="str" cm="1">
        <f t="array" ref="B365">_xlfn.SWITCH(LEFT(Tasks[[#This Row],[Status]],1),"O","Opened","C","Completed","S","Signed Off", "V", "Signed Off","ERROR")</f>
        <v>Signed Off</v>
      </c>
      <c r="C365" s="15" t="str" cm="1">
        <f t="array" ref="C365">_xlfn.SWITCH(LEFT(Tasks[[#This Row],[Type]], 3), "Fie", "Field Report", "Con", "Contractor QC", "Gen", "Contractor QC", "Pun", "Contractor QC", "Qua", "Contractor QC", "Fin", "Punch List")</f>
        <v>Contractor QC</v>
      </c>
      <c r="D365" s="15" t="str">
        <f>_xlfn.LET(
_xlpm.leftValue, TRIM(LEFT(Tasks[[#This Row],[Description]], 45)),
IF(LEN(_xlpm.leftValue) &lt; 40, _xlpm.leftValue, _xlfn.CONCAT(_xlpm.leftValue, "…"))
)</f>
        <v>Verify Outlet is located correctly at 141a…</v>
      </c>
      <c r="E365" s="15" t="str" cm="1">
        <f t="array" ref="E365">_xlfn.LET(
_xlpm.inTower, COUNTIF(Tower_Num_Table[Tower Rm Numbers], LEFT(Task_Summary_Table[[#This Row],[Area/Room]], 3)) &gt; 0,
_xlpm.typeResult, _xlfn.SWITCH(LEFT(Tasks[[#This Row],[Page]], 2), "Hi", "Historic", "An", "Annex", "Si", "Site", "S5", "Project Task", "SWITCH ERROR"),
IF(_xlpm.inTower, "West Tower", _xlpm.typeResult)
)</f>
        <v>Annex</v>
      </c>
      <c r="F365" s="12" t="str">
        <f>IFERROR(MID(Tasks[[#This Row],[Page]], FIND("Level", Tasks[[#This Row],[Page]]), 7), IF(ISNUMBER(FIND("Roof", Tasks[[#This Row],[Page]])), "Roof",  IF(ISNUMBER(FIND("S590", Tasks[[#This Row],[Page]])), "",  IF(ISNUMBER(FIND("Site", Tasks[[#This Row],[Page]])), "", "ERROR"))))</f>
        <v>Level 1</v>
      </c>
      <c r="G365" s="12" t="str">
        <f>IF(Tasks[[#This Row],[Location]]=0, "", Tasks[[#This Row],[Location]])</f>
        <v>141 - Dressing Men</v>
      </c>
      <c r="H365" s="12" t="str">
        <f>Tasks[[#This Row],[To Package]]</f>
        <v>Electrical</v>
      </c>
      <c r="I365" s="12" t="str">
        <f>Tasks[[#This Row],[To Organisation]]</f>
        <v>Wilkinson Electric Inc</v>
      </c>
    </row>
    <row r="366" spans="1:9" ht="15.5" x14ac:dyDescent="0.35">
      <c r="A366" s="14" t="str">
        <f>HYPERLINK(_xlfn.CONCAT(Edit_URL,Tasks[[#This Row],[Ref]]),Tasks[[#This Row],[Ref]])</f>
        <v>T59123.7</v>
      </c>
      <c r="B366" s="15" t="str" cm="1">
        <f t="array" ref="B366">_xlfn.SWITCH(LEFT(Tasks[[#This Row],[Status]],1),"O","Opened","C","Completed","S","Signed Off", "V", "Signed Off","ERROR")</f>
        <v>Signed Off</v>
      </c>
      <c r="C366" s="15" t="str" cm="1">
        <f t="array" ref="C366">_xlfn.SWITCH(LEFT(Tasks[[#This Row],[Type]], 3), "Fie", "Field Report", "Con", "Contractor QC", "Gen", "Contractor QC", "Pun", "Contractor QC", "Qua", "Contractor QC", "Fin", "Punch List")</f>
        <v>Contractor QC</v>
      </c>
      <c r="D366" s="15" t="str">
        <f>_xlfn.LET(
_xlpm.leftValue, TRIM(LEFT(Tasks[[#This Row],[Description]], 45)),
IF(LEN(_xlpm.leftValue) &lt; 40, _xlpm.leftValue, _xlfn.CONCAT(_xlpm.leftValue, "…"))
)</f>
        <v>Missing WAP rough in box</v>
      </c>
      <c r="E366" s="15" t="str" cm="1">
        <f t="array" ref="E366">_xlfn.LET(
_xlpm.inTower, COUNTIF(Tower_Num_Table[Tower Rm Numbers], LEFT(Task_Summary_Table[[#This Row],[Area/Room]], 3)) &gt; 0,
_xlpm.typeResult, _xlfn.SWITCH(LEFT(Tasks[[#This Row],[Page]], 2), "Hi", "Historic", "An", "Annex", "Si", "Site", "S5", "Project Task", "SWITCH ERROR"),
IF(_xlpm.inTower, "West Tower", _xlpm.typeResult)
)</f>
        <v>Annex</v>
      </c>
      <c r="F366" s="12" t="str">
        <f>IFERROR(MID(Tasks[[#This Row],[Page]], FIND("Level", Tasks[[#This Row],[Page]]), 7), IF(ISNUMBER(FIND("Roof", Tasks[[#This Row],[Page]])), "Roof",  IF(ISNUMBER(FIND("S590", Tasks[[#This Row],[Page]])), "",  IF(ISNUMBER(FIND("Site", Tasks[[#This Row],[Page]])), "", "ERROR"))))</f>
        <v>Level 1</v>
      </c>
      <c r="G366" s="12" t="str">
        <f>IF(Tasks[[#This Row],[Location]]=0, "", Tasks[[#This Row],[Location]])</f>
        <v>141 - Dressing Men</v>
      </c>
      <c r="H366" s="12" t="str">
        <f>Tasks[[#This Row],[To Package]]</f>
        <v>Electrical</v>
      </c>
      <c r="I366" s="12" t="str">
        <f>Tasks[[#This Row],[To Organisation]]</f>
        <v>Wilkinson Electric Inc</v>
      </c>
    </row>
    <row r="367" spans="1:9" ht="15.5" x14ac:dyDescent="0.35">
      <c r="A367" s="14" t="str">
        <f>HYPERLINK(_xlfn.CONCAT(Edit_URL,Tasks[[#This Row],[Ref]]),Tasks[[#This Row],[Ref]])</f>
        <v>T59123.6</v>
      </c>
      <c r="B367" s="15" t="str" cm="1">
        <f t="array" ref="B367">_xlfn.SWITCH(LEFT(Tasks[[#This Row],[Status]],1),"O","Opened","C","Completed","S","Signed Off", "V", "Signed Off","ERROR")</f>
        <v>Signed Off</v>
      </c>
      <c r="C367" s="15" t="str" cm="1">
        <f t="array" ref="C367">_xlfn.SWITCH(LEFT(Tasks[[#This Row],[Type]], 3), "Fie", "Field Report", "Con", "Contractor QC", "Gen", "Contractor QC", "Pun", "Contractor QC", "Qua", "Contractor QC", "Fin", "Punch List")</f>
        <v>Contractor QC</v>
      </c>
      <c r="D367" s="15" t="str">
        <f>_xlfn.LET(
_xlpm.leftValue, TRIM(LEFT(Tasks[[#This Row],[Description]], 45)),
IF(LEN(_xlpm.leftValue) &lt; 40, _xlpm.leftValue, _xlfn.CONCAT(_xlpm.leftValue, "…"))
)</f>
        <v>Electrical rough needs to be completed at thi…</v>
      </c>
      <c r="E367" s="15" t="str" cm="1">
        <f t="array" ref="E367">_xlfn.LET(
_xlpm.inTower, COUNTIF(Tower_Num_Table[Tower Rm Numbers], LEFT(Task_Summary_Table[[#This Row],[Area/Room]], 3)) &gt; 0,
_xlpm.typeResult, _xlfn.SWITCH(LEFT(Tasks[[#This Row],[Page]], 2), "Hi", "Historic", "An", "Annex", "Si", "Site", "S5", "Project Task", "SWITCH ERROR"),
IF(_xlpm.inTower, "West Tower", _xlpm.typeResult)
)</f>
        <v>Annex</v>
      </c>
      <c r="F367" s="12" t="str">
        <f>IFERROR(MID(Tasks[[#This Row],[Page]], FIND("Level", Tasks[[#This Row],[Page]]), 7), IF(ISNUMBER(FIND("Roof", Tasks[[#This Row],[Page]])), "Roof",  IF(ISNUMBER(FIND("S590", Tasks[[#This Row],[Page]])), "",  IF(ISNUMBER(FIND("Site", Tasks[[#This Row],[Page]])), "", "ERROR"))))</f>
        <v>Level 1</v>
      </c>
      <c r="G367" s="12" t="str">
        <f>IF(Tasks[[#This Row],[Location]]=0, "", Tasks[[#This Row],[Location]])</f>
        <v>141 - Dressing Men</v>
      </c>
      <c r="H367" s="12" t="str">
        <f>Tasks[[#This Row],[To Package]]</f>
        <v>Electrical</v>
      </c>
      <c r="I367" s="12" t="str">
        <f>Tasks[[#This Row],[To Organisation]]</f>
        <v>Wilkinson Electric Inc</v>
      </c>
    </row>
    <row r="368" spans="1:9" ht="15.5" x14ac:dyDescent="0.35">
      <c r="A368" s="14" t="str">
        <f>HYPERLINK(_xlfn.CONCAT(Edit_URL,Tasks[[#This Row],[Ref]]),Tasks[[#This Row],[Ref]])</f>
        <v>T59123.4</v>
      </c>
      <c r="B368" s="15" t="str" cm="1">
        <f t="array" ref="B368">_xlfn.SWITCH(LEFT(Tasks[[#This Row],[Status]],1),"O","Opened","C","Completed","S","Signed Off", "V", "Signed Off","ERROR")</f>
        <v>Signed Off</v>
      </c>
      <c r="C368" s="15" t="str" cm="1">
        <f t="array" ref="C368">_xlfn.SWITCH(LEFT(Tasks[[#This Row],[Type]], 3), "Fie", "Field Report", "Con", "Contractor QC", "Gen", "Contractor QC", "Pun", "Contractor QC", "Qua", "Contractor QC", "Fin", "Punch List")</f>
        <v>Contractor QC</v>
      </c>
      <c r="D368" s="15" t="str">
        <f>_xlfn.LET(
_xlpm.leftValue, TRIM(LEFT(Tasks[[#This Row],[Description]], 45)),
IF(LEN(_xlpm.leftValue) &lt; 40, _xlpm.leftValue, _xlfn.CONCAT(_xlpm.leftValue, "…"))
)</f>
        <v>Exit Sign Mounting Elevation Too High</v>
      </c>
      <c r="E368" s="15" t="str" cm="1">
        <f t="array" ref="E368">_xlfn.LET(
_xlpm.inTower, COUNTIF(Tower_Num_Table[Tower Rm Numbers], LEFT(Task_Summary_Table[[#This Row],[Area/Room]], 3)) &gt; 0,
_xlpm.typeResult, _xlfn.SWITCH(LEFT(Tasks[[#This Row],[Page]], 2), "Hi", "Historic", "An", "Annex", "Si", "Site", "S5", "Project Task", "SWITCH ERROR"),
IF(_xlpm.inTower, "West Tower", _xlpm.typeResult)
)</f>
        <v>Annex</v>
      </c>
      <c r="F368" s="12" t="str">
        <f>IFERROR(MID(Tasks[[#This Row],[Page]], FIND("Level", Tasks[[#This Row],[Page]]), 7), IF(ISNUMBER(FIND("Roof", Tasks[[#This Row],[Page]])), "Roof",  IF(ISNUMBER(FIND("S590", Tasks[[#This Row],[Page]])), "",  IF(ISNUMBER(FIND("Site", Tasks[[#This Row],[Page]])), "", "ERROR"))))</f>
        <v>Level 1</v>
      </c>
      <c r="G368" s="12" t="str">
        <f>IF(Tasks[[#This Row],[Location]]=0, "", Tasks[[#This Row],[Location]])</f>
        <v>141 - Dressing Men</v>
      </c>
      <c r="H368" s="12" t="str">
        <f>Tasks[[#This Row],[To Package]]</f>
        <v>Electrical</v>
      </c>
      <c r="I368" s="12" t="str">
        <f>Tasks[[#This Row],[To Organisation]]</f>
        <v>Wilkinson Electric Inc</v>
      </c>
    </row>
    <row r="369" spans="1:9" ht="15.5" x14ac:dyDescent="0.35">
      <c r="A369" s="14" t="str">
        <f>HYPERLINK(_xlfn.CONCAT(Edit_URL,Tasks[[#This Row],[Ref]]),Tasks[[#This Row],[Ref]])</f>
        <v>T59123.5</v>
      </c>
      <c r="B369" s="15" t="str" cm="1">
        <f t="array" ref="B369">_xlfn.SWITCH(LEFT(Tasks[[#This Row],[Status]],1),"O","Opened","C","Completed","S","Signed Off", "V", "Signed Off","ERROR")</f>
        <v>Signed Off</v>
      </c>
      <c r="C369" s="15" t="str" cm="1">
        <f t="array" ref="C369">_xlfn.SWITCH(LEFT(Tasks[[#This Row],[Type]], 3), "Fie", "Field Report", "Con", "Contractor QC", "Gen", "Contractor QC", "Pun", "Contractor QC", "Qua", "Contractor QC", "Fin", "Punch List")</f>
        <v>Contractor QC</v>
      </c>
      <c r="D369" s="15" t="str">
        <f>_xlfn.LET(
_xlpm.leftValue, TRIM(LEFT(Tasks[[#This Row],[Description]], 45)),
IF(LEN(_xlpm.leftValue) &lt; 40, _xlpm.leftValue, _xlfn.CONCAT(_xlpm.leftValue, "…"))
)</f>
        <v>Electrical rough in incomplete this wall…</v>
      </c>
      <c r="E369" s="15" t="str" cm="1">
        <f t="array" ref="E369">_xlfn.LET(
_xlpm.inTower, COUNTIF(Tower_Num_Table[Tower Rm Numbers], LEFT(Task_Summary_Table[[#This Row],[Area/Room]], 3)) &gt; 0,
_xlpm.typeResult, _xlfn.SWITCH(LEFT(Tasks[[#This Row],[Page]], 2), "Hi", "Historic", "An", "Annex", "Si", "Site", "S5", "Project Task", "SWITCH ERROR"),
IF(_xlpm.inTower, "West Tower", _xlpm.typeResult)
)</f>
        <v>Annex</v>
      </c>
      <c r="F369" s="12" t="str">
        <f>IFERROR(MID(Tasks[[#This Row],[Page]], FIND("Level", Tasks[[#This Row],[Page]]), 7), IF(ISNUMBER(FIND("Roof", Tasks[[#This Row],[Page]])), "Roof",  IF(ISNUMBER(FIND("S590", Tasks[[#This Row],[Page]])), "",  IF(ISNUMBER(FIND("Site", Tasks[[#This Row],[Page]])), "", "ERROR"))))</f>
        <v>Level 1</v>
      </c>
      <c r="G369" s="12" t="str">
        <f>IF(Tasks[[#This Row],[Location]]=0, "", Tasks[[#This Row],[Location]])</f>
        <v>141 - Dressing Men</v>
      </c>
      <c r="H369" s="12" t="str">
        <f>Tasks[[#This Row],[To Package]]</f>
        <v>Electrical</v>
      </c>
      <c r="I369" s="12" t="str">
        <f>Tasks[[#This Row],[To Organisation]]</f>
        <v>Wilkinson Electric Inc</v>
      </c>
    </row>
    <row r="370" spans="1:9" ht="15.5" x14ac:dyDescent="0.35">
      <c r="A370" s="14" t="str">
        <f>HYPERLINK(_xlfn.CONCAT(Edit_URL,Tasks[[#This Row],[Ref]]),Tasks[[#This Row],[Ref]])</f>
        <v>T1.9619197</v>
      </c>
      <c r="B370" s="15" t="str" cm="1">
        <f t="array" ref="B370">_xlfn.SWITCH(LEFT(Tasks[[#This Row],[Status]],1),"O","Opened","C","Completed","S","Signed Off", "V", "Signed Off","ERROR")</f>
        <v>Signed Off</v>
      </c>
      <c r="C370" s="15" t="str" cm="1">
        <f t="array" ref="C370">_xlfn.SWITCH(LEFT(Tasks[[#This Row],[Type]], 3), "Fie", "Field Report", "Con", "Contractor QC", "Gen", "Contractor QC", "Pun", "Contractor QC", "Qua", "Contractor QC", "Fin", "Punch List")</f>
        <v>Contractor QC</v>
      </c>
      <c r="D370" s="15" t="str">
        <f>_xlfn.LET(
_xlpm.leftValue, TRIM(LEFT(Tasks[[#This Row],[Description]], 45)),
IF(LEN(_xlpm.leftValue) &lt; 40, _xlpm.leftValue, _xlfn.CONCAT(_xlpm.leftValue, "…"))
)</f>
        <v>Office 112 - Wall outlets uneven on east wall…</v>
      </c>
      <c r="E370" s="15" t="str" cm="1">
        <f t="array" ref="E370">_xlfn.LET(
_xlpm.inTower, COUNTIF(Tower_Num_Table[Tower Rm Numbers], LEFT(Task_Summary_Table[[#This Row],[Area/Room]], 3)) &gt; 0,
_xlpm.typeResult, _xlfn.SWITCH(LEFT(Tasks[[#This Row],[Page]], 2), "Hi", "Historic", "An", "Annex", "Si", "Site", "S5", "Project Task", "SWITCH ERROR"),
IF(_xlpm.inTower, "West Tower", _xlpm.typeResult)
)</f>
        <v>Annex</v>
      </c>
      <c r="F370" s="12" t="str">
        <f>IFERROR(MID(Tasks[[#This Row],[Page]], FIND("Level", Tasks[[#This Row],[Page]]), 7), IF(ISNUMBER(FIND("Roof", Tasks[[#This Row],[Page]])), "Roof",  IF(ISNUMBER(FIND("S590", Tasks[[#This Row],[Page]])), "",  IF(ISNUMBER(FIND("Site", Tasks[[#This Row],[Page]])), "", "ERROR"))))</f>
        <v>Level 1</v>
      </c>
      <c r="G370" s="12" t="str">
        <f>IF(Tasks[[#This Row],[Location]]=0, "", Tasks[[#This Row],[Location]])</f>
        <v/>
      </c>
      <c r="H370" s="12" t="str">
        <f>Tasks[[#This Row],[To Package]]</f>
        <v>Electrical</v>
      </c>
      <c r="I370" s="12" t="str">
        <f>Tasks[[#This Row],[To Organisation]]</f>
        <v>Wilkinson Electric Inc</v>
      </c>
    </row>
    <row r="371" spans="1:9" ht="15.5" x14ac:dyDescent="0.35">
      <c r="A371" s="14" t="str">
        <f>HYPERLINK(_xlfn.CONCAT(Edit_URL,Tasks[[#This Row],[Ref]]),Tasks[[#This Row],[Ref]])</f>
        <v>T59123.69</v>
      </c>
      <c r="B371" s="15" t="str" cm="1">
        <f t="array" ref="B371">_xlfn.SWITCH(LEFT(Tasks[[#This Row],[Status]],1),"O","Opened","C","Completed","S","Signed Off", "V", "Signed Off","ERROR")</f>
        <v>Signed Off</v>
      </c>
      <c r="C371" s="15" t="str" cm="1">
        <f t="array" ref="C371">_xlfn.SWITCH(LEFT(Tasks[[#This Row],[Type]], 3), "Fie", "Field Report", "Con", "Contractor QC", "Gen", "Contractor QC", "Pun", "Contractor QC", "Qua", "Contractor QC", "Fin", "Punch List")</f>
        <v>Contractor QC</v>
      </c>
      <c r="D371" s="15" t="str">
        <f>_xlfn.LET(
_xlpm.leftValue, TRIM(LEFT(Tasks[[#This Row],[Description]], 45)),
IF(LEN(_xlpm.leftValue) &lt; 40, _xlpm.leftValue, _xlfn.CONCAT(_xlpm.leftValue, "…"))
)</f>
        <v>Access panel below instruction room sink not…</v>
      </c>
      <c r="E371" s="15" t="str" cm="1">
        <f t="array" ref="E371">_xlfn.LET(
_xlpm.inTower, COUNTIF(Tower_Num_Table[Tower Rm Numbers], LEFT(Task_Summary_Table[[#This Row],[Area/Room]], 3)) &gt; 0,
_xlpm.typeResult, _xlfn.SWITCH(LEFT(Tasks[[#This Row],[Page]], 2), "Hi", "Historic", "An", "Annex", "Si", "Site", "S5", "Project Task", "SWITCH ERROR"),
IF(_xlpm.inTower, "West Tower", _xlpm.typeResult)
)</f>
        <v>Annex</v>
      </c>
      <c r="F371" s="12" t="str">
        <f>IFERROR(MID(Tasks[[#This Row],[Page]], FIND("Level", Tasks[[#This Row],[Page]]), 7), IF(ISNUMBER(FIND("Roof", Tasks[[#This Row],[Page]])), "Roof",  IF(ISNUMBER(FIND("S590", Tasks[[#This Row],[Page]])), "",  IF(ISNUMBER(FIND("Site", Tasks[[#This Row],[Page]])), "", "ERROR"))))</f>
        <v>Level 1</v>
      </c>
      <c r="G371" s="12" t="str">
        <f>IF(Tasks[[#This Row],[Location]]=0, "", Tasks[[#This Row],[Location]])</f>
        <v>162 - Instruction Women</v>
      </c>
      <c r="H371" s="12" t="str">
        <f>Tasks[[#This Row],[To Package]]</f>
        <v>Metal Stud / Drywall</v>
      </c>
      <c r="I371" s="12" t="str">
        <f>Tasks[[#This Row],[To Organisation]]</f>
        <v>Pete King Construction</v>
      </c>
    </row>
    <row r="372" spans="1:9" ht="15.5" x14ac:dyDescent="0.35">
      <c r="A372" s="14" t="str">
        <f>HYPERLINK(_xlfn.CONCAT(Edit_URL,Tasks[[#This Row],[Ref]]),Tasks[[#This Row],[Ref]])</f>
        <v>T59123.58</v>
      </c>
      <c r="B372" s="15" t="str" cm="1">
        <f t="array" ref="B372">_xlfn.SWITCH(LEFT(Tasks[[#This Row],[Status]],1),"O","Opened","C","Completed","S","Signed Off", "V", "Signed Off","ERROR")</f>
        <v>Signed Off</v>
      </c>
      <c r="C372" s="15" t="str" cm="1">
        <f t="array" ref="C372">_xlfn.SWITCH(LEFT(Tasks[[#This Row],[Type]], 3), "Fie", "Field Report", "Con", "Contractor QC", "Gen", "Contractor QC", "Pun", "Contractor QC", "Qua", "Contractor QC", "Fin", "Punch List")</f>
        <v>Contractor QC</v>
      </c>
      <c r="D372" s="15" t="str">
        <f>_xlfn.LET(
_xlpm.leftValue, TRIM(LEFT(Tasks[[#This Row],[Description]], 45)),
IF(LEN(_xlpm.leftValue) &lt; 40, _xlpm.leftValue, _xlfn.CONCAT(_xlpm.leftValue, "…"))
)</f>
        <v>Install fire suppression (pending direction o…</v>
      </c>
      <c r="E372" s="15" t="str" cm="1">
        <f t="array" ref="E372">_xlfn.LET(
_xlpm.inTower, COUNTIF(Tower_Num_Table[Tower Rm Numbers], LEFT(Task_Summary_Table[[#This Row],[Area/Room]], 3)) &gt; 0,
_xlpm.typeResult, _xlfn.SWITCH(LEFT(Tasks[[#This Row],[Page]], 2), "Hi", "Historic", "An", "Annex", "Si", "Site", "S5", "Project Task", "SWITCH ERROR"),
IF(_xlpm.inTower, "West Tower", _xlpm.typeResult)
)</f>
        <v>Historic</v>
      </c>
      <c r="F372" s="15" t="str">
        <f>IFERROR(MID(Tasks[[#This Row],[Page]], FIND("Level", Tasks[[#This Row],[Page]]), 7), IF(ISNUMBER(FIND("Roof", Tasks[[#This Row],[Page]])), "Roof",  IF(ISNUMBER(FIND("S590", Tasks[[#This Row],[Page]])), "",  IF(ISNUMBER(FIND("Site", Tasks[[#This Row],[Page]])), "", "ERROR"))))</f>
        <v>Level 5</v>
      </c>
      <c r="G372" s="15" t="str">
        <f>IF(Tasks[[#This Row],[Location]]=0, "", Tasks[[#This Row],[Location]])</f>
        <v>518 - Study</v>
      </c>
      <c r="H372" s="15" t="str">
        <f>Tasks[[#This Row],[To Package]]</f>
        <v>Fire Suppression</v>
      </c>
      <c r="I372" s="15" t="str">
        <f>Tasks[[#This Row],[To Organisation]]</f>
        <v>Broken Arrow Construction Corporation</v>
      </c>
    </row>
    <row r="373" spans="1:9" ht="15.5" x14ac:dyDescent="0.35">
      <c r="A373" s="14" t="str">
        <f>HYPERLINK(_xlfn.CONCAT(Edit_URL,Tasks[[#This Row],[Ref]]),Tasks[[#This Row],[Ref]])</f>
        <v>T59123.57</v>
      </c>
      <c r="B373" s="15" t="str" cm="1">
        <f t="array" ref="B373">_xlfn.SWITCH(LEFT(Tasks[[#This Row],[Status]],1),"O","Opened","C","Completed","S","Signed Off", "V", "Signed Off","ERROR")</f>
        <v>Signed Off</v>
      </c>
      <c r="C373" s="15" t="str" cm="1">
        <f t="array" ref="C373">_xlfn.SWITCH(LEFT(Tasks[[#This Row],[Type]], 3), "Fie", "Field Report", "Con", "Contractor QC", "Gen", "Contractor QC", "Pun", "Contractor QC", "Qua", "Contractor QC", "Fin", "Punch List")</f>
        <v>Contractor QC</v>
      </c>
      <c r="D373" s="15" t="str">
        <f>_xlfn.LET(
_xlpm.leftValue, TRIM(LEFT(Tasks[[#This Row],[Description]], 45)),
IF(LEN(_xlpm.leftValue) &lt; 40, _xlpm.leftValue, _xlfn.CONCAT(_xlpm.leftValue, "…"))
)</f>
        <v>Missing rough in for session clock</v>
      </c>
      <c r="E373" s="15" t="str" cm="1">
        <f t="array" ref="E373">_xlfn.LET(
_xlpm.inTower, COUNTIF(Tower_Num_Table[Tower Rm Numbers], LEFT(Task_Summary_Table[[#This Row],[Area/Room]], 3)) &gt; 0,
_xlpm.typeResult, _xlfn.SWITCH(LEFT(Tasks[[#This Row],[Page]], 2), "Hi", "Historic", "An", "Annex", "Si", "Site", "S5", "Project Task", "SWITCH ERROR"),
IF(_xlpm.inTower, "West Tower", _xlpm.typeResult)
)</f>
        <v>Historic</v>
      </c>
      <c r="F373" s="15" t="str">
        <f>IFERROR(MID(Tasks[[#This Row],[Page]], FIND("Level", Tasks[[#This Row],[Page]]), 7), IF(ISNUMBER(FIND("Roof", Tasks[[#This Row],[Page]])), "Roof",  IF(ISNUMBER(FIND("S590", Tasks[[#This Row],[Page]])), "",  IF(ISNUMBER(FIND("Site", Tasks[[#This Row],[Page]])), "", "ERROR"))))</f>
        <v>Level 5</v>
      </c>
      <c r="G373" s="15" t="str">
        <f>IF(Tasks[[#This Row],[Location]]=0, "", Tasks[[#This Row],[Location]])</f>
        <v>518 - Study</v>
      </c>
      <c r="H373" s="15" t="str">
        <f>Tasks[[#This Row],[To Package]]</f>
        <v>Electrical</v>
      </c>
      <c r="I373" s="15" t="str">
        <f>Tasks[[#This Row],[To Organisation]]</f>
        <v>Wilkinson Electric Inc</v>
      </c>
    </row>
    <row r="374" spans="1:9" ht="15.5" x14ac:dyDescent="0.35">
      <c r="A374" s="14" t="str">
        <f>HYPERLINK(_xlfn.CONCAT(Edit_URL,Tasks[[#This Row],[Ref]]),Tasks[[#This Row],[Ref]])</f>
        <v>T59123.59</v>
      </c>
      <c r="B374" s="15" t="str" cm="1">
        <f t="array" ref="B374">_xlfn.SWITCH(LEFT(Tasks[[#This Row],[Status]],1),"O","Opened","C","Completed","S","Signed Off", "V", "Signed Off","ERROR")</f>
        <v>Signed Off</v>
      </c>
      <c r="C374" s="15" t="str" cm="1">
        <f t="array" ref="C374">_xlfn.SWITCH(LEFT(Tasks[[#This Row],[Type]], 3), "Fie", "Field Report", "Con", "Contractor QC", "Gen", "Contractor QC", "Pun", "Contractor QC", "Qua", "Contractor QC", "Fin", "Punch List")</f>
        <v>Contractor QC</v>
      </c>
      <c r="D374" s="15" t="str">
        <f>_xlfn.LET(
_xlpm.leftValue, TRIM(LEFT(Tasks[[#This Row],[Description]], 45)),
IF(LEN(_xlpm.leftValue) &lt; 40, _xlpm.leftValue, _xlfn.CONCAT(_xlpm.leftValue, "…"))
)</f>
        <v>Rough in fire alarm monitor connections</v>
      </c>
      <c r="E374" s="15" t="str" cm="1">
        <f t="array" ref="E374">_xlfn.LET(
_xlpm.inTower, COUNTIF(Tower_Num_Table[Tower Rm Numbers], LEFT(Task_Summary_Table[[#This Row],[Area/Room]], 3)) &gt; 0,
_xlpm.typeResult, _xlfn.SWITCH(LEFT(Tasks[[#This Row],[Page]], 2), "Hi", "Historic", "An", "Annex", "Si", "Site", "S5", "Project Task", "SWITCH ERROR"),
IF(_xlpm.inTower, "West Tower", _xlpm.typeResult)
)</f>
        <v>Historic</v>
      </c>
      <c r="F374" s="15" t="str">
        <f>IFERROR(MID(Tasks[[#This Row],[Page]], FIND("Level", Tasks[[#This Row],[Page]]), 7), IF(ISNUMBER(FIND("Roof", Tasks[[#This Row],[Page]])), "Roof",  IF(ISNUMBER(FIND("S590", Tasks[[#This Row],[Page]])), "",  IF(ISNUMBER(FIND("Site", Tasks[[#This Row],[Page]])), "", "ERROR"))))</f>
        <v>Level 5</v>
      </c>
      <c r="G374" s="15" t="str">
        <f>IF(Tasks[[#This Row],[Location]]=0, "", Tasks[[#This Row],[Location]])</f>
        <v>518 - Study</v>
      </c>
      <c r="H374" s="15" t="str">
        <f>Tasks[[#This Row],[To Package]]</f>
        <v>Fire Suppression</v>
      </c>
      <c r="I374" s="15" t="str">
        <f>Tasks[[#This Row],[To Organisation]]</f>
        <v>Broken Arrow Construction Corporation</v>
      </c>
    </row>
    <row r="375" spans="1:9" ht="15.5" x14ac:dyDescent="0.35">
      <c r="A375" s="14" t="str">
        <f>HYPERLINK(_xlfn.CONCAT(Edit_URL,Tasks[[#This Row],[Ref]]),Tasks[[#This Row],[Ref]])</f>
        <v>T59123.61</v>
      </c>
      <c r="B375" s="15" t="str" cm="1">
        <f t="array" ref="B375">_xlfn.SWITCH(LEFT(Tasks[[#This Row],[Status]],1),"O","Opened","C","Completed","S","Signed Off", "V", "Signed Off","ERROR")</f>
        <v>Signed Off</v>
      </c>
      <c r="C375" s="15" t="str" cm="1">
        <f t="array" ref="C375">_xlfn.SWITCH(LEFT(Tasks[[#This Row],[Type]], 3), "Fie", "Field Report", "Con", "Contractor QC", "Gen", "Contractor QC", "Pun", "Contractor QC", "Qua", "Contractor QC", "Fin", "Punch List")</f>
        <v>Contractor QC</v>
      </c>
      <c r="D375" s="15" t="str">
        <f>_xlfn.LET(
_xlpm.leftValue, TRIM(LEFT(Tasks[[#This Row],[Description]], 45)),
IF(LEN(_xlpm.leftValue) &lt; 40, _xlpm.leftValue, _xlfn.CONCAT(_xlpm.leftValue, "…"))
)</f>
        <v>Demo existing electrical conduit at floor…</v>
      </c>
      <c r="E375" s="15" t="str" cm="1">
        <f t="array" ref="E375">_xlfn.LET(
_xlpm.inTower, COUNTIF(Tower_Num_Table[Tower Rm Numbers], LEFT(Task_Summary_Table[[#This Row],[Area/Room]], 3)) &gt; 0,
_xlpm.typeResult, _xlfn.SWITCH(LEFT(Tasks[[#This Row],[Page]], 2), "Hi", "Historic", "An", "Annex", "Si", "Site", "S5", "Project Task", "SWITCH ERROR"),
IF(_xlpm.inTower, "West Tower", _xlpm.typeResult)
)</f>
        <v>Historic</v>
      </c>
      <c r="F375" s="15" t="str">
        <f>IFERROR(MID(Tasks[[#This Row],[Page]], FIND("Level", Tasks[[#This Row],[Page]]), 7), IF(ISNUMBER(FIND("Roof", Tasks[[#This Row],[Page]])), "Roof",  IF(ISNUMBER(FIND("S590", Tasks[[#This Row],[Page]])), "",  IF(ISNUMBER(FIND("Site", Tasks[[#This Row],[Page]])), "", "ERROR"))))</f>
        <v>Level 5</v>
      </c>
      <c r="G375" s="15" t="str">
        <f>IF(Tasks[[#This Row],[Location]]=0, "", Tasks[[#This Row],[Location]])</f>
        <v>519 - Waiting</v>
      </c>
      <c r="H375" s="15" t="str">
        <f>Tasks[[#This Row],[To Package]]</f>
        <v>Electrical</v>
      </c>
      <c r="I375" s="15" t="str">
        <f>Tasks[[#This Row],[To Organisation]]</f>
        <v>Wilkinson Electric Inc</v>
      </c>
    </row>
    <row r="376" spans="1:9" ht="15.5" x14ac:dyDescent="0.35">
      <c r="A376" s="14" t="str">
        <f>HYPERLINK(_xlfn.CONCAT(Edit_URL,Tasks[[#This Row],[Ref]]),Tasks[[#This Row],[Ref]])</f>
        <v>T55794.1</v>
      </c>
      <c r="B376" s="15" t="str" cm="1">
        <f t="array" ref="B376">_xlfn.SWITCH(LEFT(Tasks[[#This Row],[Status]],1),"O","Opened","C","Completed","S","Signed Off", "V", "Signed Off","ERROR")</f>
        <v>Signed Off</v>
      </c>
      <c r="C376" s="15" t="str" cm="1">
        <f t="array" ref="C376">_xlfn.SWITCH(LEFT(Tasks[[#This Row],[Type]], 3), "Fie", "Field Report", "Con", "Contractor QC", "Gen", "Contractor QC", "Pun", "Contractor QC", "Qua", "Contractor QC", "Fin", "Punch List")</f>
        <v>Contractor QC</v>
      </c>
      <c r="D376" s="15" t="str">
        <f>_xlfn.LET(
_xlpm.leftValue, TRIM(LEFT(Tasks[[#This Row],[Description]], 45)),
IF(LEN(_xlpm.leftValue) &lt; 40, _xlpm.leftValue, _xlfn.CONCAT(_xlpm.leftValue, "…"))
)</f>
        <v xml:space="preserve">light switch in wrong location
</v>
      </c>
      <c r="E376" s="15" t="str" cm="1">
        <f t="array" ref="E376">_xlfn.LET(
_xlpm.inTower, COUNTIF(Tower_Num_Table[Tower Rm Numbers], LEFT(Task_Summary_Table[[#This Row],[Area/Room]], 3)) &gt; 0,
_xlpm.typeResult, _xlfn.SWITCH(LEFT(Tasks[[#This Row],[Page]], 2), "Hi", "Historic", "An", "Annex", "Si", "Site", "S5", "Project Task", "SWITCH ERROR"),
IF(_xlpm.inTower, "West Tower", _xlpm.typeResult)
)</f>
        <v>Annex</v>
      </c>
      <c r="F376" s="15" t="str">
        <f>IFERROR(MID(Tasks[[#This Row],[Page]], FIND("Level", Tasks[[#This Row],[Page]]), 7), IF(ISNUMBER(FIND("Roof", Tasks[[#This Row],[Page]])), "Roof",  IF(ISNUMBER(FIND("S590", Tasks[[#This Row],[Page]])), "",  IF(ISNUMBER(FIND("Site", Tasks[[#This Row],[Page]])), "", "ERROR"))))</f>
        <v>Level 1</v>
      </c>
      <c r="G376" s="15" t="str">
        <f>IF(Tasks[[#This Row],[Location]]=0, "", Tasks[[#This Row],[Location]])</f>
        <v/>
      </c>
      <c r="H376" s="15" t="str">
        <f>Tasks[[#This Row],[To Package]]</f>
        <v>Electrical</v>
      </c>
      <c r="I376" s="15" t="str">
        <f>Tasks[[#This Row],[To Organisation]]</f>
        <v>Wilkinson Electric Inc</v>
      </c>
    </row>
    <row r="377" spans="1:9" ht="15.5" x14ac:dyDescent="0.35">
      <c r="A377" s="14" t="str">
        <f>HYPERLINK(_xlfn.CONCAT(Edit_URL,Tasks[[#This Row],[Ref]]),Tasks[[#This Row],[Ref]])</f>
        <v>T59123.3</v>
      </c>
      <c r="B377" s="15" t="str" cm="1">
        <f t="array" ref="B377">_xlfn.SWITCH(LEFT(Tasks[[#This Row],[Status]],1),"O","Opened","C","Completed","S","Signed Off", "V", "Signed Off","ERROR")</f>
        <v>Signed Off</v>
      </c>
      <c r="C377" s="15" t="str" cm="1">
        <f t="array" ref="C377">_xlfn.SWITCH(LEFT(Tasks[[#This Row],[Type]], 3), "Fie", "Field Report", "Con", "Contractor QC", "Gen", "Contractor QC", "Pun", "Contractor QC", "Qua", "Contractor QC", "Fin", "Punch List")</f>
        <v>Contractor QC</v>
      </c>
      <c r="D377" s="15" t="str">
        <f>_xlfn.LET(
_xlpm.leftValue, TRIM(LEFT(Tasks[[#This Row],[Description]], 45)),
IF(LEN(_xlpm.leftValue) &lt; 40, _xlpm.leftValue, _xlfn.CONCAT(_xlpm.leftValue, "…"))
)</f>
        <v>Missing Tstat</v>
      </c>
      <c r="E377" s="15" t="str" cm="1">
        <f t="array" ref="E377">_xlfn.LET(
_xlpm.inTower, COUNTIF(Tower_Num_Table[Tower Rm Numbers], LEFT(Task_Summary_Table[[#This Row],[Area/Room]], 3)) &gt; 0,
_xlpm.typeResult, _xlfn.SWITCH(LEFT(Tasks[[#This Row],[Page]], 2), "Hi", "Historic", "An", "Annex", "Si", "Site", "S5", "Project Task", "SWITCH ERROR"),
IF(_xlpm.inTower, "West Tower", _xlpm.typeResult)
)</f>
        <v>Annex</v>
      </c>
      <c r="F377" s="15" t="str">
        <f>IFERROR(MID(Tasks[[#This Row],[Page]], FIND("Level", Tasks[[#This Row],[Page]]), 7), IF(ISNUMBER(FIND("Roof", Tasks[[#This Row],[Page]])), "Roof",  IF(ISNUMBER(FIND("S590", Tasks[[#This Row],[Page]])), "",  IF(ISNUMBER(FIND("Site", Tasks[[#This Row],[Page]])), "", "ERROR"))))</f>
        <v>Level 1</v>
      </c>
      <c r="G377" s="15" t="str">
        <f>IF(Tasks[[#This Row],[Location]]=0, "", Tasks[[#This Row],[Location]])</f>
        <v>141 - Dressing Men</v>
      </c>
      <c r="H377" s="15" t="str">
        <f>Tasks[[#This Row],[To Package]]</f>
        <v>HVAC</v>
      </c>
      <c r="I377" s="15" t="str">
        <f>Tasks[[#This Row],[To Organisation]]</f>
        <v>US Mechanical</v>
      </c>
    </row>
    <row r="378" spans="1:9" ht="15.5" x14ac:dyDescent="0.35">
      <c r="A378" s="14" t="str">
        <f>HYPERLINK(_xlfn.CONCAT(Edit_URL,Tasks[[#This Row],[Ref]]),Tasks[[#This Row],[Ref]])</f>
        <v>T59123.37</v>
      </c>
      <c r="B378" s="15" t="str" cm="1">
        <f t="array" ref="B378">_xlfn.SWITCH(LEFT(Tasks[[#This Row],[Status]],1),"O","Opened","C","Completed","S","Signed Off", "V", "Signed Off","ERROR")</f>
        <v>Signed Off</v>
      </c>
      <c r="C378" s="15" t="str" cm="1">
        <f t="array" ref="C378">_xlfn.SWITCH(LEFT(Tasks[[#This Row],[Type]], 3), "Fie", "Field Report", "Con", "Contractor QC", "Gen", "Contractor QC", "Pun", "Contractor QC", "Qua", "Contractor QC", "Fin", "Punch List")</f>
        <v>Contractor QC</v>
      </c>
      <c r="D378" s="15" t="str">
        <f>_xlfn.LET(
_xlpm.leftValue, TRIM(LEFT(Tasks[[#This Row],[Description]], 45)),
IF(LEN(_xlpm.leftValue) &lt; 40, _xlpm.leftValue, _xlfn.CONCAT(_xlpm.leftValue, "…"))
)</f>
        <v>Install can lights at north side after shorin…</v>
      </c>
      <c r="E378" s="15" t="str" cm="1">
        <f t="array" ref="E378">_xlfn.LET(
_xlpm.inTower, COUNTIF(Tower_Num_Table[Tower Rm Numbers], LEFT(Task_Summary_Table[[#This Row],[Area/Room]], 3)) &gt; 0,
_xlpm.typeResult, _xlfn.SWITCH(LEFT(Tasks[[#This Row],[Page]], 2), "Hi", "Historic", "An", "Annex", "Si", "Site", "S5", "Project Task", "SWITCH ERROR"),
IF(_xlpm.inTower, "West Tower", _xlpm.typeResult)
)</f>
        <v>Historic</v>
      </c>
      <c r="F378" s="15" t="str">
        <f>IFERROR(MID(Tasks[[#This Row],[Page]], FIND("Level", Tasks[[#This Row],[Page]]), 7), IF(ISNUMBER(FIND("Roof", Tasks[[#This Row],[Page]])), "Roof",  IF(ISNUMBER(FIND("S590", Tasks[[#This Row],[Page]])), "",  IF(ISNUMBER(FIND("Site", Tasks[[#This Row],[Page]])), "", "ERROR"))))</f>
        <v>Level 4</v>
      </c>
      <c r="G378" s="15" t="str">
        <f>IF(Tasks[[#This Row],[Location]]=0, "", Tasks[[#This Row],[Location]])</f>
        <v>410 - Study</v>
      </c>
      <c r="H378" s="15" t="str">
        <f>Tasks[[#This Row],[To Package]]</f>
        <v>Electrical</v>
      </c>
      <c r="I378" s="15" t="str">
        <f>Tasks[[#This Row],[To Organisation]]</f>
        <v>Wilkinson Electric Inc</v>
      </c>
    </row>
    <row r="379" spans="1:9" ht="15.5" x14ac:dyDescent="0.35">
      <c r="A379" s="14" t="str">
        <f>HYPERLINK(_xlfn.CONCAT(Edit_URL,Tasks[[#This Row],[Ref]]),Tasks[[#This Row],[Ref]])</f>
        <v>T59123.36</v>
      </c>
      <c r="B379" s="15" t="str" cm="1">
        <f t="array" ref="B379">_xlfn.SWITCH(LEFT(Tasks[[#This Row],[Status]],1),"O","Opened","C","Completed","S","Signed Off", "V", "Signed Off","ERROR")</f>
        <v>Signed Off</v>
      </c>
      <c r="C379" s="15" t="str" cm="1">
        <f t="array" ref="C379">_xlfn.SWITCH(LEFT(Tasks[[#This Row],[Type]], 3), "Fie", "Field Report", "Con", "Contractor QC", "Gen", "Contractor QC", "Pun", "Contractor QC", "Qua", "Contractor QC", "Fin", "Punch List")</f>
        <v>Contractor QC</v>
      </c>
      <c r="D379" s="15" t="str">
        <f>_xlfn.LET(
_xlpm.leftValue, TRIM(LEFT(Tasks[[#This Row],[Description]], 45)),
IF(LEN(_xlpm.leftValue) &lt; 40, _xlpm.leftValue, _xlfn.CONCAT(_xlpm.leftValue, "…"))
)</f>
        <v>Can light need to be daisy chained</v>
      </c>
      <c r="E379" s="15" t="str" cm="1">
        <f t="array" ref="E379">_xlfn.LET(
_xlpm.inTower, COUNTIF(Tower_Num_Table[Tower Rm Numbers], LEFT(Task_Summary_Table[[#This Row],[Area/Room]], 3)) &gt; 0,
_xlpm.typeResult, _xlfn.SWITCH(LEFT(Tasks[[#This Row],[Page]], 2), "Hi", "Historic", "An", "Annex", "Si", "Site", "S5", "Project Task", "SWITCH ERROR"),
IF(_xlpm.inTower, "West Tower", _xlpm.typeResult)
)</f>
        <v>Historic</v>
      </c>
      <c r="F379" s="15" t="str">
        <f>IFERROR(MID(Tasks[[#This Row],[Page]], FIND("Level", Tasks[[#This Row],[Page]]), 7), IF(ISNUMBER(FIND("Roof", Tasks[[#This Row],[Page]])), "Roof",  IF(ISNUMBER(FIND("S590", Tasks[[#This Row],[Page]])), "",  IF(ISNUMBER(FIND("Site", Tasks[[#This Row],[Page]])), "", "ERROR"))))</f>
        <v>Level 4</v>
      </c>
      <c r="G379" s="15" t="str">
        <f>IF(Tasks[[#This Row],[Location]]=0, "", Tasks[[#This Row],[Location]])</f>
        <v>410 - Study</v>
      </c>
      <c r="H379" s="15" t="str">
        <f>Tasks[[#This Row],[To Package]]</f>
        <v>Electrical</v>
      </c>
      <c r="I379" s="15" t="str">
        <f>Tasks[[#This Row],[To Organisation]]</f>
        <v>Wilkinson Electric Inc</v>
      </c>
    </row>
    <row r="380" spans="1:9" ht="15.5" x14ac:dyDescent="0.35">
      <c r="A380" s="14" t="str">
        <f>HYPERLINK(_xlfn.CONCAT(Edit_URL,Tasks[[#This Row],[Ref]]),Tasks[[#This Row],[Ref]])</f>
        <v>T59123.41</v>
      </c>
      <c r="B380" s="15" t="str" cm="1">
        <f t="array" ref="B380">_xlfn.SWITCH(LEFT(Tasks[[#This Row],[Status]],1),"O","Opened","C","Completed","S","Signed Off", "V", "Signed Off","ERROR")</f>
        <v>Signed Off</v>
      </c>
      <c r="C380" s="15" t="str" cm="1">
        <f t="array" ref="C380">_xlfn.SWITCH(LEFT(Tasks[[#This Row],[Type]], 3), "Fie", "Field Report", "Con", "Contractor QC", "Gen", "Contractor QC", "Pun", "Contractor QC", "Qua", "Contractor QC", "Fin", "Punch List")</f>
        <v>Contractor QC</v>
      </c>
      <c r="D380" s="15" t="str">
        <f>_xlfn.LET(
_xlpm.leftValue, TRIM(LEFT(Tasks[[#This Row],[Description]], 45)),
IF(LEN(_xlpm.leftValue) &lt; 40, _xlpm.leftValue, _xlfn.CONCAT(_xlpm.leftValue, "…"))
)</f>
        <v>Power tied in to fan coil units</v>
      </c>
      <c r="E380" s="15" t="str" cm="1">
        <f t="array" ref="E380">_xlfn.LET(
_xlpm.inTower, COUNTIF(Tower_Num_Table[Tower Rm Numbers], LEFT(Task_Summary_Table[[#This Row],[Area/Room]], 3)) &gt; 0,
_xlpm.typeResult, _xlfn.SWITCH(LEFT(Tasks[[#This Row],[Page]], 2), "Hi", "Historic", "An", "Annex", "Si", "Site", "S5", "Project Task", "SWITCH ERROR"),
IF(_xlpm.inTower, "West Tower", _xlpm.typeResult)
)</f>
        <v>Historic</v>
      </c>
      <c r="F380" s="15" t="str">
        <f>IFERROR(MID(Tasks[[#This Row],[Page]], FIND("Level", Tasks[[#This Row],[Page]]), 7), IF(ISNUMBER(FIND("Roof", Tasks[[#This Row],[Page]])), "Roof",  IF(ISNUMBER(FIND("S590", Tasks[[#This Row],[Page]])), "",  IF(ISNUMBER(FIND("Site", Tasks[[#This Row],[Page]])), "", "ERROR"))))</f>
        <v>Level 4</v>
      </c>
      <c r="G380" s="15" t="str">
        <f>IF(Tasks[[#This Row],[Location]]=0, "", Tasks[[#This Row],[Location]])</f>
        <v>410 - Study</v>
      </c>
      <c r="H380" s="15" t="str">
        <f>Tasks[[#This Row],[To Package]]</f>
        <v>Electrical</v>
      </c>
      <c r="I380" s="15" t="str">
        <f>Tasks[[#This Row],[To Organisation]]</f>
        <v>Wilkinson Electric Inc</v>
      </c>
    </row>
    <row r="381" spans="1:9" ht="15.5" x14ac:dyDescent="0.35">
      <c r="A381" s="14" t="str">
        <f>HYPERLINK(_xlfn.CONCAT(Edit_URL,Tasks[[#This Row],[Ref]]),Tasks[[#This Row],[Ref]])</f>
        <v>T59123.34</v>
      </c>
      <c r="B381" s="15" t="str" cm="1">
        <f t="array" ref="B381">_xlfn.SWITCH(LEFT(Tasks[[#This Row],[Status]],1),"O","Opened","C","Completed","S","Signed Off", "V", "Signed Off","ERROR")</f>
        <v>Signed Off</v>
      </c>
      <c r="C381" s="15" t="str" cm="1">
        <f t="array" ref="C381">_xlfn.SWITCH(LEFT(Tasks[[#This Row],[Type]], 3), "Fie", "Field Report", "Con", "Contractor QC", "Gen", "Contractor QC", "Pun", "Contractor QC", "Qua", "Contractor QC", "Fin", "Punch List")</f>
        <v>Contractor QC</v>
      </c>
      <c r="D381" s="15" t="str">
        <f>_xlfn.LET(
_xlpm.leftValue, TRIM(LEFT(Tasks[[#This Row],[Description]], 45)),
IF(LEN(_xlpm.leftValue) &lt; 40, _xlpm.leftValue, _xlfn.CONCAT(_xlpm.leftValue, "…"))
)</f>
        <v>Missing tstat</v>
      </c>
      <c r="E381" s="15" t="str" cm="1">
        <f t="array" ref="E381">_xlfn.LET(
_xlpm.inTower, COUNTIF(Tower_Num_Table[Tower Rm Numbers], LEFT(Task_Summary_Table[[#This Row],[Area/Room]], 3)) &gt; 0,
_xlpm.typeResult, _xlfn.SWITCH(LEFT(Tasks[[#This Row],[Page]], 2), "Hi", "Historic", "An", "Annex", "Si", "Site", "S5", "Project Task", "SWITCH ERROR"),
IF(_xlpm.inTower, "West Tower", _xlpm.typeResult)
)</f>
        <v>Historic</v>
      </c>
      <c r="F381" s="15" t="str">
        <f>IFERROR(MID(Tasks[[#This Row],[Page]], FIND("Level", Tasks[[#This Row],[Page]]), 7), IF(ISNUMBER(FIND("Roof", Tasks[[#This Row],[Page]])), "Roof",  IF(ISNUMBER(FIND("S590", Tasks[[#This Row],[Page]])), "",  IF(ISNUMBER(FIND("Site", Tasks[[#This Row],[Page]])), "", "ERROR"))))</f>
        <v>Level 4</v>
      </c>
      <c r="G381" s="15" t="str">
        <f>IF(Tasks[[#This Row],[Location]]=0, "", Tasks[[#This Row],[Location]])</f>
        <v>410 - Study</v>
      </c>
      <c r="H381" s="15" t="str">
        <f>Tasks[[#This Row],[To Package]]</f>
        <v>HVAC</v>
      </c>
      <c r="I381" s="15" t="str">
        <f>Tasks[[#This Row],[To Organisation]]</f>
        <v>US Mechanical</v>
      </c>
    </row>
    <row r="382" spans="1:9" ht="15.5" x14ac:dyDescent="0.35">
      <c r="A382" s="14" t="str">
        <f>HYPERLINK(_xlfn.CONCAT(Edit_URL,Tasks[[#This Row],[Ref]]),Tasks[[#This Row],[Ref]])</f>
        <v>T59123.44</v>
      </c>
      <c r="B382" s="15" t="str" cm="1">
        <f t="array" ref="B382">_xlfn.SWITCH(LEFT(Tasks[[#This Row],[Status]],1),"O","Opened","C","Completed","S","Signed Off", "V", "Signed Off","ERROR")</f>
        <v>Signed Off</v>
      </c>
      <c r="C382" s="15" t="str" cm="1">
        <f t="array" ref="C382">_xlfn.SWITCH(LEFT(Tasks[[#This Row],[Type]], 3), "Fie", "Field Report", "Con", "Contractor QC", "Gen", "Contractor QC", "Pun", "Contractor QC", "Qua", "Contractor QC", "Fin", "Punch List")</f>
        <v>Contractor QC</v>
      </c>
      <c r="D382" s="15" t="str">
        <f>_xlfn.LET(
_xlpm.leftValue, TRIM(LEFT(Tasks[[#This Row],[Description]], 45)),
IF(LEN(_xlpm.leftValue) &lt; 40, _xlpm.leftValue, _xlfn.CONCAT(_xlpm.leftValue, "…"))
)</f>
        <v>Missing wireless access point</v>
      </c>
      <c r="E382" s="15" t="str" cm="1">
        <f t="array" ref="E382">_xlfn.LET(
_xlpm.inTower, COUNTIF(Tower_Num_Table[Tower Rm Numbers], LEFT(Task_Summary_Table[[#This Row],[Area/Room]], 3)) &gt; 0,
_xlpm.typeResult, _xlfn.SWITCH(LEFT(Tasks[[#This Row],[Page]], 2), "Hi", "Historic", "An", "Annex", "Si", "Site", "S5", "Project Task", "SWITCH ERROR"),
IF(_xlpm.inTower, "West Tower", _xlpm.typeResult)
)</f>
        <v>Historic</v>
      </c>
      <c r="F382" s="15" t="str">
        <f>IFERROR(MID(Tasks[[#This Row],[Page]], FIND("Level", Tasks[[#This Row],[Page]]), 7), IF(ISNUMBER(FIND("Roof", Tasks[[#This Row],[Page]])), "Roof",  IF(ISNUMBER(FIND("S590", Tasks[[#This Row],[Page]])), "",  IF(ISNUMBER(FIND("Site", Tasks[[#This Row],[Page]])), "", "ERROR"))))</f>
        <v>Level 4</v>
      </c>
      <c r="G382" s="15" t="str">
        <f>IF(Tasks[[#This Row],[Location]]=0, "", Tasks[[#This Row],[Location]])</f>
        <v>409 - Vestibule</v>
      </c>
      <c r="H382" s="15" t="str">
        <f>Tasks[[#This Row],[To Package]]</f>
        <v>Electrical</v>
      </c>
      <c r="I382" s="15" t="str">
        <f>Tasks[[#This Row],[To Organisation]]</f>
        <v>Wilkinson Electric Inc</v>
      </c>
    </row>
    <row r="383" spans="1:9" ht="15.5" x14ac:dyDescent="0.35">
      <c r="A383" s="14" t="str">
        <f>HYPERLINK(_xlfn.CONCAT(Edit_URL,Tasks[[#This Row],[Ref]]),Tasks[[#This Row],[Ref]])</f>
        <v>T59123.65</v>
      </c>
      <c r="B383" s="15" t="str" cm="1">
        <f t="array" ref="B383">_xlfn.SWITCH(LEFT(Tasks[[#This Row],[Status]],1),"O","Opened","C","Completed","S","Signed Off", "V", "Signed Off","ERROR")</f>
        <v>Signed Off</v>
      </c>
      <c r="C383" s="15" t="str" cm="1">
        <f t="array" ref="C383">_xlfn.SWITCH(LEFT(Tasks[[#This Row],[Type]], 3), "Fie", "Field Report", "Con", "Contractor QC", "Gen", "Contractor QC", "Pun", "Contractor QC", "Qua", "Contractor QC", "Fin", "Punch List")</f>
        <v>Contractor QC</v>
      </c>
      <c r="D383" s="15" t="str">
        <f>_xlfn.LET(
_xlpm.leftValue, TRIM(LEFT(Tasks[[#This Row],[Description]], 45)),
IF(LEN(_xlpm.leftValue) &lt; 40, _xlpm.leftValue, _xlfn.CONCAT(_xlpm.leftValue, "…"))
)</f>
        <v>Sprinkler head not in line with pendant light…</v>
      </c>
      <c r="E383" s="15" t="str" cm="1">
        <f t="array" ref="E383">_xlfn.LET(
_xlpm.inTower, COUNTIF(Tower_Num_Table[Tower Rm Numbers], LEFT(Task_Summary_Table[[#This Row],[Area/Room]], 3)) &gt; 0,
_xlpm.typeResult, _xlfn.SWITCH(LEFT(Tasks[[#This Row],[Page]], 2), "Hi", "Historic", "An", "Annex", "Si", "Site", "S5", "Project Task", "SWITCH ERROR"),
IF(_xlpm.inTower, "West Tower", _xlpm.typeResult)
)</f>
        <v>Historic</v>
      </c>
      <c r="F383" s="15" t="str">
        <f>IFERROR(MID(Tasks[[#This Row],[Page]], FIND("Level", Tasks[[#This Row],[Page]]), 7), IF(ISNUMBER(FIND("Roof", Tasks[[#This Row],[Page]])), "Roof",  IF(ISNUMBER(FIND("S590", Tasks[[#This Row],[Page]])), "",  IF(ISNUMBER(FIND("Site", Tasks[[#This Row],[Page]])), "", "ERROR"))))</f>
        <v>Level 2</v>
      </c>
      <c r="G383" s="15" t="str">
        <f>IF(Tasks[[#This Row],[Location]]=0, "", Tasks[[#This Row],[Location]])</f>
        <v>209 - Instruction Room A-2</v>
      </c>
      <c r="H383" s="15" t="str">
        <f>Tasks[[#This Row],[To Package]]</f>
        <v>Fire Suppression</v>
      </c>
      <c r="I383" s="15" t="str">
        <f>Tasks[[#This Row],[To Organisation]]</f>
        <v>Broken Arrow Construction Corporation</v>
      </c>
    </row>
    <row r="384" spans="1:9" ht="15.5" x14ac:dyDescent="0.35">
      <c r="A384" s="14" t="str">
        <f>HYPERLINK(_xlfn.CONCAT(Edit_URL,Tasks[[#This Row],[Ref]]),Tasks[[#This Row],[Ref]])</f>
        <v>T59123.64</v>
      </c>
      <c r="B384" s="15" t="str" cm="1">
        <f t="array" ref="B384">_xlfn.SWITCH(LEFT(Tasks[[#This Row],[Status]],1),"O","Opened","C","Completed","S","Signed Off", "V", "Signed Off","ERROR")</f>
        <v>Signed Off</v>
      </c>
      <c r="C384" s="15" t="str" cm="1">
        <f t="array" ref="C384">_xlfn.SWITCH(LEFT(Tasks[[#This Row],[Type]], 3), "Fie", "Field Report", "Con", "Contractor QC", "Gen", "Contractor QC", "Pun", "Contractor QC", "Qua", "Contractor QC", "Fin", "Punch List")</f>
        <v>Contractor QC</v>
      </c>
      <c r="D384" s="15" t="str">
        <f>_xlfn.LET(
_xlpm.leftValue, TRIM(LEFT(Tasks[[#This Row],[Description]], 45)),
IF(LEN(_xlpm.leftValue) &lt; 40, _xlpm.leftValue, _xlfn.CONCAT(_xlpm.leftValue, "…"))
)</f>
        <v>Plumbing line too close to drywall. Needs to…</v>
      </c>
      <c r="E384" s="15" t="str" cm="1">
        <f t="array" ref="E384">_xlfn.LET(
_xlpm.inTower, COUNTIF(Tower_Num_Table[Tower Rm Numbers], LEFT(Task_Summary_Table[[#This Row],[Area/Room]], 3)) &gt; 0,
_xlpm.typeResult, _xlfn.SWITCH(LEFT(Tasks[[#This Row],[Page]], 2), "Hi", "Historic", "An", "Annex", "Si", "Site", "S5", "Project Task", "SWITCH ERROR"),
IF(_xlpm.inTower, "West Tower", _xlpm.typeResult)
)</f>
        <v>Historic</v>
      </c>
      <c r="F384" s="15" t="str">
        <f>IFERROR(MID(Tasks[[#This Row],[Page]], FIND("Level", Tasks[[#This Row],[Page]]), 7), IF(ISNUMBER(FIND("Roof", Tasks[[#This Row],[Page]])), "Roof",  IF(ISNUMBER(FIND("S590", Tasks[[#This Row],[Page]])), "",  IF(ISNUMBER(FIND("Site", Tasks[[#This Row],[Page]])), "", "ERROR"))))</f>
        <v>Level 2</v>
      </c>
      <c r="G384" s="15" t="str">
        <f>IF(Tasks[[#This Row],[Location]]=0, "", Tasks[[#This Row],[Location]])</f>
        <v>217 - Waiting</v>
      </c>
      <c r="H384" s="15" t="str">
        <f>Tasks[[#This Row],[To Package]]</f>
        <v>Plumbing</v>
      </c>
      <c r="I384" s="15" t="str">
        <f>Tasks[[#This Row],[To Organisation]]</f>
        <v>US Mechanical</v>
      </c>
    </row>
    <row r="385" spans="1:9" ht="15.5" x14ac:dyDescent="0.35">
      <c r="A385" s="14" t="str">
        <f>HYPERLINK(_xlfn.CONCAT(Edit_URL,Tasks[[#This Row],[Ref]]),Tasks[[#This Row],[Ref]])</f>
        <v>T59123.71</v>
      </c>
      <c r="B385" s="15" t="str" cm="1">
        <f t="array" ref="B385">_xlfn.SWITCH(LEFT(Tasks[[#This Row],[Status]],1),"O","Opened","C","Completed","S","Signed Off", "V", "Signed Off","ERROR")</f>
        <v>Signed Off</v>
      </c>
      <c r="C385" s="15" t="str" cm="1">
        <f t="array" ref="C385">_xlfn.SWITCH(LEFT(Tasks[[#This Row],[Type]], 3), "Fie", "Field Report", "Con", "Contractor QC", "Gen", "Contractor QC", "Pun", "Contractor QC", "Qua", "Contractor QC", "Fin", "Punch List")</f>
        <v>Contractor QC</v>
      </c>
      <c r="D385" s="15" t="str">
        <f>_xlfn.LET(
_xlpm.leftValue, TRIM(LEFT(Tasks[[#This Row],[Description]], 45)),
IF(LEN(_xlpm.leftValue) &lt; 40, _xlpm.leftValue, _xlfn.CONCAT(_xlpm.leftValue, "…"))
)</f>
        <v>Missing receptacle</v>
      </c>
      <c r="E385" s="15" t="str" cm="1">
        <f t="array" ref="E385">_xlfn.LET(
_xlpm.inTower, COUNTIF(Tower_Num_Table[Tower Rm Numbers], LEFT(Task_Summary_Table[[#This Row],[Area/Room]], 3)) &gt; 0,
_xlpm.typeResult, _xlfn.SWITCH(LEFT(Tasks[[#This Row],[Page]], 2), "Hi", "Historic", "An", "Annex", "Si", "Site", "S5", "Project Task", "SWITCH ERROR"),
IF(_xlpm.inTower, "West Tower", _xlpm.typeResult)
)</f>
        <v>Historic</v>
      </c>
      <c r="F385" s="15" t="str">
        <f>IFERROR(MID(Tasks[[#This Row],[Page]], FIND("Level", Tasks[[#This Row],[Page]]), 7), IF(ISNUMBER(FIND("Roof", Tasks[[#This Row],[Page]])), "Roof",  IF(ISNUMBER(FIND("S590", Tasks[[#This Row],[Page]])), "",  IF(ISNUMBER(FIND("Site", Tasks[[#This Row],[Page]])), "", "ERROR"))))</f>
        <v>Level 0</v>
      </c>
      <c r="G385" s="15" t="str">
        <f>IF(Tasks[[#This Row],[Location]]=0, "", Tasks[[#This Row],[Location]])</f>
        <v>074 - Jan</v>
      </c>
      <c r="H385" s="15" t="str">
        <f>Tasks[[#This Row],[To Package]]</f>
        <v>Electrical</v>
      </c>
      <c r="I385" s="15" t="str">
        <f>Tasks[[#This Row],[To Organisation]]</f>
        <v>Wilkinson Electric Inc</v>
      </c>
    </row>
    <row r="386" spans="1:9" ht="15.5" x14ac:dyDescent="0.35">
      <c r="A386" s="14" t="str">
        <f>HYPERLINK(_xlfn.CONCAT(Edit_URL,Tasks[[#This Row],[Ref]]),Tasks[[#This Row],[Ref]])</f>
        <v>T59123.39</v>
      </c>
      <c r="B386" s="15" t="str" cm="1">
        <f t="array" ref="B386">_xlfn.SWITCH(LEFT(Tasks[[#This Row],[Status]],1),"O","Opened","C","Completed","S","Signed Off", "V", "Signed Off","ERROR")</f>
        <v>Signed Off</v>
      </c>
      <c r="C386" s="15" t="str" cm="1">
        <f t="array" ref="C386">_xlfn.SWITCH(LEFT(Tasks[[#This Row],[Type]], 3), "Fie", "Field Report", "Con", "Contractor QC", "Gen", "Contractor QC", "Pun", "Contractor QC", "Qua", "Contractor QC", "Fin", "Punch List")</f>
        <v>Contractor QC</v>
      </c>
      <c r="D386" s="15" t="str">
        <f>_xlfn.LET(
_xlpm.leftValue, TRIM(LEFT(Tasks[[#This Row],[Description]], 45)),
IF(LEN(_xlpm.leftValue) &lt; 40, _xlpm.leftValue, _xlfn.CONCAT(_xlpm.leftValue, "…"))
)</f>
        <v>Install light switch</v>
      </c>
      <c r="E386" s="15" t="str" cm="1">
        <f t="array" ref="E386">_xlfn.LET(
_xlpm.inTower, COUNTIF(Tower_Num_Table[Tower Rm Numbers], LEFT(Task_Summary_Table[[#This Row],[Area/Room]], 3)) &gt; 0,
_xlpm.typeResult, _xlfn.SWITCH(LEFT(Tasks[[#This Row],[Page]], 2), "Hi", "Historic", "An", "Annex", "Si", "Site", "S5", "Project Task", "SWITCH ERROR"),
IF(_xlpm.inTower, "West Tower", _xlpm.typeResult)
)</f>
        <v>Historic</v>
      </c>
      <c r="F386" s="15" t="str">
        <f>IFERROR(MID(Tasks[[#This Row],[Page]], FIND("Level", Tasks[[#This Row],[Page]]), 7), IF(ISNUMBER(FIND("Roof", Tasks[[#This Row],[Page]])), "Roof",  IF(ISNUMBER(FIND("S590", Tasks[[#This Row],[Page]])), "",  IF(ISNUMBER(FIND("Site", Tasks[[#This Row],[Page]])), "", "ERROR"))))</f>
        <v>Level 4</v>
      </c>
      <c r="G386" s="15" t="str">
        <f>IF(Tasks[[#This Row],[Location]]=0, "", Tasks[[#This Row],[Location]])</f>
        <v>410 - Study</v>
      </c>
      <c r="H386" s="15" t="str">
        <f>Tasks[[#This Row],[To Package]]</f>
        <v>Electrical</v>
      </c>
      <c r="I386" s="15" t="str">
        <f>Tasks[[#This Row],[To Organisation]]</f>
        <v>Wilkinson Electric Inc</v>
      </c>
    </row>
    <row r="387" spans="1:9" ht="15.5" x14ac:dyDescent="0.35">
      <c r="A387" s="14" t="str">
        <f>HYPERLINK(_xlfn.CONCAT(Edit_URL,Tasks[[#This Row],[Ref]]),Tasks[[#This Row],[Ref]])</f>
        <v>T59123.40</v>
      </c>
      <c r="B387" s="15" t="str" cm="1">
        <f t="array" ref="B387">_xlfn.SWITCH(LEFT(Tasks[[#This Row],[Status]],1),"O","Opened","C","Completed","S","Signed Off", "V", "Signed Off","ERROR")</f>
        <v>Signed Off</v>
      </c>
      <c r="C387" s="15" t="str" cm="1">
        <f t="array" ref="C387">_xlfn.SWITCH(LEFT(Tasks[[#This Row],[Type]], 3), "Fie", "Field Report", "Con", "Contractor QC", "Gen", "Contractor QC", "Pun", "Contractor QC", "Qua", "Contractor QC", "Fin", "Punch List")</f>
        <v>Contractor QC</v>
      </c>
      <c r="D387" s="15" t="str">
        <f>_xlfn.LET(
_xlpm.leftValue, TRIM(LEFT(Tasks[[#This Row],[Description]], 45)),
IF(LEN(_xlpm.leftValue) &lt; 40, _xlpm.leftValue, _xlfn.CONCAT(_xlpm.leftValue, "…"))
)</f>
        <v>Install light switch</v>
      </c>
      <c r="E387" s="15" t="str" cm="1">
        <f t="array" ref="E387">_xlfn.LET(
_xlpm.inTower, COUNTIF(Tower_Num_Table[Tower Rm Numbers], LEFT(Task_Summary_Table[[#This Row],[Area/Room]], 3)) &gt; 0,
_xlpm.typeResult, _xlfn.SWITCH(LEFT(Tasks[[#This Row],[Page]], 2), "Hi", "Historic", "An", "Annex", "Si", "Site", "S5", "Project Task", "SWITCH ERROR"),
IF(_xlpm.inTower, "West Tower", _xlpm.typeResult)
)</f>
        <v>Historic</v>
      </c>
      <c r="F387" s="15" t="str">
        <f>IFERROR(MID(Tasks[[#This Row],[Page]], FIND("Level", Tasks[[#This Row],[Page]]), 7), IF(ISNUMBER(FIND("Roof", Tasks[[#This Row],[Page]])), "Roof",  IF(ISNUMBER(FIND("S590", Tasks[[#This Row],[Page]])), "",  IF(ISNUMBER(FIND("Site", Tasks[[#This Row],[Page]])), "", "ERROR"))))</f>
        <v>Level 4</v>
      </c>
      <c r="G387" s="15" t="str">
        <f>IF(Tasks[[#This Row],[Location]]=0, "", Tasks[[#This Row],[Location]])</f>
        <v>410 - Study</v>
      </c>
      <c r="H387" s="15" t="str">
        <f>Tasks[[#This Row],[To Package]]</f>
        <v>Electrical</v>
      </c>
      <c r="I387" s="15" t="str">
        <f>Tasks[[#This Row],[To Organisation]]</f>
        <v>Wilkinson Electric Inc</v>
      </c>
    </row>
    <row r="388" spans="1:9" ht="15.5" x14ac:dyDescent="0.35">
      <c r="A388" s="14" t="str">
        <f>HYPERLINK(_xlfn.CONCAT(Edit_URL,Tasks[[#This Row],[Ref]]),Tasks[[#This Row],[Ref]])</f>
        <v>T59123.75</v>
      </c>
      <c r="B388" s="15" t="str" cm="1">
        <f t="array" ref="B388">_xlfn.SWITCH(LEFT(Tasks[[#This Row],[Status]],1),"O","Opened","C","Completed","S","Signed Off", "V", "Signed Off","ERROR")</f>
        <v>Signed Off</v>
      </c>
      <c r="C388" s="15" t="str" cm="1">
        <f t="array" ref="C388">_xlfn.SWITCH(LEFT(Tasks[[#This Row],[Type]], 3), "Fie", "Field Report", "Con", "Contractor QC", "Gen", "Contractor QC", "Pun", "Contractor QC", "Qua", "Contractor QC", "Fin", "Punch List")</f>
        <v>Contractor QC</v>
      </c>
      <c r="D388" s="15" t="str">
        <f>_xlfn.LET(
_xlpm.leftValue, TRIM(LEFT(Tasks[[#This Row],[Description]], 45)),
IF(LEN(_xlpm.leftValue) &lt; 40, _xlpm.leftValue, _xlfn.CONCAT(_xlpm.leftValue, "…"))
)</f>
        <v>Missing pendant light rough in</v>
      </c>
      <c r="E388" s="15" t="str" cm="1">
        <f t="array" ref="E388">_xlfn.LET(
_xlpm.inTower, COUNTIF(Tower_Num_Table[Tower Rm Numbers], LEFT(Task_Summary_Table[[#This Row],[Area/Room]], 3)) &gt; 0,
_xlpm.typeResult, _xlfn.SWITCH(LEFT(Tasks[[#This Row],[Page]], 2), "Hi", "Historic", "An", "Annex", "Si", "Site", "S5", "Project Task", "SWITCH ERROR"),
IF(_xlpm.inTower, "West Tower", _xlpm.typeResult)
)</f>
        <v>Historic</v>
      </c>
      <c r="F388" s="15" t="str">
        <f>IFERROR(MID(Tasks[[#This Row],[Page]], FIND("Level", Tasks[[#This Row],[Page]]), 7), IF(ISNUMBER(FIND("Roof", Tasks[[#This Row],[Page]])), "Roof",  IF(ISNUMBER(FIND("S590", Tasks[[#This Row],[Page]])), "",  IF(ISNUMBER(FIND("Site", Tasks[[#This Row],[Page]])), "", "ERROR"))))</f>
        <v>Level 0</v>
      </c>
      <c r="G388" s="15" t="str">
        <f>IF(Tasks[[#This Row],[Location]]=0, "", Tasks[[#This Row],[Location]])</f>
        <v>068 - Stairwell</v>
      </c>
      <c r="H388" s="15" t="str">
        <f>Tasks[[#This Row],[To Package]]</f>
        <v>Electrical</v>
      </c>
      <c r="I388" s="15" t="str">
        <f>Tasks[[#This Row],[To Organisation]]</f>
        <v>Wilkinson Electric Inc</v>
      </c>
    </row>
    <row r="389" spans="1:9" ht="15.5" x14ac:dyDescent="0.35">
      <c r="A389" s="14" t="str">
        <f>HYPERLINK(_xlfn.CONCAT(Edit_URL,Tasks[[#This Row],[Ref]]),Tasks[[#This Row],[Ref]])</f>
        <v>T1.9596667</v>
      </c>
      <c r="B389" s="15" t="str" cm="1">
        <f t="array" ref="B389">_xlfn.SWITCH(LEFT(Tasks[[#This Row],[Status]],1),"O","Opened","C","Completed","S","Signed Off", "V", "Signed Off","ERROR")</f>
        <v>Signed Off</v>
      </c>
      <c r="C389" s="15" t="str" cm="1">
        <f t="array" ref="C389">_xlfn.SWITCH(LEFT(Tasks[[#This Row],[Type]], 3), "Fie", "Field Report", "Con", "Contractor QC", "Gen", "Contractor QC", "Pun", "Contractor QC", "Qua", "Contractor QC", "Fin", "Punch List")</f>
        <v>Contractor QC</v>
      </c>
      <c r="D389" s="15" t="str">
        <f>_xlfn.LET(
_xlpm.leftValue, TRIM(LEFT(Tasks[[#This Row],[Description]], 45)),
IF(LEN(_xlpm.leftValue) &lt; 40, _xlpm.leftValue, _xlfn.CONCAT(_xlpm.leftValue, "…"))
)</f>
        <v>Annex – Basement and throughout the building…</v>
      </c>
      <c r="E389" s="15" t="str" cm="1">
        <f t="array" ref="E389">_xlfn.LET(
_xlpm.inTower, COUNTIF(Tower_Num_Table[Tower Rm Numbers], LEFT(Task_Summary_Table[[#This Row],[Area/Room]], 3)) &gt; 0,
_xlpm.typeResult, _xlfn.SWITCH(LEFT(Tasks[[#This Row],[Page]], 2), "Hi", "Historic", "An", "Annex", "Si", "Site", "S5", "Project Task", "SWITCH ERROR"),
IF(_xlpm.inTower, "West Tower", _xlpm.typeResult)
)</f>
        <v>Annex</v>
      </c>
      <c r="F389" s="15" t="str">
        <f>IFERROR(MID(Tasks[[#This Row],[Page]], FIND("Level", Tasks[[#This Row],[Page]]), 7), IF(ISNUMBER(FIND("Roof", Tasks[[#This Row],[Page]])), "Roof",  IF(ISNUMBER(FIND("S590", Tasks[[#This Row],[Page]])), "",  IF(ISNUMBER(FIND("Site", Tasks[[#This Row],[Page]])), "", "ERROR"))))</f>
        <v>Level 0</v>
      </c>
      <c r="G389" s="15" t="str">
        <f>IF(Tasks[[#This Row],[Location]]=0, "", Tasks[[#This Row],[Location]])</f>
        <v/>
      </c>
      <c r="H389" s="15" t="str">
        <f>Tasks[[#This Row],[To Package]]</f>
        <v>Electrical</v>
      </c>
      <c r="I389" s="15" t="str">
        <f>Tasks[[#This Row],[To Organisation]]</f>
        <v>Wilkinson Electric Inc</v>
      </c>
    </row>
    <row r="390" spans="1:9" ht="15.5" x14ac:dyDescent="0.35">
      <c r="A390" s="14" t="str">
        <f>HYPERLINK(_xlfn.CONCAT(Edit_URL,Tasks[[#This Row],[Ref]]),Tasks[[#This Row],[Ref]])</f>
        <v>T59123.51</v>
      </c>
      <c r="B390" s="15" t="str" cm="1">
        <f t="array" ref="B390">_xlfn.SWITCH(LEFT(Tasks[[#This Row],[Status]],1),"O","Opened","C","Completed","S","Signed Off", "V", "Signed Off","ERROR")</f>
        <v>Signed Off</v>
      </c>
      <c r="C390" s="15" t="str" cm="1">
        <f t="array" ref="C390">_xlfn.SWITCH(LEFT(Tasks[[#This Row],[Type]], 3), "Fie", "Field Report", "Con", "Contractor QC", "Gen", "Contractor QC", "Pun", "Contractor QC", "Qua", "Contractor QC", "Fin", "Punch List")</f>
        <v>Contractor QC</v>
      </c>
      <c r="D390" s="15" t="str">
        <f>_xlfn.LET(
_xlpm.leftValue, TRIM(LEFT(Tasks[[#This Row],[Description]], 45)),
IF(LEN(_xlpm.leftValue) &lt; 40, _xlpm.leftValue, _xlfn.CONCAT(_xlpm.leftValue, "…"))
)</f>
        <v>Install floor poke through boxes</v>
      </c>
      <c r="E390" s="15" t="str" cm="1">
        <f t="array" ref="E390">_xlfn.LET(
_xlpm.inTower, COUNTIF(Tower_Num_Table[Tower Rm Numbers], LEFT(Task_Summary_Table[[#This Row],[Area/Room]], 3)) &gt; 0,
_xlpm.typeResult, _xlfn.SWITCH(LEFT(Tasks[[#This Row],[Page]], 2), "Hi", "Historic", "An", "Annex", "Si", "Site", "S5", "Project Task", "SWITCH ERROR"),
IF(_xlpm.inTower, "West Tower", _xlpm.typeResult)
)</f>
        <v>Annex</v>
      </c>
      <c r="F390" s="15" t="str">
        <f>IFERROR(MID(Tasks[[#This Row],[Page]], FIND("Level", Tasks[[#This Row],[Page]]), 7), IF(ISNUMBER(FIND("Roof", Tasks[[#This Row],[Page]])), "Roof",  IF(ISNUMBER(FIND("S590", Tasks[[#This Row],[Page]])), "",  IF(ISNUMBER(FIND("Site", Tasks[[#This Row],[Page]])), "", "ERROR"))))</f>
        <v>Level 1</v>
      </c>
      <c r="G390" s="15" t="str">
        <f>IF(Tasks[[#This Row],[Location]]=0, "", Tasks[[#This Row],[Location]])</f>
        <v>110 - Chapel</v>
      </c>
      <c r="H390" s="15" t="str">
        <f>Tasks[[#This Row],[To Package]]</f>
        <v>Electrical</v>
      </c>
      <c r="I390" s="15" t="str">
        <f>Tasks[[#This Row],[To Organisation]]</f>
        <v>Wilkinson Electric Inc</v>
      </c>
    </row>
    <row r="391" spans="1:9" ht="15.5" x14ac:dyDescent="0.35">
      <c r="A391" s="14" t="str">
        <f>HYPERLINK(_xlfn.CONCAT(Edit_URL,Tasks[[#This Row],[Ref]]),Tasks[[#This Row],[Ref]])</f>
        <v>T59123.54</v>
      </c>
      <c r="B391" s="15" t="str" cm="1">
        <f t="array" ref="B391">_xlfn.SWITCH(LEFT(Tasks[[#This Row],[Status]],1),"O","Opened","C","Completed","S","Signed Off", "V", "Signed Off","ERROR")</f>
        <v>Signed Off</v>
      </c>
      <c r="C391" s="15" t="str" cm="1">
        <f t="array" ref="C391">_xlfn.SWITCH(LEFT(Tasks[[#This Row],[Type]], 3), "Fie", "Field Report", "Con", "Contractor QC", "Gen", "Contractor QC", "Pun", "Contractor QC", "Qua", "Contractor QC", "Fin", "Punch List")</f>
        <v>Contractor QC</v>
      </c>
      <c r="D391" s="15" t="str">
        <f>_xlfn.LET(
_xlpm.leftValue, TRIM(LEFT(Tasks[[#This Row],[Description]], 45)),
IF(LEN(_xlpm.leftValue) &lt; 40, _xlpm.leftValue, _xlfn.CONCAT(_xlpm.leftValue, "…"))
)</f>
        <v>Install poke through electrical at floor slab…</v>
      </c>
      <c r="E391" s="15" t="str" cm="1">
        <f t="array" ref="E391">_xlfn.LET(
_xlpm.inTower, COUNTIF(Tower_Num_Table[Tower Rm Numbers], LEFT(Task_Summary_Table[[#This Row],[Area/Room]], 3)) &gt; 0,
_xlpm.typeResult, _xlfn.SWITCH(LEFT(Tasks[[#This Row],[Page]], 2), "Hi", "Historic", "An", "Annex", "Si", "Site", "S5", "Project Task", "SWITCH ERROR"),
IF(_xlpm.inTower, "West Tower", _xlpm.typeResult)
)</f>
        <v>Annex</v>
      </c>
      <c r="F391" s="15" t="str">
        <f>IFERROR(MID(Tasks[[#This Row],[Page]], FIND("Level", Tasks[[#This Row],[Page]]), 7), IF(ISNUMBER(FIND("Roof", Tasks[[#This Row],[Page]])), "Roof",  IF(ISNUMBER(FIND("S590", Tasks[[#This Row],[Page]])), "",  IF(ISNUMBER(FIND("Site", Tasks[[#This Row],[Page]])), "", "ERROR"))))</f>
        <v>Level 1</v>
      </c>
      <c r="G391" s="15" t="str">
        <f>IF(Tasks[[#This Row],[Location]]=0, "", Tasks[[#This Row],[Location]])</f>
        <v>109 - Waiting</v>
      </c>
      <c r="H391" s="15" t="str">
        <f>Tasks[[#This Row],[To Package]]</f>
        <v>Electrical</v>
      </c>
      <c r="I391" s="15" t="str">
        <f>Tasks[[#This Row],[To Organisation]]</f>
        <v>Wilkinson Electric Inc</v>
      </c>
    </row>
    <row r="392" spans="1:9" ht="15.5" x14ac:dyDescent="0.35">
      <c r="A392" s="14" t="str">
        <f>HYPERLINK(_xlfn.CONCAT(Edit_URL,Tasks[[#This Row],[Ref]]),Tasks[[#This Row],[Ref]])</f>
        <v>T59123.23</v>
      </c>
      <c r="B392" s="15" t="str" cm="1">
        <f t="array" ref="B392">_xlfn.SWITCH(LEFT(Tasks[[#This Row],[Status]],1),"O","Opened","C","Completed","S","Signed Off", "V", "Signed Off","ERROR")</f>
        <v>Signed Off</v>
      </c>
      <c r="C392" s="15" t="str" cm="1">
        <f t="array" ref="C392">_xlfn.SWITCH(LEFT(Tasks[[#This Row],[Type]], 3), "Fie", "Field Report", "Con", "Contractor QC", "Gen", "Contractor QC", "Pun", "Contractor QC", "Qua", "Contractor QC", "Fin", "Punch List")</f>
        <v>Contractor QC</v>
      </c>
      <c r="D392" s="15" t="str">
        <f>_xlfn.LET(
_xlpm.leftValue, TRIM(LEFT(Tasks[[#This Row],[Description]], 45)),
IF(LEN(_xlpm.leftValue) &lt; 40, _xlpm.leftValue, _xlfn.CONCAT(_xlpm.leftValue, "…"))
)</f>
        <v>Missing electrical conduit rough in at sessio…</v>
      </c>
      <c r="E392" s="15" t="str" cm="1">
        <f t="array" ref="E392">_xlfn.LET(
_xlpm.inTower, COUNTIF(Tower_Num_Table[Tower Rm Numbers], LEFT(Task_Summary_Table[[#This Row],[Area/Room]], 3)) &gt; 0,
_xlpm.typeResult, _xlfn.SWITCH(LEFT(Tasks[[#This Row],[Page]], 2), "Hi", "Historic", "An", "Annex", "Si", "Site", "S5", "Project Task", "SWITCH ERROR"),
IF(_xlpm.inTower, "West Tower", _xlpm.typeResult)
)</f>
        <v>Annex</v>
      </c>
      <c r="F392" s="15" t="str">
        <f>IFERROR(MID(Tasks[[#This Row],[Page]], FIND("Level", Tasks[[#This Row],[Page]]), 7), IF(ISNUMBER(FIND("Roof", Tasks[[#This Row],[Page]])), "Roof",  IF(ISNUMBER(FIND("S590", Tasks[[#This Row],[Page]])), "",  IF(ISNUMBER(FIND("Site", Tasks[[#This Row],[Page]])), "", "ERROR"))))</f>
        <v>Level 1</v>
      </c>
      <c r="G392" s="15" t="str">
        <f>IF(Tasks[[#This Row],[Location]]=0, "", Tasks[[#This Row],[Location]])</f>
        <v>132A - Clothing</v>
      </c>
      <c r="H392" s="15" t="str">
        <f>Tasks[[#This Row],[To Package]]</f>
        <v>Electrical</v>
      </c>
      <c r="I392" s="15" t="str">
        <f>Tasks[[#This Row],[To Organisation]]</f>
        <v>Wilkinson Electric Inc</v>
      </c>
    </row>
    <row r="393" spans="1:9" ht="15.5" x14ac:dyDescent="0.35">
      <c r="A393" s="14" t="str">
        <f>HYPERLINK(_xlfn.CONCAT(Edit_URL,Tasks[[#This Row],[Ref]]),Tasks[[#This Row],[Ref]])</f>
        <v>T59123.49</v>
      </c>
      <c r="B393" s="15" t="str" cm="1">
        <f t="array" ref="B393">_xlfn.SWITCH(LEFT(Tasks[[#This Row],[Status]],1),"O","Opened","C","Completed","S","Signed Off", "V", "Signed Off","ERROR")</f>
        <v>Signed Off</v>
      </c>
      <c r="C393" s="15" t="str" cm="1">
        <f t="array" ref="C393">_xlfn.SWITCH(LEFT(Tasks[[#This Row],[Type]], 3), "Fie", "Field Report", "Con", "Contractor QC", "Gen", "Contractor QC", "Pun", "Contractor QC", "Qua", "Contractor QC", "Fin", "Punch List")</f>
        <v>Contractor QC</v>
      </c>
      <c r="D393" s="15" t="str">
        <f>_xlfn.LET(
_xlpm.leftValue, TRIM(LEFT(Tasks[[#This Row],[Description]], 45)),
IF(LEN(_xlpm.leftValue) &lt; 40, _xlpm.leftValue, _xlfn.CONCAT(_xlpm.leftValue, "…"))
)</f>
        <v>Fire Suppression piping not installed. Need t…</v>
      </c>
      <c r="E393" s="15" t="str" cm="1">
        <f t="array" ref="E393">_xlfn.LET(
_xlpm.inTower, COUNTIF(Tower_Num_Table[Tower Rm Numbers], LEFT(Task_Summary_Table[[#This Row],[Area/Room]], 3)) &gt; 0,
_xlpm.typeResult, _xlfn.SWITCH(LEFT(Tasks[[#This Row],[Page]], 2), "Hi", "Historic", "An", "Annex", "Si", "Site", "S5", "Project Task", "SWITCH ERROR"),
IF(_xlpm.inTower, "West Tower", _xlpm.typeResult)
)</f>
        <v>Annex</v>
      </c>
      <c r="F393" s="15" t="str">
        <f>IFERROR(MID(Tasks[[#This Row],[Page]], FIND("Level", Tasks[[#This Row],[Page]]), 7), IF(ISNUMBER(FIND("Roof", Tasks[[#This Row],[Page]])), "Roof",  IF(ISNUMBER(FIND("S590", Tasks[[#This Row],[Page]])), "",  IF(ISNUMBER(FIND("Site", Tasks[[#This Row],[Page]])), "", "ERROR"))))</f>
        <v>Level 1</v>
      </c>
      <c r="G393" s="15" t="str">
        <f>IF(Tasks[[#This Row],[Location]]=0, "", Tasks[[#This Row],[Location]])</f>
        <v>111 - Instruction 1</v>
      </c>
      <c r="H393" s="15" t="str">
        <f>Tasks[[#This Row],[To Package]]</f>
        <v>Fire Suppression</v>
      </c>
      <c r="I393" s="15" t="str">
        <f>Tasks[[#This Row],[To Organisation]]</f>
        <v>Broken Arrow Construction Corporation</v>
      </c>
    </row>
    <row r="394" spans="1:9" ht="15.5" x14ac:dyDescent="0.35">
      <c r="A394" s="14" t="str">
        <f>HYPERLINK(_xlfn.CONCAT(Edit_URL,Tasks[[#This Row],[Ref]]),Tasks[[#This Row],[Ref]])</f>
        <v>T59123.48</v>
      </c>
      <c r="B394" s="15" t="str" cm="1">
        <f t="array" ref="B394">_xlfn.SWITCH(LEFT(Tasks[[#This Row],[Status]],1),"O","Opened","C","Completed","S","Signed Off", "V", "Signed Off","ERROR")</f>
        <v>Signed Off</v>
      </c>
      <c r="C394" s="15" t="str" cm="1">
        <f t="array" ref="C394">_xlfn.SWITCH(LEFT(Tasks[[#This Row],[Type]], 3), "Fie", "Field Report", "Con", "Contractor QC", "Gen", "Contractor QC", "Pun", "Contractor QC", "Qua", "Contractor QC", "Fin", "Punch List")</f>
        <v>Contractor QC</v>
      </c>
      <c r="D394" s="15" t="str">
        <f>_xlfn.LET(
_xlpm.leftValue, TRIM(LEFT(Tasks[[#This Row],[Description]], 45)),
IF(LEN(_xlpm.leftValue) &lt; 40, _xlpm.leftValue, _xlfn.CONCAT(_xlpm.leftValue, "…"))
)</f>
        <v>Install Tstat when framing is installed</v>
      </c>
      <c r="E394" s="15" t="str" cm="1">
        <f t="array" ref="E394">_xlfn.LET(
_xlpm.inTower, COUNTIF(Tower_Num_Table[Tower Rm Numbers], LEFT(Task_Summary_Table[[#This Row],[Area/Room]], 3)) &gt; 0,
_xlpm.typeResult, _xlfn.SWITCH(LEFT(Tasks[[#This Row],[Page]], 2), "Hi", "Historic", "An", "Annex", "Si", "Site", "S5", "Project Task", "SWITCH ERROR"),
IF(_xlpm.inTower, "West Tower", _xlpm.typeResult)
)</f>
        <v>Annex</v>
      </c>
      <c r="F394" s="15" t="str">
        <f>IFERROR(MID(Tasks[[#This Row],[Page]], FIND("Level", Tasks[[#This Row],[Page]]), 7), IF(ISNUMBER(FIND("Roof", Tasks[[#This Row],[Page]])), "Roof",  IF(ISNUMBER(FIND("S590", Tasks[[#This Row],[Page]])), "",  IF(ISNUMBER(FIND("Site", Tasks[[#This Row],[Page]])), "", "ERROR"))))</f>
        <v>Level 1</v>
      </c>
      <c r="G394" s="15" t="str">
        <f>IF(Tasks[[#This Row],[Location]]=0, "", Tasks[[#This Row],[Location]])</f>
        <v>111 - Instruction 1</v>
      </c>
      <c r="H394" s="15" t="str">
        <f>Tasks[[#This Row],[To Package]]</f>
        <v>Electrical</v>
      </c>
      <c r="I394" s="15" t="str">
        <f>Tasks[[#This Row],[To Organisation]]</f>
        <v>Wilkinson Electric Inc</v>
      </c>
    </row>
    <row r="395" spans="1:9" ht="15.5" x14ac:dyDescent="0.35">
      <c r="A395" s="14" t="str">
        <f>HYPERLINK(_xlfn.CONCAT(Edit_URL,Tasks[[#This Row],[Ref]]),Tasks[[#This Row],[Ref]])</f>
        <v>T59123.50</v>
      </c>
      <c r="B395" s="15" t="str" cm="1">
        <f t="array" ref="B395">_xlfn.SWITCH(LEFT(Tasks[[#This Row],[Status]],1),"O","Opened","C","Completed","S","Signed Off", "V", "Signed Off","ERROR")</f>
        <v>Signed Off</v>
      </c>
      <c r="C395" s="15" t="str" cm="1">
        <f t="array" ref="C395">_xlfn.SWITCH(LEFT(Tasks[[#This Row],[Type]], 3), "Fie", "Field Report", "Con", "Contractor QC", "Gen", "Contractor QC", "Pun", "Contractor QC", "Qua", "Contractor QC", "Fin", "Punch List")</f>
        <v>Contractor QC</v>
      </c>
      <c r="D395" s="15" t="str">
        <f>_xlfn.LET(
_xlpm.leftValue, TRIM(LEFT(Tasks[[#This Row],[Description]], 45)),
IF(LEN(_xlpm.leftValue) &lt; 40, _xlpm.leftValue, _xlfn.CONCAT(_xlpm.leftValue, "…"))
)</f>
        <v>Fire suppression incomplete. Finish rough in.…</v>
      </c>
      <c r="E395" s="15" t="str" cm="1">
        <f t="array" ref="E395">_xlfn.LET(
_xlpm.inTower, COUNTIF(Tower_Num_Table[Tower Rm Numbers], LEFT(Task_Summary_Table[[#This Row],[Area/Room]], 3)) &gt; 0,
_xlpm.typeResult, _xlfn.SWITCH(LEFT(Tasks[[#This Row],[Page]], 2), "Hi", "Historic", "An", "Annex", "Si", "Site", "S5", "Project Task", "SWITCH ERROR"),
IF(_xlpm.inTower, "West Tower", _xlpm.typeResult)
)</f>
        <v>Annex</v>
      </c>
      <c r="F395" s="15" t="str">
        <f>IFERROR(MID(Tasks[[#This Row],[Page]], FIND("Level", Tasks[[#This Row],[Page]]), 7), IF(ISNUMBER(FIND("Roof", Tasks[[#This Row],[Page]])), "Roof",  IF(ISNUMBER(FIND("S590", Tasks[[#This Row],[Page]])), "",  IF(ISNUMBER(FIND("Site", Tasks[[#This Row],[Page]])), "", "ERROR"))))</f>
        <v>Level 1</v>
      </c>
      <c r="G395" s="15" t="str">
        <f>IF(Tasks[[#This Row],[Location]]=0, "", Tasks[[#This Row],[Location]])</f>
        <v>110 - Chapel</v>
      </c>
      <c r="H395" s="15" t="str">
        <f>Tasks[[#This Row],[To Package]]</f>
        <v>Fire Suppression</v>
      </c>
      <c r="I395" s="15" t="str">
        <f>Tasks[[#This Row],[To Organisation]]</f>
        <v>Broken Arrow Construction Corporation</v>
      </c>
    </row>
    <row r="396" spans="1:9" ht="15.5" x14ac:dyDescent="0.35">
      <c r="A396" s="14" t="str">
        <f>HYPERLINK(_xlfn.CONCAT(Edit_URL,Tasks[[#This Row],[Ref]]),Tasks[[#This Row],[Ref]])</f>
        <v>T59123.18</v>
      </c>
      <c r="B396" s="15" t="str" cm="1">
        <f t="array" ref="B396">_xlfn.SWITCH(LEFT(Tasks[[#This Row],[Status]],1),"O","Opened","C","Completed","S","Signed Off", "V", "Signed Off","ERROR")</f>
        <v>Signed Off</v>
      </c>
      <c r="C396" s="15" t="str" cm="1">
        <f t="array" ref="C396">_xlfn.SWITCH(LEFT(Tasks[[#This Row],[Type]], 3), "Fie", "Field Report", "Con", "Contractor QC", "Gen", "Contractor QC", "Pun", "Contractor QC", "Qua", "Contractor QC", "Fin", "Punch List")</f>
        <v>Contractor QC</v>
      </c>
      <c r="D396" s="15" t="str">
        <f>_xlfn.LET(
_xlpm.leftValue, TRIM(LEFT(Tasks[[#This Row],[Description]], 45)),
IF(LEN(_xlpm.leftValue) &lt; 40, _xlpm.leftValue, _xlfn.CONCAT(_xlpm.leftValue, "…"))
)</f>
        <v>Framing below windows to be adjusted to accom…</v>
      </c>
      <c r="E396" s="15" t="str" cm="1">
        <f t="array" ref="E396">_xlfn.LET(
_xlpm.inTower, COUNTIF(Tower_Num_Table[Tower Rm Numbers], LEFT(Task_Summary_Table[[#This Row],[Area/Room]], 3)) &gt; 0,
_xlpm.typeResult, _xlfn.SWITCH(LEFT(Tasks[[#This Row],[Page]], 2), "Hi", "Historic", "An", "Annex", "Si", "Site", "S5", "Project Task", "SWITCH ERROR"),
IF(_xlpm.inTower, "West Tower", _xlpm.typeResult)
)</f>
        <v>Annex</v>
      </c>
      <c r="F396" s="15" t="str">
        <f>IFERROR(MID(Tasks[[#This Row],[Page]], FIND("Level", Tasks[[#This Row],[Page]]), 7), IF(ISNUMBER(FIND("Roof", Tasks[[#This Row],[Page]])), "Roof",  IF(ISNUMBER(FIND("S590", Tasks[[#This Row],[Page]])), "",  IF(ISNUMBER(FIND("Site", Tasks[[#This Row],[Page]])), "", "ERROR"))))</f>
        <v>Level 1</v>
      </c>
      <c r="G396" s="15" t="str">
        <f>IF(Tasks[[#This Row],[Location]]=0, "", Tasks[[#This Row],[Location]])</f>
        <v>110 - Chapel</v>
      </c>
      <c r="H396" s="15" t="str">
        <f>Tasks[[#This Row],[To Package]]</f>
        <v>Metal Stud / Drywall</v>
      </c>
      <c r="I396" s="15" t="str">
        <f>Tasks[[#This Row],[To Organisation]]</f>
        <v>Pete King Construction</v>
      </c>
    </row>
    <row r="397" spans="1:9" ht="15.5" x14ac:dyDescent="0.35">
      <c r="A397" s="14" t="str">
        <f>HYPERLINK(_xlfn.CONCAT(Edit_URL,Tasks[[#This Row],[Ref]]),Tasks[[#This Row],[Ref]])</f>
        <v>T59123.53</v>
      </c>
      <c r="B397" s="15" t="str" cm="1">
        <f t="array" ref="B397">_xlfn.SWITCH(LEFT(Tasks[[#This Row],[Status]],1),"O","Opened","C","Completed","S","Signed Off", "V", "Signed Off","ERROR")</f>
        <v>Signed Off</v>
      </c>
      <c r="C397" s="15" t="str" cm="1">
        <f t="array" ref="C397">_xlfn.SWITCH(LEFT(Tasks[[#This Row],[Type]], 3), "Fie", "Field Report", "Con", "Contractor QC", "Gen", "Contractor QC", "Pun", "Contractor QC", "Qua", "Contractor QC", "Fin", "Punch List")</f>
        <v>Contractor QC</v>
      </c>
      <c r="D397" s="15" t="str">
        <f>_xlfn.LET(
_xlpm.leftValue, TRIM(LEFT(Tasks[[#This Row],[Description]], 45)),
IF(LEN(_xlpm.leftValue) &lt; 40, _xlpm.leftValue, _xlfn.CONCAT(_xlpm.leftValue, "…"))
)</f>
        <v>Install fire suppression</v>
      </c>
      <c r="E397" s="15" t="str" cm="1">
        <f t="array" ref="E397">_xlfn.LET(
_xlpm.inTower, COUNTIF(Tower_Num_Table[Tower Rm Numbers], LEFT(Task_Summary_Table[[#This Row],[Area/Room]], 3)) &gt; 0,
_xlpm.typeResult, _xlfn.SWITCH(LEFT(Tasks[[#This Row],[Page]], 2), "Hi", "Historic", "An", "Annex", "Si", "Site", "S5", "Project Task", "SWITCH ERROR"),
IF(_xlpm.inTower, "West Tower", _xlpm.typeResult)
)</f>
        <v>Annex</v>
      </c>
      <c r="F397" s="15" t="str">
        <f>IFERROR(MID(Tasks[[#This Row],[Page]], FIND("Level", Tasks[[#This Row],[Page]]), 7), IF(ISNUMBER(FIND("Roof", Tasks[[#This Row],[Page]])), "Roof",  IF(ISNUMBER(FIND("S590", Tasks[[#This Row],[Page]])), "",  IF(ISNUMBER(FIND("Site", Tasks[[#This Row],[Page]])), "", "ERROR"))))</f>
        <v>Level 1</v>
      </c>
      <c r="G397" s="15" t="str">
        <f>IF(Tasks[[#This Row],[Location]]=0, "", Tasks[[#This Row],[Location]])</f>
        <v>109 - Waiting</v>
      </c>
      <c r="H397" s="15" t="str">
        <f>Tasks[[#This Row],[To Package]]</f>
        <v>Fire Suppression</v>
      </c>
      <c r="I397" s="15" t="str">
        <f>Tasks[[#This Row],[To Organisation]]</f>
        <v>Broken Arrow Construction Corporation</v>
      </c>
    </row>
    <row r="398" spans="1:9" ht="15.5" x14ac:dyDescent="0.35">
      <c r="A398" s="14" t="str">
        <f>HYPERLINK(_xlfn.CONCAT(Edit_URL,Tasks[[#This Row],[Ref]]),Tasks[[#This Row],[Ref]])</f>
        <v>T59123.52</v>
      </c>
      <c r="B398" s="15" t="str" cm="1">
        <f t="array" ref="B398">_xlfn.SWITCH(LEFT(Tasks[[#This Row],[Status]],1),"O","Opened","C","Completed","S","Signed Off", "V", "Signed Off","ERROR")</f>
        <v>Signed Off</v>
      </c>
      <c r="C398" s="15" t="str" cm="1">
        <f t="array" ref="C398">_xlfn.SWITCH(LEFT(Tasks[[#This Row],[Type]], 3), "Fie", "Field Report", "Con", "Contractor QC", "Gen", "Contractor QC", "Pun", "Contractor QC", "Qua", "Contractor QC", "Fin", "Punch List")</f>
        <v>Contractor QC</v>
      </c>
      <c r="D398" s="15" t="str">
        <f>_xlfn.LET(
_xlpm.leftValue, TRIM(LEFT(Tasks[[#This Row],[Description]], 45)),
IF(LEN(_xlpm.leftValue) &lt; 40, _xlpm.leftValue, _xlfn.CONCAT(_xlpm.leftValue, "…"))
)</f>
        <v>Missing exit light</v>
      </c>
      <c r="E398" s="15" t="str" cm="1">
        <f t="array" ref="E398">_xlfn.LET(
_xlpm.inTower, COUNTIF(Tower_Num_Table[Tower Rm Numbers], LEFT(Task_Summary_Table[[#This Row],[Area/Room]], 3)) &gt; 0,
_xlpm.typeResult, _xlfn.SWITCH(LEFT(Tasks[[#This Row],[Page]], 2), "Hi", "Historic", "An", "Annex", "Si", "Site", "S5", "Project Task", "SWITCH ERROR"),
IF(_xlpm.inTower, "West Tower", _xlpm.typeResult)
)</f>
        <v>Annex</v>
      </c>
      <c r="F398" s="15" t="str">
        <f>IFERROR(MID(Tasks[[#This Row],[Page]], FIND("Level", Tasks[[#This Row],[Page]]), 7), IF(ISNUMBER(FIND("Roof", Tasks[[#This Row],[Page]])), "Roof",  IF(ISNUMBER(FIND("S590", Tasks[[#This Row],[Page]])), "",  IF(ISNUMBER(FIND("Site", Tasks[[#This Row],[Page]])), "", "ERROR"))))</f>
        <v>Level 1</v>
      </c>
      <c r="G398" s="15" t="str">
        <f>IF(Tasks[[#This Row],[Location]]=0, "", Tasks[[#This Row],[Location]])</f>
        <v>109 - Waiting</v>
      </c>
      <c r="H398" s="15" t="str">
        <f>Tasks[[#This Row],[To Package]]</f>
        <v>Electrical</v>
      </c>
      <c r="I398" s="15" t="str">
        <f>Tasks[[#This Row],[To Organisation]]</f>
        <v>Wilkinson Electric Inc</v>
      </c>
    </row>
    <row r="399" spans="1:9" ht="15.5" x14ac:dyDescent="0.35">
      <c r="A399" s="14" t="str">
        <f>HYPERLINK(_xlfn.CONCAT(Edit_URL,Tasks[[#This Row],[Ref]]),Tasks[[#This Row],[Ref]])</f>
        <v>T59123.46</v>
      </c>
      <c r="B399" s="15" t="str" cm="1">
        <f t="array" ref="B399">_xlfn.SWITCH(LEFT(Tasks[[#This Row],[Status]],1),"O","Opened","C","Completed","S","Signed Off", "V", "Signed Off","ERROR")</f>
        <v>Signed Off</v>
      </c>
      <c r="C399" s="15" t="str" cm="1">
        <f t="array" ref="C399">_xlfn.SWITCH(LEFT(Tasks[[#This Row],[Type]], 3), "Fie", "Field Report", "Con", "Contractor QC", "Gen", "Contractor QC", "Pun", "Contractor QC", "Qua", "Contractor QC", "Fin", "Punch List")</f>
        <v>Contractor QC</v>
      </c>
      <c r="D399" s="15" t="str">
        <f>_xlfn.LET(
_xlpm.leftValue, TRIM(LEFT(Tasks[[#This Row],[Description]], 45)),
IF(LEN(_xlpm.leftValue) &lt; 40, _xlpm.leftValue, _xlfn.CONCAT(_xlpm.leftValue, "…"))
)</f>
        <v>Center all diffusers and fixtures in walls wi…</v>
      </c>
      <c r="E399" s="15" t="str" cm="1">
        <f t="array" ref="E399">_xlfn.LET(
_xlpm.inTower, COUNTIF(Tower_Num_Table[Tower Rm Numbers], LEFT(Task_Summary_Table[[#This Row],[Area/Room]], 3)) &gt; 0,
_xlpm.typeResult, _xlfn.SWITCH(LEFT(Tasks[[#This Row],[Page]], 2), "Hi", "Historic", "An", "Annex", "Si", "Site", "S5", "Project Task", "SWITCH ERROR"),
IF(_xlpm.inTower, "West Tower", _xlpm.typeResult)
)</f>
        <v>Annex</v>
      </c>
      <c r="F399" s="15" t="str">
        <f>IFERROR(MID(Tasks[[#This Row],[Page]], FIND("Level", Tasks[[#This Row],[Page]]), 7), IF(ISNUMBER(FIND("Roof", Tasks[[#This Row],[Page]])), "Roof",  IF(ISNUMBER(FIND("S590", Tasks[[#This Row],[Page]])), "",  IF(ISNUMBER(FIND("Site", Tasks[[#This Row],[Page]])), "", "ERROR"))))</f>
        <v>Level 1</v>
      </c>
      <c r="G399" s="15" t="str">
        <f>IF(Tasks[[#This Row],[Location]]=0, "", Tasks[[#This Row],[Location]])</f>
        <v>162 - Instruction Women</v>
      </c>
      <c r="H399" s="15" t="str">
        <f>Tasks[[#This Row],[To Package]]</f>
        <v>Plumbing</v>
      </c>
      <c r="I399" s="15" t="str">
        <f>Tasks[[#This Row],[To Organisation]]</f>
        <v>US Mechanical</v>
      </c>
    </row>
    <row r="400" spans="1:9" ht="15.5" x14ac:dyDescent="0.35">
      <c r="A400" s="14" t="str">
        <f>HYPERLINK(_xlfn.CONCAT(Edit_URL,Tasks[[#This Row],[Ref]]),Tasks[[#This Row],[Ref]])</f>
        <v>T59123.67</v>
      </c>
      <c r="B400" s="15" t="str" cm="1">
        <f t="array" ref="B400">_xlfn.SWITCH(LEFT(Tasks[[#This Row],[Status]],1),"O","Opened","C","Completed","S","Signed Off", "V", "Signed Off","ERROR")</f>
        <v>Signed Off</v>
      </c>
      <c r="C400" s="15" t="str" cm="1">
        <f t="array" ref="C400">_xlfn.SWITCH(LEFT(Tasks[[#This Row],[Type]], 3), "Fie", "Field Report", "Con", "Contractor QC", "Gen", "Contractor QC", "Pun", "Contractor QC", "Qua", "Contractor QC", "Fin", "Punch List")</f>
        <v>Contractor QC</v>
      </c>
      <c r="D400" s="15" t="str">
        <f>_xlfn.LET(
_xlpm.leftValue, TRIM(LEFT(Tasks[[#This Row],[Description]], 45)),
IF(LEN(_xlpm.leftValue) &lt; 40, _xlpm.leftValue, _xlfn.CONCAT(_xlpm.leftValue, "…"))
)</f>
        <v>020A - East Mechanical &gt; Annex Level 0AE100
R…</v>
      </c>
      <c r="E400" s="15" t="str" cm="1">
        <f t="array" ref="E400">_xlfn.LET(
_xlpm.inTower, COUNTIF(Tower_Num_Table[Tower Rm Numbers], LEFT(Task_Summary_Table[[#This Row],[Area/Room]], 3)) &gt; 0,
_xlpm.typeResult, _xlfn.SWITCH(LEFT(Tasks[[#This Row],[Page]], 2), "Hi", "Historic", "An", "Annex", "Si", "Site", "S5", "Project Task", "SWITCH ERROR"),
IF(_xlpm.inTower, "West Tower", _xlpm.typeResult)
)</f>
        <v>Annex</v>
      </c>
      <c r="F400" s="15" t="str">
        <f>IFERROR(MID(Tasks[[#This Row],[Page]], FIND("Level", Tasks[[#This Row],[Page]]), 7), IF(ISNUMBER(FIND("Roof", Tasks[[#This Row],[Page]])), "Roof",  IF(ISNUMBER(FIND("S590", Tasks[[#This Row],[Page]])), "",  IF(ISNUMBER(FIND("Site", Tasks[[#This Row],[Page]])), "", "ERROR"))))</f>
        <v>Level 0</v>
      </c>
      <c r="G400" s="15" t="str">
        <f>IF(Tasks[[#This Row],[Location]]=0, "", Tasks[[#This Row],[Location]])</f>
        <v/>
      </c>
      <c r="H400" s="15" t="str">
        <f>Tasks[[#This Row],[To Package]]</f>
        <v>Plumbing</v>
      </c>
      <c r="I400" s="15" t="str">
        <f>Tasks[[#This Row],[To Organisation]]</f>
        <v>US Mechanical</v>
      </c>
    </row>
    <row r="401" spans="1:9" ht="15.5" x14ac:dyDescent="0.35">
      <c r="A401" s="14" t="str">
        <f>HYPERLINK(_xlfn.CONCAT(Edit_URL,Tasks[[#This Row],[Ref]]),Tasks[[#This Row],[Ref]])</f>
        <v>T59123.63</v>
      </c>
      <c r="B401" s="15" t="str" cm="1">
        <f t="array" ref="B401">_xlfn.SWITCH(LEFT(Tasks[[#This Row],[Status]],1),"O","Opened","C","Completed","S","Signed Off", "V", "Signed Off","ERROR")</f>
        <v>Signed Off</v>
      </c>
      <c r="C401" s="15" t="str" cm="1">
        <f t="array" ref="C401">_xlfn.SWITCH(LEFT(Tasks[[#This Row],[Type]], 3), "Fie", "Field Report", "Con", "Contractor QC", "Gen", "Contractor QC", "Pun", "Contractor QC", "Qua", "Contractor QC", "Fin", "Punch List")</f>
        <v>Contractor QC</v>
      </c>
      <c r="D401" s="15" t="str">
        <f>_xlfn.LET(
_xlpm.leftValue, TRIM(LEFT(Tasks[[#This Row],[Description]], 45)),
IF(LEN(_xlpm.leftValue) &lt; 40, _xlpm.leftValue, _xlfn.CONCAT(_xlpm.leftValue, "…"))
)</f>
        <v>Complete LVT flooring</v>
      </c>
      <c r="E401" s="15" t="str" cm="1">
        <f t="array" ref="E401">_xlfn.LET(
_xlpm.inTower, COUNTIF(Tower_Num_Table[Tower Rm Numbers], LEFT(Task_Summary_Table[[#This Row],[Area/Room]], 3)) &gt; 0,
_xlpm.typeResult, _xlfn.SWITCH(LEFT(Tasks[[#This Row],[Page]], 2), "Hi", "Historic", "An", "Annex", "Si", "Site", "S5", "Project Task", "SWITCH ERROR"),
IF(_xlpm.inTower, "West Tower", _xlpm.typeResult)
)</f>
        <v>Historic</v>
      </c>
      <c r="F401" s="15" t="str">
        <f>IFERROR(MID(Tasks[[#This Row],[Page]], FIND("Level", Tasks[[#This Row],[Page]]), 7), IF(ISNUMBER(FIND("Roof", Tasks[[#This Row],[Page]])), "Roof",  IF(ISNUMBER(FIND("S590", Tasks[[#This Row],[Page]])), "",  IF(ISNUMBER(FIND("Site", Tasks[[#This Row],[Page]])), "", "ERROR"))))</f>
        <v>Level 5</v>
      </c>
      <c r="G401" s="15" t="str">
        <f>IF(Tasks[[#This Row],[Location]]=0, "", Tasks[[#This Row],[Location]])</f>
        <v>515 - Elec.</v>
      </c>
      <c r="H401" s="15" t="str">
        <f>Tasks[[#This Row],[To Package]]</f>
        <v>Fire Suppression</v>
      </c>
      <c r="I401" s="15" t="str">
        <f>Tasks[[#This Row],[To Organisation]]</f>
        <v>Broken Arrow Construction Corporation</v>
      </c>
    </row>
    <row r="402" spans="1:9" ht="15.5" x14ac:dyDescent="0.35">
      <c r="A402" s="14" t="str">
        <f>HYPERLINK(_xlfn.CONCAT(Edit_URL,Tasks[[#This Row],[Ref]]),Tasks[[#This Row],[Ref]])</f>
        <v>T59123.74</v>
      </c>
      <c r="B402" s="15" t="str" cm="1">
        <f t="array" ref="B402">_xlfn.SWITCH(LEFT(Tasks[[#This Row],[Status]],1),"O","Opened","C","Completed","S","Signed Off", "V", "Signed Off","ERROR")</f>
        <v>Signed Off</v>
      </c>
      <c r="C402" s="15" t="str" cm="1">
        <f t="array" ref="C402">_xlfn.SWITCH(LEFT(Tasks[[#This Row],[Type]], 3), "Fie", "Field Report", "Con", "Contractor QC", "Gen", "Contractor QC", "Pun", "Contractor QC", "Qua", "Contractor QC", "Fin", "Punch List")</f>
        <v>Contractor QC</v>
      </c>
      <c r="D402" s="15" t="str">
        <f>_xlfn.LET(
_xlpm.leftValue, TRIM(LEFT(Tasks[[#This Row],[Description]], 45)),
IF(LEN(_xlpm.leftValue) &lt; 40, _xlpm.leftValue, _xlfn.CONCAT(_xlpm.leftValue, "…"))
)</f>
        <v>Install Fire Stopping at plumbing floor penet…</v>
      </c>
      <c r="E402" s="15" t="str" cm="1">
        <f t="array" ref="E402">_xlfn.LET(
_xlpm.inTower, COUNTIF(Tower_Num_Table[Tower Rm Numbers], LEFT(Task_Summary_Table[[#This Row],[Area/Room]], 3)) &gt; 0,
_xlpm.typeResult, _xlfn.SWITCH(LEFT(Tasks[[#This Row],[Page]], 2), "Hi", "Historic", "An", "Annex", "Si", "Site", "S5", "Project Task", "SWITCH ERROR"),
IF(_xlpm.inTower, "West Tower", _xlpm.typeResult)
)</f>
        <v>Historic</v>
      </c>
      <c r="F402" s="15" t="str">
        <f>IFERROR(MID(Tasks[[#This Row],[Page]], FIND("Level", Tasks[[#This Row],[Page]]), 7), IF(ISNUMBER(FIND("Roof", Tasks[[#This Row],[Page]])), "Roof",  IF(ISNUMBER(FIND("S590", Tasks[[#This Row],[Page]])), "",  IF(ISNUMBER(FIND("Site", Tasks[[#This Row],[Page]])), "", "ERROR"))))</f>
        <v>Level 0</v>
      </c>
      <c r="G402" s="15" t="str">
        <f>IF(Tasks[[#This Row],[Location]]=0, "", Tasks[[#This Row],[Location]])</f>
        <v>069 - Restroom Vest</v>
      </c>
      <c r="H402" s="15" t="str">
        <f>Tasks[[#This Row],[To Package]]</f>
        <v>HVAC</v>
      </c>
      <c r="I402" s="15" t="str">
        <f>Tasks[[#This Row],[To Organisation]]</f>
        <v>US Mechanical</v>
      </c>
    </row>
    <row r="403" spans="1:9" ht="15.5" x14ac:dyDescent="0.35">
      <c r="A403" s="14" t="str">
        <f>HYPERLINK(_xlfn.CONCAT(Edit_URL,Tasks[[#This Row],[Ref]]),Tasks[[#This Row],[Ref]])</f>
        <v>T59123.32</v>
      </c>
      <c r="B403" s="15" t="str" cm="1">
        <f t="array" ref="B403">_xlfn.SWITCH(LEFT(Tasks[[#This Row],[Status]],1),"O","Opened","C","Completed","S","Signed Off", "V", "Signed Off","ERROR")</f>
        <v>Signed Off</v>
      </c>
      <c r="C403" s="15" t="str" cm="1">
        <f t="array" ref="C403">_xlfn.SWITCH(LEFT(Tasks[[#This Row],[Type]], 3), "Fie", "Field Report", "Con", "Contractor QC", "Gen", "Contractor QC", "Pun", "Contractor QC", "Qua", "Contractor QC", "Fin", "Punch List")</f>
        <v>Contractor QC</v>
      </c>
      <c r="D403" s="15" t="str">
        <f>_xlfn.LET(
_xlpm.leftValue, TRIM(LEFT(Tasks[[#This Row],[Description]], 45)),
IF(LEN(_xlpm.leftValue) &lt; 40, _xlpm.leftValue, _xlfn.CONCAT(_xlpm.leftValue, "…"))
)</f>
        <v>Missing floor outlet</v>
      </c>
      <c r="E403" s="15" t="str" cm="1">
        <f t="array" ref="E403">_xlfn.LET(
_xlpm.inTower, COUNTIF(Tower_Num_Table[Tower Rm Numbers], LEFT(Task_Summary_Table[[#This Row],[Area/Room]], 3)) &gt; 0,
_xlpm.typeResult, _xlfn.SWITCH(LEFT(Tasks[[#This Row],[Page]], 2), "Hi", "Historic", "An", "Annex", "Si", "Site", "S5", "Project Task", "SWITCH ERROR"),
IF(_xlpm.inTower, "West Tower", _xlpm.typeResult)
)</f>
        <v>Annex</v>
      </c>
      <c r="F403" s="15" t="str">
        <f>IFERROR(MID(Tasks[[#This Row],[Page]], FIND("Level", Tasks[[#This Row],[Page]]), 7), IF(ISNUMBER(FIND("Roof", Tasks[[#This Row],[Page]])), "Roof",  IF(ISNUMBER(FIND("S590", Tasks[[#This Row],[Page]])), "",  IF(ISNUMBER(FIND("Site", Tasks[[#This Row],[Page]])), "", "ERROR"))))</f>
        <v>Level 1</v>
      </c>
      <c r="G403" s="15" t="str">
        <f>IF(Tasks[[#This Row],[Location]]=0, "", Tasks[[#This Row],[Location]])</f>
        <v>104 - interview</v>
      </c>
      <c r="H403" s="15" t="str">
        <f>Tasks[[#This Row],[To Package]]</f>
        <v>Electrical</v>
      </c>
      <c r="I403" s="15" t="str">
        <f>Tasks[[#This Row],[To Organisation]]</f>
        <v>Wilkinson Electric Inc</v>
      </c>
    </row>
    <row r="404" spans="1:9" ht="15.5" x14ac:dyDescent="0.35">
      <c r="A404" s="14" t="str">
        <f>HYPERLINK(_xlfn.CONCAT(Edit_URL,Tasks[[#This Row],[Ref]]),Tasks[[#This Row],[Ref]])</f>
        <v>T59123.31</v>
      </c>
      <c r="B404" s="15" t="str" cm="1">
        <f t="array" ref="B404">_xlfn.SWITCH(LEFT(Tasks[[#This Row],[Status]],1),"O","Opened","C","Completed","S","Signed Off", "V", "Signed Off","ERROR")</f>
        <v>Signed Off</v>
      </c>
      <c r="C404" s="15" t="str" cm="1">
        <f t="array" ref="C404">_xlfn.SWITCH(LEFT(Tasks[[#This Row],[Type]], 3), "Fie", "Field Report", "Con", "Contractor QC", "Gen", "Contractor QC", "Pun", "Contractor QC", "Qua", "Contractor QC", "Fin", "Punch List")</f>
        <v>Contractor QC</v>
      </c>
      <c r="D404" s="15" t="str">
        <f>_xlfn.LET(
_xlpm.leftValue, TRIM(LEFT(Tasks[[#This Row],[Description]], 45)),
IF(LEN(_xlpm.leftValue) &lt; 40, _xlpm.leftValue, _xlfn.CONCAT(_xlpm.leftValue, "…"))
)</f>
        <v>Missing electrical floor box</v>
      </c>
      <c r="E404" s="15" t="str" cm="1">
        <f t="array" ref="E404">_xlfn.LET(
_xlpm.inTower, COUNTIF(Tower_Num_Table[Tower Rm Numbers], LEFT(Task_Summary_Table[[#This Row],[Area/Room]], 3)) &gt; 0,
_xlpm.typeResult, _xlfn.SWITCH(LEFT(Tasks[[#This Row],[Page]], 2), "Hi", "Historic", "An", "Annex", "Si", "Site", "S5", "Project Task", "SWITCH ERROR"),
IF(_xlpm.inTower, "West Tower", _xlpm.typeResult)
)</f>
        <v>Annex</v>
      </c>
      <c r="F404" s="15" t="str">
        <f>IFERROR(MID(Tasks[[#This Row],[Page]], FIND("Level", Tasks[[#This Row],[Page]]), 7), IF(ISNUMBER(FIND("Roof", Tasks[[#This Row],[Page]])), "Roof",  IF(ISNUMBER(FIND("S590", Tasks[[#This Row],[Page]])), "",  IF(ISNUMBER(FIND("Site", Tasks[[#This Row],[Page]])), "", "ERROR"))))</f>
        <v>Level 1</v>
      </c>
      <c r="G404" s="15" t="str">
        <f>IF(Tasks[[#This Row],[Location]]=0, "", Tasks[[#This Row],[Location]])</f>
        <v>117 - Office 1</v>
      </c>
      <c r="H404" s="15" t="str">
        <f>Tasks[[#This Row],[To Package]]</f>
        <v>Electrical</v>
      </c>
      <c r="I404" s="15" t="str">
        <f>Tasks[[#This Row],[To Organisation]]</f>
        <v>Wilkinson Electric Inc</v>
      </c>
    </row>
    <row r="405" spans="1:9" ht="15.5" x14ac:dyDescent="0.35">
      <c r="A405" s="14" t="str">
        <f>HYPERLINK(_xlfn.CONCAT(Edit_URL,Tasks[[#This Row],[Ref]]),Tasks[[#This Row],[Ref]])</f>
        <v>T59123.1</v>
      </c>
      <c r="B405" s="15" t="str" cm="1">
        <f t="array" ref="B405">_xlfn.SWITCH(LEFT(Tasks[[#This Row],[Status]],1),"O","Opened","C","Completed","S","Signed Off", "V", "Signed Off","ERROR")</f>
        <v>Signed Off</v>
      </c>
      <c r="C405" s="15" t="str" cm="1">
        <f t="array" ref="C405">_xlfn.SWITCH(LEFT(Tasks[[#This Row],[Type]], 3), "Fie", "Field Report", "Con", "Contractor QC", "Gen", "Contractor QC", "Pun", "Contractor QC", "Qua", "Contractor QC", "Fin", "Punch List")</f>
        <v>Contractor QC</v>
      </c>
      <c r="D405" s="15" t="str">
        <f>_xlfn.LET(
_xlpm.leftValue, TRIM(LEFT(Tasks[[#This Row],[Description]], 45)),
IF(LEN(_xlpm.leftValue) &lt; 40, _xlpm.leftValue, _xlfn.CONCAT(_xlpm.leftValue, "…"))
)</f>
        <v>Missing Tstat</v>
      </c>
      <c r="E405" s="15" t="str" cm="1">
        <f t="array" ref="E405">_xlfn.LET(
_xlpm.inTower, COUNTIF(Tower_Num_Table[Tower Rm Numbers], LEFT(Task_Summary_Table[[#This Row],[Area/Room]], 3)) &gt; 0,
_xlpm.typeResult, _xlfn.SWITCH(LEFT(Tasks[[#This Row],[Page]], 2), "Hi", "Historic", "An", "Annex", "Si", "Site", "S5", "Project Task", "SWITCH ERROR"),
IF(_xlpm.inTower, "West Tower", _xlpm.typeResult)
)</f>
        <v>Annex</v>
      </c>
      <c r="F405" s="15" t="str">
        <f>IFERROR(MID(Tasks[[#This Row],[Page]], FIND("Level", Tasks[[#This Row],[Page]]), 7), IF(ISNUMBER(FIND("Roof", Tasks[[#This Row],[Page]])), "Roof",  IF(ISNUMBER(FIND("S590", Tasks[[#This Row],[Page]])), "",  IF(ISNUMBER(FIND("Site", Tasks[[#This Row],[Page]])), "", "ERROR"))))</f>
        <v>Level 1</v>
      </c>
      <c r="G405" s="15" t="str">
        <f>IF(Tasks[[#This Row],[Location]]=0, "", Tasks[[#This Row],[Location]])</f>
        <v>141 - Dressing Men</v>
      </c>
      <c r="H405" s="15" t="str">
        <f>Tasks[[#This Row],[To Package]]</f>
        <v>HVAC</v>
      </c>
      <c r="I405" s="15" t="str">
        <f>Tasks[[#This Row],[To Organisation]]</f>
        <v>US Mechanical</v>
      </c>
    </row>
    <row r="406" spans="1:9" ht="15.5" x14ac:dyDescent="0.35">
      <c r="A406" s="14" t="str">
        <f>HYPERLINK(_xlfn.CONCAT(Edit_URL,Tasks[[#This Row],[Ref]]),Tasks[[#This Row],[Ref]])</f>
        <v>T59123.60</v>
      </c>
      <c r="B406" s="15" t="str" cm="1">
        <f t="array" ref="B406">_xlfn.SWITCH(LEFT(Tasks[[#This Row],[Status]],1),"O","Opened","C","Completed","S","Signed Off", "V", "Signed Off","ERROR")</f>
        <v>Signed Off</v>
      </c>
      <c r="C406" s="15" t="str" cm="1">
        <f t="array" ref="C406">_xlfn.SWITCH(LEFT(Tasks[[#This Row],[Type]], 3), "Fie", "Field Report", "Con", "Contractor QC", "Gen", "Contractor QC", "Pun", "Contractor QC", "Qua", "Contractor QC", "Fin", "Punch List")</f>
        <v>Contractor QC</v>
      </c>
      <c r="D406" s="15" t="str">
        <f>_xlfn.LET(
_xlpm.leftValue, TRIM(LEFT(Tasks[[#This Row],[Description]], 45)),
IF(LEN(_xlpm.leftValue) &lt; 40, _xlpm.leftValue, _xlfn.CONCAT(_xlpm.leftValue, "…"))
)</f>
        <v>Remove existing fire suppression and cap at v…</v>
      </c>
      <c r="E406" s="15" t="str" cm="1">
        <f t="array" ref="E406">_xlfn.LET(
_xlpm.inTower, COUNTIF(Tower_Num_Table[Tower Rm Numbers], LEFT(Task_Summary_Table[[#This Row],[Area/Room]], 3)) &gt; 0,
_xlpm.typeResult, _xlfn.SWITCH(LEFT(Tasks[[#This Row],[Page]], 2), "Hi", "Historic", "An", "Annex", "Si", "Site", "S5", "Project Task", "SWITCH ERROR"),
IF(_xlpm.inTower, "West Tower", _xlpm.typeResult)
)</f>
        <v>Historic</v>
      </c>
      <c r="F406" s="15" t="str">
        <f>IFERROR(MID(Tasks[[#This Row],[Page]], FIND("Level", Tasks[[#This Row],[Page]]), 7), IF(ISNUMBER(FIND("Roof", Tasks[[#This Row],[Page]])), "Roof",  IF(ISNUMBER(FIND("S590", Tasks[[#This Row],[Page]])), "",  IF(ISNUMBER(FIND("Site", Tasks[[#This Row],[Page]])), "", "ERROR"))))</f>
        <v>Level 5</v>
      </c>
      <c r="G406" s="15" t="str">
        <f>IF(Tasks[[#This Row],[Location]]=0, "", Tasks[[#This Row],[Location]])</f>
        <v>518 - Study</v>
      </c>
      <c r="H406" s="15" t="str">
        <f>Tasks[[#This Row],[To Package]]</f>
        <v>Fire Suppression</v>
      </c>
      <c r="I406" s="15" t="str">
        <f>Tasks[[#This Row],[To Organisation]]</f>
        <v>Broken Arrow Construction Corporation</v>
      </c>
    </row>
    <row r="407" spans="1:9" ht="15.5" x14ac:dyDescent="0.35">
      <c r="A407" s="14" t="str">
        <f>HYPERLINK(_xlfn.CONCAT(Edit_URL,Tasks[[#This Row],[Ref]]),Tasks[[#This Row],[Ref]])</f>
        <v>T1.9536906</v>
      </c>
      <c r="B407" s="15" t="str" cm="1">
        <f t="array" ref="B407">_xlfn.SWITCH(LEFT(Tasks[[#This Row],[Status]],1),"O","Opened","C","Completed","S","Signed Off", "V", "Signed Off","ERROR")</f>
        <v>Completed</v>
      </c>
      <c r="C407" s="15" t="str" cm="1">
        <f t="array" ref="C407">_xlfn.SWITCH(LEFT(Tasks[[#This Row],[Type]], 3), "Fie", "Field Report", "Con", "Contractor QC", "Gen", "Contractor QC", "Pun", "Contractor QC", "Qua", "Contractor QC", "Fin", "Punch List")</f>
        <v>Contractor QC</v>
      </c>
      <c r="D407" s="15" t="str">
        <f>_xlfn.LET(
_xlpm.leftValue, TRIM(LEFT(Tasks[[#This Row],[Description]], 45)),
IF(LEN(_xlpm.leftValue) &lt; 40, _xlpm.leftValue, _xlfn.CONCAT(_xlpm.leftValue, "…"))
)</f>
        <v>ARW 62-5 - North addition clothing drop openi…</v>
      </c>
      <c r="E407" s="15" t="str" cm="1">
        <f t="array" ref="E407">_xlfn.LET(
_xlpm.inTower, COUNTIF(Tower_Num_Table[Tower Rm Numbers], LEFT(Task_Summary_Table[[#This Row],[Area/Room]], 3)) &gt; 0,
_xlpm.typeResult, _xlfn.SWITCH(LEFT(Tasks[[#This Row],[Page]], 2), "Hi", "Historic", "An", "Annex", "Si", "Site", "S5", "Project Task", "SWITCH ERROR"),
IF(_xlpm.inTower, "West Tower", _xlpm.typeResult)
)</f>
        <v>Historic</v>
      </c>
      <c r="F407" s="15" t="str">
        <f>IFERROR(MID(Tasks[[#This Row],[Page]], FIND("Level", Tasks[[#This Row],[Page]]), 7), IF(ISNUMBER(FIND("Roof", Tasks[[#This Row],[Page]])), "Roof",  IF(ISNUMBER(FIND("S590", Tasks[[#This Row],[Page]])), "",  IF(ISNUMBER(FIND("Site", Tasks[[#This Row],[Page]])), "", "ERROR"))))</f>
        <v>Level 5</v>
      </c>
      <c r="G407" s="15" t="str">
        <f>IF(Tasks[[#This Row],[Location]]=0, "", Tasks[[#This Row],[Location]])</f>
        <v/>
      </c>
      <c r="H407" s="15" t="str">
        <f>Tasks[[#This Row],[To Package]]</f>
        <v>Structural Steel</v>
      </c>
      <c r="I407" s="15" t="str">
        <f>Tasks[[#This Row],[To Organisation]]</f>
        <v>Glassey Steel Works</v>
      </c>
    </row>
    <row r="408" spans="1:9" ht="15.5" x14ac:dyDescent="0.35">
      <c r="A408" s="14" t="str">
        <f>HYPERLINK(_xlfn.CONCAT(Edit_URL,Tasks[[#This Row],[Ref]]),Tasks[[#This Row],[Ref]])</f>
        <v>T59123.47</v>
      </c>
      <c r="B408" s="15" t="str" cm="1">
        <f t="array" ref="B408">_xlfn.SWITCH(LEFT(Tasks[[#This Row],[Status]],1),"O","Opened","C","Completed","S","Signed Off", "V", "Signed Off","ERROR")</f>
        <v>Signed Off</v>
      </c>
      <c r="C408" s="15" t="str" cm="1">
        <f t="array" ref="C408">_xlfn.SWITCH(LEFT(Tasks[[#This Row],[Type]], 3), "Fie", "Field Report", "Con", "Contractor QC", "Gen", "Contractor QC", "Pun", "Contractor QC", "Qua", "Contractor QC", "Fin", "Punch List")</f>
        <v>Contractor QC</v>
      </c>
      <c r="D408" s="15" t="str">
        <f>_xlfn.LET(
_xlpm.leftValue, TRIM(LEFT(Tasks[[#This Row],[Description]], 45)),
IF(LEN(_xlpm.leftValue) &lt; 40, _xlpm.leftValue, _xlfn.CONCAT(_xlpm.leftValue, "…"))
)</f>
        <v>Missing rough-in for Glass Break</v>
      </c>
      <c r="E408" s="15" t="str" cm="1">
        <f t="array" ref="E408">_xlfn.LET(
_xlpm.inTower, COUNTIF(Tower_Num_Table[Tower Rm Numbers], LEFT(Task_Summary_Table[[#This Row],[Area/Room]], 3)) &gt; 0,
_xlpm.typeResult, _xlfn.SWITCH(LEFT(Tasks[[#This Row],[Page]], 2), "Hi", "Historic", "An", "Annex", "Si", "Site", "S5", "Project Task", "SWITCH ERROR"),
IF(_xlpm.inTower, "West Tower", _xlpm.typeResult)
)</f>
        <v>Annex</v>
      </c>
      <c r="F408" s="15" t="str">
        <f>IFERROR(MID(Tasks[[#This Row],[Page]], FIND("Level", Tasks[[#This Row],[Page]]), 7), IF(ISNUMBER(FIND("Roof", Tasks[[#This Row],[Page]])), "Roof",  IF(ISNUMBER(FIND("S590", Tasks[[#This Row],[Page]])), "",  IF(ISNUMBER(FIND("Site", Tasks[[#This Row],[Page]])), "", "ERROR"))))</f>
        <v>Level 1</v>
      </c>
      <c r="G408" s="15" t="str">
        <f>IF(Tasks[[#This Row],[Location]]=0, "", Tasks[[#This Row],[Location]])</f>
        <v>148 - Instruction 2</v>
      </c>
      <c r="H408" s="15" t="str">
        <f>Tasks[[#This Row],[To Package]]</f>
        <v>Electrical</v>
      </c>
      <c r="I408" s="15" t="str">
        <f>Tasks[[#This Row],[To Organisation]]</f>
        <v>Wilkinson Electric Inc</v>
      </c>
    </row>
    <row r="409" spans="1:9" ht="15.5" x14ac:dyDescent="0.35">
      <c r="A409" s="14" t="str">
        <f>HYPERLINK(_xlfn.CONCAT(Edit_URL,Tasks[[#This Row],[Ref]]),Tasks[[#This Row],[Ref]])</f>
        <v>T74290.143</v>
      </c>
      <c r="B409" s="15" t="str" cm="1">
        <f t="array" ref="B409">_xlfn.SWITCH(LEFT(Tasks[[#This Row],[Status]],1),"O","Opened","C","Completed","S","Signed Off", "V", "Signed Off","ERROR")</f>
        <v>Opened</v>
      </c>
      <c r="C409" s="15" t="str" cm="1">
        <f t="array" ref="C409">_xlfn.SWITCH(LEFT(Tasks[[#This Row],[Type]], 3), "Fie", "Field Report", "Con", "Contractor QC", "Gen", "Contractor QC", "Pun", "Contractor QC", "Qua", "Contractor QC", "Fin", "Punch List")</f>
        <v>Contractor QC</v>
      </c>
      <c r="D409" s="15" t="str">
        <f>_xlfn.LET(
_xlpm.leftValue, TRIM(LEFT(Tasks[[#This Row],[Description]], 45)),
IF(LEN(_xlpm.leftValue) &lt; 40, _xlpm.leftValue, _xlfn.CONCAT(_xlpm.leftValue, "…"))
)</f>
        <v>Wall touch up on south east corner and west w…</v>
      </c>
      <c r="E409" s="15" t="str" cm="1">
        <f t="array" ref="E409">_xlfn.LET(
_xlpm.inTower, COUNTIF(Tower_Num_Table[Tower Rm Numbers], LEFT(Task_Summary_Table[[#This Row],[Area/Room]], 3)) &gt; 0,
_xlpm.typeResult, _xlfn.SWITCH(LEFT(Tasks[[#This Row],[Page]], 2), "Hi", "Historic", "An", "Annex", "Si", "Site", "S5", "Project Task", "SWITCH ERROR"),
IF(_xlpm.inTower, "West Tower", _xlpm.typeResult)
)</f>
        <v>Historic</v>
      </c>
      <c r="F409" s="15" t="str">
        <f>IFERROR(MID(Tasks[[#This Row],[Page]], FIND("Level", Tasks[[#This Row],[Page]]), 7), IF(ISNUMBER(FIND("Roof", Tasks[[#This Row],[Page]])), "Roof",  IF(ISNUMBER(FIND("S590", Tasks[[#This Row],[Page]])), "",  IF(ISNUMBER(FIND("Site", Tasks[[#This Row],[Page]])), "", "ERROR"))))</f>
        <v>Level 5</v>
      </c>
      <c r="G409" s="15" t="str">
        <f>IF(Tasks[[#This Row],[Location]]=0, "", Tasks[[#This Row],[Location]])</f>
        <v>521 - Instruction 11</v>
      </c>
      <c r="H409" s="15" t="str">
        <f>Tasks[[#This Row],[To Package]]</f>
        <v>Metal Stud / Drywall</v>
      </c>
      <c r="I409" s="15" t="str">
        <f>Tasks[[#This Row],[To Organisation]]</f>
        <v>Pete King Construction</v>
      </c>
    </row>
    <row r="410" spans="1:9" ht="15.5" x14ac:dyDescent="0.35">
      <c r="A410" s="14" t="str">
        <f>HYPERLINK(_xlfn.CONCAT(Edit_URL,Tasks[[#This Row],[Ref]]),Tasks[[#This Row],[Ref]])</f>
        <v>T74290.145</v>
      </c>
      <c r="B410" s="15" t="str" cm="1">
        <f t="array" ref="B410">_xlfn.SWITCH(LEFT(Tasks[[#This Row],[Status]],1),"O","Opened","C","Completed","S","Signed Off", "V", "Signed Off","ERROR")</f>
        <v>Opened</v>
      </c>
      <c r="C410" s="15" t="str" cm="1">
        <f t="array" ref="C410">_xlfn.SWITCH(LEFT(Tasks[[#This Row],[Type]], 3), "Fie", "Field Report", "Con", "Contractor QC", "Gen", "Contractor QC", "Pun", "Contractor QC", "Qua", "Contractor QC", "Fin", "Punch List")</f>
        <v>Contractor QC</v>
      </c>
      <c r="D410" s="15" t="str">
        <f>_xlfn.LET(
_xlpm.leftValue, TRIM(LEFT(Tasks[[#This Row],[Description]], 45)),
IF(LEN(_xlpm.leftValue) &lt; 40, _xlpm.leftValue, _xlfn.CONCAT(_xlpm.leftValue, "…"))
)</f>
        <v>Install switch</v>
      </c>
      <c r="E410" s="15" t="str" cm="1">
        <f t="array" ref="E410">_xlfn.LET(
_xlpm.inTower, COUNTIF(Tower_Num_Table[Tower Rm Numbers], LEFT(Task_Summary_Table[[#This Row],[Area/Room]], 3)) &gt; 0,
_xlpm.typeResult, _xlfn.SWITCH(LEFT(Tasks[[#This Row],[Page]], 2), "Hi", "Historic", "An", "Annex", "Si", "Site", "S5", "Project Task", "SWITCH ERROR"),
IF(_xlpm.inTower, "West Tower", _xlpm.typeResult)
)</f>
        <v>Historic</v>
      </c>
      <c r="F410" s="15" t="str">
        <f>IFERROR(MID(Tasks[[#This Row],[Page]], FIND("Level", Tasks[[#This Row],[Page]]), 7), IF(ISNUMBER(FIND("Roof", Tasks[[#This Row],[Page]])), "Roof",  IF(ISNUMBER(FIND("S590", Tasks[[#This Row],[Page]])), "",  IF(ISNUMBER(FIND("Site", Tasks[[#This Row],[Page]])), "", "ERROR"))))</f>
        <v>Level 5</v>
      </c>
      <c r="G410" s="15" t="str">
        <f>IF(Tasks[[#This Row],[Location]]=0, "", Tasks[[#This Row],[Location]])</f>
        <v>521 - Instruction 11</v>
      </c>
      <c r="H410" s="15" t="str">
        <f>Tasks[[#This Row],[To Package]]</f>
        <v>Electrical</v>
      </c>
      <c r="I410" s="15" t="str">
        <f>Tasks[[#This Row],[To Organisation]]</f>
        <v>Wilkinson Electric Inc</v>
      </c>
    </row>
    <row r="411" spans="1:9" ht="15.5" x14ac:dyDescent="0.35">
      <c r="A411" s="14" t="str">
        <f>HYPERLINK(_xlfn.CONCAT(Edit_URL,Tasks[[#This Row],[Ref]]),Tasks[[#This Row],[Ref]])</f>
        <v>T74290.147</v>
      </c>
      <c r="B411" s="15" t="str" cm="1">
        <f t="array" ref="B411">_xlfn.SWITCH(LEFT(Tasks[[#This Row],[Status]],1),"O","Opened","C","Completed","S","Signed Off", "V", "Signed Off","ERROR")</f>
        <v>Opened</v>
      </c>
      <c r="C411" s="15" t="str" cm="1">
        <f t="array" ref="C411">_xlfn.SWITCH(LEFT(Tasks[[#This Row],[Type]], 3), "Fie", "Field Report", "Con", "Contractor QC", "Gen", "Contractor QC", "Pun", "Contractor QC", "Qua", "Contractor QC", "Fin", "Punch List")</f>
        <v>Contractor QC</v>
      </c>
      <c r="D411" s="15" t="str">
        <f>_xlfn.LET(
_xlpm.leftValue, TRIM(LEFT(Tasks[[#This Row],[Description]], 45)),
IF(LEN(_xlpm.leftValue) &lt; 40, _xlpm.leftValue, _xlfn.CONCAT(_xlpm.leftValue, "…"))
)</f>
        <v>Install proper hardware</v>
      </c>
      <c r="E411" s="15" t="str" cm="1">
        <f t="array" ref="E411">_xlfn.LET(
_xlpm.inTower, COUNTIF(Tower_Num_Table[Tower Rm Numbers], LEFT(Task_Summary_Table[[#This Row],[Area/Room]], 3)) &gt; 0,
_xlpm.typeResult, _xlfn.SWITCH(LEFT(Tasks[[#This Row],[Page]], 2), "Hi", "Historic", "An", "Annex", "Si", "Site", "S5", "Project Task", "SWITCH ERROR"),
IF(_xlpm.inTower, "West Tower", _xlpm.typeResult)
)</f>
        <v>Historic</v>
      </c>
      <c r="F411" s="15" t="str">
        <f>IFERROR(MID(Tasks[[#This Row],[Page]], FIND("Level", Tasks[[#This Row],[Page]]), 7), IF(ISNUMBER(FIND("Roof", Tasks[[#This Row],[Page]])), "Roof",  IF(ISNUMBER(FIND("S590", Tasks[[#This Row],[Page]])), "",  IF(ISNUMBER(FIND("Site", Tasks[[#This Row],[Page]])), "", "ERROR"))))</f>
        <v>Level 5</v>
      </c>
      <c r="G411" s="15" t="str">
        <f>IF(Tasks[[#This Row],[Location]]=0, "", Tasks[[#This Row],[Location]])</f>
        <v>521 - Instruction 11</v>
      </c>
      <c r="H411" s="15" t="str">
        <f>Tasks[[#This Row],[To Package]]</f>
        <v xml:space="preserve">Finish Carpentry </v>
      </c>
      <c r="I411" s="15" t="str">
        <f>Tasks[[#This Row],[To Organisation]]</f>
        <v>Fetzers' Inc.</v>
      </c>
    </row>
    <row r="412" spans="1:9" ht="15.5" x14ac:dyDescent="0.35">
      <c r="A412" s="14" t="str">
        <f>HYPERLINK(_xlfn.CONCAT(Edit_URL,Tasks[[#This Row],[Ref]]),Tasks[[#This Row],[Ref]])</f>
        <v>T74290.148</v>
      </c>
      <c r="B412" s="15" t="str" cm="1">
        <f t="array" ref="B412">_xlfn.SWITCH(LEFT(Tasks[[#This Row],[Status]],1),"O","Opened","C","Completed","S","Signed Off", "V", "Signed Off","ERROR")</f>
        <v>Opened</v>
      </c>
      <c r="C412" s="15" t="str" cm="1">
        <f t="array" ref="C412">_xlfn.SWITCH(LEFT(Tasks[[#This Row],[Type]], 3), "Fie", "Field Report", "Con", "Contractor QC", "Gen", "Contractor QC", "Pun", "Contractor QC", "Qua", "Contractor QC", "Fin", "Punch List")</f>
        <v>Contractor QC</v>
      </c>
      <c r="D412" s="15" t="str">
        <f>_xlfn.LET(
_xlpm.leftValue, TRIM(LEFT(Tasks[[#This Row],[Description]], 45)),
IF(LEN(_xlpm.leftValue) &lt; 40, _xlpm.leftValue, _xlfn.CONCAT(_xlpm.leftValue, "…"))
)</f>
        <v>Touch up transom</v>
      </c>
      <c r="E412" s="15" t="str" cm="1">
        <f t="array" ref="E412">_xlfn.LET(
_xlpm.inTower, COUNTIF(Tower_Num_Table[Tower Rm Numbers], LEFT(Task_Summary_Table[[#This Row],[Area/Room]], 3)) &gt; 0,
_xlpm.typeResult, _xlfn.SWITCH(LEFT(Tasks[[#This Row],[Page]], 2), "Hi", "Historic", "An", "Annex", "Si", "Site", "S5", "Project Task", "SWITCH ERROR"),
IF(_xlpm.inTower, "West Tower", _xlpm.typeResult)
)</f>
        <v>Historic</v>
      </c>
      <c r="F412" s="15" t="str">
        <f>IFERROR(MID(Tasks[[#This Row],[Page]], FIND("Level", Tasks[[#This Row],[Page]]), 7), IF(ISNUMBER(FIND("Roof", Tasks[[#This Row],[Page]])), "Roof",  IF(ISNUMBER(FIND("S590", Tasks[[#This Row],[Page]])), "",  IF(ISNUMBER(FIND("Site", Tasks[[#This Row],[Page]])), "", "ERROR"))))</f>
        <v>Level 5</v>
      </c>
      <c r="G412" s="15" t="str">
        <f>IF(Tasks[[#This Row],[Location]]=0, "", Tasks[[#This Row],[Location]])</f>
        <v>521 - Instruction 11</v>
      </c>
      <c r="H412" s="15" t="str">
        <f>Tasks[[#This Row],[To Package]]</f>
        <v>Paint</v>
      </c>
      <c r="I412" s="15" t="str">
        <f>Tasks[[#This Row],[To Organisation]]</f>
        <v>Accent Painting and Special Coatings, LLC</v>
      </c>
    </row>
    <row r="413" spans="1:9" ht="15.5" x14ac:dyDescent="0.35">
      <c r="A413" s="14" t="str">
        <f>HYPERLINK(_xlfn.CONCAT(Edit_URL,Tasks[[#This Row],[Ref]]),Tasks[[#This Row],[Ref]])</f>
        <v>T74290.149</v>
      </c>
      <c r="B413" s="15" t="str" cm="1">
        <f t="array" ref="B413">_xlfn.SWITCH(LEFT(Tasks[[#This Row],[Status]],1),"O","Opened","C","Completed","S","Signed Off", "V", "Signed Off","ERROR")</f>
        <v>Opened</v>
      </c>
      <c r="C413" s="15" t="str" cm="1">
        <f t="array" ref="C413">_xlfn.SWITCH(LEFT(Tasks[[#This Row],[Type]], 3), "Fie", "Field Report", "Con", "Contractor QC", "Gen", "Contractor QC", "Pun", "Contractor QC", "Qua", "Contractor QC", "Fin", "Punch List")</f>
        <v>Contractor QC</v>
      </c>
      <c r="D413" s="15" t="str">
        <f>_xlfn.LET(
_xlpm.leftValue, TRIM(LEFT(Tasks[[#This Row],[Description]], 45)),
IF(LEN(_xlpm.leftValue) &lt; 40, _xlpm.leftValue, _xlfn.CONCAT(_xlpm.leftValue, "…"))
)</f>
        <v>Finish around can light in north corner of ro…</v>
      </c>
      <c r="E413" s="15" t="str" cm="1">
        <f t="array" ref="E413">_xlfn.LET(
_xlpm.inTower, COUNTIF(Tower_Num_Table[Tower Rm Numbers], LEFT(Task_Summary_Table[[#This Row],[Area/Room]], 3)) &gt; 0,
_xlpm.typeResult, _xlfn.SWITCH(LEFT(Tasks[[#This Row],[Page]], 2), "Hi", "Historic", "An", "Annex", "Si", "Site", "S5", "Project Task", "SWITCH ERROR"),
IF(_xlpm.inTower, "West Tower", _xlpm.typeResult)
)</f>
        <v>Historic</v>
      </c>
      <c r="F413" s="15" t="str">
        <f>IFERROR(MID(Tasks[[#This Row],[Page]], FIND("Level", Tasks[[#This Row],[Page]]), 7), IF(ISNUMBER(FIND("Roof", Tasks[[#This Row],[Page]])), "Roof",  IF(ISNUMBER(FIND("S590", Tasks[[#This Row],[Page]])), "",  IF(ISNUMBER(FIND("Site", Tasks[[#This Row],[Page]])), "", "ERROR"))))</f>
        <v>Level 5</v>
      </c>
      <c r="G413" s="15" t="str">
        <f>IF(Tasks[[#This Row],[Location]]=0, "", Tasks[[#This Row],[Location]])</f>
        <v>521 - Instruction 11</v>
      </c>
      <c r="H413" s="15" t="str">
        <f>Tasks[[#This Row],[To Package]]</f>
        <v>Metal Stud / Drywall</v>
      </c>
      <c r="I413" s="15" t="str">
        <f>Tasks[[#This Row],[To Organisation]]</f>
        <v>Pete King Construction</v>
      </c>
    </row>
    <row r="414" spans="1:9" ht="15.5" x14ac:dyDescent="0.35">
      <c r="A414" s="14" t="str">
        <f>HYPERLINK(_xlfn.CONCAT(Edit_URL,Tasks[[#This Row],[Ref]]),Tasks[[#This Row],[Ref]])</f>
        <v>T74290.150</v>
      </c>
      <c r="B414" s="15" t="str" cm="1">
        <f t="array" ref="B414">_xlfn.SWITCH(LEFT(Tasks[[#This Row],[Status]],1),"O","Opened","C","Completed","S","Signed Off", "V", "Signed Off","ERROR")</f>
        <v>Opened</v>
      </c>
      <c r="C414" s="15" t="str" cm="1">
        <f t="array" ref="C414">_xlfn.SWITCH(LEFT(Tasks[[#This Row],[Type]], 3), "Fie", "Field Report", "Con", "Contractor QC", "Gen", "Contractor QC", "Pun", "Contractor QC", "Qua", "Contractor QC", "Fin", "Punch List")</f>
        <v>Contractor QC</v>
      </c>
      <c r="D414" s="15" t="str">
        <f>_xlfn.LET(
_xlpm.leftValue, TRIM(LEFT(Tasks[[#This Row],[Description]], 45)),
IF(LEN(_xlpm.leftValue) &lt; 40, _xlpm.leftValue, _xlfn.CONCAT(_xlpm.leftValue, "…"))
)</f>
        <v>Touch up corner of door</v>
      </c>
      <c r="E414" s="15" t="str" cm="1">
        <f t="array" ref="E414">_xlfn.LET(
_xlpm.inTower, COUNTIF(Tower_Num_Table[Tower Rm Numbers], LEFT(Task_Summary_Table[[#This Row],[Area/Room]], 3)) &gt; 0,
_xlpm.typeResult, _xlfn.SWITCH(LEFT(Tasks[[#This Row],[Page]], 2), "Hi", "Historic", "An", "Annex", "Si", "Site", "S5", "Project Task", "SWITCH ERROR"),
IF(_xlpm.inTower, "West Tower", _xlpm.typeResult)
)</f>
        <v>Historic</v>
      </c>
      <c r="F414" s="15" t="str">
        <f>IFERROR(MID(Tasks[[#This Row],[Page]], FIND("Level", Tasks[[#This Row],[Page]]), 7), IF(ISNUMBER(FIND("Roof", Tasks[[#This Row],[Page]])), "Roof",  IF(ISNUMBER(FIND("S590", Tasks[[#This Row],[Page]])), "",  IF(ISNUMBER(FIND("Site", Tasks[[#This Row],[Page]])), "", "ERROR"))))</f>
        <v>Level 5</v>
      </c>
      <c r="G414" s="15" t="str">
        <f>IF(Tasks[[#This Row],[Location]]=0, "", Tasks[[#This Row],[Location]])</f>
        <v>521 - Instruction 11</v>
      </c>
      <c r="H414" s="15" t="str">
        <f>Tasks[[#This Row],[To Package]]</f>
        <v>Paint</v>
      </c>
      <c r="I414" s="15" t="str">
        <f>Tasks[[#This Row],[To Organisation]]</f>
        <v>Accent Painting and Special Coatings, LLC</v>
      </c>
    </row>
    <row r="415" spans="1:9" ht="15.5" x14ac:dyDescent="0.35">
      <c r="A415" s="14" t="str">
        <f>HYPERLINK(_xlfn.CONCAT(Edit_URL,Tasks[[#This Row],[Ref]]),Tasks[[#This Row],[Ref]])</f>
        <v>T74290.146</v>
      </c>
      <c r="B415" s="15" t="str" cm="1">
        <f t="array" ref="B415">_xlfn.SWITCH(LEFT(Tasks[[#This Row],[Status]],1),"O","Opened","C","Completed","S","Signed Off", "V", "Signed Off","ERROR")</f>
        <v>Completed</v>
      </c>
      <c r="C415" s="15" t="str" cm="1">
        <f t="array" ref="C415">_xlfn.SWITCH(LEFT(Tasks[[#This Row],[Type]], 3), "Fie", "Field Report", "Con", "Contractor QC", "Gen", "Contractor QC", "Pun", "Contractor QC", "Qua", "Contractor QC", "Fin", "Punch List")</f>
        <v>Contractor QC</v>
      </c>
      <c r="D415" s="15" t="str">
        <f>_xlfn.LET(
_xlpm.leftValue, TRIM(LEFT(Tasks[[#This Row],[Description]], 45)),
IF(LEN(_xlpm.leftValue) &lt; 40, _xlpm.leftValue, _xlfn.CONCAT(_xlpm.leftValue, "…"))
)</f>
        <v>Install thermostat</v>
      </c>
      <c r="E415" s="15" t="str" cm="1">
        <f t="array" ref="E415">_xlfn.LET(
_xlpm.inTower, COUNTIF(Tower_Num_Table[Tower Rm Numbers], LEFT(Task_Summary_Table[[#This Row],[Area/Room]], 3)) &gt; 0,
_xlpm.typeResult, _xlfn.SWITCH(LEFT(Tasks[[#This Row],[Page]], 2), "Hi", "Historic", "An", "Annex", "Si", "Site", "S5", "Project Task", "SWITCH ERROR"),
IF(_xlpm.inTower, "West Tower", _xlpm.typeResult)
)</f>
        <v>Historic</v>
      </c>
      <c r="F415" s="15" t="str">
        <f>IFERROR(MID(Tasks[[#This Row],[Page]], FIND("Level", Tasks[[#This Row],[Page]]), 7), IF(ISNUMBER(FIND("Roof", Tasks[[#This Row],[Page]])), "Roof",  IF(ISNUMBER(FIND("S590", Tasks[[#This Row],[Page]])), "",  IF(ISNUMBER(FIND("Site", Tasks[[#This Row],[Page]])), "", "ERROR"))))</f>
        <v>Level 5</v>
      </c>
      <c r="G415" s="15" t="str">
        <f>IF(Tasks[[#This Row],[Location]]=0, "", Tasks[[#This Row],[Location]])</f>
        <v>521 - Instruction 11</v>
      </c>
      <c r="H415" s="15" t="str">
        <f>Tasks[[#This Row],[To Package]]</f>
        <v>HVAC</v>
      </c>
      <c r="I415" s="15" t="str">
        <f>Tasks[[#This Row],[To Organisation]]</f>
        <v>US Mechanical</v>
      </c>
    </row>
    <row r="416" spans="1:9" ht="15.5" x14ac:dyDescent="0.35">
      <c r="A416" s="14" t="str">
        <f>HYPERLINK(_xlfn.CONCAT(Edit_URL,Tasks[[#This Row],[Ref]]),Tasks[[#This Row],[Ref]])</f>
        <v>T74290.317</v>
      </c>
      <c r="B416" s="15" t="str" cm="1">
        <f t="array" ref="B416">_xlfn.SWITCH(LEFT(Tasks[[#This Row],[Status]],1),"O","Opened","C","Completed","S","Signed Off", "V", "Signed Off","ERROR")</f>
        <v>Opened</v>
      </c>
      <c r="C416" s="15" t="str" cm="1">
        <f t="array" ref="C416">_xlfn.SWITCH(LEFT(Tasks[[#This Row],[Type]], 3), "Fie", "Field Report", "Con", "Contractor QC", "Gen", "Contractor QC", "Pun", "Contractor QC", "Qua", "Contractor QC", "Fin", "Punch List")</f>
        <v>Contractor QC</v>
      </c>
      <c r="D416" s="15" t="str">
        <f>_xlfn.LET(
_xlpm.leftValue, TRIM(LEFT(Tasks[[#This Row],[Description]], 45)),
IF(LEN(_xlpm.leftValue) &lt; 40, _xlpm.leftValue, _xlfn.CONCAT(_xlpm.leftValue, "…"))
)</f>
        <v>Install fire sprinkler head cover</v>
      </c>
      <c r="E416" s="15" t="str" cm="1">
        <f t="array" ref="E416">_xlfn.LET(
_xlpm.inTower, COUNTIF(Tower_Num_Table[Tower Rm Numbers], LEFT(Task_Summary_Table[[#This Row],[Area/Room]], 3)) &gt; 0,
_xlpm.typeResult, _xlfn.SWITCH(LEFT(Tasks[[#This Row],[Page]], 2), "Hi", "Historic", "An", "Annex", "Si", "Site", "S5", "Project Task", "SWITCH ERROR"),
IF(_xlpm.inTower, "West Tower", _xlpm.typeResult)
)</f>
        <v>Historic</v>
      </c>
      <c r="F416" s="15" t="str">
        <f>IFERROR(MID(Tasks[[#This Row],[Page]], FIND("Level", Tasks[[#This Row],[Page]]), 7), IF(ISNUMBER(FIND("Roof", Tasks[[#This Row],[Page]])), "Roof",  IF(ISNUMBER(FIND("S590", Tasks[[#This Row],[Page]])), "",  IF(ISNUMBER(FIND("Site", Tasks[[#This Row],[Page]])), "", "ERROR"))))</f>
        <v>Level 0</v>
      </c>
      <c r="G416" s="15" t="str">
        <f>IF(Tasks[[#This Row],[Location]]=0, "", Tasks[[#This Row],[Location]])</f>
        <v>061 - Anteroom</v>
      </c>
      <c r="H416" s="15" t="str">
        <f>Tasks[[#This Row],[To Package]]</f>
        <v>Fire Suppression</v>
      </c>
      <c r="I416" s="15" t="str">
        <f>Tasks[[#This Row],[To Organisation]]</f>
        <v>Broken Arrow Construction Corporation</v>
      </c>
    </row>
    <row r="417" spans="1:9" ht="15.5" x14ac:dyDescent="0.35">
      <c r="A417" s="14" t="str">
        <f>HYPERLINK(_xlfn.CONCAT(Edit_URL,Tasks[[#This Row],[Ref]]),Tasks[[#This Row],[Ref]])</f>
        <v>T74290.320</v>
      </c>
      <c r="B417" s="15" t="str" cm="1">
        <f t="array" ref="B417">_xlfn.SWITCH(LEFT(Tasks[[#This Row],[Status]],1),"O","Opened","C","Completed","S","Signed Off", "V", "Signed Off","ERROR")</f>
        <v>Opened</v>
      </c>
      <c r="C417" s="15" t="str" cm="1">
        <f t="array" ref="C417">_xlfn.SWITCH(LEFT(Tasks[[#This Row],[Type]], 3), "Fie", "Field Report", "Con", "Contractor QC", "Gen", "Contractor QC", "Pun", "Contractor QC", "Qua", "Contractor QC", "Fin", "Punch List")</f>
        <v>Contractor QC</v>
      </c>
      <c r="D417" s="15" t="str">
        <f>_xlfn.LET(
_xlpm.leftValue, TRIM(LEFT(Tasks[[#This Row],[Description]], 45)),
IF(LEN(_xlpm.leftValue) &lt; 40, _xlpm.leftValue, _xlfn.CONCAT(_xlpm.leftValue, "…"))
)</f>
        <v>Caulk around each panel on hallway side of do…</v>
      </c>
      <c r="E417" s="15" t="str" cm="1">
        <f t="array" ref="E417">_xlfn.LET(
_xlpm.inTower, COUNTIF(Tower_Num_Table[Tower Rm Numbers], LEFT(Task_Summary_Table[[#This Row],[Area/Room]], 3)) &gt; 0,
_xlpm.typeResult, _xlfn.SWITCH(LEFT(Tasks[[#This Row],[Page]], 2), "Hi", "Historic", "An", "Annex", "Si", "Site", "S5", "Project Task", "SWITCH ERROR"),
IF(_xlpm.inTower, "West Tower", _xlpm.typeResult)
)</f>
        <v>Historic</v>
      </c>
      <c r="F417" s="15" t="str">
        <f>IFERROR(MID(Tasks[[#This Row],[Page]], FIND("Level", Tasks[[#This Row],[Page]]), 7), IF(ISNUMBER(FIND("Roof", Tasks[[#This Row],[Page]])), "Roof",  IF(ISNUMBER(FIND("S590", Tasks[[#This Row],[Page]])), "",  IF(ISNUMBER(FIND("Site", Tasks[[#This Row],[Page]])), "", "ERROR"))))</f>
        <v>Level 5</v>
      </c>
      <c r="G417" s="15" t="str">
        <f>IF(Tasks[[#This Row],[Location]]=0, "", Tasks[[#This Row],[Location]])</f>
        <v>509 - Instruction 5</v>
      </c>
      <c r="H417" s="15" t="str">
        <f>Tasks[[#This Row],[To Package]]</f>
        <v>Paint</v>
      </c>
      <c r="I417" s="15" t="str">
        <f>Tasks[[#This Row],[To Organisation]]</f>
        <v>Accent Painting and Special Coatings, LLC</v>
      </c>
    </row>
    <row r="418" spans="1:9" ht="15.5" x14ac:dyDescent="0.35">
      <c r="A418" s="14" t="str">
        <f>HYPERLINK(_xlfn.CONCAT(Edit_URL,Tasks[[#This Row],[Ref]]),Tasks[[#This Row],[Ref]])</f>
        <v>T74290.184</v>
      </c>
      <c r="B418" s="15" t="str" cm="1">
        <f t="array" ref="B418">_xlfn.SWITCH(LEFT(Tasks[[#This Row],[Status]],1),"O","Opened","C","Completed","S","Signed Off", "V", "Signed Off","ERROR")</f>
        <v>Opened</v>
      </c>
      <c r="C418" s="15" t="str" cm="1">
        <f t="array" ref="C418">_xlfn.SWITCH(LEFT(Tasks[[#This Row],[Type]], 3), "Fie", "Field Report", "Con", "Contractor QC", "Gen", "Contractor QC", "Pun", "Contractor QC", "Qua", "Contractor QC", "Fin", "Punch List")</f>
        <v>Contractor QC</v>
      </c>
      <c r="D418" s="15" t="str">
        <f>_xlfn.LET(
_xlpm.leftValue, TRIM(LEFT(Tasks[[#This Row],[Description]], 45)),
IF(LEN(_xlpm.leftValue) &lt; 40, _xlpm.leftValue, _xlfn.CONCAT(_xlpm.leftValue, "…"))
)</f>
        <v>Strike plates installed not in alignment…</v>
      </c>
      <c r="E418" s="15" t="str" cm="1">
        <f t="array" ref="E418">_xlfn.LET(
_xlpm.inTower, COUNTIF(Tower_Num_Table[Tower Rm Numbers], LEFT(Task_Summary_Table[[#This Row],[Area/Room]], 3)) &gt; 0,
_xlpm.typeResult, _xlfn.SWITCH(LEFT(Tasks[[#This Row],[Page]], 2), "Hi", "Historic", "An", "Annex", "Si", "Site", "S5", "Project Task", "SWITCH ERROR"),
IF(_xlpm.inTower, "West Tower", _xlpm.typeResult)
)</f>
        <v>Annex</v>
      </c>
      <c r="F418" s="15" t="str">
        <f>IFERROR(MID(Tasks[[#This Row],[Page]], FIND("Level", Tasks[[#This Row],[Page]]), 7), IF(ISNUMBER(FIND("Roof", Tasks[[#This Row],[Page]])), "Roof",  IF(ISNUMBER(FIND("S590", Tasks[[#This Row],[Page]])), "",  IF(ISNUMBER(FIND("Site", Tasks[[#This Row],[Page]])), "", "ERROR"))))</f>
        <v>Level 0</v>
      </c>
      <c r="G418" s="15" t="str">
        <f>IF(Tasks[[#This Row],[Location]]=0, "", Tasks[[#This Row],[Location]])</f>
        <v>033 - Vest</v>
      </c>
      <c r="H418" s="15" t="str">
        <f>Tasks[[#This Row],[To Package]]</f>
        <v xml:space="preserve">Finish Carpentry </v>
      </c>
      <c r="I418" s="15" t="str">
        <f>Tasks[[#This Row],[To Organisation]]</f>
        <v>Fetzers' Inc.</v>
      </c>
    </row>
    <row r="419" spans="1:9" ht="15.5" x14ac:dyDescent="0.35">
      <c r="A419" s="14" t="str">
        <f>HYPERLINK(_xlfn.CONCAT(Edit_URL,Tasks[[#This Row],[Ref]]),Tasks[[#This Row],[Ref]])</f>
        <v>T74290.198</v>
      </c>
      <c r="B419" s="15" t="str" cm="1">
        <f t="array" ref="B419">_xlfn.SWITCH(LEFT(Tasks[[#This Row],[Status]],1),"O","Opened","C","Completed","S","Signed Off", "V", "Signed Off","ERROR")</f>
        <v>Opened</v>
      </c>
      <c r="C419" s="15" t="str" cm="1">
        <f t="array" ref="C419">_xlfn.SWITCH(LEFT(Tasks[[#This Row],[Type]], 3), "Fie", "Field Report", "Con", "Contractor QC", "Gen", "Contractor QC", "Pun", "Contractor QC", "Qua", "Contractor QC", "Fin", "Punch List")</f>
        <v>Contractor QC</v>
      </c>
      <c r="D419" s="15" t="str">
        <f>_xlfn.LET(
_xlpm.leftValue, TRIM(LEFT(Tasks[[#This Row],[Description]], 45)),
IF(LEN(_xlpm.leftValue) &lt; 40, _xlpm.leftValue, _xlfn.CONCAT(_xlpm.leftValue, "…"))
)</f>
        <v>Caulk along top wall tile</v>
      </c>
      <c r="E419" s="15" t="str" cm="1">
        <f t="array" ref="E419">_xlfn.LET(
_xlpm.inTower, COUNTIF(Tower_Num_Table[Tower Rm Numbers], LEFT(Task_Summary_Table[[#This Row],[Area/Room]], 3)) &gt; 0,
_xlpm.typeResult, _xlfn.SWITCH(LEFT(Tasks[[#This Row],[Page]], 2), "Hi", "Historic", "An", "Annex", "Si", "Site", "S5", "Project Task", "SWITCH ERROR"),
IF(_xlpm.inTower, "West Tower", _xlpm.typeResult)
)</f>
        <v>Historic</v>
      </c>
      <c r="F419" s="15" t="str">
        <f>IFERROR(MID(Tasks[[#This Row],[Page]], FIND("Level", Tasks[[#This Row],[Page]]), 7), IF(ISNUMBER(FIND("Roof", Tasks[[#This Row],[Page]])), "Roof",  IF(ISNUMBER(FIND("S590", Tasks[[#This Row],[Page]])), "",  IF(ISNUMBER(FIND("Site", Tasks[[#This Row],[Page]])), "", "ERROR"))))</f>
        <v>Level 0</v>
      </c>
      <c r="G419" s="15" t="str">
        <f>IF(Tasks[[#This Row],[Location]]=0, "", Tasks[[#This Row],[Location]])</f>
        <v/>
      </c>
      <c r="H419" s="15" t="str">
        <f>Tasks[[#This Row],[To Package]]</f>
        <v>Paint</v>
      </c>
      <c r="I419" s="15" t="str">
        <f>Tasks[[#This Row],[To Organisation]]</f>
        <v>Accent Painting and Special Coatings, LLC</v>
      </c>
    </row>
    <row r="420" spans="1:9" ht="15.5" x14ac:dyDescent="0.35">
      <c r="A420" s="14" t="str">
        <f>HYPERLINK(_xlfn.CONCAT(Edit_URL,Tasks[[#This Row],[Ref]]),Tasks[[#This Row],[Ref]])</f>
        <v>T74290.199</v>
      </c>
      <c r="B420" s="15" t="str" cm="1">
        <f t="array" ref="B420">_xlfn.SWITCH(LEFT(Tasks[[#This Row],[Status]],1),"O","Opened","C","Completed","S","Signed Off", "V", "Signed Off","ERROR")</f>
        <v>Opened</v>
      </c>
      <c r="C420" s="15" t="str" cm="1">
        <f t="array" ref="C420">_xlfn.SWITCH(LEFT(Tasks[[#This Row],[Type]], 3), "Fie", "Field Report", "Con", "Contractor QC", "Gen", "Contractor QC", "Pun", "Contractor QC", "Qua", "Contractor QC", "Fin", "Punch List")</f>
        <v>Contractor QC</v>
      </c>
      <c r="D420" s="15" t="str">
        <f>_xlfn.LET(
_xlpm.leftValue, TRIM(LEFT(Tasks[[#This Row],[Description]], 45)),
IF(LEN(_xlpm.leftValue) &lt; 40, _xlpm.leftValue, _xlfn.CONCAT(_xlpm.leftValue, "…"))
)</f>
        <v>Touch up paint along top of wall tile</v>
      </c>
      <c r="E420" s="15" t="str" cm="1">
        <f t="array" ref="E420">_xlfn.LET(
_xlpm.inTower, COUNTIF(Tower_Num_Table[Tower Rm Numbers], LEFT(Task_Summary_Table[[#This Row],[Area/Room]], 3)) &gt; 0,
_xlpm.typeResult, _xlfn.SWITCH(LEFT(Tasks[[#This Row],[Page]], 2), "Hi", "Historic", "An", "Annex", "Si", "Site", "S5", "Project Task", "SWITCH ERROR"),
IF(_xlpm.inTower, "West Tower", _xlpm.typeResult)
)</f>
        <v>Historic</v>
      </c>
      <c r="F420" s="15" t="str">
        <f>IFERROR(MID(Tasks[[#This Row],[Page]], FIND("Level", Tasks[[#This Row],[Page]]), 7), IF(ISNUMBER(FIND("Roof", Tasks[[#This Row],[Page]])), "Roof",  IF(ISNUMBER(FIND("S590", Tasks[[#This Row],[Page]])), "",  IF(ISNUMBER(FIND("Site", Tasks[[#This Row],[Page]])), "", "ERROR"))))</f>
        <v>Level 0</v>
      </c>
      <c r="G420" s="15" t="str">
        <f>IF(Tasks[[#This Row],[Location]]=0, "", Tasks[[#This Row],[Location]])</f>
        <v/>
      </c>
      <c r="H420" s="15" t="str">
        <f>Tasks[[#This Row],[To Package]]</f>
        <v>Paint</v>
      </c>
      <c r="I420" s="15" t="str">
        <f>Tasks[[#This Row],[To Organisation]]</f>
        <v>Accent Painting and Special Coatings, LLC</v>
      </c>
    </row>
    <row r="421" spans="1:9" ht="15.5" x14ac:dyDescent="0.35">
      <c r="A421" s="14" t="str">
        <f>HYPERLINK(_xlfn.CONCAT(Edit_URL,Tasks[[#This Row],[Ref]]),Tasks[[#This Row],[Ref]])</f>
        <v>T74290.196</v>
      </c>
      <c r="B421" s="15" t="str" cm="1">
        <f t="array" ref="B421">_xlfn.SWITCH(LEFT(Tasks[[#This Row],[Status]],1),"O","Opened","C","Completed","S","Signed Off", "V", "Signed Off","ERROR")</f>
        <v>Opened</v>
      </c>
      <c r="C421" s="15" t="str" cm="1">
        <f t="array" ref="C421">_xlfn.SWITCH(LEFT(Tasks[[#This Row],[Type]], 3), "Fie", "Field Report", "Con", "Contractor QC", "Gen", "Contractor QC", "Pun", "Contractor QC", "Qua", "Contractor QC", "Fin", "Punch List")</f>
        <v>Contractor QC</v>
      </c>
      <c r="D421" s="15" t="str">
        <f>_xlfn.LET(
_xlpm.leftValue, TRIM(LEFT(Tasks[[#This Row],[Description]], 45)),
IF(LEN(_xlpm.leftValue) &lt; 40, _xlpm.leftValue, _xlfn.CONCAT(_xlpm.leftValue, "…"))
)</f>
        <v>Replace stainless steel cap that is dented…</v>
      </c>
      <c r="E421" s="15" t="str" cm="1">
        <f t="array" ref="E421">_xlfn.LET(
_xlpm.inTower, COUNTIF(Tower_Num_Table[Tower Rm Numbers], LEFT(Task_Summary_Table[[#This Row],[Area/Room]], 3)) &gt; 0,
_xlpm.typeResult, _xlfn.SWITCH(LEFT(Tasks[[#This Row],[Page]], 2), "Hi", "Historic", "An", "Annex", "Si", "Site", "S5", "Project Task", "SWITCH ERROR"),
IF(_xlpm.inTower, "West Tower", _xlpm.typeResult)
)</f>
        <v>Site</v>
      </c>
      <c r="F421" s="15" t="str">
        <f>IFERROR(MID(Tasks[[#This Row],[Page]], FIND("Level", Tasks[[#This Row],[Page]]), 7), IF(ISNUMBER(FIND("Roof", Tasks[[#This Row],[Page]])), "Roof",  IF(ISNUMBER(FIND("S590", Tasks[[#This Row],[Page]])), "",  IF(ISNUMBER(FIND("Site", Tasks[[#This Row],[Page]])), "", "ERROR"))))</f>
        <v/>
      </c>
      <c r="G421" s="15" t="str">
        <f>IF(Tasks[[#This Row],[Location]]=0, "", Tasks[[#This Row],[Location]])</f>
        <v>Site Area D</v>
      </c>
      <c r="H421" s="15" t="str">
        <f>Tasks[[#This Row],[To Package]]</f>
        <v>Westland -- Annex</v>
      </c>
      <c r="I421" s="15" t="str">
        <f>Tasks[[#This Row],[To Organisation]]</f>
        <v>Westland Construction, Inc.</v>
      </c>
    </row>
    <row r="422" spans="1:9" ht="15.5" x14ac:dyDescent="0.35">
      <c r="A422" s="14" t="str">
        <f>HYPERLINK(_xlfn.CONCAT(Edit_URL,Tasks[[#This Row],[Ref]]),Tasks[[#This Row],[Ref]])</f>
        <v>T74290.200</v>
      </c>
      <c r="B422" s="15" t="str" cm="1">
        <f t="array" ref="B422">_xlfn.SWITCH(LEFT(Tasks[[#This Row],[Status]],1),"O","Opened","C","Completed","S","Signed Off", "V", "Signed Off","ERROR")</f>
        <v>Opened</v>
      </c>
      <c r="C422" s="15" t="str" cm="1">
        <f t="array" ref="C422">_xlfn.SWITCH(LEFT(Tasks[[#This Row],[Type]], 3), "Fie", "Field Report", "Con", "Contractor QC", "Gen", "Contractor QC", "Pun", "Contractor QC", "Qua", "Contractor QC", "Fin", "Punch List")</f>
        <v>Contractor QC</v>
      </c>
      <c r="D422" s="15" t="str">
        <f>_xlfn.LET(
_xlpm.leftValue, TRIM(LEFT(Tasks[[#This Row],[Description]], 45)),
IF(LEN(_xlpm.leftValue) &lt; 40, _xlpm.leftValue, _xlfn.CONCAT(_xlpm.leftValue, "…"))
)</f>
        <v>Remove red waterproofing from face of tile ba…</v>
      </c>
      <c r="E422" s="15" t="str" cm="1">
        <f t="array" ref="E422">_xlfn.LET(
_xlpm.inTower, COUNTIF(Tower_Num_Table[Tower Rm Numbers], LEFT(Task_Summary_Table[[#This Row],[Area/Room]], 3)) &gt; 0,
_xlpm.typeResult, _xlfn.SWITCH(LEFT(Tasks[[#This Row],[Page]], 2), "Hi", "Historic", "An", "Annex", "Si", "Site", "S5", "Project Task", "SWITCH ERROR"),
IF(_xlpm.inTower, "West Tower", _xlpm.typeResult)
)</f>
        <v>Historic</v>
      </c>
      <c r="F422" s="15" t="str">
        <f>IFERROR(MID(Tasks[[#This Row],[Page]], FIND("Level", Tasks[[#This Row],[Page]]), 7), IF(ISNUMBER(FIND("Roof", Tasks[[#This Row],[Page]])), "Roof",  IF(ISNUMBER(FIND("S590", Tasks[[#This Row],[Page]])), "",  IF(ISNUMBER(FIND("Site", Tasks[[#This Row],[Page]])), "", "ERROR"))))</f>
        <v>Level 0</v>
      </c>
      <c r="G422" s="15" t="str">
        <f>IF(Tasks[[#This Row],[Location]]=0, "", Tasks[[#This Row],[Location]])</f>
        <v>077 - Dressing - Boys</v>
      </c>
      <c r="H422" s="15" t="str">
        <f>Tasks[[#This Row],[To Package]]</f>
        <v>Tile</v>
      </c>
      <c r="I422" s="15" t="str">
        <f>Tasks[[#This Row],[To Organisation]]</f>
        <v>Global Stone and Tile, LLC</v>
      </c>
    </row>
    <row r="423" spans="1:9" ht="15.5" x14ac:dyDescent="0.35">
      <c r="A423" s="14" t="str">
        <f>HYPERLINK(_xlfn.CONCAT(Edit_URL,Tasks[[#This Row],[Ref]]),Tasks[[#This Row],[Ref]])</f>
        <v>T74290.202</v>
      </c>
      <c r="B423" s="15" t="str" cm="1">
        <f t="array" ref="B423">_xlfn.SWITCH(LEFT(Tasks[[#This Row],[Status]],1),"O","Opened","C","Completed","S","Signed Off", "V", "Signed Off","ERROR")</f>
        <v>Opened</v>
      </c>
      <c r="C423" s="15" t="str" cm="1">
        <f t="array" ref="C423">_xlfn.SWITCH(LEFT(Tasks[[#This Row],[Type]], 3), "Fie", "Field Report", "Con", "Contractor QC", "Gen", "Contractor QC", "Pun", "Contractor QC", "Qua", "Contractor QC", "Fin", "Punch List")</f>
        <v>Contractor QC</v>
      </c>
      <c r="D423" s="15" t="str">
        <f>_xlfn.LET(
_xlpm.leftValue, TRIM(LEFT(Tasks[[#This Row],[Description]], 45)),
IF(LEN(_xlpm.leftValue) &lt; 40, _xlpm.leftValue, _xlfn.CONCAT(_xlpm.leftValue, "…"))
)</f>
        <v>Touch up plaster</v>
      </c>
      <c r="E423" s="15" t="str" cm="1">
        <f t="array" ref="E423">_xlfn.LET(
_xlpm.inTower, COUNTIF(Tower_Num_Table[Tower Rm Numbers], LEFT(Task_Summary_Table[[#This Row],[Area/Room]], 3)) &gt; 0,
_xlpm.typeResult, _xlfn.SWITCH(LEFT(Tasks[[#This Row],[Page]], 2), "Hi", "Historic", "An", "Annex", "Si", "Site", "S5", "Project Task", "SWITCH ERROR"),
IF(_xlpm.inTower, "West Tower", _xlpm.typeResult)
)</f>
        <v>Historic</v>
      </c>
      <c r="F423" s="15" t="str">
        <f>IFERROR(MID(Tasks[[#This Row],[Page]], FIND("Level", Tasks[[#This Row],[Page]]), 7), IF(ISNUMBER(FIND("Roof", Tasks[[#This Row],[Page]])), "Roof",  IF(ISNUMBER(FIND("S590", Tasks[[#This Row],[Page]])), "",  IF(ISNUMBER(FIND("Site", Tasks[[#This Row],[Page]])), "", "ERROR"))))</f>
        <v>Level 0</v>
      </c>
      <c r="G423" s="15" t="str">
        <f>IF(Tasks[[#This Row],[Location]]=0, "", Tasks[[#This Row],[Location]])</f>
        <v>077 - Dressing - Boys</v>
      </c>
      <c r="H423" s="15" t="str">
        <f>Tasks[[#This Row],[To Package]]</f>
        <v>Plaster</v>
      </c>
      <c r="I423" s="15" t="str">
        <f>Tasks[[#This Row],[To Organisation]]</f>
        <v>R. Phillips Plastering LLC</v>
      </c>
    </row>
    <row r="424" spans="1:9" ht="15.5" x14ac:dyDescent="0.35">
      <c r="A424" s="14" t="str">
        <f>HYPERLINK(_xlfn.CONCAT(Edit_URL,Tasks[[#This Row],[Ref]]),Tasks[[#This Row],[Ref]])</f>
        <v>T74290.203</v>
      </c>
      <c r="B424" s="15" t="str" cm="1">
        <f t="array" ref="B424">_xlfn.SWITCH(LEFT(Tasks[[#This Row],[Status]],1),"O","Opened","C","Completed","S","Signed Off", "V", "Signed Off","ERROR")</f>
        <v>Opened</v>
      </c>
      <c r="C424" s="15" t="str" cm="1">
        <f t="array" ref="C424">_xlfn.SWITCH(LEFT(Tasks[[#This Row],[Type]], 3), "Fie", "Field Report", "Con", "Contractor QC", "Gen", "Contractor QC", "Pun", "Contractor QC", "Qua", "Contractor QC", "Fin", "Punch List")</f>
        <v>Contractor QC</v>
      </c>
      <c r="D424" s="15" t="str">
        <f>_xlfn.LET(
_xlpm.leftValue, TRIM(LEFT(Tasks[[#This Row],[Description]], 45)),
IF(LEN(_xlpm.leftValue) &lt; 40, _xlpm.leftValue, _xlfn.CONCAT(_xlpm.leftValue, "…"))
)</f>
        <v>Replace chipped tile base</v>
      </c>
      <c r="E424" s="15" t="str" cm="1">
        <f t="array" ref="E424">_xlfn.LET(
_xlpm.inTower, COUNTIF(Tower_Num_Table[Tower Rm Numbers], LEFT(Task_Summary_Table[[#This Row],[Area/Room]], 3)) &gt; 0,
_xlpm.typeResult, _xlfn.SWITCH(LEFT(Tasks[[#This Row],[Page]], 2), "Hi", "Historic", "An", "Annex", "Si", "Site", "S5", "Project Task", "SWITCH ERROR"),
IF(_xlpm.inTower, "West Tower", _xlpm.typeResult)
)</f>
        <v>Historic</v>
      </c>
      <c r="F424" s="15" t="str">
        <f>IFERROR(MID(Tasks[[#This Row],[Page]], FIND("Level", Tasks[[#This Row],[Page]]), 7), IF(ISNUMBER(FIND("Roof", Tasks[[#This Row],[Page]])), "Roof",  IF(ISNUMBER(FIND("S590", Tasks[[#This Row],[Page]])), "",  IF(ISNUMBER(FIND("Site", Tasks[[#This Row],[Page]])), "", "ERROR"))))</f>
        <v>Level 0</v>
      </c>
      <c r="G424" s="15" t="str">
        <f>IF(Tasks[[#This Row],[Location]]=0, "", Tasks[[#This Row],[Location]])</f>
        <v>077 - Dressing - Boys</v>
      </c>
      <c r="H424" s="15" t="str">
        <f>Tasks[[#This Row],[To Package]]</f>
        <v>Tile</v>
      </c>
      <c r="I424" s="15" t="str">
        <f>Tasks[[#This Row],[To Organisation]]</f>
        <v>Global Stone and Tile, LLC</v>
      </c>
    </row>
    <row r="425" spans="1:9" ht="15.5" x14ac:dyDescent="0.35">
      <c r="A425" s="14" t="str">
        <f>HYPERLINK(_xlfn.CONCAT(Edit_URL,Tasks[[#This Row],[Ref]]),Tasks[[#This Row],[Ref]])</f>
        <v>T74290.204</v>
      </c>
      <c r="B425" s="15" t="str" cm="1">
        <f t="array" ref="B425">_xlfn.SWITCH(LEFT(Tasks[[#This Row],[Status]],1),"O","Opened","C","Completed","S","Signed Off", "V", "Signed Off","ERROR")</f>
        <v>Opened</v>
      </c>
      <c r="C425" s="15" t="str" cm="1">
        <f t="array" ref="C425">_xlfn.SWITCH(LEFT(Tasks[[#This Row],[Type]], 3), "Fie", "Field Report", "Con", "Contractor QC", "Gen", "Contractor QC", "Pun", "Contractor QC", "Qua", "Contractor QC", "Fin", "Punch List")</f>
        <v>Contractor QC</v>
      </c>
      <c r="D425" s="15" t="str">
        <f>_xlfn.LET(
_xlpm.leftValue, TRIM(LEFT(Tasks[[#This Row],[Description]], 45)),
IF(LEN(_xlpm.leftValue) &lt; 40, _xlpm.leftValue, _xlfn.CONCAT(_xlpm.leftValue, "…"))
)</f>
        <v>Fix hole in ceiling if not a fixture</v>
      </c>
      <c r="E425" s="15" t="str" cm="1">
        <f t="array" ref="E425">_xlfn.LET(
_xlpm.inTower, COUNTIF(Tower_Num_Table[Tower Rm Numbers], LEFT(Task_Summary_Table[[#This Row],[Area/Room]], 3)) &gt; 0,
_xlpm.typeResult, _xlfn.SWITCH(LEFT(Tasks[[#This Row],[Page]], 2), "Hi", "Historic", "An", "Annex", "Si", "Site", "S5", "Project Task", "SWITCH ERROR"),
IF(_xlpm.inTower, "West Tower", _xlpm.typeResult)
)</f>
        <v>Historic</v>
      </c>
      <c r="F425" s="15" t="str">
        <f>IFERROR(MID(Tasks[[#This Row],[Page]], FIND("Level", Tasks[[#This Row],[Page]]), 7), IF(ISNUMBER(FIND("Roof", Tasks[[#This Row],[Page]])), "Roof",  IF(ISNUMBER(FIND("S590", Tasks[[#This Row],[Page]])), "",  IF(ISNUMBER(FIND("Site", Tasks[[#This Row],[Page]])), "", "ERROR"))))</f>
        <v>Level 0</v>
      </c>
      <c r="G425" s="15" t="str">
        <f>IF(Tasks[[#This Row],[Location]]=0, "", Tasks[[#This Row],[Location]])</f>
        <v>080 - Restroom - Boys</v>
      </c>
      <c r="H425" s="15" t="str">
        <f>Tasks[[#This Row],[To Package]]</f>
        <v>Metal Stud / Drywall</v>
      </c>
      <c r="I425" s="15" t="str">
        <f>Tasks[[#This Row],[To Organisation]]</f>
        <v>Pete King Construction</v>
      </c>
    </row>
    <row r="426" spans="1:9" ht="15.5" x14ac:dyDescent="0.35">
      <c r="A426" s="14" t="str">
        <f>HYPERLINK(_xlfn.CONCAT(Edit_URL,Tasks[[#This Row],[Ref]]),Tasks[[#This Row],[Ref]])</f>
        <v>T74290.205</v>
      </c>
      <c r="B426" s="15" t="str" cm="1">
        <f t="array" ref="B426">_xlfn.SWITCH(LEFT(Tasks[[#This Row],[Status]],1),"O","Opened","C","Completed","S","Signed Off", "V", "Signed Off","ERROR")</f>
        <v>Opened</v>
      </c>
      <c r="C426" s="15" t="str" cm="1">
        <f t="array" ref="C426">_xlfn.SWITCH(LEFT(Tasks[[#This Row],[Type]], 3), "Fie", "Field Report", "Con", "Contractor QC", "Gen", "Contractor QC", "Pun", "Contractor QC", "Qua", "Contractor QC", "Fin", "Punch List")</f>
        <v>Contractor QC</v>
      </c>
      <c r="D426" s="15" t="str">
        <f>_xlfn.LET(
_xlpm.leftValue, TRIM(LEFT(Tasks[[#This Row],[Description]], 45)),
IF(LEN(_xlpm.leftValue) &lt; 40, _xlpm.leftValue, _xlfn.CONCAT(_xlpm.leftValue, "…"))
)</f>
        <v>Touch up along top of wall tile for entire ba…</v>
      </c>
      <c r="E426" s="15" t="str" cm="1">
        <f t="array" ref="E426">_xlfn.LET(
_xlpm.inTower, COUNTIF(Tower_Num_Table[Tower Rm Numbers], LEFT(Task_Summary_Table[[#This Row],[Area/Room]], 3)) &gt; 0,
_xlpm.typeResult, _xlfn.SWITCH(LEFT(Tasks[[#This Row],[Page]], 2), "Hi", "Historic", "An", "Annex", "Si", "Site", "S5", "Project Task", "SWITCH ERROR"),
IF(_xlpm.inTower, "West Tower", _xlpm.typeResult)
)</f>
        <v>Historic</v>
      </c>
      <c r="F426" s="15" t="str">
        <f>IFERROR(MID(Tasks[[#This Row],[Page]], FIND("Level", Tasks[[#This Row],[Page]]), 7), IF(ISNUMBER(FIND("Roof", Tasks[[#This Row],[Page]])), "Roof",  IF(ISNUMBER(FIND("S590", Tasks[[#This Row],[Page]])), "",  IF(ISNUMBER(FIND("Site", Tasks[[#This Row],[Page]])), "", "ERROR"))))</f>
        <v>Level 0</v>
      </c>
      <c r="G426" s="15" t="str">
        <f>IF(Tasks[[#This Row],[Location]]=0, "", Tasks[[#This Row],[Location]])</f>
        <v>080 - Restroom - Boys</v>
      </c>
      <c r="H426" s="15" t="str">
        <f>Tasks[[#This Row],[To Package]]</f>
        <v>Paint</v>
      </c>
      <c r="I426" s="15" t="str">
        <f>Tasks[[#This Row],[To Organisation]]</f>
        <v>Accent Painting and Special Coatings, LLC</v>
      </c>
    </row>
    <row r="427" spans="1:9" ht="15.5" x14ac:dyDescent="0.35">
      <c r="A427" s="14" t="str">
        <f>HYPERLINK(_xlfn.CONCAT(Edit_URL,Tasks[[#This Row],[Ref]]),Tasks[[#This Row],[Ref]])</f>
        <v>T74290.206</v>
      </c>
      <c r="B427" s="15" t="str" cm="1">
        <f t="array" ref="B427">_xlfn.SWITCH(LEFT(Tasks[[#This Row],[Status]],1),"O","Opened","C","Completed","S","Signed Off", "V", "Signed Off","ERROR")</f>
        <v>Opened</v>
      </c>
      <c r="C427" s="15" t="str" cm="1">
        <f t="array" ref="C427">_xlfn.SWITCH(LEFT(Tasks[[#This Row],[Type]], 3), "Fie", "Field Report", "Con", "Contractor QC", "Gen", "Contractor QC", "Pun", "Contractor QC", "Qua", "Contractor QC", "Fin", "Punch List")</f>
        <v>Contractor QC</v>
      </c>
      <c r="D427" s="15" t="str">
        <f>_xlfn.LET(
_xlpm.leftValue, TRIM(LEFT(Tasks[[#This Row],[Description]], 45)),
IF(LEN(_xlpm.leftValue) &lt; 40, _xlpm.leftValue, _xlfn.CONCAT(_xlpm.leftValue, "…"))
)</f>
        <v>Touch up door casing</v>
      </c>
      <c r="E427" s="15" t="str" cm="1">
        <f t="array" ref="E427">_xlfn.LET(
_xlpm.inTower, COUNTIF(Tower_Num_Table[Tower Rm Numbers], LEFT(Task_Summary_Table[[#This Row],[Area/Room]], 3)) &gt; 0,
_xlpm.typeResult, _xlfn.SWITCH(LEFT(Tasks[[#This Row],[Page]], 2), "Hi", "Historic", "An", "Annex", "Si", "Site", "S5", "Project Task", "SWITCH ERROR"),
IF(_xlpm.inTower, "West Tower", _xlpm.typeResult)
)</f>
        <v>Historic</v>
      </c>
      <c r="F427" s="15" t="str">
        <f>IFERROR(MID(Tasks[[#This Row],[Page]], FIND("Level", Tasks[[#This Row],[Page]]), 7), IF(ISNUMBER(FIND("Roof", Tasks[[#This Row],[Page]])), "Roof",  IF(ISNUMBER(FIND("S590", Tasks[[#This Row],[Page]])), "",  IF(ISNUMBER(FIND("Site", Tasks[[#This Row],[Page]])), "", "ERROR"))))</f>
        <v>Level 0</v>
      </c>
      <c r="G427" s="15" t="str">
        <f>IF(Tasks[[#This Row],[Location]]=0, "", Tasks[[#This Row],[Location]])</f>
        <v>080 - Restroom - Boys</v>
      </c>
      <c r="H427" s="15" t="str">
        <f>Tasks[[#This Row],[To Package]]</f>
        <v>Paint</v>
      </c>
      <c r="I427" s="15" t="str">
        <f>Tasks[[#This Row],[To Organisation]]</f>
        <v>Accent Painting and Special Coatings, LLC</v>
      </c>
    </row>
    <row r="428" spans="1:9" ht="15.5" x14ac:dyDescent="0.35">
      <c r="A428" s="16" t="str">
        <f>HYPERLINK(_xlfn.CONCAT(Edit_URL,Tasks[[#This Row],[Ref]]),Tasks[[#This Row],[Ref]])</f>
        <v>T74290.207</v>
      </c>
      <c r="B428" s="15" t="str" cm="1">
        <f t="array" ref="B428">_xlfn.SWITCH(LEFT(Tasks[[#This Row],[Status]],1),"O","Opened","C","Completed","S","Signed Off", "V", "Signed Off","ERROR")</f>
        <v>Opened</v>
      </c>
      <c r="C428" s="15" t="str" cm="1">
        <f t="array" ref="C428">_xlfn.SWITCH(LEFT(Tasks[[#This Row],[Type]], 3), "Fie", "Field Report", "Con", "Contractor QC", "Gen", "Contractor QC", "Pun", "Contractor QC", "Qua", "Contractor QC", "Fin", "Punch List")</f>
        <v>Contractor QC</v>
      </c>
      <c r="D428" s="15" t="str">
        <f>_xlfn.LET(
_xlpm.leftValue, TRIM(LEFT(Tasks[[#This Row],[Description]], 45)),
IF(LEN(_xlpm.leftValue) &lt; 40, _xlpm.leftValue, _xlfn.CONCAT(_xlpm.leftValue, "…"))
)</f>
        <v>Install finish sprinkler head cover</v>
      </c>
      <c r="E428" s="15" t="str" cm="1">
        <f t="array" ref="E428">_xlfn.LET(
_xlpm.inTower, COUNTIF(Tower_Num_Table[Tower Rm Numbers], LEFT(Task_Summary_Table[[#This Row],[Area/Room]], 3)) &gt; 0,
_xlpm.typeResult, _xlfn.SWITCH(LEFT(Tasks[[#This Row],[Page]], 2), "Hi", "Historic", "An", "Annex", "Si", "Site", "S5", "Project Task", "SWITCH ERROR"),
IF(_xlpm.inTower, "West Tower", _xlpm.typeResult)
)</f>
        <v>Historic</v>
      </c>
      <c r="F428" s="15" t="str">
        <f>IFERROR(MID(Tasks[[#This Row],[Page]], FIND("Level", Tasks[[#This Row],[Page]]), 7), IF(ISNUMBER(FIND("Roof", Tasks[[#This Row],[Page]])), "Roof",  IF(ISNUMBER(FIND("S590", Tasks[[#This Row],[Page]])), "",  IF(ISNUMBER(FIND("Site", Tasks[[#This Row],[Page]])), "", "ERROR"))))</f>
        <v>Level 0</v>
      </c>
      <c r="G428" s="15" t="str">
        <f>IF(Tasks[[#This Row],[Location]]=0, "", Tasks[[#This Row],[Location]])</f>
        <v>067 - Font</v>
      </c>
      <c r="H428" s="15" t="str">
        <f>Tasks[[#This Row],[To Package]]</f>
        <v>Fire Suppression</v>
      </c>
      <c r="I428" s="15" t="str">
        <f>Tasks[[#This Row],[To Organisation]]</f>
        <v>Broken Arrow Construction Corporation</v>
      </c>
    </row>
    <row r="429" spans="1:9" ht="15.5" x14ac:dyDescent="0.35">
      <c r="A429" s="16" t="str">
        <f>HYPERLINK(_xlfn.CONCAT(Edit_URL,Tasks[[#This Row],[Ref]]),Tasks[[#This Row],[Ref]])</f>
        <v>T74290.208</v>
      </c>
      <c r="B429" s="15" t="str" cm="1">
        <f t="array" ref="B429">_xlfn.SWITCH(LEFT(Tasks[[#This Row],[Status]],1),"O","Opened","C","Completed","S","Signed Off", "V", "Signed Off","ERROR")</f>
        <v>Opened</v>
      </c>
      <c r="C429" s="15" t="str" cm="1">
        <f t="array" ref="C429">_xlfn.SWITCH(LEFT(Tasks[[#This Row],[Type]], 3), "Fie", "Field Report", "Con", "Contractor QC", "Gen", "Contractor QC", "Pun", "Contractor QC", "Qua", "Contractor QC", "Fin", "Punch List")</f>
        <v>Contractor QC</v>
      </c>
      <c r="D429" s="15" t="str">
        <f>_xlfn.LET(
_xlpm.leftValue, TRIM(LEFT(Tasks[[#This Row],[Description]], 45)),
IF(LEN(_xlpm.leftValue) &lt; 40, _xlpm.leftValue, _xlfn.CONCAT(_xlpm.leftValue, "…"))
)</f>
        <v>Remove masking</v>
      </c>
      <c r="E429" s="15" t="str" cm="1">
        <f t="array" ref="E429">_xlfn.LET(
_xlpm.inTower, COUNTIF(Tower_Num_Table[Tower Rm Numbers], LEFT(Task_Summary_Table[[#This Row],[Area/Room]], 3)) &gt; 0,
_xlpm.typeResult, _xlfn.SWITCH(LEFT(Tasks[[#This Row],[Page]], 2), "Hi", "Historic", "An", "Annex", "Si", "Site", "S5", "Project Task", "SWITCH ERROR"),
IF(_xlpm.inTower, "West Tower", _xlpm.typeResult)
)</f>
        <v>Historic</v>
      </c>
      <c r="F429" s="15" t="str">
        <f>IFERROR(MID(Tasks[[#This Row],[Page]], FIND("Level", Tasks[[#This Row],[Page]]), 7), IF(ISNUMBER(FIND("Roof", Tasks[[#This Row],[Page]])), "Roof",  IF(ISNUMBER(FIND("S590", Tasks[[#This Row],[Page]])), "",  IF(ISNUMBER(FIND("Site", Tasks[[#This Row],[Page]])), "", "ERROR"))))</f>
        <v>Level 0</v>
      </c>
      <c r="G429" s="15" t="str">
        <f>IF(Tasks[[#This Row],[Location]]=0, "", Tasks[[#This Row],[Location]])</f>
        <v>067 - Font</v>
      </c>
      <c r="H429" s="15" t="str">
        <f>Tasks[[#This Row],[To Package]]</f>
        <v>Paint</v>
      </c>
      <c r="I429" s="15" t="str">
        <f>Tasks[[#This Row],[To Organisation]]</f>
        <v>Accent Painting and Special Coatings, LLC</v>
      </c>
    </row>
    <row r="430" spans="1:9" ht="15.5" x14ac:dyDescent="0.35">
      <c r="A430" s="16" t="str">
        <f>HYPERLINK(_xlfn.CONCAT(Edit_URL,Tasks[[#This Row],[Ref]]),Tasks[[#This Row],[Ref]])</f>
        <v>T74290.197</v>
      </c>
      <c r="B430" s="15" t="str" cm="1">
        <f t="array" ref="B430">_xlfn.SWITCH(LEFT(Tasks[[#This Row],[Status]],1),"O","Opened","C","Completed","S","Signed Off", "V", "Signed Off","ERROR")</f>
        <v>Opened</v>
      </c>
      <c r="C430" s="15" t="str" cm="1">
        <f t="array" ref="C430">_xlfn.SWITCH(LEFT(Tasks[[#This Row],[Type]], 3), "Fie", "Field Report", "Con", "Contractor QC", "Gen", "Contractor QC", "Pun", "Contractor QC", "Qua", "Contractor QC", "Fin", "Punch List")</f>
        <v>Contractor QC</v>
      </c>
      <c r="D430" s="15" t="str">
        <f>_xlfn.LET(
_xlpm.leftValue, TRIM(LEFT(Tasks[[#This Row],[Description]], 45)),
IF(LEN(_xlpm.leftValue) &lt; 40, _xlpm.leftValue, _xlfn.CONCAT(_xlpm.leftValue, "…"))
)</f>
        <v>Level outlet</v>
      </c>
      <c r="E430" s="15" t="str" cm="1">
        <f t="array" ref="E430">_xlfn.LET(
_xlpm.inTower, COUNTIF(Tower_Num_Table[Tower Rm Numbers], LEFT(Task_Summary_Table[[#This Row],[Area/Room]], 3)) &gt; 0,
_xlpm.typeResult, _xlfn.SWITCH(LEFT(Tasks[[#This Row],[Page]], 2), "Hi", "Historic", "An", "Annex", "Si", "Site", "S5", "Project Task", "SWITCH ERROR"),
IF(_xlpm.inTower, "West Tower", _xlpm.typeResult)
)</f>
        <v>Historic</v>
      </c>
      <c r="F430" s="15" t="str">
        <f>IFERROR(MID(Tasks[[#This Row],[Page]], FIND("Level", Tasks[[#This Row],[Page]]), 7), IF(ISNUMBER(FIND("Roof", Tasks[[#This Row],[Page]])), "Roof",  IF(ISNUMBER(FIND("S590", Tasks[[#This Row],[Page]])), "",  IF(ISNUMBER(FIND("Site", Tasks[[#This Row],[Page]])), "", "ERROR"))))</f>
        <v>Level 0</v>
      </c>
      <c r="G430" s="15" t="str">
        <f>IF(Tasks[[#This Row],[Location]]=0, "", Tasks[[#This Row],[Location]])</f>
        <v>077 - Dressing - Boys</v>
      </c>
      <c r="H430" s="15" t="str">
        <f>Tasks[[#This Row],[To Package]]</f>
        <v>Electrical</v>
      </c>
      <c r="I430" s="15" t="str">
        <f>Tasks[[#This Row],[To Organisation]]</f>
        <v>Wilkinson Electric Inc</v>
      </c>
    </row>
    <row r="431" spans="1:9" ht="15.5" x14ac:dyDescent="0.35">
      <c r="A431" s="16" t="str">
        <f>HYPERLINK(_xlfn.CONCAT(Edit_URL,Tasks[[#This Row],[Ref]]),Tasks[[#This Row],[Ref]])</f>
        <v>T74290.318</v>
      </c>
      <c r="B431" s="15" t="str" cm="1">
        <f t="array" ref="B431">_xlfn.SWITCH(LEFT(Tasks[[#This Row],[Status]],1),"O","Opened","C","Completed","S","Signed Off", "V", "Signed Off","ERROR")</f>
        <v>Opened</v>
      </c>
      <c r="C431" s="15" t="str" cm="1">
        <f t="array" ref="C431">_xlfn.SWITCH(LEFT(Tasks[[#This Row],[Type]], 3), "Fie", "Field Report", "Con", "Contractor QC", "Gen", "Contractor QC", "Pun", "Contractor QC", "Qua", "Contractor QC", "Fin", "Punch List")</f>
        <v>Contractor QC</v>
      </c>
      <c r="D431" s="15" t="str">
        <f>_xlfn.LET(
_xlpm.leftValue, TRIM(LEFT(Tasks[[#This Row],[Description]], 45)),
IF(LEN(_xlpm.leftValue) &lt; 40, _xlpm.leftValue, _xlfn.CONCAT(_xlpm.leftValue, "…"))
)</f>
        <v>Clean paint off handrail brackets</v>
      </c>
      <c r="E431" s="15" t="str" cm="1">
        <f t="array" ref="E431">_xlfn.LET(
_xlpm.inTower, COUNTIF(Tower_Num_Table[Tower Rm Numbers], LEFT(Task_Summary_Table[[#This Row],[Area/Room]], 3)) &gt; 0,
_xlpm.typeResult, _xlfn.SWITCH(LEFT(Tasks[[#This Row],[Page]], 2), "Hi", "Historic", "An", "Annex", "Si", "Site", "S5", "Project Task", "SWITCH ERROR"),
IF(_xlpm.inTower, "West Tower", _xlpm.typeResult)
)</f>
        <v>Historic</v>
      </c>
      <c r="F431" s="15" t="str">
        <f>IFERROR(MID(Tasks[[#This Row],[Page]], FIND("Level", Tasks[[#This Row],[Page]]), 7), IF(ISNUMBER(FIND("Roof", Tasks[[#This Row],[Page]])), "Roof",  IF(ISNUMBER(FIND("S590", Tasks[[#This Row],[Page]])), "",  IF(ISNUMBER(FIND("Site", Tasks[[#This Row],[Page]])), "", "ERROR"))))</f>
        <v>Level 0</v>
      </c>
      <c r="G431" s="15" t="str">
        <f>IF(Tasks[[#This Row],[Location]]=0, "", Tasks[[#This Row],[Location]])</f>
        <v>63A - STAIR 8</v>
      </c>
      <c r="H431" s="15" t="str">
        <f>Tasks[[#This Row],[To Package]]</f>
        <v>Paint</v>
      </c>
      <c r="I431" s="15" t="str">
        <f>Tasks[[#This Row],[To Organisation]]</f>
        <v>Accent Painting and Special Coatings, LLC</v>
      </c>
    </row>
    <row r="432" spans="1:9" ht="15.5" x14ac:dyDescent="0.35">
      <c r="A432" s="16" t="str">
        <f>HYPERLINK(_xlfn.CONCAT(Edit_URL,Tasks[[#This Row],[Ref]]),Tasks[[#This Row],[Ref]])</f>
        <v>T1.9695203</v>
      </c>
      <c r="B432" s="15" t="str" cm="1">
        <f t="array" ref="B432">_xlfn.SWITCH(LEFT(Tasks[[#This Row],[Status]],1),"O","Opened","C","Completed","S","Signed Off", "V", "Signed Off","ERROR")</f>
        <v>Opened</v>
      </c>
      <c r="C432" s="15" t="str" cm="1">
        <f t="array" ref="C432">_xlfn.SWITCH(LEFT(Tasks[[#This Row],[Type]], 3), "Fie", "Field Report", "Con", "Contractor QC", "Gen", "Contractor QC", "Pun", "Contractor QC", "Qua", "Contractor QC", "Fin", "Punch List")</f>
        <v>Contractor QC</v>
      </c>
      <c r="D432" s="15" t="str">
        <f>_xlfn.LET(
_xlpm.leftValue, TRIM(LEFT(Tasks[[#This Row],[Description]], 45)),
IF(LEN(_xlpm.leftValue) &lt; 40, _xlpm.leftValue, _xlfn.CONCAT(_xlpm.leftValue, "…"))
)</f>
        <v>Wallpaper is peeling</v>
      </c>
      <c r="E432" s="15" t="str" cm="1">
        <f t="array" ref="E432">_xlfn.LET(
_xlpm.inTower, COUNTIF(Tower_Num_Table[Tower Rm Numbers], LEFT(Task_Summary_Table[[#This Row],[Area/Room]], 3)) &gt; 0,
_xlpm.typeResult, _xlfn.SWITCH(LEFT(Tasks[[#This Row],[Page]], 2), "Hi", "Historic", "An", "Annex", "Si", "Site", "S5", "Project Task", "SWITCH ERROR"),
IF(_xlpm.inTower, "West Tower", _xlpm.typeResult)
)</f>
        <v>Annex</v>
      </c>
      <c r="F432" s="15" t="str">
        <f>IFERROR(MID(Tasks[[#This Row],[Page]], FIND("Level", Tasks[[#This Row],[Page]]), 7), IF(ISNUMBER(FIND("Roof", Tasks[[#This Row],[Page]])), "Roof",  IF(ISNUMBER(FIND("S590", Tasks[[#This Row],[Page]])), "",  IF(ISNUMBER(FIND("Site", Tasks[[#This Row],[Page]])), "", "ERROR"))))</f>
        <v>Level 0</v>
      </c>
      <c r="G432" s="15" t="str">
        <f>IF(Tasks[[#This Row],[Location]]=0, "", Tasks[[#This Row],[Location]])</f>
        <v>015 - WORKER TRAINING</v>
      </c>
      <c r="H432" s="15" t="str">
        <f>Tasks[[#This Row],[To Package]]</f>
        <v>Vinyl Wall Covering</v>
      </c>
      <c r="I432" s="15" t="str">
        <f>Tasks[[#This Row],[To Organisation]]</f>
        <v>Accent Painting and Special Coatings, LLC</v>
      </c>
    </row>
    <row r="433" spans="1:9" ht="15.5" x14ac:dyDescent="0.35">
      <c r="A433" s="16" t="str">
        <f>HYPERLINK(_xlfn.CONCAT(Edit_URL,Tasks[[#This Row],[Ref]]),Tasks[[#This Row],[Ref]])</f>
        <v>T74290.348</v>
      </c>
      <c r="B433" s="15" t="str" cm="1">
        <f t="array" ref="B433">_xlfn.SWITCH(LEFT(Tasks[[#This Row],[Status]],1),"O","Opened","C","Completed","S","Signed Off", "V", "Signed Off","ERROR")</f>
        <v>Opened</v>
      </c>
      <c r="C433" s="15" t="str" cm="1">
        <f t="array" ref="C433">_xlfn.SWITCH(LEFT(Tasks[[#This Row],[Type]], 3), "Fie", "Field Report", "Con", "Contractor QC", "Gen", "Contractor QC", "Pun", "Contractor QC", "Qua", "Contractor QC", "Fin", "Punch List")</f>
        <v>Contractor QC</v>
      </c>
      <c r="D433" s="15" t="str">
        <f>_xlfn.LET(
_xlpm.leftValue, TRIM(LEFT(Tasks[[#This Row],[Description]], 45)),
IF(LEN(_xlpm.leftValue) &lt; 40, _xlpm.leftValue, _xlfn.CONCAT(_xlpm.leftValue, "…"))
)</f>
        <v>Fill nail holes in Transom</v>
      </c>
      <c r="E433" s="15" t="str" cm="1">
        <f t="array" ref="E433">_xlfn.LET(
_xlpm.inTower, COUNTIF(Tower_Num_Table[Tower Rm Numbers], LEFT(Task_Summary_Table[[#This Row],[Area/Room]], 3)) &gt; 0,
_xlpm.typeResult, _xlfn.SWITCH(LEFT(Tasks[[#This Row],[Page]], 2), "Hi", "Historic", "An", "Annex", "Si", "Site", "S5", "Project Task", "SWITCH ERROR"),
IF(_xlpm.inTower, "West Tower", _xlpm.typeResult)
)</f>
        <v>Historic</v>
      </c>
      <c r="F433" s="15" t="str">
        <f>IFERROR(MID(Tasks[[#This Row],[Page]], FIND("Level", Tasks[[#This Row],[Page]]), 7), IF(ISNUMBER(FIND("Roof", Tasks[[#This Row],[Page]])), "Roof",  IF(ISNUMBER(FIND("S590", Tasks[[#This Row],[Page]])), "",  IF(ISNUMBER(FIND("Site", Tasks[[#This Row],[Page]])), "", "ERROR"))))</f>
        <v>Level 5</v>
      </c>
      <c r="G433" s="15" t="str">
        <f>IF(Tasks[[#This Row],[Location]]=0, "", Tasks[[#This Row],[Location]])</f>
        <v/>
      </c>
      <c r="H433" s="15" t="str">
        <f>Tasks[[#This Row],[To Package]]</f>
        <v>Paint</v>
      </c>
      <c r="I433" s="15" t="str">
        <f>Tasks[[#This Row],[To Organisation]]</f>
        <v>Accent Painting and Special Coatings, LLC</v>
      </c>
    </row>
    <row r="434" spans="1:9" ht="15.5" x14ac:dyDescent="0.35">
      <c r="A434" s="16" t="str">
        <f>HYPERLINK(_xlfn.CONCAT(Edit_URL,Tasks[[#This Row],[Ref]]),Tasks[[#This Row],[Ref]])</f>
        <v>T74290.353</v>
      </c>
      <c r="B434" s="15" t="str" cm="1">
        <f t="array" ref="B434">_xlfn.SWITCH(LEFT(Tasks[[#This Row],[Status]],1),"O","Opened","C","Completed","S","Signed Off", "V", "Signed Off","ERROR")</f>
        <v>Opened</v>
      </c>
      <c r="C434" s="15" t="str" cm="1">
        <f t="array" ref="C434">_xlfn.SWITCH(LEFT(Tasks[[#This Row],[Type]], 3), "Fie", "Field Report", "Con", "Contractor QC", "Gen", "Contractor QC", "Pun", "Contractor QC", "Qua", "Contractor QC", "Fin", "Punch List")</f>
        <v>Contractor QC</v>
      </c>
      <c r="D434" s="15" t="str">
        <f>_xlfn.LET(
_xlpm.leftValue, TRIM(LEFT(Tasks[[#This Row],[Description]], 45)),
IF(LEN(_xlpm.leftValue) &lt; 40, _xlpm.leftValue, _xlfn.CONCAT(_xlpm.leftValue, "…"))
)</f>
        <v>Touchup south wall￼</v>
      </c>
      <c r="E434" s="15" t="str" cm="1">
        <f t="array" ref="E434">_xlfn.LET(
_xlpm.inTower, COUNTIF(Tower_Num_Table[Tower Rm Numbers], LEFT(Task_Summary_Table[[#This Row],[Area/Room]], 3)) &gt; 0,
_xlpm.typeResult, _xlfn.SWITCH(LEFT(Tasks[[#This Row],[Page]], 2), "Hi", "Historic", "An", "Annex", "Si", "Site", "S5", "Project Task", "SWITCH ERROR"),
IF(_xlpm.inTower, "West Tower", _xlpm.typeResult)
)</f>
        <v>Historic</v>
      </c>
      <c r="F434" s="15" t="str">
        <f>IFERROR(MID(Tasks[[#This Row],[Page]], FIND("Level", Tasks[[#This Row],[Page]]), 7), IF(ISNUMBER(FIND("Roof", Tasks[[#This Row],[Page]])), "Roof",  IF(ISNUMBER(FIND("S590", Tasks[[#This Row],[Page]])), "",  IF(ISNUMBER(FIND("Site", Tasks[[#This Row],[Page]])), "", "ERROR"))))</f>
        <v>Level 5</v>
      </c>
      <c r="G434" s="15" t="str">
        <f>IF(Tasks[[#This Row],[Location]]=0, "", Tasks[[#This Row],[Location]])</f>
        <v/>
      </c>
      <c r="H434" s="15" t="str">
        <f>Tasks[[#This Row],[To Package]]</f>
        <v>Paint</v>
      </c>
      <c r="I434" s="15" t="str">
        <f>Tasks[[#This Row],[To Organisation]]</f>
        <v>Accent Painting and Special Coatings, LLC</v>
      </c>
    </row>
    <row r="435" spans="1:9" ht="15.5" x14ac:dyDescent="0.35">
      <c r="A435" s="16" t="str">
        <f>HYPERLINK(_xlfn.CONCAT(Edit_URL,Tasks[[#This Row],[Ref]]),Tasks[[#This Row],[Ref]])</f>
        <v>T74290.354</v>
      </c>
      <c r="B435" s="15" t="str" cm="1">
        <f t="array" ref="B435">_xlfn.SWITCH(LEFT(Tasks[[#This Row],[Status]],1),"O","Opened","C","Completed","S","Signed Off", "V", "Signed Off","ERROR")</f>
        <v>Opened</v>
      </c>
      <c r="C435" s="15" t="str" cm="1">
        <f t="array" ref="C435">_xlfn.SWITCH(LEFT(Tasks[[#This Row],[Type]], 3), "Fie", "Field Report", "Con", "Contractor QC", "Gen", "Contractor QC", "Pun", "Contractor QC", "Qua", "Contractor QC", "Fin", "Punch List")</f>
        <v>Contractor QC</v>
      </c>
      <c r="D435" s="15" t="str">
        <f>_xlfn.LET(
_xlpm.leftValue, TRIM(LEFT(Tasks[[#This Row],[Description]], 45)),
IF(LEN(_xlpm.leftValue) &lt; 40, _xlpm.leftValue, _xlfn.CONCAT(_xlpm.leftValue, "…"))
)</f>
        <v>Touchup south wall￼</v>
      </c>
      <c r="E435" s="15" t="str" cm="1">
        <f t="array" ref="E435">_xlfn.LET(
_xlpm.inTower, COUNTIF(Tower_Num_Table[Tower Rm Numbers], LEFT(Task_Summary_Table[[#This Row],[Area/Room]], 3)) &gt; 0,
_xlpm.typeResult, _xlfn.SWITCH(LEFT(Tasks[[#This Row],[Page]], 2), "Hi", "Historic", "An", "Annex", "Si", "Site", "S5", "Project Task", "SWITCH ERROR"),
IF(_xlpm.inTower, "West Tower", _xlpm.typeResult)
)</f>
        <v>Historic</v>
      </c>
      <c r="F435" s="15" t="str">
        <f>IFERROR(MID(Tasks[[#This Row],[Page]], FIND("Level", Tasks[[#This Row],[Page]]), 7), IF(ISNUMBER(FIND("Roof", Tasks[[#This Row],[Page]])), "Roof",  IF(ISNUMBER(FIND("S590", Tasks[[#This Row],[Page]])), "",  IF(ISNUMBER(FIND("Site", Tasks[[#This Row],[Page]])), "", "ERROR"))))</f>
        <v>Level 5</v>
      </c>
      <c r="G435" s="15" t="str">
        <f>IF(Tasks[[#This Row],[Location]]=0, "", Tasks[[#This Row],[Location]])</f>
        <v/>
      </c>
      <c r="H435" s="15" t="str">
        <f>Tasks[[#This Row],[To Package]]</f>
        <v>Paint</v>
      </c>
      <c r="I435" s="15" t="str">
        <f>Tasks[[#This Row],[To Organisation]]</f>
        <v>Accent Painting and Special Coatings, LLC</v>
      </c>
    </row>
    <row r="436" spans="1:9" ht="15.5" x14ac:dyDescent="0.35">
      <c r="A436" s="16" t="str">
        <f>HYPERLINK(_xlfn.CONCAT(Edit_URL,Tasks[[#This Row],[Ref]]),Tasks[[#This Row],[Ref]])</f>
        <v>T74290.356</v>
      </c>
      <c r="B436" s="15" t="str" cm="1">
        <f t="array" ref="B436">_xlfn.SWITCH(LEFT(Tasks[[#This Row],[Status]],1),"O","Opened","C","Completed","S","Signed Off", "V", "Signed Off","ERROR")</f>
        <v>Opened</v>
      </c>
      <c r="C436" s="15" t="str" cm="1">
        <f t="array" ref="C436">_xlfn.SWITCH(LEFT(Tasks[[#This Row],[Type]], 3), "Fie", "Field Report", "Con", "Contractor QC", "Gen", "Contractor QC", "Pun", "Contractor QC", "Qua", "Contractor QC", "Fin", "Punch List")</f>
        <v>Contractor QC</v>
      </c>
      <c r="D436" s="15" t="str">
        <f>_xlfn.LET(
_xlpm.leftValue, TRIM(LEFT(Tasks[[#This Row],[Description]], 45)),
IF(LEN(_xlpm.leftValue) &lt; 40, _xlpm.leftValue, _xlfn.CONCAT(_xlpm.leftValue, "…"))
)</f>
        <v>Touch up around access opening￼</v>
      </c>
      <c r="E436" s="15" t="str" cm="1">
        <f t="array" ref="E436">_xlfn.LET(
_xlpm.inTower, COUNTIF(Tower_Num_Table[Tower Rm Numbers], LEFT(Task_Summary_Table[[#This Row],[Area/Room]], 3)) &gt; 0,
_xlpm.typeResult, _xlfn.SWITCH(LEFT(Tasks[[#This Row],[Page]], 2), "Hi", "Historic", "An", "Annex", "Si", "Site", "S5", "Project Task", "SWITCH ERROR"),
IF(_xlpm.inTower, "West Tower", _xlpm.typeResult)
)</f>
        <v>Historic</v>
      </c>
      <c r="F436" s="15" t="str">
        <f>IFERROR(MID(Tasks[[#This Row],[Page]], FIND("Level", Tasks[[#This Row],[Page]]), 7), IF(ISNUMBER(FIND("Roof", Tasks[[#This Row],[Page]])), "Roof",  IF(ISNUMBER(FIND("S590", Tasks[[#This Row],[Page]])), "",  IF(ISNUMBER(FIND("Site", Tasks[[#This Row],[Page]])), "", "ERROR"))))</f>
        <v>Level 5</v>
      </c>
      <c r="G436" s="15" t="str">
        <f>IF(Tasks[[#This Row],[Location]]=0, "", Tasks[[#This Row],[Location]])</f>
        <v/>
      </c>
      <c r="H436" s="15" t="str">
        <f>Tasks[[#This Row],[To Package]]</f>
        <v>Metal Stud / Drywall</v>
      </c>
      <c r="I436" s="15" t="str">
        <f>Tasks[[#This Row],[To Organisation]]</f>
        <v>Pete King Construction</v>
      </c>
    </row>
    <row r="437" spans="1:9" ht="15.5" x14ac:dyDescent="0.35">
      <c r="A437" s="16" t="str">
        <f>HYPERLINK(_xlfn.CONCAT(Edit_URL,Tasks[[#This Row],[Ref]]),Tasks[[#This Row],[Ref]])</f>
        <v>T74290.316</v>
      </c>
      <c r="B437" s="15" t="str" cm="1">
        <f t="array" ref="B437">_xlfn.SWITCH(LEFT(Tasks[[#This Row],[Status]],1),"O","Opened","C","Completed","S","Signed Off", "V", "Signed Off","ERROR")</f>
        <v>Opened</v>
      </c>
      <c r="C437" s="15" t="str" cm="1">
        <f t="array" ref="C437">_xlfn.SWITCH(LEFT(Tasks[[#This Row],[Type]], 3), "Fie", "Field Report", "Con", "Contractor QC", "Gen", "Contractor QC", "Pun", "Contractor QC", "Qua", "Contractor QC", "Fin", "Punch List")</f>
        <v>Contractor QC</v>
      </c>
      <c r="D437" s="15" t="str">
        <f>_xlfn.LET(
_xlpm.leftValue, TRIM(LEFT(Tasks[[#This Row],[Description]], 45)),
IF(LEN(_xlpm.leftValue) &lt; 40, _xlpm.leftValue, _xlfn.CONCAT(_xlpm.leftValue, "…"))
)</f>
        <v>Level sign</v>
      </c>
      <c r="E437" s="15" t="str" cm="1">
        <f t="array" ref="E437">_xlfn.LET(
_xlpm.inTower, COUNTIF(Tower_Num_Table[Tower Rm Numbers], LEFT(Task_Summary_Table[[#This Row],[Area/Room]], 3)) &gt; 0,
_xlpm.typeResult, _xlfn.SWITCH(LEFT(Tasks[[#This Row],[Page]], 2), "Hi", "Historic", "An", "Annex", "Si", "Site", "S5", "Project Task", "SWITCH ERROR"),
IF(_xlpm.inTower, "West Tower", _xlpm.typeResult)
)</f>
        <v>Annex</v>
      </c>
      <c r="F437" s="15" t="str">
        <f>IFERROR(MID(Tasks[[#This Row],[Page]], FIND("Level", Tasks[[#This Row],[Page]]), 7), IF(ISNUMBER(FIND("Roof", Tasks[[#This Row],[Page]])), "Roof",  IF(ISNUMBER(FIND("S590", Tasks[[#This Row],[Page]])), "",  IF(ISNUMBER(FIND("Site", Tasks[[#This Row],[Page]])), "", "ERROR"))))</f>
        <v>Level 1</v>
      </c>
      <c r="G437" s="15" t="str">
        <f>IF(Tasks[[#This Row],[Location]]=0, "", Tasks[[#This Row],[Location]])</f>
        <v>126A - Hall</v>
      </c>
      <c r="H437" s="15" t="str">
        <f>Tasks[[#This Row],[To Package]]</f>
        <v>Westland -- Annex</v>
      </c>
      <c r="I437" s="15" t="str">
        <f>Tasks[[#This Row],[To Organisation]]</f>
        <v>Westland Construction, Inc.</v>
      </c>
    </row>
    <row r="438" spans="1:9" ht="15.5" x14ac:dyDescent="0.35">
      <c r="A438" s="16" t="str">
        <f>HYPERLINK(_xlfn.CONCAT(Edit_URL,Tasks[[#This Row],[Ref]]),Tasks[[#This Row],[Ref]])</f>
        <v>T74290.378</v>
      </c>
      <c r="B438" s="15" t="str" cm="1">
        <f t="array" ref="B438">_xlfn.SWITCH(LEFT(Tasks[[#This Row],[Status]],1),"O","Opened","C","Completed","S","Signed Off", "V", "Signed Off","ERROR")</f>
        <v>Opened</v>
      </c>
      <c r="C438" s="15" t="str" cm="1">
        <f t="array" ref="C438">_xlfn.SWITCH(LEFT(Tasks[[#This Row],[Type]], 3), "Fie", "Field Report", "Con", "Contractor QC", "Gen", "Contractor QC", "Pun", "Contractor QC", "Qua", "Contractor QC", "Fin", "Punch List")</f>
        <v>Contractor QC</v>
      </c>
      <c r="D438" s="15" t="str">
        <f>_xlfn.LET(
_xlpm.leftValue, TRIM(LEFT(Tasks[[#This Row],[Description]], 45)),
IF(LEN(_xlpm.leftValue) &lt; 40, _xlpm.leftValue, _xlfn.CONCAT(_xlpm.leftValue, "…"))
)</f>
        <v>Complete baseboard</v>
      </c>
      <c r="E438" s="15" t="str" cm="1">
        <f t="array" ref="E438">_xlfn.LET(
_xlpm.inTower, COUNTIF(Tower_Num_Table[Tower Rm Numbers], LEFT(Task_Summary_Table[[#This Row],[Area/Room]], 3)) &gt; 0,
_xlpm.typeResult, _xlfn.SWITCH(LEFT(Tasks[[#This Row],[Page]], 2), "Hi", "Historic", "An", "Annex", "Si", "Site", "S5", "Project Task", "SWITCH ERROR"),
IF(_xlpm.inTower, "West Tower", _xlpm.typeResult)
)</f>
        <v>Annex</v>
      </c>
      <c r="F438" s="15" t="str">
        <f>IFERROR(MID(Tasks[[#This Row],[Page]], FIND("Level", Tasks[[#This Row],[Page]]), 7), IF(ISNUMBER(FIND("Roof", Tasks[[#This Row],[Page]])), "Roof",  IF(ISNUMBER(FIND("S590", Tasks[[#This Row],[Page]])), "",  IF(ISNUMBER(FIND("Site", Tasks[[#This Row],[Page]])), "", "ERROR"))))</f>
        <v>Level 1</v>
      </c>
      <c r="G438" s="15" t="str">
        <f>IF(Tasks[[#This Row],[Location]]=0, "", Tasks[[#This Row],[Location]])</f>
        <v>123 - Security</v>
      </c>
      <c r="H438" s="15" t="str">
        <f>Tasks[[#This Row],[To Package]]</f>
        <v>Westland -- Annex</v>
      </c>
      <c r="I438" s="15" t="str">
        <f>Tasks[[#This Row],[To Organisation]]</f>
        <v>Westland Construction, Inc.</v>
      </c>
    </row>
    <row r="439" spans="1:9" ht="15.5" x14ac:dyDescent="0.35">
      <c r="A439" s="16" t="str">
        <f>HYPERLINK(_xlfn.CONCAT(Edit_URL,Tasks[[#This Row],[Ref]]),Tasks[[#This Row],[Ref]])</f>
        <v>T74290.379</v>
      </c>
      <c r="B439" s="15" t="str" cm="1">
        <f t="array" ref="B439">_xlfn.SWITCH(LEFT(Tasks[[#This Row],[Status]],1),"O","Opened","C","Completed","S","Signed Off", "V", "Signed Off","ERROR")</f>
        <v>Opened</v>
      </c>
      <c r="C439" s="15" t="str" cm="1">
        <f t="array" ref="C439">_xlfn.SWITCH(LEFT(Tasks[[#This Row],[Type]], 3), "Fie", "Field Report", "Con", "Contractor QC", "Gen", "Contractor QC", "Pun", "Contractor QC", "Qua", "Contractor QC", "Fin", "Punch List")</f>
        <v>Contractor QC</v>
      </c>
      <c r="D439" s="15" t="str">
        <f>_xlfn.LET(
_xlpm.leftValue, TRIM(LEFT(Tasks[[#This Row],[Description]], 45)),
IF(LEN(_xlpm.leftValue) &lt; 40, _xlpm.leftValue, _xlfn.CONCAT(_xlpm.leftValue, "…"))
)</f>
        <v>Install switch cover and thermostat</v>
      </c>
      <c r="E439" s="15" t="str" cm="1">
        <f t="array" ref="E439">_xlfn.LET(
_xlpm.inTower, COUNTIF(Tower_Num_Table[Tower Rm Numbers], LEFT(Task_Summary_Table[[#This Row],[Area/Room]], 3)) &gt; 0,
_xlpm.typeResult, _xlfn.SWITCH(LEFT(Tasks[[#This Row],[Page]], 2), "Hi", "Historic", "An", "Annex", "Si", "Site", "S5", "Project Task", "SWITCH ERROR"),
IF(_xlpm.inTower, "West Tower", _xlpm.typeResult)
)</f>
        <v>Annex</v>
      </c>
      <c r="F439" s="15" t="str">
        <f>IFERROR(MID(Tasks[[#This Row],[Page]], FIND("Level", Tasks[[#This Row],[Page]]), 7), IF(ISNUMBER(FIND("Roof", Tasks[[#This Row],[Page]])), "Roof",  IF(ISNUMBER(FIND("S590", Tasks[[#This Row],[Page]])), "",  IF(ISNUMBER(FIND("Site", Tasks[[#This Row],[Page]])), "", "ERROR"))))</f>
        <v>Level 1</v>
      </c>
      <c r="G439" s="15" t="str">
        <f>IF(Tasks[[#This Row],[Location]]=0, "", Tasks[[#This Row],[Location]])</f>
        <v>123 - Security</v>
      </c>
      <c r="H439" s="15" t="str">
        <f>Tasks[[#This Row],[To Package]]</f>
        <v>Paint</v>
      </c>
      <c r="I439" s="15" t="str">
        <f>Tasks[[#This Row],[To Organisation]]</f>
        <v>Accent Painting and Special Coatings, LLC</v>
      </c>
    </row>
    <row r="440" spans="1:9" ht="15.5" x14ac:dyDescent="0.35">
      <c r="A440" s="16" t="str">
        <f>HYPERLINK(_xlfn.CONCAT(Edit_URL,Tasks[[#This Row],[Ref]]),Tasks[[#This Row],[Ref]])</f>
        <v>T74290.380</v>
      </c>
      <c r="B440" s="15" t="str" cm="1">
        <f t="array" ref="B440">_xlfn.SWITCH(LEFT(Tasks[[#This Row],[Status]],1),"O","Opened","C","Completed","S","Signed Off", "V", "Signed Off","ERROR")</f>
        <v>Opened</v>
      </c>
      <c r="C440" s="15" t="str" cm="1">
        <f t="array" ref="C440">_xlfn.SWITCH(LEFT(Tasks[[#This Row],[Type]], 3), "Fie", "Field Report", "Con", "Contractor QC", "Gen", "Contractor QC", "Pun", "Contractor QC", "Qua", "Contractor QC", "Fin", "Punch List")</f>
        <v>Contractor QC</v>
      </c>
      <c r="D440" s="15" t="str">
        <f>_xlfn.LET(
_xlpm.leftValue, TRIM(LEFT(Tasks[[#This Row],[Description]], 45)),
IF(LEN(_xlpm.leftValue) &lt; 40, _xlpm.leftValue, _xlfn.CONCAT(_xlpm.leftValue, "…"))
)</f>
        <v>Install clean out cover</v>
      </c>
      <c r="E440" s="15" t="str" cm="1">
        <f t="array" ref="E440">_xlfn.LET(
_xlpm.inTower, COUNTIF(Tower_Num_Table[Tower Rm Numbers], LEFT(Task_Summary_Table[[#This Row],[Area/Room]], 3)) &gt; 0,
_xlpm.typeResult, _xlfn.SWITCH(LEFT(Tasks[[#This Row],[Page]], 2), "Hi", "Historic", "An", "Annex", "Si", "Site", "S5", "Project Task", "SWITCH ERROR"),
IF(_xlpm.inTower, "West Tower", _xlpm.typeResult)
)</f>
        <v>Annex</v>
      </c>
      <c r="F440" s="15" t="str">
        <f>IFERROR(MID(Tasks[[#This Row],[Page]], FIND("Level", Tasks[[#This Row],[Page]]), 7), IF(ISNUMBER(FIND("Roof", Tasks[[#This Row],[Page]])), "Roof",  IF(ISNUMBER(FIND("S590", Tasks[[#This Row],[Page]])), "",  IF(ISNUMBER(FIND("Site", Tasks[[#This Row],[Page]])), "", "ERROR"))))</f>
        <v>Level 1</v>
      </c>
      <c r="G440" s="15" t="str">
        <f>IF(Tasks[[#This Row],[Location]]=0, "", Tasks[[#This Row],[Location]])</f>
        <v>123 - Security</v>
      </c>
      <c r="H440" s="15" t="str">
        <f>Tasks[[#This Row],[To Package]]</f>
        <v>Plumbing</v>
      </c>
      <c r="I440" s="15" t="str">
        <f>Tasks[[#This Row],[To Organisation]]</f>
        <v>US Mechanical</v>
      </c>
    </row>
    <row r="441" spans="1:9" ht="15.5" x14ac:dyDescent="0.35">
      <c r="A441" s="16" t="str">
        <f>HYPERLINK(_xlfn.CONCAT(Edit_URL,Tasks[[#This Row],[Ref]]),Tasks[[#This Row],[Ref]])</f>
        <v>T74290.381</v>
      </c>
      <c r="B441" s="15" t="str" cm="1">
        <f t="array" ref="B441">_xlfn.SWITCH(LEFT(Tasks[[#This Row],[Status]],1),"O","Opened","C","Completed","S","Signed Off", "V", "Signed Off","ERROR")</f>
        <v>Opened</v>
      </c>
      <c r="C441" s="15" t="str" cm="1">
        <f t="array" ref="C441">_xlfn.SWITCH(LEFT(Tasks[[#This Row],[Type]], 3), "Fie", "Field Report", "Con", "Contractor QC", "Gen", "Contractor QC", "Pun", "Contractor QC", "Qua", "Contractor QC", "Fin", "Punch List")</f>
        <v>Contractor QC</v>
      </c>
      <c r="D441" s="15" t="str">
        <f>_xlfn.LET(
_xlpm.leftValue, TRIM(LEFT(Tasks[[#This Row],[Description]], 45)),
IF(LEN(_xlpm.leftValue) &lt; 40, _xlpm.leftValue, _xlfn.CONCAT(_xlpm.leftValue, "…"))
)</f>
        <v>Install door hardware</v>
      </c>
      <c r="E441" s="15" t="str" cm="1">
        <f t="array" ref="E441">_xlfn.LET(
_xlpm.inTower, COUNTIF(Tower_Num_Table[Tower Rm Numbers], LEFT(Task_Summary_Table[[#This Row],[Area/Room]], 3)) &gt; 0,
_xlpm.typeResult, _xlfn.SWITCH(LEFT(Tasks[[#This Row],[Page]], 2), "Hi", "Historic", "An", "Annex", "Si", "Site", "S5", "Project Task", "SWITCH ERROR"),
IF(_xlpm.inTower, "West Tower", _xlpm.typeResult)
)</f>
        <v>Annex</v>
      </c>
      <c r="F441" s="15" t="str">
        <f>IFERROR(MID(Tasks[[#This Row],[Page]], FIND("Level", Tasks[[#This Row],[Page]]), 7), IF(ISNUMBER(FIND("Roof", Tasks[[#This Row],[Page]])), "Roof",  IF(ISNUMBER(FIND("S590", Tasks[[#This Row],[Page]])), "",  IF(ISNUMBER(FIND("Site", Tasks[[#This Row],[Page]])), "", "ERROR"))))</f>
        <v>Level 1</v>
      </c>
      <c r="G441" s="15" t="str">
        <f>IF(Tasks[[#This Row],[Location]]=0, "", Tasks[[#This Row],[Location]])</f>
        <v>123 - Security</v>
      </c>
      <c r="H441" s="15" t="str">
        <f>Tasks[[#This Row],[To Package]]</f>
        <v xml:space="preserve">Finish Carpentry </v>
      </c>
      <c r="I441" s="15" t="str">
        <f>Tasks[[#This Row],[To Organisation]]</f>
        <v>Fetzers' Inc.</v>
      </c>
    </row>
    <row r="442" spans="1:9" ht="15.5" x14ac:dyDescent="0.35">
      <c r="A442" s="16" t="str">
        <f>HYPERLINK(_xlfn.CONCAT(Edit_URL,Tasks[[#This Row],[Ref]]),Tasks[[#This Row],[Ref]])</f>
        <v>T74290.383</v>
      </c>
      <c r="B442" s="15" t="str" cm="1">
        <f t="array" ref="B442">_xlfn.SWITCH(LEFT(Tasks[[#This Row],[Status]],1),"O","Opened","C","Completed","S","Signed Off", "V", "Signed Off","ERROR")</f>
        <v>Opened</v>
      </c>
      <c r="C442" s="15" t="str" cm="1">
        <f t="array" ref="C442">_xlfn.SWITCH(LEFT(Tasks[[#This Row],[Type]], 3), "Fie", "Field Report", "Con", "Contractor QC", "Gen", "Contractor QC", "Pun", "Contractor QC", "Qua", "Contractor QC", "Fin", "Punch List")</f>
        <v>Contractor QC</v>
      </c>
      <c r="D442" s="15" t="str">
        <f>_xlfn.LET(
_xlpm.leftValue, TRIM(LEFT(Tasks[[#This Row],[Description]], 45)),
IF(LEN(_xlpm.leftValue) &lt; 40, _xlpm.leftValue, _xlfn.CONCAT(_xlpm.leftValue, "…"))
)</f>
        <v>Install exit sign</v>
      </c>
      <c r="E442" s="15" t="str" cm="1">
        <f t="array" ref="E442">_xlfn.LET(
_xlpm.inTower, COUNTIF(Tower_Num_Table[Tower Rm Numbers], LEFT(Task_Summary_Table[[#This Row],[Area/Room]], 3)) &gt; 0,
_xlpm.typeResult, _xlfn.SWITCH(LEFT(Tasks[[#This Row],[Page]], 2), "Hi", "Historic", "An", "Annex", "Si", "Site", "S5", "Project Task", "SWITCH ERROR"),
IF(_xlpm.inTower, "West Tower", _xlpm.typeResult)
)</f>
        <v>Annex</v>
      </c>
      <c r="F442" s="15" t="str">
        <f>IFERROR(MID(Tasks[[#This Row],[Page]], FIND("Level", Tasks[[#This Row],[Page]]), 7), IF(ISNUMBER(FIND("Roof", Tasks[[#This Row],[Page]])), "Roof",  IF(ISNUMBER(FIND("S590", Tasks[[#This Row],[Page]])), "",  IF(ISNUMBER(FIND("Site", Tasks[[#This Row],[Page]])), "", "ERROR"))))</f>
        <v>Level 1</v>
      </c>
      <c r="G442" s="15" t="str">
        <f>IF(Tasks[[#This Row],[Location]]=0, "", Tasks[[#This Row],[Location]])</f>
        <v>125 - Receiving</v>
      </c>
      <c r="H442" s="15" t="str">
        <f>Tasks[[#This Row],[To Package]]</f>
        <v>Electrical</v>
      </c>
      <c r="I442" s="15" t="str">
        <f>Tasks[[#This Row],[To Organisation]]</f>
        <v>Wilkinson Electric Inc</v>
      </c>
    </row>
    <row r="443" spans="1:9" ht="15.5" x14ac:dyDescent="0.35">
      <c r="A443" s="16" t="str">
        <f>HYPERLINK(_xlfn.CONCAT(Edit_URL,Tasks[[#This Row],[Ref]]),Tasks[[#This Row],[Ref]])</f>
        <v>T74290.384</v>
      </c>
      <c r="B443" s="15" t="str" cm="1">
        <f t="array" ref="B443">_xlfn.SWITCH(LEFT(Tasks[[#This Row],[Status]],1),"O","Opened","C","Completed","S","Signed Off", "V", "Signed Off","ERROR")</f>
        <v>Opened</v>
      </c>
      <c r="C443" s="15" t="str" cm="1">
        <f t="array" ref="C443">_xlfn.SWITCH(LEFT(Tasks[[#This Row],[Type]], 3), "Fie", "Field Report", "Con", "Contractor QC", "Gen", "Contractor QC", "Pun", "Contractor QC", "Qua", "Contractor QC", "Fin", "Punch List")</f>
        <v>Contractor QC</v>
      </c>
      <c r="D443" s="15" t="str">
        <f>_xlfn.LET(
_xlpm.leftValue, TRIM(LEFT(Tasks[[#This Row],[Description]], 45)),
IF(LEN(_xlpm.leftValue) &lt; 40, _xlpm.leftValue, _xlfn.CONCAT(_xlpm.leftValue, "…"))
)</f>
        <v>Install switch cover</v>
      </c>
      <c r="E443" s="15" t="str" cm="1">
        <f t="array" ref="E443">_xlfn.LET(
_xlpm.inTower, COUNTIF(Tower_Num_Table[Tower Rm Numbers], LEFT(Task_Summary_Table[[#This Row],[Area/Room]], 3)) &gt; 0,
_xlpm.typeResult, _xlfn.SWITCH(LEFT(Tasks[[#This Row],[Page]], 2), "Hi", "Historic", "An", "Annex", "Si", "Site", "S5", "Project Task", "SWITCH ERROR"),
IF(_xlpm.inTower, "West Tower", _xlpm.typeResult)
)</f>
        <v>Annex</v>
      </c>
      <c r="F443" s="15" t="str">
        <f>IFERROR(MID(Tasks[[#This Row],[Page]], FIND("Level", Tasks[[#This Row],[Page]]), 7), IF(ISNUMBER(FIND("Roof", Tasks[[#This Row],[Page]])), "Roof",  IF(ISNUMBER(FIND("S590", Tasks[[#This Row],[Page]])), "",  IF(ISNUMBER(FIND("Site", Tasks[[#This Row],[Page]])), "", "ERROR"))))</f>
        <v>Level 1</v>
      </c>
      <c r="G443" s="15" t="str">
        <f>IF(Tasks[[#This Row],[Location]]=0, "", Tasks[[#This Row],[Location]])</f>
        <v>126 - Hall</v>
      </c>
      <c r="H443" s="15" t="str">
        <f>Tasks[[#This Row],[To Package]]</f>
        <v>Electrical</v>
      </c>
      <c r="I443" s="15" t="str">
        <f>Tasks[[#This Row],[To Organisation]]</f>
        <v>Wilkinson Electric Inc</v>
      </c>
    </row>
    <row r="444" spans="1:9" ht="15.5" x14ac:dyDescent="0.35">
      <c r="A444" s="16" t="str">
        <f>HYPERLINK(_xlfn.CONCAT(Edit_URL,Tasks[[#This Row],[Ref]]),Tasks[[#This Row],[Ref]])</f>
        <v>T74290.454</v>
      </c>
      <c r="B444" s="15" t="str" cm="1">
        <f t="array" ref="B444">_xlfn.SWITCH(LEFT(Tasks[[#This Row],[Status]],1),"O","Opened","C","Completed","S","Signed Off", "V", "Signed Off","ERROR")</f>
        <v>Opened</v>
      </c>
      <c r="C444" s="15" t="str" cm="1">
        <f t="array" ref="C444">_xlfn.SWITCH(LEFT(Tasks[[#This Row],[Type]], 3), "Fie", "Field Report", "Con", "Contractor QC", "Gen", "Contractor QC", "Pun", "Contractor QC", "Qua", "Contractor QC", "Fin", "Punch List")</f>
        <v>Contractor QC</v>
      </c>
      <c r="D444" s="15" t="str">
        <f>_xlfn.LET(
_xlpm.leftValue, TRIM(LEFT(Tasks[[#This Row],[Description]], 45)),
IF(LEN(_xlpm.leftValue) &lt; 40, _xlpm.leftValue, _xlfn.CONCAT(_xlpm.leftValue, "…"))
)</f>
        <v>Install bathroom fixture</v>
      </c>
      <c r="E444" s="15" t="str" cm="1">
        <f t="array" ref="E444">_xlfn.LET(
_xlpm.inTower, COUNTIF(Tower_Num_Table[Tower Rm Numbers], LEFT(Task_Summary_Table[[#This Row],[Area/Room]], 3)) &gt; 0,
_xlpm.typeResult, _xlfn.SWITCH(LEFT(Tasks[[#This Row],[Page]], 2), "Hi", "Historic", "An", "Annex", "Si", "Site", "S5", "Project Task", "SWITCH ERROR"),
IF(_xlpm.inTower, "West Tower", _xlpm.typeResult)
)</f>
        <v>Annex</v>
      </c>
      <c r="F444" s="15" t="str">
        <f>IFERROR(MID(Tasks[[#This Row],[Page]], FIND("Level", Tasks[[#This Row],[Page]]), 7), IF(ISNUMBER(FIND("Roof", Tasks[[#This Row],[Page]])), "Roof",  IF(ISNUMBER(FIND("S590", Tasks[[#This Row],[Page]])), "",  IF(ISNUMBER(FIND("Site", Tasks[[#This Row],[Page]])), "", "ERROR"))))</f>
        <v>Level 1</v>
      </c>
      <c r="G444" s="15" t="str">
        <f>IF(Tasks[[#This Row],[Location]]=0, "", Tasks[[#This Row],[Location]])</f>
        <v>112A - Restroom</v>
      </c>
      <c r="H444" s="15" t="str">
        <f>Tasks[[#This Row],[To Package]]</f>
        <v>Westland -- Annex</v>
      </c>
      <c r="I444" s="15" t="str">
        <f>Tasks[[#This Row],[To Organisation]]</f>
        <v>Westland Construction, Inc.</v>
      </c>
    </row>
    <row r="445" spans="1:9" ht="15.5" x14ac:dyDescent="0.35">
      <c r="A445" s="16" t="str">
        <f>HYPERLINK(_xlfn.CONCAT(Edit_URL,Tasks[[#This Row],[Ref]]),Tasks[[#This Row],[Ref]])</f>
        <v>T74290.321</v>
      </c>
      <c r="B445" s="15" t="str" cm="1">
        <f t="array" ref="B445">_xlfn.SWITCH(LEFT(Tasks[[#This Row],[Status]],1),"O","Opened","C","Completed","S","Signed Off", "V", "Signed Off","ERROR")</f>
        <v>Opened</v>
      </c>
      <c r="C445" s="15" t="str" cm="1">
        <f t="array" ref="C445">_xlfn.SWITCH(LEFT(Tasks[[#This Row],[Type]], 3), "Fie", "Field Report", "Con", "Contractor QC", "Gen", "Contractor QC", "Pun", "Contractor QC", "Qua", "Contractor QC", "Fin", "Punch List")</f>
        <v>Contractor QC</v>
      </c>
      <c r="D445" s="15" t="str">
        <f>_xlfn.LET(
_xlpm.leftValue, TRIM(LEFT(Tasks[[#This Row],[Description]], 45)),
IF(LEN(_xlpm.leftValue) &lt; 40, _xlpm.leftValue, _xlfn.CONCAT(_xlpm.leftValue, "…"))
)</f>
        <v>Touch up base board</v>
      </c>
      <c r="E445" s="15" t="str" cm="1">
        <f t="array" ref="E445">_xlfn.LET(
_xlpm.inTower, COUNTIF(Tower_Num_Table[Tower Rm Numbers], LEFT(Task_Summary_Table[[#This Row],[Area/Room]], 3)) &gt; 0,
_xlpm.typeResult, _xlfn.SWITCH(LEFT(Tasks[[#This Row],[Page]], 2), "Hi", "Historic", "An", "Annex", "Si", "Site", "S5", "Project Task", "SWITCH ERROR"),
IF(_xlpm.inTower, "West Tower", _xlpm.typeResult)
)</f>
        <v>Historic</v>
      </c>
      <c r="F445" s="15" t="str">
        <f>IFERROR(MID(Tasks[[#This Row],[Page]], FIND("Level", Tasks[[#This Row],[Page]]), 7), IF(ISNUMBER(FIND("Roof", Tasks[[#This Row],[Page]])), "Roof",  IF(ISNUMBER(FIND("S590", Tasks[[#This Row],[Page]])), "",  IF(ISNUMBER(FIND("Site", Tasks[[#This Row],[Page]])), "", "ERROR"))))</f>
        <v>Level 5</v>
      </c>
      <c r="G445" s="15" t="str">
        <f>IF(Tasks[[#This Row],[Location]]=0, "", Tasks[[#This Row],[Location]])</f>
        <v>509 - Instruction 5</v>
      </c>
      <c r="H445" s="15" t="str">
        <f>Tasks[[#This Row],[To Package]]</f>
        <v>Paint</v>
      </c>
      <c r="I445" s="15" t="str">
        <f>Tasks[[#This Row],[To Organisation]]</f>
        <v>Accent Painting and Special Coatings, LLC</v>
      </c>
    </row>
    <row r="446" spans="1:9" ht="15.5" x14ac:dyDescent="0.35">
      <c r="A446" s="16" t="str">
        <f>HYPERLINK(_xlfn.CONCAT(Edit_URL,Tasks[[#This Row],[Ref]]),Tasks[[#This Row],[Ref]])</f>
        <v>T74290.322</v>
      </c>
      <c r="B446" s="15" t="str" cm="1">
        <f t="array" ref="B446">_xlfn.SWITCH(LEFT(Tasks[[#This Row],[Status]],1),"O","Opened","C","Completed","S","Signed Off", "V", "Signed Off","ERROR")</f>
        <v>Opened</v>
      </c>
      <c r="C446" s="15" t="str" cm="1">
        <f t="array" ref="C446">_xlfn.SWITCH(LEFT(Tasks[[#This Row],[Type]], 3), "Fie", "Field Report", "Con", "Contractor QC", "Gen", "Contractor QC", "Pun", "Contractor QC", "Qua", "Contractor QC", "Fin", "Punch List")</f>
        <v>Contractor QC</v>
      </c>
      <c r="D446" s="15" t="str">
        <f>_xlfn.LET(
_xlpm.leftValue, TRIM(LEFT(Tasks[[#This Row],[Description]], 45)),
IF(LEN(_xlpm.leftValue) &lt; 40, _xlpm.leftValue, _xlfn.CONCAT(_xlpm.leftValue, "…"))
)</f>
        <v>Touch up around sprinkler head</v>
      </c>
      <c r="E446" s="15" t="str" cm="1">
        <f t="array" ref="E446">_xlfn.LET(
_xlpm.inTower, COUNTIF(Tower_Num_Table[Tower Rm Numbers], LEFT(Task_Summary_Table[[#This Row],[Area/Room]], 3)) &gt; 0,
_xlpm.typeResult, _xlfn.SWITCH(LEFT(Tasks[[#This Row],[Page]], 2), "Hi", "Historic", "An", "Annex", "Si", "Site", "S5", "Project Task", "SWITCH ERROR"),
IF(_xlpm.inTower, "West Tower", _xlpm.typeResult)
)</f>
        <v>Historic</v>
      </c>
      <c r="F446" s="15" t="str">
        <f>IFERROR(MID(Tasks[[#This Row],[Page]], FIND("Level", Tasks[[#This Row],[Page]]), 7), IF(ISNUMBER(FIND("Roof", Tasks[[#This Row],[Page]])), "Roof",  IF(ISNUMBER(FIND("S590", Tasks[[#This Row],[Page]])), "",  IF(ISNUMBER(FIND("Site", Tasks[[#This Row],[Page]])), "", "ERROR"))))</f>
        <v>Level 5</v>
      </c>
      <c r="G446" s="15" t="str">
        <f>IF(Tasks[[#This Row],[Location]]=0, "", Tasks[[#This Row],[Location]])</f>
        <v>509 - Instruction 5</v>
      </c>
      <c r="H446" s="15" t="str">
        <f>Tasks[[#This Row],[To Package]]</f>
        <v>Paint</v>
      </c>
      <c r="I446" s="15" t="str">
        <f>Tasks[[#This Row],[To Organisation]]</f>
        <v>Accent Painting and Special Coatings, LLC</v>
      </c>
    </row>
    <row r="447" spans="1:9" ht="15.5" x14ac:dyDescent="0.35">
      <c r="A447" s="16" t="str">
        <f>HYPERLINK(_xlfn.CONCAT(Edit_URL,Tasks[[#This Row],[Ref]]),Tasks[[#This Row],[Ref]])</f>
        <v>T74290.409</v>
      </c>
      <c r="B447" s="15" t="str" cm="1">
        <f t="array" ref="B447">_xlfn.SWITCH(LEFT(Tasks[[#This Row],[Status]],1),"O","Opened","C","Completed","S","Signed Off", "V", "Signed Off","ERROR")</f>
        <v>Opened</v>
      </c>
      <c r="C447" s="15" t="str" cm="1">
        <f t="array" ref="C447">_xlfn.SWITCH(LEFT(Tasks[[#This Row],[Type]], 3), "Fie", "Field Report", "Con", "Contractor QC", "Gen", "Contractor QC", "Pun", "Contractor QC", "Qua", "Contractor QC", "Fin", "Punch List")</f>
        <v>Contractor QC</v>
      </c>
      <c r="D447" s="15" t="str">
        <f>_xlfn.LET(
_xlpm.leftValue, TRIM(LEFT(Tasks[[#This Row],[Description]], 45)),
IF(LEN(_xlpm.leftValue) &lt; 40, _xlpm.leftValue, _xlfn.CONCAT(_xlpm.leftValue, "…"))
)</f>
        <v>Touch up wall and access door</v>
      </c>
      <c r="E447" s="15" t="str" cm="1">
        <f t="array" ref="E447">_xlfn.LET(
_xlpm.inTower, COUNTIF(Tower_Num_Table[Tower Rm Numbers], LEFT(Task_Summary_Table[[#This Row],[Area/Room]], 3)) &gt; 0,
_xlpm.typeResult, _xlfn.SWITCH(LEFT(Tasks[[#This Row],[Page]], 2), "Hi", "Historic", "An", "Annex", "Si", "Site", "S5", "Project Task", "SWITCH ERROR"),
IF(_xlpm.inTower, "West Tower", _xlpm.typeResult)
)</f>
        <v>Historic</v>
      </c>
      <c r="F447" s="15" t="str">
        <f>IFERROR(MID(Tasks[[#This Row],[Page]], FIND("Level", Tasks[[#This Row],[Page]]), 7), IF(ISNUMBER(FIND("Roof", Tasks[[#This Row],[Page]])), "Roof",  IF(ISNUMBER(FIND("S590", Tasks[[#This Row],[Page]])), "",  IF(ISNUMBER(FIND("Site", Tasks[[#This Row],[Page]])), "", "ERROR"))))</f>
        <v>Level 5</v>
      </c>
      <c r="G447" s="15" t="str">
        <f>IF(Tasks[[#This Row],[Location]]=0, "", Tasks[[#This Row],[Location]])</f>
        <v>520 - Hallway</v>
      </c>
      <c r="H447" s="15" t="str">
        <f>Tasks[[#This Row],[To Package]]</f>
        <v>Paint</v>
      </c>
      <c r="I447" s="15" t="str">
        <f>Tasks[[#This Row],[To Organisation]]</f>
        <v>Accent Painting and Special Coatings, LLC</v>
      </c>
    </row>
    <row r="448" spans="1:9" ht="15.5" x14ac:dyDescent="0.35">
      <c r="A448" s="16" t="str">
        <f>HYPERLINK(_xlfn.CONCAT(Edit_URL,Tasks[[#This Row],[Ref]]),Tasks[[#This Row],[Ref]])</f>
        <v>T74290.410</v>
      </c>
      <c r="B448" s="15" t="str" cm="1">
        <f t="array" ref="B448">_xlfn.SWITCH(LEFT(Tasks[[#This Row],[Status]],1),"O","Opened","C","Completed","S","Signed Off", "V", "Signed Off","ERROR")</f>
        <v>Opened</v>
      </c>
      <c r="C448" s="15" t="str" cm="1">
        <f t="array" ref="C448">_xlfn.SWITCH(LEFT(Tasks[[#This Row],[Type]], 3), "Fie", "Field Report", "Con", "Contractor QC", "Gen", "Contractor QC", "Pun", "Contractor QC", "Qua", "Contractor QC", "Fin", "Punch List")</f>
        <v>Contractor QC</v>
      </c>
      <c r="D448" s="15" t="str">
        <f>_xlfn.LET(
_xlpm.leftValue, TRIM(LEFT(Tasks[[#This Row],[Description]], 45)),
IF(LEN(_xlpm.leftValue) &lt; 40, _xlpm.leftValue, _xlfn.CONCAT(_xlpm.leftValue, "…"))
)</f>
        <v>Touch up casing</v>
      </c>
      <c r="E448" s="15" t="str" cm="1">
        <f t="array" ref="E448">_xlfn.LET(
_xlpm.inTower, COUNTIF(Tower_Num_Table[Tower Rm Numbers], LEFT(Task_Summary_Table[[#This Row],[Area/Room]], 3)) &gt; 0,
_xlpm.typeResult, _xlfn.SWITCH(LEFT(Tasks[[#This Row],[Page]], 2), "Hi", "Historic", "An", "Annex", "Si", "Site", "S5", "Project Task", "SWITCH ERROR"),
IF(_xlpm.inTower, "West Tower", _xlpm.typeResult)
)</f>
        <v>Historic</v>
      </c>
      <c r="F448" s="15" t="str">
        <f>IFERROR(MID(Tasks[[#This Row],[Page]], FIND("Level", Tasks[[#This Row],[Page]]), 7), IF(ISNUMBER(FIND("Roof", Tasks[[#This Row],[Page]])), "Roof",  IF(ISNUMBER(FIND("S590", Tasks[[#This Row],[Page]])), "",  IF(ISNUMBER(FIND("Site", Tasks[[#This Row],[Page]])), "", "ERROR"))))</f>
        <v>Level 5</v>
      </c>
      <c r="G448" s="15" t="str">
        <f>IF(Tasks[[#This Row],[Location]]=0, "", Tasks[[#This Row],[Location]])</f>
        <v>520 - Hallway</v>
      </c>
      <c r="H448" s="15" t="str">
        <f>Tasks[[#This Row],[To Package]]</f>
        <v>Paint</v>
      </c>
      <c r="I448" s="15" t="str">
        <f>Tasks[[#This Row],[To Organisation]]</f>
        <v>Accent Painting and Special Coatings, LLC</v>
      </c>
    </row>
    <row r="449" spans="1:9" ht="15.5" x14ac:dyDescent="0.35">
      <c r="A449" s="16" t="str">
        <f>HYPERLINK(_xlfn.CONCAT(Edit_URL,Tasks[[#This Row],[Ref]]),Tasks[[#This Row],[Ref]])</f>
        <v>T74290.411</v>
      </c>
      <c r="B449" s="15" t="str" cm="1">
        <f t="array" ref="B449">_xlfn.SWITCH(LEFT(Tasks[[#This Row],[Status]],1),"O","Opened","C","Completed","S","Signed Off", "V", "Signed Off","ERROR")</f>
        <v>Opened</v>
      </c>
      <c r="C449" s="15" t="str" cm="1">
        <f t="array" ref="C449">_xlfn.SWITCH(LEFT(Tasks[[#This Row],[Type]], 3), "Fie", "Field Report", "Con", "Contractor QC", "Gen", "Contractor QC", "Pun", "Contractor QC", "Qua", "Contractor QC", "Fin", "Punch List")</f>
        <v>Contractor QC</v>
      </c>
      <c r="D449" s="15" t="str">
        <f>_xlfn.LET(
_xlpm.leftValue, TRIM(LEFT(Tasks[[#This Row],[Description]], 45)),
IF(LEN(_xlpm.leftValue) &lt; 40, _xlpm.leftValue, _xlfn.CONCAT(_xlpm.leftValue, "…"))
)</f>
        <v>Touch up baseboard</v>
      </c>
      <c r="E449" s="15" t="str" cm="1">
        <f t="array" ref="E449">_xlfn.LET(
_xlpm.inTower, COUNTIF(Tower_Num_Table[Tower Rm Numbers], LEFT(Task_Summary_Table[[#This Row],[Area/Room]], 3)) &gt; 0,
_xlpm.typeResult, _xlfn.SWITCH(LEFT(Tasks[[#This Row],[Page]], 2), "Hi", "Historic", "An", "Annex", "Si", "Site", "S5", "Project Task", "SWITCH ERROR"),
IF(_xlpm.inTower, "West Tower", _xlpm.typeResult)
)</f>
        <v>Historic</v>
      </c>
      <c r="F449" s="15" t="str">
        <f>IFERROR(MID(Tasks[[#This Row],[Page]], FIND("Level", Tasks[[#This Row],[Page]]), 7), IF(ISNUMBER(FIND("Roof", Tasks[[#This Row],[Page]])), "Roof",  IF(ISNUMBER(FIND("S590", Tasks[[#This Row],[Page]])), "",  IF(ISNUMBER(FIND("Site", Tasks[[#This Row],[Page]])), "", "ERROR"))))</f>
        <v>Level 5</v>
      </c>
      <c r="G449" s="15" t="str">
        <f>IF(Tasks[[#This Row],[Location]]=0, "", Tasks[[#This Row],[Location]])</f>
        <v>520 - Hallway</v>
      </c>
      <c r="H449" s="15" t="str">
        <f>Tasks[[#This Row],[To Package]]</f>
        <v>Paint</v>
      </c>
      <c r="I449" s="15" t="str">
        <f>Tasks[[#This Row],[To Organisation]]</f>
        <v>Accent Painting and Special Coatings, LLC</v>
      </c>
    </row>
    <row r="450" spans="1:9" ht="15.5" x14ac:dyDescent="0.35">
      <c r="A450" s="16" t="str">
        <f>HYPERLINK(_xlfn.CONCAT(Edit_URL,Tasks[[#This Row],[Ref]]),Tasks[[#This Row],[Ref]])</f>
        <v>T74290.412</v>
      </c>
      <c r="B450" s="15" t="str" cm="1">
        <f t="array" ref="B450">_xlfn.SWITCH(LEFT(Tasks[[#This Row],[Status]],1),"O","Opened","C","Completed","S","Signed Off", "V", "Signed Off","ERROR")</f>
        <v>Opened</v>
      </c>
      <c r="C450" s="15" t="str" cm="1">
        <f t="array" ref="C450">_xlfn.SWITCH(LEFT(Tasks[[#This Row],[Type]], 3), "Fie", "Field Report", "Con", "Contractor QC", "Gen", "Contractor QC", "Pun", "Contractor QC", "Qua", "Contractor QC", "Fin", "Punch List")</f>
        <v>Contractor QC</v>
      </c>
      <c r="D450" s="15" t="str">
        <f>_xlfn.LET(
_xlpm.leftValue, TRIM(LEFT(Tasks[[#This Row],[Description]], 45)),
IF(LEN(_xlpm.leftValue) &lt; 40, _xlpm.leftValue, _xlfn.CONCAT(_xlpm.leftValue, "…"))
)</f>
        <v>Touch up baseboard</v>
      </c>
      <c r="E450" s="15" t="str" cm="1">
        <f t="array" ref="E450">_xlfn.LET(
_xlpm.inTower, COUNTIF(Tower_Num_Table[Tower Rm Numbers], LEFT(Task_Summary_Table[[#This Row],[Area/Room]], 3)) &gt; 0,
_xlpm.typeResult, _xlfn.SWITCH(LEFT(Tasks[[#This Row],[Page]], 2), "Hi", "Historic", "An", "Annex", "Si", "Site", "S5", "Project Task", "SWITCH ERROR"),
IF(_xlpm.inTower, "West Tower", _xlpm.typeResult)
)</f>
        <v>Historic</v>
      </c>
      <c r="F450" s="15" t="str">
        <f>IFERROR(MID(Tasks[[#This Row],[Page]], FIND("Level", Tasks[[#This Row],[Page]]), 7), IF(ISNUMBER(FIND("Roof", Tasks[[#This Row],[Page]])), "Roof",  IF(ISNUMBER(FIND("S590", Tasks[[#This Row],[Page]])), "",  IF(ISNUMBER(FIND("Site", Tasks[[#This Row],[Page]])), "", "ERROR"))))</f>
        <v>Level 5</v>
      </c>
      <c r="G450" s="15" t="str">
        <f>IF(Tasks[[#This Row],[Location]]=0, "", Tasks[[#This Row],[Location]])</f>
        <v>520 - Hallway</v>
      </c>
      <c r="H450" s="15" t="str">
        <f>Tasks[[#This Row],[To Package]]</f>
        <v>Paint</v>
      </c>
      <c r="I450" s="15" t="str">
        <f>Tasks[[#This Row],[To Organisation]]</f>
        <v>Accent Painting and Special Coatings, LLC</v>
      </c>
    </row>
    <row r="451" spans="1:9" ht="15.5" x14ac:dyDescent="0.35">
      <c r="A451" s="16" t="str">
        <f>HYPERLINK(_xlfn.CONCAT(Edit_URL,Tasks[[#This Row],[Ref]]),Tasks[[#This Row],[Ref]])</f>
        <v>T74290.413</v>
      </c>
      <c r="B451" s="15" t="str" cm="1">
        <f t="array" ref="B451">_xlfn.SWITCH(LEFT(Tasks[[#This Row],[Status]],1),"O","Opened","C","Completed","S","Signed Off", "V", "Signed Off","ERROR")</f>
        <v>Opened</v>
      </c>
      <c r="C451" s="15" t="str" cm="1">
        <f t="array" ref="C451">_xlfn.SWITCH(LEFT(Tasks[[#This Row],[Type]], 3), "Fie", "Field Report", "Con", "Contractor QC", "Gen", "Contractor QC", "Pun", "Contractor QC", "Qua", "Contractor QC", "Fin", "Punch List")</f>
        <v>Contractor QC</v>
      </c>
      <c r="D451" s="15" t="str">
        <f>_xlfn.LET(
_xlpm.leftValue, TRIM(LEFT(Tasks[[#This Row],[Description]], 45)),
IF(LEN(_xlpm.leftValue) &lt; 40, _xlpm.leftValue, _xlfn.CONCAT(_xlpm.leftValue, "…"))
)</f>
        <v>Touch up / caulk inside corner of crown mould…</v>
      </c>
      <c r="E451" s="15" t="str" cm="1">
        <f t="array" ref="E451">_xlfn.LET(
_xlpm.inTower, COUNTIF(Tower_Num_Table[Tower Rm Numbers], LEFT(Task_Summary_Table[[#This Row],[Area/Room]], 3)) &gt; 0,
_xlpm.typeResult, _xlfn.SWITCH(LEFT(Tasks[[#This Row],[Page]], 2), "Hi", "Historic", "An", "Annex", "Si", "Site", "S5", "Project Task", "SWITCH ERROR"),
IF(_xlpm.inTower, "West Tower", _xlpm.typeResult)
)</f>
        <v>Historic</v>
      </c>
      <c r="F451" s="15" t="str">
        <f>IFERROR(MID(Tasks[[#This Row],[Page]], FIND("Level", Tasks[[#This Row],[Page]]), 7), IF(ISNUMBER(FIND("Roof", Tasks[[#This Row],[Page]])), "Roof",  IF(ISNUMBER(FIND("S590", Tasks[[#This Row],[Page]])), "",  IF(ISNUMBER(FIND("Site", Tasks[[#This Row],[Page]])), "", "ERROR"))))</f>
        <v>Level 5</v>
      </c>
      <c r="G451" s="15" t="str">
        <f>IF(Tasks[[#This Row],[Location]]=0, "", Tasks[[#This Row],[Location]])</f>
        <v>520 - Hallway</v>
      </c>
      <c r="H451" s="15" t="str">
        <f>Tasks[[#This Row],[To Package]]</f>
        <v>Paint</v>
      </c>
      <c r="I451" s="15" t="str">
        <f>Tasks[[#This Row],[To Organisation]]</f>
        <v>Accent Painting and Special Coatings, LLC</v>
      </c>
    </row>
    <row r="452" spans="1:9" ht="15.5" x14ac:dyDescent="0.35">
      <c r="A452" s="16" t="str">
        <f>HYPERLINK(_xlfn.CONCAT(Edit_URL,Tasks[[#This Row],[Ref]]),Tasks[[#This Row],[Ref]])</f>
        <v>T74290.414</v>
      </c>
      <c r="B452" s="15" t="str" cm="1">
        <f t="array" ref="B452">_xlfn.SWITCH(LEFT(Tasks[[#This Row],[Status]],1),"O","Opened","C","Completed","S","Signed Off", "V", "Signed Off","ERROR")</f>
        <v>Opened</v>
      </c>
      <c r="C452" s="15" t="str" cm="1">
        <f t="array" ref="C452">_xlfn.SWITCH(LEFT(Tasks[[#This Row],[Type]], 3), "Fie", "Field Report", "Con", "Contractor QC", "Gen", "Contractor QC", "Pun", "Contractor QC", "Qua", "Contractor QC", "Fin", "Punch List")</f>
        <v>Contractor QC</v>
      </c>
      <c r="D452" s="15" t="str">
        <f>_xlfn.LET(
_xlpm.leftValue, TRIM(LEFT(Tasks[[#This Row],[Description]], 45)),
IF(LEN(_xlpm.leftValue) &lt; 40, _xlpm.leftValue, _xlfn.CONCAT(_xlpm.leftValue, "…"))
)</f>
        <v>Touch up around hvac register in ceiling…</v>
      </c>
      <c r="E452" s="15" t="str" cm="1">
        <f t="array" ref="E452">_xlfn.LET(
_xlpm.inTower, COUNTIF(Tower_Num_Table[Tower Rm Numbers], LEFT(Task_Summary_Table[[#This Row],[Area/Room]], 3)) &gt; 0,
_xlpm.typeResult, _xlfn.SWITCH(LEFT(Tasks[[#This Row],[Page]], 2), "Hi", "Historic", "An", "Annex", "Si", "Site", "S5", "Project Task", "SWITCH ERROR"),
IF(_xlpm.inTower, "West Tower", _xlpm.typeResult)
)</f>
        <v>Historic</v>
      </c>
      <c r="F452" s="15" t="str">
        <f>IFERROR(MID(Tasks[[#This Row],[Page]], FIND("Level", Tasks[[#This Row],[Page]]), 7), IF(ISNUMBER(FIND("Roof", Tasks[[#This Row],[Page]])), "Roof",  IF(ISNUMBER(FIND("S590", Tasks[[#This Row],[Page]])), "",  IF(ISNUMBER(FIND("Site", Tasks[[#This Row],[Page]])), "", "ERROR"))))</f>
        <v>Level 5</v>
      </c>
      <c r="G452" s="15" t="str">
        <f>IF(Tasks[[#This Row],[Location]]=0, "", Tasks[[#This Row],[Location]])</f>
        <v>520 - Hallway</v>
      </c>
      <c r="H452" s="15" t="str">
        <f>Tasks[[#This Row],[To Package]]</f>
        <v>Paint</v>
      </c>
      <c r="I452" s="15" t="str">
        <f>Tasks[[#This Row],[To Organisation]]</f>
        <v>Accent Painting and Special Coatings, LLC</v>
      </c>
    </row>
    <row r="453" spans="1:9" ht="15.5" x14ac:dyDescent="0.35">
      <c r="A453" s="16" t="str">
        <f>HYPERLINK(_xlfn.CONCAT(Edit_URL,Tasks[[#This Row],[Ref]]),Tasks[[#This Row],[Ref]])</f>
        <v>T74290.415</v>
      </c>
      <c r="B453" s="15" t="str" cm="1">
        <f t="array" ref="B453">_xlfn.SWITCH(LEFT(Tasks[[#This Row],[Status]],1),"O","Opened","C","Completed","S","Signed Off", "V", "Signed Off","ERROR")</f>
        <v>Opened</v>
      </c>
      <c r="C453" s="15" t="str" cm="1">
        <f t="array" ref="C453">_xlfn.SWITCH(LEFT(Tasks[[#This Row],[Type]], 3), "Fie", "Field Report", "Con", "Contractor QC", "Gen", "Contractor QC", "Pun", "Contractor QC", "Qua", "Contractor QC", "Fin", "Punch List")</f>
        <v>Contractor QC</v>
      </c>
      <c r="D453" s="15" t="str">
        <f>_xlfn.LET(
_xlpm.leftValue, TRIM(LEFT(Tasks[[#This Row],[Description]], 45)),
IF(LEN(_xlpm.leftValue) &lt; 40, _xlpm.leftValue, _xlfn.CONCAT(_xlpm.leftValue, "…"))
)</f>
        <v>Touch up casing</v>
      </c>
      <c r="E453" s="15" t="str" cm="1">
        <f t="array" ref="E453">_xlfn.LET(
_xlpm.inTower, COUNTIF(Tower_Num_Table[Tower Rm Numbers], LEFT(Task_Summary_Table[[#This Row],[Area/Room]], 3)) &gt; 0,
_xlpm.typeResult, _xlfn.SWITCH(LEFT(Tasks[[#This Row],[Page]], 2), "Hi", "Historic", "An", "Annex", "Si", "Site", "S5", "Project Task", "SWITCH ERROR"),
IF(_xlpm.inTower, "West Tower", _xlpm.typeResult)
)</f>
        <v>Historic</v>
      </c>
      <c r="F453" s="15" t="str">
        <f>IFERROR(MID(Tasks[[#This Row],[Page]], FIND("Level", Tasks[[#This Row],[Page]]), 7), IF(ISNUMBER(FIND("Roof", Tasks[[#This Row],[Page]])), "Roof",  IF(ISNUMBER(FIND("S590", Tasks[[#This Row],[Page]])), "",  IF(ISNUMBER(FIND("Site", Tasks[[#This Row],[Page]])), "", "ERROR"))))</f>
        <v>Level 5</v>
      </c>
      <c r="G453" s="15" t="str">
        <f>IF(Tasks[[#This Row],[Location]]=0, "", Tasks[[#This Row],[Location]])</f>
        <v>520 - Hallway</v>
      </c>
      <c r="H453" s="15" t="str">
        <f>Tasks[[#This Row],[To Package]]</f>
        <v>Paint</v>
      </c>
      <c r="I453" s="15" t="str">
        <f>Tasks[[#This Row],[To Organisation]]</f>
        <v>Accent Painting and Special Coatings, LLC</v>
      </c>
    </row>
    <row r="454" spans="1:9" ht="15.5" x14ac:dyDescent="0.35">
      <c r="A454" s="16" t="str">
        <f>HYPERLINK(_xlfn.CONCAT(Edit_URL,Tasks[[#This Row],[Ref]]),Tasks[[#This Row],[Ref]])</f>
        <v>T74290.416</v>
      </c>
      <c r="B454" s="15" t="str" cm="1">
        <f t="array" ref="B454">_xlfn.SWITCH(LEFT(Tasks[[#This Row],[Status]],1),"O","Opened","C","Completed","S","Signed Off", "V", "Signed Off","ERROR")</f>
        <v>Opened</v>
      </c>
      <c r="C454" s="15" t="str" cm="1">
        <f t="array" ref="C454">_xlfn.SWITCH(LEFT(Tasks[[#This Row],[Type]], 3), "Fie", "Field Report", "Con", "Contractor QC", "Gen", "Contractor QC", "Pun", "Contractor QC", "Qua", "Contractor QC", "Fin", "Punch List")</f>
        <v>Contractor QC</v>
      </c>
      <c r="D454" s="15" t="str">
        <f>_xlfn.LET(
_xlpm.leftValue, TRIM(LEFT(Tasks[[#This Row],[Description]], 45)),
IF(LEN(_xlpm.leftValue) &lt; 40, _xlpm.leftValue, _xlfn.CONCAT(_xlpm.leftValue, "…"))
)</f>
        <v>Touch up north wall and access panel</v>
      </c>
      <c r="E454" s="15" t="str" cm="1">
        <f t="array" ref="E454">_xlfn.LET(
_xlpm.inTower, COUNTIF(Tower_Num_Table[Tower Rm Numbers], LEFT(Task_Summary_Table[[#This Row],[Area/Room]], 3)) &gt; 0,
_xlpm.typeResult, _xlfn.SWITCH(LEFT(Tasks[[#This Row],[Page]], 2), "Hi", "Historic", "An", "Annex", "Si", "Site", "S5", "Project Task", "SWITCH ERROR"),
IF(_xlpm.inTower, "West Tower", _xlpm.typeResult)
)</f>
        <v>Historic</v>
      </c>
      <c r="F454" s="15" t="str">
        <f>IFERROR(MID(Tasks[[#This Row],[Page]], FIND("Level", Tasks[[#This Row],[Page]]), 7), IF(ISNUMBER(FIND("Roof", Tasks[[#This Row],[Page]])), "Roof",  IF(ISNUMBER(FIND("S590", Tasks[[#This Row],[Page]])), "",  IF(ISNUMBER(FIND("Site", Tasks[[#This Row],[Page]])), "", "ERROR"))))</f>
        <v>Level 5</v>
      </c>
      <c r="G454" s="15" t="str">
        <f>IF(Tasks[[#This Row],[Location]]=0, "", Tasks[[#This Row],[Location]])</f>
        <v>520 - Hallway</v>
      </c>
      <c r="H454" s="15" t="str">
        <f>Tasks[[#This Row],[To Package]]</f>
        <v>Paint</v>
      </c>
      <c r="I454" s="15" t="str">
        <f>Tasks[[#This Row],[To Organisation]]</f>
        <v>Accent Painting and Special Coatings, LLC</v>
      </c>
    </row>
    <row r="455" spans="1:9" ht="15.5" x14ac:dyDescent="0.35">
      <c r="A455" s="16" t="str">
        <f>HYPERLINK(_xlfn.CONCAT(Edit_URL,Tasks[[#This Row],[Ref]]),Tasks[[#This Row],[Ref]])</f>
        <v>T74290.417</v>
      </c>
      <c r="B455" s="15" t="str" cm="1">
        <f t="array" ref="B455">_xlfn.SWITCH(LEFT(Tasks[[#This Row],[Status]],1),"O","Opened","C","Completed","S","Signed Off", "V", "Signed Off","ERROR")</f>
        <v>Opened</v>
      </c>
      <c r="C455" s="15" t="str" cm="1">
        <f t="array" ref="C455">_xlfn.SWITCH(LEFT(Tasks[[#This Row],[Type]], 3), "Fie", "Field Report", "Con", "Contractor QC", "Gen", "Contractor QC", "Pun", "Contractor QC", "Qua", "Contractor QC", "Fin", "Punch List")</f>
        <v>Contractor QC</v>
      </c>
      <c r="D455" s="15" t="str">
        <f>_xlfn.LET(
_xlpm.leftValue, TRIM(LEFT(Tasks[[#This Row],[Description]], 45)),
IF(LEN(_xlpm.leftValue) &lt; 40, _xlpm.leftValue, _xlfn.CONCAT(_xlpm.leftValue, "…"))
)</f>
        <v>Touch up casing</v>
      </c>
      <c r="E455" s="15" t="str" cm="1">
        <f t="array" ref="E455">_xlfn.LET(
_xlpm.inTower, COUNTIF(Tower_Num_Table[Tower Rm Numbers], LEFT(Task_Summary_Table[[#This Row],[Area/Room]], 3)) &gt; 0,
_xlpm.typeResult, _xlfn.SWITCH(LEFT(Tasks[[#This Row],[Page]], 2), "Hi", "Historic", "An", "Annex", "Si", "Site", "S5", "Project Task", "SWITCH ERROR"),
IF(_xlpm.inTower, "West Tower", _xlpm.typeResult)
)</f>
        <v>Historic</v>
      </c>
      <c r="F455" s="15" t="str">
        <f>IFERROR(MID(Tasks[[#This Row],[Page]], FIND("Level", Tasks[[#This Row],[Page]]), 7), IF(ISNUMBER(FIND("Roof", Tasks[[#This Row],[Page]])), "Roof",  IF(ISNUMBER(FIND("S590", Tasks[[#This Row],[Page]])), "",  IF(ISNUMBER(FIND("Site", Tasks[[#This Row],[Page]])), "", "ERROR"))))</f>
        <v>Level 5</v>
      </c>
      <c r="G455" s="15" t="str">
        <f>IF(Tasks[[#This Row],[Location]]=0, "", Tasks[[#This Row],[Location]])</f>
        <v>520 - Hallway</v>
      </c>
      <c r="H455" s="15" t="str">
        <f>Tasks[[#This Row],[To Package]]</f>
        <v>Paint</v>
      </c>
      <c r="I455" s="15" t="str">
        <f>Tasks[[#This Row],[To Organisation]]</f>
        <v>Accent Painting and Special Coatings, LLC</v>
      </c>
    </row>
    <row r="456" spans="1:9" ht="15.5" x14ac:dyDescent="0.35">
      <c r="A456" s="16" t="str">
        <f>HYPERLINK(_xlfn.CONCAT(Edit_URL,Tasks[[#This Row],[Ref]]),Tasks[[#This Row],[Ref]])</f>
        <v>T74290.418</v>
      </c>
      <c r="B456" s="15" t="str" cm="1">
        <f t="array" ref="B456">_xlfn.SWITCH(LEFT(Tasks[[#This Row],[Status]],1),"O","Opened","C","Completed","S","Signed Off", "V", "Signed Off","ERROR")</f>
        <v>Opened</v>
      </c>
      <c r="C456" s="15" t="str" cm="1">
        <f t="array" ref="C456">_xlfn.SWITCH(LEFT(Tasks[[#This Row],[Type]], 3), "Fie", "Field Report", "Con", "Contractor QC", "Gen", "Contractor QC", "Pun", "Contractor QC", "Qua", "Contractor QC", "Fin", "Punch List")</f>
        <v>Contractor QC</v>
      </c>
      <c r="D456" s="15" t="str">
        <f>_xlfn.LET(
_xlpm.leftValue, TRIM(LEFT(Tasks[[#This Row],[Description]], 45)),
IF(LEN(_xlpm.leftValue) &lt; 40, _xlpm.leftValue, _xlfn.CONCAT(_xlpm.leftValue, "…"))
)</f>
        <v>Touch up portal</v>
      </c>
      <c r="E456" s="15" t="str" cm="1">
        <f t="array" ref="E456">_xlfn.LET(
_xlpm.inTower, COUNTIF(Tower_Num_Table[Tower Rm Numbers], LEFT(Task_Summary_Table[[#This Row],[Area/Room]], 3)) &gt; 0,
_xlpm.typeResult, _xlfn.SWITCH(LEFT(Tasks[[#This Row],[Page]], 2), "Hi", "Historic", "An", "Annex", "Si", "Site", "S5", "Project Task", "SWITCH ERROR"),
IF(_xlpm.inTower, "West Tower", _xlpm.typeResult)
)</f>
        <v>Historic</v>
      </c>
      <c r="F456" s="15" t="str">
        <f>IFERROR(MID(Tasks[[#This Row],[Page]], FIND("Level", Tasks[[#This Row],[Page]]), 7), IF(ISNUMBER(FIND("Roof", Tasks[[#This Row],[Page]])), "Roof",  IF(ISNUMBER(FIND("S590", Tasks[[#This Row],[Page]])), "",  IF(ISNUMBER(FIND("Site", Tasks[[#This Row],[Page]])), "", "ERROR"))))</f>
        <v>Level 5</v>
      </c>
      <c r="G456" s="15" t="str">
        <f>IF(Tasks[[#This Row],[Location]]=0, "", Tasks[[#This Row],[Location]])</f>
        <v>520 - Hallway</v>
      </c>
      <c r="H456" s="15" t="str">
        <f>Tasks[[#This Row],[To Package]]</f>
        <v>Paint</v>
      </c>
      <c r="I456" s="15" t="str">
        <f>Tasks[[#This Row],[To Organisation]]</f>
        <v>Accent Painting and Special Coatings, LLC</v>
      </c>
    </row>
    <row r="457" spans="1:9" ht="15.5" x14ac:dyDescent="0.35">
      <c r="A457" s="16" t="str">
        <f>HYPERLINK(_xlfn.CONCAT(Edit_URL,Tasks[[#This Row],[Ref]]),Tasks[[#This Row],[Ref]])</f>
        <v>T74290.419</v>
      </c>
      <c r="B457" s="15" t="str" cm="1">
        <f t="array" ref="B457">_xlfn.SWITCH(LEFT(Tasks[[#This Row],[Status]],1),"O","Opened","C","Completed","S","Signed Off", "V", "Signed Off","ERROR")</f>
        <v>Opened</v>
      </c>
      <c r="C457" s="15" t="str" cm="1">
        <f t="array" ref="C457">_xlfn.SWITCH(LEFT(Tasks[[#This Row],[Type]], 3), "Fie", "Field Report", "Con", "Contractor QC", "Gen", "Contractor QC", "Pun", "Contractor QC", "Qua", "Contractor QC", "Fin", "Punch List")</f>
        <v>Contractor QC</v>
      </c>
      <c r="D457" s="15" t="str">
        <f>_xlfn.LET(
_xlpm.leftValue, TRIM(LEFT(Tasks[[#This Row],[Description]], 45)),
IF(LEN(_xlpm.leftValue) &lt; 40, _xlpm.leftValue, _xlfn.CONCAT(_xlpm.leftValue, "…"))
)</f>
        <v>Touch up north wall and access panel</v>
      </c>
      <c r="E457" s="15" t="str" cm="1">
        <f t="array" ref="E457">_xlfn.LET(
_xlpm.inTower, COUNTIF(Tower_Num_Table[Tower Rm Numbers], LEFT(Task_Summary_Table[[#This Row],[Area/Room]], 3)) &gt; 0,
_xlpm.typeResult, _xlfn.SWITCH(LEFT(Tasks[[#This Row],[Page]], 2), "Hi", "Historic", "An", "Annex", "Si", "Site", "S5", "Project Task", "SWITCH ERROR"),
IF(_xlpm.inTower, "West Tower", _xlpm.typeResult)
)</f>
        <v>Historic</v>
      </c>
      <c r="F457" s="15" t="str">
        <f>IFERROR(MID(Tasks[[#This Row],[Page]], FIND("Level", Tasks[[#This Row],[Page]]), 7), IF(ISNUMBER(FIND("Roof", Tasks[[#This Row],[Page]])), "Roof",  IF(ISNUMBER(FIND("S590", Tasks[[#This Row],[Page]])), "",  IF(ISNUMBER(FIND("Site", Tasks[[#This Row],[Page]])), "", "ERROR"))))</f>
        <v>Level 5</v>
      </c>
      <c r="G457" s="15" t="str">
        <f>IF(Tasks[[#This Row],[Location]]=0, "", Tasks[[#This Row],[Location]])</f>
        <v>520 - Hallway</v>
      </c>
      <c r="H457" s="15" t="str">
        <f>Tasks[[#This Row],[To Package]]</f>
        <v>Paint</v>
      </c>
      <c r="I457" s="15" t="str">
        <f>Tasks[[#This Row],[To Organisation]]</f>
        <v>Accent Painting and Special Coatings, LLC</v>
      </c>
    </row>
    <row r="458" spans="1:9" ht="15.5" x14ac:dyDescent="0.35">
      <c r="A458" s="16" t="str">
        <f>HYPERLINK(_xlfn.CONCAT(Edit_URL,Tasks[[#This Row],[Ref]]),Tasks[[#This Row],[Ref]])</f>
        <v>T74290.420</v>
      </c>
      <c r="B458" s="15" t="str" cm="1">
        <f t="array" ref="B458">_xlfn.SWITCH(LEFT(Tasks[[#This Row],[Status]],1),"O","Opened","C","Completed","S","Signed Off", "V", "Signed Off","ERROR")</f>
        <v>Opened</v>
      </c>
      <c r="C458" s="15" t="str" cm="1">
        <f t="array" ref="C458">_xlfn.SWITCH(LEFT(Tasks[[#This Row],[Type]], 3), "Fie", "Field Report", "Con", "Contractor QC", "Gen", "Contractor QC", "Pun", "Contractor QC", "Qua", "Contractor QC", "Fin", "Punch List")</f>
        <v>Contractor QC</v>
      </c>
      <c r="D458" s="15" t="str">
        <f>_xlfn.LET(
_xlpm.leftValue, TRIM(LEFT(Tasks[[#This Row],[Description]], 45)),
IF(LEN(_xlpm.leftValue) &lt; 40, _xlpm.leftValue, _xlfn.CONCAT(_xlpm.leftValue, "…"))
)</f>
        <v>Complete portal and casing</v>
      </c>
      <c r="E458" s="15" t="str" cm="1">
        <f t="array" ref="E458">_xlfn.LET(
_xlpm.inTower, COUNTIF(Tower_Num_Table[Tower Rm Numbers], LEFT(Task_Summary_Table[[#This Row],[Area/Room]], 3)) &gt; 0,
_xlpm.typeResult, _xlfn.SWITCH(LEFT(Tasks[[#This Row],[Page]], 2), "Hi", "Historic", "An", "Annex", "Si", "Site", "S5", "Project Task", "SWITCH ERROR"),
IF(_xlpm.inTower, "West Tower", _xlpm.typeResult)
)</f>
        <v>Historic</v>
      </c>
      <c r="F458" s="15" t="str">
        <f>IFERROR(MID(Tasks[[#This Row],[Page]], FIND("Level", Tasks[[#This Row],[Page]]), 7), IF(ISNUMBER(FIND("Roof", Tasks[[#This Row],[Page]])), "Roof",  IF(ISNUMBER(FIND("S590", Tasks[[#This Row],[Page]])), "",  IF(ISNUMBER(FIND("Site", Tasks[[#This Row],[Page]])), "", "ERROR"))))</f>
        <v>Level 5</v>
      </c>
      <c r="G458" s="15" t="str">
        <f>IF(Tasks[[#This Row],[Location]]=0, "", Tasks[[#This Row],[Location]])</f>
        <v>520 - Hallway</v>
      </c>
      <c r="H458" s="15" t="str">
        <f>Tasks[[#This Row],[To Package]]</f>
        <v xml:space="preserve">Finish Carpentry </v>
      </c>
      <c r="I458" s="15" t="str">
        <f>Tasks[[#This Row],[To Organisation]]</f>
        <v>Fetzers' Inc.</v>
      </c>
    </row>
    <row r="459" spans="1:9" ht="15.5" x14ac:dyDescent="0.35">
      <c r="A459" s="16" t="str">
        <f>HYPERLINK(_xlfn.CONCAT(Edit_URL,Tasks[[#This Row],[Ref]]),Tasks[[#This Row],[Ref]])</f>
        <v>T74290.421</v>
      </c>
      <c r="B459" s="15" t="str" cm="1">
        <f t="array" ref="B459">_xlfn.SWITCH(LEFT(Tasks[[#This Row],[Status]],1),"O","Opened","C","Completed","S","Signed Off", "V", "Signed Off","ERROR")</f>
        <v>Opened</v>
      </c>
      <c r="C459" s="15" t="str" cm="1">
        <f t="array" ref="C459">_xlfn.SWITCH(LEFT(Tasks[[#This Row],[Type]], 3), "Fie", "Field Report", "Con", "Contractor QC", "Gen", "Contractor QC", "Pun", "Contractor QC", "Qua", "Contractor QC", "Fin", "Punch List")</f>
        <v>Contractor QC</v>
      </c>
      <c r="D459" s="15" t="str">
        <f>_xlfn.LET(
_xlpm.leftValue, TRIM(LEFT(Tasks[[#This Row],[Description]], 45)),
IF(LEN(_xlpm.leftValue) &lt; 40, _xlpm.leftValue, _xlfn.CONCAT(_xlpm.leftValue, "…"))
)</f>
        <v>Repaint casing and base</v>
      </c>
      <c r="E459" s="15" t="str" cm="1">
        <f t="array" ref="E459">_xlfn.LET(
_xlpm.inTower, COUNTIF(Tower_Num_Table[Tower Rm Numbers], LEFT(Task_Summary_Table[[#This Row],[Area/Room]], 3)) &gt; 0,
_xlpm.typeResult, _xlfn.SWITCH(LEFT(Tasks[[#This Row],[Page]], 2), "Hi", "Historic", "An", "Annex", "Si", "Site", "S5", "Project Task", "SWITCH ERROR"),
IF(_xlpm.inTower, "West Tower", _xlpm.typeResult)
)</f>
        <v>Historic</v>
      </c>
      <c r="F459" s="15" t="str">
        <f>IFERROR(MID(Tasks[[#This Row],[Page]], FIND("Level", Tasks[[#This Row],[Page]]), 7), IF(ISNUMBER(FIND("Roof", Tasks[[#This Row],[Page]])), "Roof",  IF(ISNUMBER(FIND("S590", Tasks[[#This Row],[Page]])), "",  IF(ISNUMBER(FIND("Site", Tasks[[#This Row],[Page]])), "", "ERROR"))))</f>
        <v>Level 5</v>
      </c>
      <c r="G459" s="15" t="str">
        <f>IF(Tasks[[#This Row],[Location]]=0, "", Tasks[[#This Row],[Location]])</f>
        <v>520 - Hallway</v>
      </c>
      <c r="H459" s="15" t="str">
        <f>Tasks[[#This Row],[To Package]]</f>
        <v>Paint</v>
      </c>
      <c r="I459" s="15" t="str">
        <f>Tasks[[#This Row],[To Organisation]]</f>
        <v>Accent Painting and Special Coatings, LLC</v>
      </c>
    </row>
    <row r="460" spans="1:9" ht="15.5" x14ac:dyDescent="0.35">
      <c r="A460" s="16" t="str">
        <f>HYPERLINK(_xlfn.CONCAT(Edit_URL,Tasks[[#This Row],[Ref]]),Tasks[[#This Row],[Ref]])</f>
        <v>T74290.422</v>
      </c>
      <c r="B460" s="15" t="str" cm="1">
        <f t="array" ref="B460">_xlfn.SWITCH(LEFT(Tasks[[#This Row],[Status]],1),"O","Opened","C","Completed","S","Signed Off", "V", "Signed Off","ERROR")</f>
        <v>Opened</v>
      </c>
      <c r="C460" s="15" t="str" cm="1">
        <f t="array" ref="C460">_xlfn.SWITCH(LEFT(Tasks[[#This Row],[Type]], 3), "Fie", "Field Report", "Con", "Contractor QC", "Gen", "Contractor QC", "Pun", "Contractor QC", "Qua", "Contractor QC", "Fin", "Punch List")</f>
        <v>Contractor QC</v>
      </c>
      <c r="D460" s="15" t="str">
        <f>_xlfn.LET(
_xlpm.leftValue, TRIM(LEFT(Tasks[[#This Row],[Description]], 45)),
IF(LEN(_xlpm.leftValue) &lt; 40, _xlpm.leftValue, _xlfn.CONCAT(_xlpm.leftValue, "…"))
)</f>
        <v>Complete carpet install at all thresholds…</v>
      </c>
      <c r="E460" s="15" t="str" cm="1">
        <f t="array" ref="E460">_xlfn.LET(
_xlpm.inTower, COUNTIF(Tower_Num_Table[Tower Rm Numbers], LEFT(Task_Summary_Table[[#This Row],[Area/Room]], 3)) &gt; 0,
_xlpm.typeResult, _xlfn.SWITCH(LEFT(Tasks[[#This Row],[Page]], 2), "Hi", "Historic", "An", "Annex", "Si", "Site", "S5", "Project Task", "SWITCH ERROR"),
IF(_xlpm.inTower, "West Tower", _xlpm.typeResult)
)</f>
        <v>Historic</v>
      </c>
      <c r="F460" s="15" t="str">
        <f>IFERROR(MID(Tasks[[#This Row],[Page]], FIND("Level", Tasks[[#This Row],[Page]]), 7), IF(ISNUMBER(FIND("Roof", Tasks[[#This Row],[Page]])), "Roof",  IF(ISNUMBER(FIND("S590", Tasks[[#This Row],[Page]])), "",  IF(ISNUMBER(FIND("Site", Tasks[[#This Row],[Page]])), "", "ERROR"))))</f>
        <v>Level 5</v>
      </c>
      <c r="G460" s="15" t="str">
        <f>IF(Tasks[[#This Row],[Location]]=0, "", Tasks[[#This Row],[Location]])</f>
        <v>519 - Waiting</v>
      </c>
      <c r="H460" s="15" t="str">
        <f>Tasks[[#This Row],[To Package]]</f>
        <v>Westland -- Historic</v>
      </c>
      <c r="I460" s="15" t="str">
        <f>Tasks[[#This Row],[To Organisation]]</f>
        <v>Westland Construction, Inc.</v>
      </c>
    </row>
    <row r="461" spans="1:9" ht="15.5" x14ac:dyDescent="0.35">
      <c r="A461" s="16" t="str">
        <f>HYPERLINK(_xlfn.CONCAT(Edit_URL,Tasks[[#This Row],[Ref]]),Tasks[[#This Row],[Ref]])</f>
        <v>T74290.423</v>
      </c>
      <c r="B461" s="15" t="str" cm="1">
        <f t="array" ref="B461">_xlfn.SWITCH(LEFT(Tasks[[#This Row],[Status]],1),"O","Opened","C","Completed","S","Signed Off", "V", "Signed Off","ERROR")</f>
        <v>Opened</v>
      </c>
      <c r="C461" s="15" t="str" cm="1">
        <f t="array" ref="C461">_xlfn.SWITCH(LEFT(Tasks[[#This Row],[Type]], 3), "Fie", "Field Report", "Con", "Contractor QC", "Gen", "Contractor QC", "Pun", "Contractor QC", "Qua", "Contractor QC", "Fin", "Punch List")</f>
        <v>Contractor QC</v>
      </c>
      <c r="D461" s="15" t="str">
        <f>_xlfn.LET(
_xlpm.leftValue, TRIM(LEFT(Tasks[[#This Row],[Description]], 45)),
IF(LEN(_xlpm.leftValue) &lt; 40, _xlpm.leftValue, _xlfn.CONCAT(_xlpm.leftValue, "…"))
)</f>
        <v>Touch up around exit sign</v>
      </c>
      <c r="E461" s="15" t="str" cm="1">
        <f t="array" ref="E461">_xlfn.LET(
_xlpm.inTower, COUNTIF(Tower_Num_Table[Tower Rm Numbers], LEFT(Task_Summary_Table[[#This Row],[Area/Room]], 3)) &gt; 0,
_xlpm.typeResult, _xlfn.SWITCH(LEFT(Tasks[[#This Row],[Page]], 2), "Hi", "Historic", "An", "Annex", "Si", "Site", "S5", "Project Task", "SWITCH ERROR"),
IF(_xlpm.inTower, "West Tower", _xlpm.typeResult)
)</f>
        <v>Historic</v>
      </c>
      <c r="F461" s="15" t="str">
        <f>IFERROR(MID(Tasks[[#This Row],[Page]], FIND("Level", Tasks[[#This Row],[Page]]), 7), IF(ISNUMBER(FIND("Roof", Tasks[[#This Row],[Page]])), "Roof",  IF(ISNUMBER(FIND("S590", Tasks[[#This Row],[Page]])), "",  IF(ISNUMBER(FIND("Site", Tasks[[#This Row],[Page]])), "", "ERROR"))))</f>
        <v>Level 5</v>
      </c>
      <c r="G461" s="15" t="str">
        <f>IF(Tasks[[#This Row],[Location]]=0, "", Tasks[[#This Row],[Location]])</f>
        <v>519 - Waiting</v>
      </c>
      <c r="H461" s="15" t="str">
        <f>Tasks[[#This Row],[To Package]]</f>
        <v>Paint</v>
      </c>
      <c r="I461" s="15" t="str">
        <f>Tasks[[#This Row],[To Organisation]]</f>
        <v>Accent Painting and Special Coatings, LLC</v>
      </c>
    </row>
    <row r="462" spans="1:9" ht="15.5" x14ac:dyDescent="0.35">
      <c r="A462" s="16" t="str">
        <f>HYPERLINK(_xlfn.CONCAT(Edit_URL,Tasks[[#This Row],[Ref]]),Tasks[[#This Row],[Ref]])</f>
        <v>T74290.424</v>
      </c>
      <c r="B462" s="15" t="str" cm="1">
        <f t="array" ref="B462">_xlfn.SWITCH(LEFT(Tasks[[#This Row],[Status]],1),"O","Opened","C","Completed","S","Signed Off", "V", "Signed Off","ERROR")</f>
        <v>Opened</v>
      </c>
      <c r="C462" s="15" t="str" cm="1">
        <f t="array" ref="C462">_xlfn.SWITCH(LEFT(Tasks[[#This Row],[Type]], 3), "Fie", "Field Report", "Con", "Contractor QC", "Gen", "Contractor QC", "Pun", "Contractor QC", "Qua", "Contractor QC", "Fin", "Punch List")</f>
        <v>Contractor QC</v>
      </c>
      <c r="D462" s="15" t="str">
        <f>_xlfn.LET(
_xlpm.leftValue, TRIM(LEFT(Tasks[[#This Row],[Description]], 45)),
IF(LEN(_xlpm.leftValue) &lt; 40, _xlpm.leftValue, _xlfn.CONCAT(_xlpm.leftValue, "…"))
)</f>
        <v>Install exit sign</v>
      </c>
      <c r="E462" s="15" t="str" cm="1">
        <f t="array" ref="E462">_xlfn.LET(
_xlpm.inTower, COUNTIF(Tower_Num_Table[Tower Rm Numbers], LEFT(Task_Summary_Table[[#This Row],[Area/Room]], 3)) &gt; 0,
_xlpm.typeResult, _xlfn.SWITCH(LEFT(Tasks[[#This Row],[Page]], 2), "Hi", "Historic", "An", "Annex", "Si", "Site", "S5", "Project Task", "SWITCH ERROR"),
IF(_xlpm.inTower, "West Tower", _xlpm.typeResult)
)</f>
        <v>Historic</v>
      </c>
      <c r="F462" s="15" t="str">
        <f>IFERROR(MID(Tasks[[#This Row],[Page]], FIND("Level", Tasks[[#This Row],[Page]]), 7), IF(ISNUMBER(FIND("Roof", Tasks[[#This Row],[Page]])), "Roof",  IF(ISNUMBER(FIND("S590", Tasks[[#This Row],[Page]])), "",  IF(ISNUMBER(FIND("Site", Tasks[[#This Row],[Page]])), "", "ERROR"))))</f>
        <v>Level 5</v>
      </c>
      <c r="G462" s="15" t="str">
        <f>IF(Tasks[[#This Row],[Location]]=0, "", Tasks[[#This Row],[Location]])</f>
        <v>518 - Study</v>
      </c>
      <c r="H462" s="15" t="str">
        <f>Tasks[[#This Row],[To Package]]</f>
        <v>Electrical</v>
      </c>
      <c r="I462" s="15" t="str">
        <f>Tasks[[#This Row],[To Organisation]]</f>
        <v>Wilkinson Electric Inc</v>
      </c>
    </row>
    <row r="463" spans="1:9" ht="15.5" x14ac:dyDescent="0.35">
      <c r="A463" s="16" t="str">
        <f>HYPERLINK(_xlfn.CONCAT(Edit_URL,Tasks[[#This Row],[Ref]]),Tasks[[#This Row],[Ref]])</f>
        <v>T74290.425</v>
      </c>
      <c r="B463" s="15" t="str" cm="1">
        <f t="array" ref="B463">_xlfn.SWITCH(LEFT(Tasks[[#This Row],[Status]],1),"O","Opened","C","Completed","S","Signed Off", "V", "Signed Off","ERROR")</f>
        <v>Opened</v>
      </c>
      <c r="C463" s="15" t="str" cm="1">
        <f t="array" ref="C463">_xlfn.SWITCH(LEFT(Tasks[[#This Row],[Type]], 3), "Fie", "Field Report", "Con", "Contractor QC", "Gen", "Contractor QC", "Pun", "Contractor QC", "Qua", "Contractor QC", "Fin", "Punch List")</f>
        <v>Contractor QC</v>
      </c>
      <c r="D463" s="15" t="str">
        <f>_xlfn.LET(
_xlpm.leftValue, TRIM(LEFT(Tasks[[#This Row],[Description]], 45)),
IF(LEN(_xlpm.leftValue) &lt; 40, _xlpm.leftValue, _xlfn.CONCAT(_xlpm.leftValue, "…"))
)</f>
        <v>Touch up ceiling</v>
      </c>
      <c r="E463" s="15" t="str" cm="1">
        <f t="array" ref="E463">_xlfn.LET(
_xlpm.inTower, COUNTIF(Tower_Num_Table[Tower Rm Numbers], LEFT(Task_Summary_Table[[#This Row],[Area/Room]], 3)) &gt; 0,
_xlpm.typeResult, _xlfn.SWITCH(LEFT(Tasks[[#This Row],[Page]], 2), "Hi", "Historic", "An", "Annex", "Si", "Site", "S5", "Project Task", "SWITCH ERROR"),
IF(_xlpm.inTower, "West Tower", _xlpm.typeResult)
)</f>
        <v>Historic</v>
      </c>
      <c r="F463" s="15" t="str">
        <f>IFERROR(MID(Tasks[[#This Row],[Page]], FIND("Level", Tasks[[#This Row],[Page]]), 7), IF(ISNUMBER(FIND("Roof", Tasks[[#This Row],[Page]])), "Roof",  IF(ISNUMBER(FIND("S590", Tasks[[#This Row],[Page]])), "",  IF(ISNUMBER(FIND("Site", Tasks[[#This Row],[Page]])), "", "ERROR"))))</f>
        <v>Level 5</v>
      </c>
      <c r="G463" s="15" t="str">
        <f>IF(Tasks[[#This Row],[Location]]=0, "", Tasks[[#This Row],[Location]])</f>
        <v>518 - Study</v>
      </c>
      <c r="H463" s="15" t="str">
        <f>Tasks[[#This Row],[To Package]]</f>
        <v>Paint</v>
      </c>
      <c r="I463" s="15" t="str">
        <f>Tasks[[#This Row],[To Organisation]]</f>
        <v>Accent Painting and Special Coatings, LLC</v>
      </c>
    </row>
    <row r="464" spans="1:9" ht="15.5" x14ac:dyDescent="0.35">
      <c r="A464" s="16" t="str">
        <f>HYPERLINK(_xlfn.CONCAT(Edit_URL,Tasks[[#This Row],[Ref]]),Tasks[[#This Row],[Ref]])</f>
        <v>T74290.426</v>
      </c>
      <c r="B464" s="15" t="str" cm="1">
        <f t="array" ref="B464">_xlfn.SWITCH(LEFT(Tasks[[#This Row],[Status]],1),"O","Opened","C","Completed","S","Signed Off", "V", "Signed Off","ERROR")</f>
        <v>Opened</v>
      </c>
      <c r="C464" s="15" t="str" cm="1">
        <f t="array" ref="C464">_xlfn.SWITCH(LEFT(Tasks[[#This Row],[Type]], 3), "Fie", "Field Report", "Con", "Contractor QC", "Gen", "Contractor QC", "Pun", "Contractor QC", "Qua", "Contractor QC", "Fin", "Punch List")</f>
        <v>Contractor QC</v>
      </c>
      <c r="D464" s="15" t="str">
        <f>_xlfn.LET(
_xlpm.leftValue, TRIM(LEFT(Tasks[[#This Row],[Description]], 45)),
IF(LEN(_xlpm.leftValue) &lt; 40, _xlpm.leftValue, _xlfn.CONCAT(_xlpm.leftValue, "…"))
)</f>
        <v>Remove overspray on all brackets</v>
      </c>
      <c r="E464" s="15" t="str" cm="1">
        <f t="array" ref="E464">_xlfn.LET(
_xlpm.inTower, COUNTIF(Tower_Num_Table[Tower Rm Numbers], LEFT(Task_Summary_Table[[#This Row],[Area/Room]], 3)) &gt; 0,
_xlpm.typeResult, _xlfn.SWITCH(LEFT(Tasks[[#This Row],[Page]], 2), "Hi", "Historic", "An", "Annex", "Si", "Site", "S5", "Project Task", "SWITCH ERROR"),
IF(_xlpm.inTower, "West Tower", _xlpm.typeResult)
)</f>
        <v>Historic</v>
      </c>
      <c r="F464" s="15" t="str">
        <f>IFERROR(MID(Tasks[[#This Row],[Page]], FIND("Level", Tasks[[#This Row],[Page]]), 7), IF(ISNUMBER(FIND("Roof", Tasks[[#This Row],[Page]])), "Roof",  IF(ISNUMBER(FIND("S590", Tasks[[#This Row],[Page]])), "",  IF(ISNUMBER(FIND("Site", Tasks[[#This Row],[Page]])), "", "ERROR"))))</f>
        <v>Level 5</v>
      </c>
      <c r="G464" s="15" t="str">
        <f>IF(Tasks[[#This Row],[Location]]=0, "", Tasks[[#This Row],[Location]])</f>
        <v>Level 5 SE Stair Tower</v>
      </c>
      <c r="H464" s="15" t="str">
        <f>Tasks[[#This Row],[To Package]]</f>
        <v>Paint</v>
      </c>
      <c r="I464" s="15" t="str">
        <f>Tasks[[#This Row],[To Organisation]]</f>
        <v>Accent Painting and Special Coatings, LLC</v>
      </c>
    </row>
    <row r="465" spans="1:9" ht="15.5" x14ac:dyDescent="0.35">
      <c r="A465" s="16" t="str">
        <f>HYPERLINK(_xlfn.CONCAT(Edit_URL,Tasks[[#This Row],[Ref]]),Tasks[[#This Row],[Ref]])</f>
        <v>T74290.427</v>
      </c>
      <c r="B465" s="15" t="str" cm="1">
        <f t="array" ref="B465">_xlfn.SWITCH(LEFT(Tasks[[#This Row],[Status]],1),"O","Opened","C","Completed","S","Signed Off", "V", "Signed Off","ERROR")</f>
        <v>Opened</v>
      </c>
      <c r="C465" s="15" t="str" cm="1">
        <f t="array" ref="C465">_xlfn.SWITCH(LEFT(Tasks[[#This Row],[Type]], 3), "Fie", "Field Report", "Con", "Contractor QC", "Gen", "Contractor QC", "Pun", "Contractor QC", "Qua", "Contractor QC", "Fin", "Punch List")</f>
        <v>Contractor QC</v>
      </c>
      <c r="D465" s="15" t="str">
        <f>_xlfn.LET(
_xlpm.leftValue, TRIM(LEFT(Tasks[[#This Row],[Description]], 45)),
IF(LEN(_xlpm.leftValue) &lt; 40, _xlpm.leftValue, _xlfn.CONCAT(_xlpm.leftValue, "…"))
)</f>
        <v>Install exit sign</v>
      </c>
      <c r="E465" s="15" t="str" cm="1">
        <f t="array" ref="E465">_xlfn.LET(
_xlpm.inTower, COUNTIF(Tower_Num_Table[Tower Rm Numbers], LEFT(Task_Summary_Table[[#This Row],[Area/Room]], 3)) &gt; 0,
_xlpm.typeResult, _xlfn.SWITCH(LEFT(Tasks[[#This Row],[Page]], 2), "Hi", "Historic", "An", "Annex", "Si", "Site", "S5", "Project Task", "SWITCH ERROR"),
IF(_xlpm.inTower, "West Tower", _xlpm.typeResult)
)</f>
        <v>Historic</v>
      </c>
      <c r="F465" s="15" t="str">
        <f>IFERROR(MID(Tasks[[#This Row],[Page]], FIND("Level", Tasks[[#This Row],[Page]]), 7), IF(ISNUMBER(FIND("Roof", Tasks[[#This Row],[Page]])), "Roof",  IF(ISNUMBER(FIND("S590", Tasks[[#This Row],[Page]])), "",  IF(ISNUMBER(FIND("Site", Tasks[[#This Row],[Page]])), "", "ERROR"))))</f>
        <v>Level 4</v>
      </c>
      <c r="G465" s="15" t="str">
        <f>IF(Tasks[[#This Row],[Location]]=0, "", Tasks[[#This Row],[Location]])</f>
        <v>411 - Vestibule</v>
      </c>
      <c r="H465" s="15" t="str">
        <f>Tasks[[#This Row],[To Package]]</f>
        <v>Electrical</v>
      </c>
      <c r="I465" s="15" t="str">
        <f>Tasks[[#This Row],[To Organisation]]</f>
        <v>Wilkinson Electric Inc</v>
      </c>
    </row>
    <row r="466" spans="1:9" ht="15.5" x14ac:dyDescent="0.35">
      <c r="A466" s="16" t="str">
        <f>HYPERLINK(_xlfn.CONCAT(Edit_URL,Tasks[[#This Row],[Ref]]),Tasks[[#This Row],[Ref]])</f>
        <v>T74290.428</v>
      </c>
      <c r="B466" s="15" t="str" cm="1">
        <f t="array" ref="B466">_xlfn.SWITCH(LEFT(Tasks[[#This Row],[Status]],1),"O","Opened","C","Completed","S","Signed Off", "V", "Signed Off","ERROR")</f>
        <v>Opened</v>
      </c>
      <c r="C466" s="15" t="str" cm="1">
        <f t="array" ref="C466">_xlfn.SWITCH(LEFT(Tasks[[#This Row],[Type]], 3), "Fie", "Field Report", "Con", "Contractor QC", "Gen", "Contractor QC", "Pun", "Contractor QC", "Qua", "Contractor QC", "Fin", "Punch List")</f>
        <v>Contractor QC</v>
      </c>
      <c r="D466" s="15" t="str">
        <f>_xlfn.LET(
_xlpm.leftValue, TRIM(LEFT(Tasks[[#This Row],[Description]], 45)),
IF(LEN(_xlpm.leftValue) &lt; 40, _xlpm.leftValue, _xlfn.CONCAT(_xlpm.leftValue, "…"))
)</f>
        <v>Install sprinkler heads covers</v>
      </c>
      <c r="E466" s="15" t="str" cm="1">
        <f t="array" ref="E466">_xlfn.LET(
_xlpm.inTower, COUNTIF(Tower_Num_Table[Tower Rm Numbers], LEFT(Task_Summary_Table[[#This Row],[Area/Room]], 3)) &gt; 0,
_xlpm.typeResult, _xlfn.SWITCH(LEFT(Tasks[[#This Row],[Page]], 2), "Hi", "Historic", "An", "Annex", "Si", "Site", "S5", "Project Task", "SWITCH ERROR"),
IF(_xlpm.inTower, "West Tower", _xlpm.typeResult)
)</f>
        <v>Historic</v>
      </c>
      <c r="F466" s="15" t="str">
        <f>IFERROR(MID(Tasks[[#This Row],[Page]], FIND("Level", Tasks[[#This Row],[Page]]), 7), IF(ISNUMBER(FIND("Roof", Tasks[[#This Row],[Page]])), "Roof",  IF(ISNUMBER(FIND("S590", Tasks[[#This Row],[Page]])), "",  IF(ISNUMBER(FIND("Site", Tasks[[#This Row],[Page]])), "", "ERROR"))))</f>
        <v>Level 4</v>
      </c>
      <c r="G466" s="15" t="str">
        <f>IF(Tasks[[#This Row],[Location]]=0, "", Tasks[[#This Row],[Location]])</f>
        <v>411 - Vestibule</v>
      </c>
      <c r="H466" s="15" t="str">
        <f>Tasks[[#This Row],[To Package]]</f>
        <v>Fire Suppression</v>
      </c>
      <c r="I466" s="15" t="str">
        <f>Tasks[[#This Row],[To Organisation]]</f>
        <v>Broken Arrow Construction Corporation</v>
      </c>
    </row>
    <row r="467" spans="1:9" ht="15.5" x14ac:dyDescent="0.35">
      <c r="A467" s="16" t="str">
        <f>HYPERLINK(_xlfn.CONCAT(Edit_URL,Tasks[[#This Row],[Ref]]),Tasks[[#This Row],[Ref]])</f>
        <v>T74290.429</v>
      </c>
      <c r="B467" s="15" t="str" cm="1">
        <f t="array" ref="B467">_xlfn.SWITCH(LEFT(Tasks[[#This Row],[Status]],1),"O","Opened","C","Completed","S","Signed Off", "V", "Signed Off","ERROR")</f>
        <v>Opened</v>
      </c>
      <c r="C467" s="15" t="str" cm="1">
        <f t="array" ref="C467">_xlfn.SWITCH(LEFT(Tasks[[#This Row],[Type]], 3), "Fie", "Field Report", "Con", "Contractor QC", "Gen", "Contractor QC", "Pun", "Contractor QC", "Qua", "Contractor QC", "Fin", "Punch List")</f>
        <v>Contractor QC</v>
      </c>
      <c r="D467" s="15" t="str">
        <f>_xlfn.LET(
_xlpm.leftValue, TRIM(LEFT(Tasks[[#This Row],[Description]], 45)),
IF(LEN(_xlpm.leftValue) &lt; 40, _xlpm.leftValue, _xlfn.CONCAT(_xlpm.leftValue, "…"))
)</f>
        <v>Complete trim between window and sill</v>
      </c>
      <c r="E467" s="15" t="str" cm="1">
        <f t="array" ref="E467">_xlfn.LET(
_xlpm.inTower, COUNTIF(Tower_Num_Table[Tower Rm Numbers], LEFT(Task_Summary_Table[[#This Row],[Area/Room]], 3)) &gt; 0,
_xlpm.typeResult, _xlfn.SWITCH(LEFT(Tasks[[#This Row],[Page]], 2), "Hi", "Historic", "An", "Annex", "Si", "Site", "S5", "Project Task", "SWITCH ERROR"),
IF(_xlpm.inTower, "West Tower", _xlpm.typeResult)
)</f>
        <v>Historic</v>
      </c>
      <c r="F467" s="15" t="str">
        <f>IFERROR(MID(Tasks[[#This Row],[Page]], FIND("Level", Tasks[[#This Row],[Page]]), 7), IF(ISNUMBER(FIND("Roof", Tasks[[#This Row],[Page]])), "Roof",  IF(ISNUMBER(FIND("S590", Tasks[[#This Row],[Page]])), "",  IF(ISNUMBER(FIND("Site", Tasks[[#This Row],[Page]])), "", "ERROR"))))</f>
        <v>Level 4</v>
      </c>
      <c r="G467" s="15" t="str">
        <f>IF(Tasks[[#This Row],[Location]]=0, "", Tasks[[#This Row],[Location]])</f>
        <v>411 - Vestibule</v>
      </c>
      <c r="H467" s="15" t="str">
        <f>Tasks[[#This Row],[To Package]]</f>
        <v xml:space="preserve">Finish Carpentry </v>
      </c>
      <c r="I467" s="15" t="str">
        <f>Tasks[[#This Row],[To Organisation]]</f>
        <v>Fetzers' Inc.</v>
      </c>
    </row>
    <row r="468" spans="1:9" ht="15.5" x14ac:dyDescent="0.35">
      <c r="A468" s="16" t="str">
        <f>HYPERLINK(_xlfn.CONCAT(Edit_URL,Tasks[[#This Row],[Ref]]),Tasks[[#This Row],[Ref]])</f>
        <v>T74290.430</v>
      </c>
      <c r="B468" s="15" t="str" cm="1">
        <f t="array" ref="B468">_xlfn.SWITCH(LEFT(Tasks[[#This Row],[Status]],1),"O","Opened","C","Completed","S","Signed Off", "V", "Signed Off","ERROR")</f>
        <v>Opened</v>
      </c>
      <c r="C468" s="15" t="str" cm="1">
        <f t="array" ref="C468">_xlfn.SWITCH(LEFT(Tasks[[#This Row],[Type]], 3), "Fie", "Field Report", "Con", "Contractor QC", "Gen", "Contractor QC", "Pun", "Contractor QC", "Qua", "Contractor QC", "Fin", "Punch List")</f>
        <v>Contractor QC</v>
      </c>
      <c r="D468" s="15" t="str">
        <f>_xlfn.LET(
_xlpm.leftValue, TRIM(LEFT(Tasks[[#This Row],[Description]], 45)),
IF(LEN(_xlpm.leftValue) &lt; 40, _xlpm.leftValue, _xlfn.CONCAT(_xlpm.leftValue, "…"))
)</f>
        <v>Complete trim between window and sill</v>
      </c>
      <c r="E468" s="15" t="str" cm="1">
        <f t="array" ref="E468">_xlfn.LET(
_xlpm.inTower, COUNTIF(Tower_Num_Table[Tower Rm Numbers], LEFT(Task_Summary_Table[[#This Row],[Area/Room]], 3)) &gt; 0,
_xlpm.typeResult, _xlfn.SWITCH(LEFT(Tasks[[#This Row],[Page]], 2), "Hi", "Historic", "An", "Annex", "Si", "Site", "S5", "Project Task", "SWITCH ERROR"),
IF(_xlpm.inTower, "West Tower", _xlpm.typeResult)
)</f>
        <v>Historic</v>
      </c>
      <c r="F468" s="15" t="str">
        <f>IFERROR(MID(Tasks[[#This Row],[Page]], FIND("Level", Tasks[[#This Row],[Page]]), 7), IF(ISNUMBER(FIND("Roof", Tasks[[#This Row],[Page]])), "Roof",  IF(ISNUMBER(FIND("S590", Tasks[[#This Row],[Page]])), "",  IF(ISNUMBER(FIND("Site", Tasks[[#This Row],[Page]])), "", "ERROR"))))</f>
        <v>Level 4</v>
      </c>
      <c r="G468" s="15" t="str">
        <f>IF(Tasks[[#This Row],[Location]]=0, "", Tasks[[#This Row],[Location]])</f>
        <v>410 - Study</v>
      </c>
      <c r="H468" s="15" t="str">
        <f>Tasks[[#This Row],[To Package]]</f>
        <v xml:space="preserve">Finish Carpentry </v>
      </c>
      <c r="I468" s="15" t="str">
        <f>Tasks[[#This Row],[To Organisation]]</f>
        <v>Fetzers' Inc.</v>
      </c>
    </row>
    <row r="469" spans="1:9" ht="15.5" x14ac:dyDescent="0.35">
      <c r="A469" s="16" t="str">
        <f>HYPERLINK(_xlfn.CONCAT(Edit_URL,Tasks[[#This Row],[Ref]]),Tasks[[#This Row],[Ref]])</f>
        <v>T74290.431</v>
      </c>
      <c r="B469" s="15" t="str" cm="1">
        <f t="array" ref="B469">_xlfn.SWITCH(LEFT(Tasks[[#This Row],[Status]],1),"O","Opened","C","Completed","S","Signed Off", "V", "Signed Off","ERROR")</f>
        <v>Opened</v>
      </c>
      <c r="C469" s="15" t="str" cm="1">
        <f t="array" ref="C469">_xlfn.SWITCH(LEFT(Tasks[[#This Row],[Type]], 3), "Fie", "Field Report", "Con", "Contractor QC", "Gen", "Contractor QC", "Pun", "Contractor QC", "Qua", "Contractor QC", "Fin", "Punch List")</f>
        <v>Contractor QC</v>
      </c>
      <c r="D469" s="15" t="str">
        <f>_xlfn.LET(
_xlpm.leftValue, TRIM(LEFT(Tasks[[#This Row],[Description]], 45)),
IF(LEN(_xlpm.leftValue) &lt; 40, _xlpm.leftValue, _xlfn.CONCAT(_xlpm.leftValue, "…"))
)</f>
        <v>Touch up ceiling</v>
      </c>
      <c r="E469" s="15" t="str" cm="1">
        <f t="array" ref="E469">_xlfn.LET(
_xlpm.inTower, COUNTIF(Tower_Num_Table[Tower Rm Numbers], LEFT(Task_Summary_Table[[#This Row],[Area/Room]], 3)) &gt; 0,
_xlpm.typeResult, _xlfn.SWITCH(LEFT(Tasks[[#This Row],[Page]], 2), "Hi", "Historic", "An", "Annex", "Si", "Site", "S5", "Project Task", "SWITCH ERROR"),
IF(_xlpm.inTower, "West Tower", _xlpm.typeResult)
)</f>
        <v>Historic</v>
      </c>
      <c r="F469" s="15" t="str">
        <f>IFERROR(MID(Tasks[[#This Row],[Page]], FIND("Level", Tasks[[#This Row],[Page]]), 7), IF(ISNUMBER(FIND("Roof", Tasks[[#This Row],[Page]])), "Roof",  IF(ISNUMBER(FIND("S590", Tasks[[#This Row],[Page]])), "",  IF(ISNUMBER(FIND("Site", Tasks[[#This Row],[Page]])), "", "ERROR"))))</f>
        <v>Level 4</v>
      </c>
      <c r="G469" s="15" t="str">
        <f>IF(Tasks[[#This Row],[Location]]=0, "", Tasks[[#This Row],[Location]])</f>
        <v>410 - Study</v>
      </c>
      <c r="H469" s="15" t="str">
        <f>Tasks[[#This Row],[To Package]]</f>
        <v>Paint</v>
      </c>
      <c r="I469" s="15" t="str">
        <f>Tasks[[#This Row],[To Organisation]]</f>
        <v>Accent Painting and Special Coatings, LLC</v>
      </c>
    </row>
    <row r="470" spans="1:9" ht="15.5" x14ac:dyDescent="0.35">
      <c r="A470" s="16" t="str">
        <f>HYPERLINK(_xlfn.CONCAT(Edit_URL,Tasks[[#This Row],[Ref]]),Tasks[[#This Row],[Ref]])</f>
        <v>T74290.432</v>
      </c>
      <c r="B470" s="15" t="str" cm="1">
        <f t="array" ref="B470">_xlfn.SWITCH(LEFT(Tasks[[#This Row],[Status]],1),"O","Opened","C","Completed","S","Signed Off", "V", "Signed Off","ERROR")</f>
        <v>Opened</v>
      </c>
      <c r="C470" s="15" t="str" cm="1">
        <f t="array" ref="C470">_xlfn.SWITCH(LEFT(Tasks[[#This Row],[Type]], 3), "Fie", "Field Report", "Con", "Contractor QC", "Gen", "Contractor QC", "Pun", "Contractor QC", "Qua", "Contractor QC", "Fin", "Punch List")</f>
        <v>Contractor QC</v>
      </c>
      <c r="D470" s="15" t="str">
        <f>_xlfn.LET(
_xlpm.leftValue, TRIM(LEFT(Tasks[[#This Row],[Description]], 45)),
IF(LEN(_xlpm.leftValue) &lt; 40, _xlpm.leftValue, _xlfn.CONCAT(_xlpm.leftValue, "…"))
)</f>
        <v>Complete trim between window and sill</v>
      </c>
      <c r="E470" s="15" t="str" cm="1">
        <f t="array" ref="E470">_xlfn.LET(
_xlpm.inTower, COUNTIF(Tower_Num_Table[Tower Rm Numbers], LEFT(Task_Summary_Table[[#This Row],[Area/Room]], 3)) &gt; 0,
_xlpm.typeResult, _xlfn.SWITCH(LEFT(Tasks[[#This Row],[Page]], 2), "Hi", "Historic", "An", "Annex", "Si", "Site", "S5", "Project Task", "SWITCH ERROR"),
IF(_xlpm.inTower, "West Tower", _xlpm.typeResult)
)</f>
        <v>Historic</v>
      </c>
      <c r="F470" s="15" t="str">
        <f>IFERROR(MID(Tasks[[#This Row],[Page]], FIND("Level", Tasks[[#This Row],[Page]]), 7), IF(ISNUMBER(FIND("Roof", Tasks[[#This Row],[Page]])), "Roof",  IF(ISNUMBER(FIND("S590", Tasks[[#This Row],[Page]])), "",  IF(ISNUMBER(FIND("Site", Tasks[[#This Row],[Page]])), "", "ERROR"))))</f>
        <v>Level 4</v>
      </c>
      <c r="G470" s="15" t="str">
        <f>IF(Tasks[[#This Row],[Location]]=0, "", Tasks[[#This Row],[Location]])</f>
        <v>409 - Vestibule</v>
      </c>
      <c r="H470" s="15" t="str">
        <f>Tasks[[#This Row],[To Package]]</f>
        <v>Paint</v>
      </c>
      <c r="I470" s="15" t="str">
        <f>Tasks[[#This Row],[To Organisation]]</f>
        <v>Accent Painting and Special Coatings, LLC</v>
      </c>
    </row>
    <row r="471" spans="1:9" ht="15.5" x14ac:dyDescent="0.35">
      <c r="A471" s="16" t="str">
        <f>HYPERLINK(_xlfn.CONCAT(Edit_URL,Tasks[[#This Row],[Ref]]),Tasks[[#This Row],[Ref]])</f>
        <v>T74290.433</v>
      </c>
      <c r="B471" s="15" t="str" cm="1">
        <f t="array" ref="B471">_xlfn.SWITCH(LEFT(Tasks[[#This Row],[Status]],1),"O","Opened","C","Completed","S","Signed Off", "V", "Signed Off","ERROR")</f>
        <v>Opened</v>
      </c>
      <c r="C471" s="15" t="str" cm="1">
        <f t="array" ref="C471">_xlfn.SWITCH(LEFT(Tasks[[#This Row],[Type]], 3), "Fie", "Field Report", "Con", "Contractor QC", "Gen", "Contractor QC", "Pun", "Contractor QC", "Qua", "Contractor QC", "Fin", "Punch List")</f>
        <v>Contractor QC</v>
      </c>
      <c r="D471" s="15" t="str">
        <f>_xlfn.LET(
_xlpm.leftValue, TRIM(LEFT(Tasks[[#This Row],[Description]], 45)),
IF(LEN(_xlpm.leftValue) &lt; 40, _xlpm.leftValue, _xlfn.CONCAT(_xlpm.leftValue, "…"))
)</f>
        <v>Touch up and paint casing</v>
      </c>
      <c r="E471" s="15" t="str" cm="1">
        <f t="array" ref="E471">_xlfn.LET(
_xlpm.inTower, COUNTIF(Tower_Num_Table[Tower Rm Numbers], LEFT(Task_Summary_Table[[#This Row],[Area/Room]], 3)) &gt; 0,
_xlpm.typeResult, _xlfn.SWITCH(LEFT(Tasks[[#This Row],[Page]], 2), "Hi", "Historic", "An", "Annex", "Si", "Site", "S5", "Project Task", "SWITCH ERROR"),
IF(_xlpm.inTower, "West Tower", _xlpm.typeResult)
)</f>
        <v>Historic</v>
      </c>
      <c r="F471" s="15" t="str">
        <f>IFERROR(MID(Tasks[[#This Row],[Page]], FIND("Level", Tasks[[#This Row],[Page]]), 7), IF(ISNUMBER(FIND("Roof", Tasks[[#This Row],[Page]])), "Roof",  IF(ISNUMBER(FIND("S590", Tasks[[#This Row],[Page]])), "",  IF(ISNUMBER(FIND("Site", Tasks[[#This Row],[Page]])), "", "ERROR"))))</f>
        <v>Level 4</v>
      </c>
      <c r="G471" s="15" t="str">
        <f>IF(Tasks[[#This Row],[Location]]=0, "", Tasks[[#This Row],[Location]])</f>
        <v>415 - SE Stair Tower</v>
      </c>
      <c r="H471" s="15" t="str">
        <f>Tasks[[#This Row],[To Package]]</f>
        <v>Paint</v>
      </c>
      <c r="I471" s="15" t="str">
        <f>Tasks[[#This Row],[To Organisation]]</f>
        <v>Accent Painting and Special Coatings, LLC</v>
      </c>
    </row>
    <row r="472" spans="1:9" ht="15.5" x14ac:dyDescent="0.35">
      <c r="A472" s="16" t="str">
        <f>HYPERLINK(_xlfn.CONCAT(Edit_URL,Tasks[[#This Row],[Ref]]),Tasks[[#This Row],[Ref]])</f>
        <v>T74290.434</v>
      </c>
      <c r="B472" s="15" t="str" cm="1">
        <f t="array" ref="B472">_xlfn.SWITCH(LEFT(Tasks[[#This Row],[Status]],1),"O","Opened","C","Completed","S","Signed Off", "V", "Signed Off","ERROR")</f>
        <v>Opened</v>
      </c>
      <c r="C472" s="15" t="str" cm="1">
        <f t="array" ref="C472">_xlfn.SWITCH(LEFT(Tasks[[#This Row],[Type]], 3), "Fie", "Field Report", "Con", "Contractor QC", "Gen", "Contractor QC", "Pun", "Contractor QC", "Qua", "Contractor QC", "Fin", "Punch List")</f>
        <v>Contractor QC</v>
      </c>
      <c r="D472" s="15" t="str">
        <f>_xlfn.LET(
_xlpm.leftValue, TRIM(LEFT(Tasks[[#This Row],[Description]], 45)),
IF(LEN(_xlpm.leftValue) &lt; 40, _xlpm.leftValue, _xlfn.CONCAT(_xlpm.leftValue, "…"))
)</f>
        <v>Fill in existing hole</v>
      </c>
      <c r="E472" s="15" t="str" cm="1">
        <f t="array" ref="E472">_xlfn.LET(
_xlpm.inTower, COUNTIF(Tower_Num_Table[Tower Rm Numbers], LEFT(Task_Summary_Table[[#This Row],[Area/Room]], 3)) &gt; 0,
_xlpm.typeResult, _xlfn.SWITCH(LEFT(Tasks[[#This Row],[Page]], 2), "Hi", "Historic", "An", "Annex", "Si", "Site", "S5", "Project Task", "SWITCH ERROR"),
IF(_xlpm.inTower, "West Tower", _xlpm.typeResult)
)</f>
        <v>Historic</v>
      </c>
      <c r="F472" s="15" t="str">
        <f>IFERROR(MID(Tasks[[#This Row],[Page]], FIND("Level", Tasks[[#This Row],[Page]]), 7), IF(ISNUMBER(FIND("Roof", Tasks[[#This Row],[Page]])), "Roof",  IF(ISNUMBER(FIND("S590", Tasks[[#This Row],[Page]])), "",  IF(ISNUMBER(FIND("Site", Tasks[[#This Row],[Page]])), "", "ERROR"))))</f>
        <v>Level 3</v>
      </c>
      <c r="G472" s="15" t="str">
        <f>IF(Tasks[[#This Row],[Location]]=0, "", Tasks[[#This Row],[Location]])</f>
        <v>329B - SE Stairs</v>
      </c>
      <c r="H472" s="15" t="str">
        <f>Tasks[[#This Row],[To Package]]</f>
        <v xml:space="preserve">Finish Carpentry </v>
      </c>
      <c r="I472" s="15" t="str">
        <f>Tasks[[#This Row],[To Organisation]]</f>
        <v>Fetzers' Inc.</v>
      </c>
    </row>
    <row r="473" spans="1:9" ht="15.5" x14ac:dyDescent="0.35">
      <c r="A473" s="16" t="str">
        <f>HYPERLINK(_xlfn.CONCAT(Edit_URL,Tasks[[#This Row],[Ref]]),Tasks[[#This Row],[Ref]])</f>
        <v>T74290.435</v>
      </c>
      <c r="B473" s="15" t="str" cm="1">
        <f t="array" ref="B473">_xlfn.SWITCH(LEFT(Tasks[[#This Row],[Status]],1),"O","Opened","C","Completed","S","Signed Off", "V", "Signed Off","ERROR")</f>
        <v>Opened</v>
      </c>
      <c r="C473" s="15" t="str" cm="1">
        <f t="array" ref="C473">_xlfn.SWITCH(LEFT(Tasks[[#This Row],[Type]], 3), "Fie", "Field Report", "Con", "Contractor QC", "Gen", "Contractor QC", "Pun", "Contractor QC", "Qua", "Contractor QC", "Fin", "Punch List")</f>
        <v>Contractor QC</v>
      </c>
      <c r="D473" s="15" t="str">
        <f>_xlfn.LET(
_xlpm.leftValue, TRIM(LEFT(Tasks[[#This Row],[Description]], 45)),
IF(LEN(_xlpm.leftValue) &lt; 40, _xlpm.leftValue, _xlfn.CONCAT(_xlpm.leftValue, "…"))
)</f>
        <v>Paint casing</v>
      </c>
      <c r="E473" s="15" t="str" cm="1">
        <f t="array" ref="E473">_xlfn.LET(
_xlpm.inTower, COUNTIF(Tower_Num_Table[Tower Rm Numbers], LEFT(Task_Summary_Table[[#This Row],[Area/Room]], 3)) &gt; 0,
_xlpm.typeResult, _xlfn.SWITCH(LEFT(Tasks[[#This Row],[Page]], 2), "Hi", "Historic", "An", "Annex", "Si", "Site", "S5", "Project Task", "SWITCH ERROR"),
IF(_xlpm.inTower, "West Tower", _xlpm.typeResult)
)</f>
        <v>Historic</v>
      </c>
      <c r="F473" s="15" t="str">
        <f>IFERROR(MID(Tasks[[#This Row],[Page]], FIND("Level", Tasks[[#This Row],[Page]]), 7), IF(ISNUMBER(FIND("Roof", Tasks[[#This Row],[Page]])), "Roof",  IF(ISNUMBER(FIND("S590", Tasks[[#This Row],[Page]])), "",  IF(ISNUMBER(FIND("Site", Tasks[[#This Row],[Page]])), "", "ERROR"))))</f>
        <v>Level 3</v>
      </c>
      <c r="G473" s="15" t="str">
        <f>IF(Tasks[[#This Row],[Location]]=0, "", Tasks[[#This Row],[Location]])</f>
        <v>329B - SE Stairs</v>
      </c>
      <c r="H473" s="15" t="str">
        <f>Tasks[[#This Row],[To Package]]</f>
        <v>Paint</v>
      </c>
      <c r="I473" s="15" t="str">
        <f>Tasks[[#This Row],[To Organisation]]</f>
        <v>Accent Painting and Special Coatings, LLC</v>
      </c>
    </row>
    <row r="474" spans="1:9" ht="15.5" x14ac:dyDescent="0.35">
      <c r="A474" s="16" t="str">
        <f>HYPERLINK(_xlfn.CONCAT(Edit_URL,Tasks[[#This Row],[Ref]]),Tasks[[#This Row],[Ref]])</f>
        <v>T74290.325</v>
      </c>
      <c r="B474" s="15" t="str" cm="1">
        <f t="array" ref="B474">_xlfn.SWITCH(LEFT(Tasks[[#This Row],[Status]],1),"O","Opened","C","Completed","S","Signed Off", "V", "Signed Off","ERROR")</f>
        <v>Opened</v>
      </c>
      <c r="C474" s="15" t="str" cm="1">
        <f t="array" ref="C474">_xlfn.SWITCH(LEFT(Tasks[[#This Row],[Type]], 3), "Fie", "Field Report", "Con", "Contractor QC", "Gen", "Contractor QC", "Pun", "Contractor QC", "Qua", "Contractor QC", "Fin", "Punch List")</f>
        <v>Contractor QC</v>
      </c>
      <c r="D474" s="15" t="str">
        <f>_xlfn.LET(
_xlpm.leftValue, TRIM(LEFT(Tasks[[#This Row],[Description]], 45)),
IF(LEN(_xlpm.leftValue) &lt; 40, _xlpm.leftValue, _xlfn.CONCAT(_xlpm.leftValue, "…"))
)</f>
        <v>Repair bubbling paint on north east wall…</v>
      </c>
      <c r="E474" s="15" t="str" cm="1">
        <f t="array" ref="E474">_xlfn.LET(
_xlpm.inTower, COUNTIF(Tower_Num_Table[Tower Rm Numbers], LEFT(Task_Summary_Table[[#This Row],[Area/Room]], 3)) &gt; 0,
_xlpm.typeResult, _xlfn.SWITCH(LEFT(Tasks[[#This Row],[Page]], 2), "Hi", "Historic", "An", "Annex", "Si", "Site", "S5", "Project Task", "SWITCH ERROR"),
IF(_xlpm.inTower, "West Tower", _xlpm.typeResult)
)</f>
        <v>Historic</v>
      </c>
      <c r="F474" s="15" t="str">
        <f>IFERROR(MID(Tasks[[#This Row],[Page]], FIND("Level", Tasks[[#This Row],[Page]]), 7), IF(ISNUMBER(FIND("Roof", Tasks[[#This Row],[Page]])), "Roof",  IF(ISNUMBER(FIND("S590", Tasks[[#This Row],[Page]])), "",  IF(ISNUMBER(FIND("Site", Tasks[[#This Row],[Page]])), "", "ERROR"))))</f>
        <v>Level 5</v>
      </c>
      <c r="G474" s="15" t="str">
        <f>IF(Tasks[[#This Row],[Location]]=0, "", Tasks[[#This Row],[Location]])</f>
        <v>510 - Instruction 6</v>
      </c>
      <c r="H474" s="15" t="str">
        <f>Tasks[[#This Row],[To Package]]</f>
        <v>Paint</v>
      </c>
      <c r="I474" s="15" t="str">
        <f>Tasks[[#This Row],[To Organisation]]</f>
        <v>Accent Painting and Special Coatings, LLC</v>
      </c>
    </row>
    <row r="475" spans="1:9" ht="15.5" x14ac:dyDescent="0.35">
      <c r="A475" s="16" t="str">
        <f>HYPERLINK(_xlfn.CONCAT(Edit_URL,Tasks[[#This Row],[Ref]]),Tasks[[#This Row],[Ref]])</f>
        <v>T74290.326</v>
      </c>
      <c r="B475" s="15" t="str" cm="1">
        <f t="array" ref="B475">_xlfn.SWITCH(LEFT(Tasks[[#This Row],[Status]],1),"O","Opened","C","Completed","S","Signed Off", "V", "Signed Off","ERROR")</f>
        <v>Opened</v>
      </c>
      <c r="C475" s="15" t="str" cm="1">
        <f t="array" ref="C475">_xlfn.SWITCH(LEFT(Tasks[[#This Row],[Type]], 3), "Fie", "Field Report", "Con", "Contractor QC", "Gen", "Contractor QC", "Pun", "Contractor QC", "Qua", "Contractor QC", "Fin", "Punch List")</f>
        <v>Contractor QC</v>
      </c>
      <c r="D475" s="15" t="str">
        <f>_xlfn.LET(
_xlpm.leftValue, TRIM(LEFT(Tasks[[#This Row],[Description]], 45)),
IF(LEN(_xlpm.leftValue) &lt; 40, _xlpm.leftValue, _xlfn.CONCAT(_xlpm.leftValue, "…"))
)</f>
        <v>Replace scratched can light</v>
      </c>
      <c r="E475" s="15" t="str" cm="1">
        <f t="array" ref="E475">_xlfn.LET(
_xlpm.inTower, COUNTIF(Tower_Num_Table[Tower Rm Numbers], LEFT(Task_Summary_Table[[#This Row],[Area/Room]], 3)) &gt; 0,
_xlpm.typeResult, _xlfn.SWITCH(LEFT(Tasks[[#This Row],[Page]], 2), "Hi", "Historic", "An", "Annex", "Si", "Site", "S5", "Project Task", "SWITCH ERROR"),
IF(_xlpm.inTower, "West Tower", _xlpm.typeResult)
)</f>
        <v>Historic</v>
      </c>
      <c r="F475" s="15" t="str">
        <f>IFERROR(MID(Tasks[[#This Row],[Page]], FIND("Level", Tasks[[#This Row],[Page]]), 7), IF(ISNUMBER(FIND("Roof", Tasks[[#This Row],[Page]])), "Roof",  IF(ISNUMBER(FIND("S590", Tasks[[#This Row],[Page]])), "",  IF(ISNUMBER(FIND("Site", Tasks[[#This Row],[Page]])), "", "ERROR"))))</f>
        <v>Level 5</v>
      </c>
      <c r="G475" s="15" t="str">
        <f>IF(Tasks[[#This Row],[Location]]=0, "", Tasks[[#This Row],[Location]])</f>
        <v>510 - Instruction 6</v>
      </c>
      <c r="H475" s="15" t="str">
        <f>Tasks[[#This Row],[To Package]]</f>
        <v>Electrical</v>
      </c>
      <c r="I475" s="15" t="str">
        <f>Tasks[[#This Row],[To Organisation]]</f>
        <v>Wilkinson Electric Inc</v>
      </c>
    </row>
    <row r="476" spans="1:9" ht="15.5" x14ac:dyDescent="0.35">
      <c r="A476" s="16" t="str">
        <f>HYPERLINK(_xlfn.CONCAT(Edit_URL,Tasks[[#This Row],[Ref]]),Tasks[[#This Row],[Ref]])</f>
        <v>T74290.328</v>
      </c>
      <c r="B476" s="15" t="str" cm="1">
        <f t="array" ref="B476">_xlfn.SWITCH(LEFT(Tasks[[#This Row],[Status]],1),"O","Opened","C","Completed","S","Signed Off", "V", "Signed Off","ERROR")</f>
        <v>Opened</v>
      </c>
      <c r="C476" s="15" t="str" cm="1">
        <f t="array" ref="C476">_xlfn.SWITCH(LEFT(Tasks[[#This Row],[Type]], 3), "Fie", "Field Report", "Con", "Contractor QC", "Gen", "Contractor QC", "Pun", "Contractor QC", "Qua", "Contractor QC", "Fin", "Punch List")</f>
        <v>Contractor QC</v>
      </c>
      <c r="D476" s="15" t="str">
        <f>_xlfn.LET(
_xlpm.leftValue, TRIM(LEFT(Tasks[[#This Row],[Description]], 45)),
IF(LEN(_xlpm.leftValue) &lt; 40, _xlpm.leftValue, _xlfn.CONCAT(_xlpm.leftValue, "…"))
)</f>
        <v>Touch up baseboard</v>
      </c>
      <c r="E476" s="15" t="str" cm="1">
        <f t="array" ref="E476">_xlfn.LET(
_xlpm.inTower, COUNTIF(Tower_Num_Table[Tower Rm Numbers], LEFT(Task_Summary_Table[[#This Row],[Area/Room]], 3)) &gt; 0,
_xlpm.typeResult, _xlfn.SWITCH(LEFT(Tasks[[#This Row],[Page]], 2), "Hi", "Historic", "An", "Annex", "Si", "Site", "S5", "Project Task", "SWITCH ERROR"),
IF(_xlpm.inTower, "West Tower", _xlpm.typeResult)
)</f>
        <v>Historic</v>
      </c>
      <c r="F476" s="15" t="str">
        <f>IFERROR(MID(Tasks[[#This Row],[Page]], FIND("Level", Tasks[[#This Row],[Page]]), 7), IF(ISNUMBER(FIND("Roof", Tasks[[#This Row],[Page]])), "Roof",  IF(ISNUMBER(FIND("S590", Tasks[[#This Row],[Page]])), "",  IF(ISNUMBER(FIND("Site", Tasks[[#This Row],[Page]])), "", "ERROR"))))</f>
        <v>Level 5</v>
      </c>
      <c r="G476" s="15" t="str">
        <f>IF(Tasks[[#This Row],[Location]]=0, "", Tasks[[#This Row],[Location]])</f>
        <v>511 - Instruction 7</v>
      </c>
      <c r="H476" s="15" t="str">
        <f>Tasks[[#This Row],[To Package]]</f>
        <v>Paint</v>
      </c>
      <c r="I476" s="15" t="str">
        <f>Tasks[[#This Row],[To Organisation]]</f>
        <v>Accent Painting and Special Coatings, LLC</v>
      </c>
    </row>
    <row r="477" spans="1:9" ht="15.5" x14ac:dyDescent="0.35">
      <c r="A477" s="16" t="str">
        <f>HYPERLINK(_xlfn.CONCAT(Edit_URL,Tasks[[#This Row],[Ref]]),Tasks[[#This Row],[Ref]])</f>
        <v>T74290.329</v>
      </c>
      <c r="B477" s="15" t="str" cm="1">
        <f t="array" ref="B477">_xlfn.SWITCH(LEFT(Tasks[[#This Row],[Status]],1),"O","Opened","C","Completed","S","Signed Off", "V", "Signed Off","ERROR")</f>
        <v>Opened</v>
      </c>
      <c r="C477" s="15" t="str" cm="1">
        <f t="array" ref="C477">_xlfn.SWITCH(LEFT(Tasks[[#This Row],[Type]], 3), "Fie", "Field Report", "Con", "Contractor QC", "Gen", "Contractor QC", "Pun", "Contractor QC", "Qua", "Contractor QC", "Fin", "Punch List")</f>
        <v>Contractor QC</v>
      </c>
      <c r="D477" s="15" t="str">
        <f>_xlfn.LET(
_xlpm.leftValue, TRIM(LEFT(Tasks[[#This Row],[Description]], 45)),
IF(LEN(_xlpm.leftValue) &lt; 40, _xlpm.leftValue, _xlfn.CONCAT(_xlpm.leftValue, "…"))
)</f>
        <v>Touch up bubbled paint on north wall</v>
      </c>
      <c r="E477" s="15" t="str" cm="1">
        <f t="array" ref="E477">_xlfn.LET(
_xlpm.inTower, COUNTIF(Tower_Num_Table[Tower Rm Numbers], LEFT(Task_Summary_Table[[#This Row],[Area/Room]], 3)) &gt; 0,
_xlpm.typeResult, _xlfn.SWITCH(LEFT(Tasks[[#This Row],[Page]], 2), "Hi", "Historic", "An", "Annex", "Si", "Site", "S5", "Project Task", "SWITCH ERROR"),
IF(_xlpm.inTower, "West Tower", _xlpm.typeResult)
)</f>
        <v>Historic</v>
      </c>
      <c r="F477" s="15" t="str">
        <f>IFERROR(MID(Tasks[[#This Row],[Page]], FIND("Level", Tasks[[#This Row],[Page]]), 7), IF(ISNUMBER(FIND("Roof", Tasks[[#This Row],[Page]])), "Roof",  IF(ISNUMBER(FIND("S590", Tasks[[#This Row],[Page]])), "",  IF(ISNUMBER(FIND("Site", Tasks[[#This Row],[Page]])), "", "ERROR"))))</f>
        <v>Level 5</v>
      </c>
      <c r="G477" s="15" t="str">
        <f>IF(Tasks[[#This Row],[Location]]=0, "", Tasks[[#This Row],[Location]])</f>
        <v>511 - Instruction 7</v>
      </c>
      <c r="H477" s="15" t="str">
        <f>Tasks[[#This Row],[To Package]]</f>
        <v>Paint</v>
      </c>
      <c r="I477" s="15" t="str">
        <f>Tasks[[#This Row],[To Organisation]]</f>
        <v>Accent Painting and Special Coatings, LLC</v>
      </c>
    </row>
    <row r="478" spans="1:9" ht="15.5" x14ac:dyDescent="0.35">
      <c r="A478" s="16" t="str">
        <f>HYPERLINK(_xlfn.CONCAT(Edit_URL,Tasks[[#This Row],[Ref]]),Tasks[[#This Row],[Ref]])</f>
        <v>T74290.330</v>
      </c>
      <c r="B478" s="15" t="str" cm="1">
        <f t="array" ref="B478">_xlfn.SWITCH(LEFT(Tasks[[#This Row],[Status]],1),"O","Opened","C","Completed","S","Signed Off", "V", "Signed Off","ERROR")</f>
        <v>Opened</v>
      </c>
      <c r="C478" s="15" t="str" cm="1">
        <f t="array" ref="C478">_xlfn.SWITCH(LEFT(Tasks[[#This Row],[Type]], 3), "Fie", "Field Report", "Con", "Contractor QC", "Gen", "Contractor QC", "Pun", "Contractor QC", "Qua", "Contractor QC", "Fin", "Punch List")</f>
        <v>Contractor QC</v>
      </c>
      <c r="D478" s="15" t="str">
        <f>_xlfn.LET(
_xlpm.leftValue, TRIM(LEFT(Tasks[[#This Row],[Description]], 45)),
IF(LEN(_xlpm.leftValue) &lt; 40, _xlpm.leftValue, _xlfn.CONCAT(_xlpm.leftValue, "…"))
)</f>
        <v>Touch up baseboard under window</v>
      </c>
      <c r="E478" s="15" t="str" cm="1">
        <f t="array" ref="E478">_xlfn.LET(
_xlpm.inTower, COUNTIF(Tower_Num_Table[Tower Rm Numbers], LEFT(Task_Summary_Table[[#This Row],[Area/Room]], 3)) &gt; 0,
_xlpm.typeResult, _xlfn.SWITCH(LEFT(Tasks[[#This Row],[Page]], 2), "Hi", "Historic", "An", "Annex", "Si", "Site", "S5", "Project Task", "SWITCH ERROR"),
IF(_xlpm.inTower, "West Tower", _xlpm.typeResult)
)</f>
        <v>Historic</v>
      </c>
      <c r="F478" s="15" t="str">
        <f>IFERROR(MID(Tasks[[#This Row],[Page]], FIND("Level", Tasks[[#This Row],[Page]]), 7), IF(ISNUMBER(FIND("Roof", Tasks[[#This Row],[Page]])), "Roof",  IF(ISNUMBER(FIND("S590", Tasks[[#This Row],[Page]])), "",  IF(ISNUMBER(FIND("Site", Tasks[[#This Row],[Page]])), "", "ERROR"))))</f>
        <v>Level 5</v>
      </c>
      <c r="G478" s="15" t="str">
        <f>IF(Tasks[[#This Row],[Location]]=0, "", Tasks[[#This Row],[Location]])</f>
        <v>511 - Instruction 7</v>
      </c>
      <c r="H478" s="15" t="str">
        <f>Tasks[[#This Row],[To Package]]</f>
        <v>Paint</v>
      </c>
      <c r="I478" s="15" t="str">
        <f>Tasks[[#This Row],[To Organisation]]</f>
        <v>Accent Painting and Special Coatings, LLC</v>
      </c>
    </row>
    <row r="479" spans="1:9" ht="15.5" x14ac:dyDescent="0.35">
      <c r="A479" s="16" t="str">
        <f>HYPERLINK(_xlfn.CONCAT(Edit_URL,Tasks[[#This Row],[Ref]]),Tasks[[#This Row],[Ref]])</f>
        <v>T74290.331</v>
      </c>
      <c r="B479" s="15" t="str" cm="1">
        <f t="array" ref="B479">_xlfn.SWITCH(LEFT(Tasks[[#This Row],[Status]],1),"O","Opened","C","Completed","S","Signed Off", "V", "Signed Off","ERROR")</f>
        <v>Opened</v>
      </c>
      <c r="C479" s="15" t="str" cm="1">
        <f t="array" ref="C479">_xlfn.SWITCH(LEFT(Tasks[[#This Row],[Type]], 3), "Fie", "Field Report", "Con", "Contractor QC", "Gen", "Contractor QC", "Pun", "Contractor QC", "Qua", "Contractor QC", "Fin", "Punch List")</f>
        <v>Contractor QC</v>
      </c>
      <c r="D479" s="15" t="str">
        <f>_xlfn.LET(
_xlpm.leftValue, TRIM(LEFT(Tasks[[#This Row],[Description]], 45)),
IF(LEN(_xlpm.leftValue) &lt; 40, _xlpm.leftValue, _xlfn.CONCAT(_xlpm.leftValue, "…"))
)</f>
        <v>Caulk around window</v>
      </c>
      <c r="E479" s="15" t="str" cm="1">
        <f t="array" ref="E479">_xlfn.LET(
_xlpm.inTower, COUNTIF(Tower_Num_Table[Tower Rm Numbers], LEFT(Task_Summary_Table[[#This Row],[Area/Room]], 3)) &gt; 0,
_xlpm.typeResult, _xlfn.SWITCH(LEFT(Tasks[[#This Row],[Page]], 2), "Hi", "Historic", "An", "Annex", "Si", "Site", "S5", "Project Task", "SWITCH ERROR"),
IF(_xlpm.inTower, "West Tower", _xlpm.typeResult)
)</f>
        <v>Historic</v>
      </c>
      <c r="F479" s="15" t="str">
        <f>IFERROR(MID(Tasks[[#This Row],[Page]], FIND("Level", Tasks[[#This Row],[Page]]), 7), IF(ISNUMBER(FIND("Roof", Tasks[[#This Row],[Page]])), "Roof",  IF(ISNUMBER(FIND("S590", Tasks[[#This Row],[Page]])), "",  IF(ISNUMBER(FIND("Site", Tasks[[#This Row],[Page]])), "", "ERROR"))))</f>
        <v>Level 5</v>
      </c>
      <c r="G479" s="15" t="str">
        <f>IF(Tasks[[#This Row],[Location]]=0, "", Tasks[[#This Row],[Location]])</f>
        <v>511 - Instruction 7</v>
      </c>
      <c r="H479" s="15" t="str">
        <f>Tasks[[#This Row],[To Package]]</f>
        <v>Paint</v>
      </c>
      <c r="I479" s="15" t="str">
        <f>Tasks[[#This Row],[To Organisation]]</f>
        <v>Accent Painting and Special Coatings, LLC</v>
      </c>
    </row>
    <row r="480" spans="1:9" ht="15.5" x14ac:dyDescent="0.35">
      <c r="A480" s="16" t="str">
        <f>HYPERLINK(_xlfn.CONCAT(Edit_URL,Tasks[[#This Row],[Ref]]),Tasks[[#This Row],[Ref]])</f>
        <v>T74290.333</v>
      </c>
      <c r="B480" s="15" t="str" cm="1">
        <f t="array" ref="B480">_xlfn.SWITCH(LEFT(Tasks[[#This Row],[Status]],1),"O","Opened","C","Completed","S","Signed Off", "V", "Signed Off","ERROR")</f>
        <v>Opened</v>
      </c>
      <c r="C480" s="15" t="str" cm="1">
        <f t="array" ref="C480">_xlfn.SWITCH(LEFT(Tasks[[#This Row],[Type]], 3), "Fie", "Field Report", "Con", "Contractor QC", "Gen", "Contractor QC", "Pun", "Contractor QC", "Qua", "Contractor QC", "Fin", "Punch List")</f>
        <v>Contractor QC</v>
      </c>
      <c r="D480" s="15" t="str">
        <f>_xlfn.LET(
_xlpm.leftValue, TRIM(LEFT(Tasks[[#This Row],[Description]], 45)),
IF(LEN(_xlpm.leftValue) &lt; 40, _xlpm.leftValue, _xlfn.CONCAT(_xlpm.leftValue, "…"))
)</f>
        <v>Touch door casing</v>
      </c>
      <c r="E480" s="15" t="str" cm="1">
        <f t="array" ref="E480">_xlfn.LET(
_xlpm.inTower, COUNTIF(Tower_Num_Table[Tower Rm Numbers], LEFT(Task_Summary_Table[[#This Row],[Area/Room]], 3)) &gt; 0,
_xlpm.typeResult, _xlfn.SWITCH(LEFT(Tasks[[#This Row],[Page]], 2), "Hi", "Historic", "An", "Annex", "Si", "Site", "S5", "Project Task", "SWITCH ERROR"),
IF(_xlpm.inTower, "West Tower", _xlpm.typeResult)
)</f>
        <v>Historic</v>
      </c>
      <c r="F480" s="15" t="str">
        <f>IFERROR(MID(Tasks[[#This Row],[Page]], FIND("Level", Tasks[[#This Row],[Page]]), 7), IF(ISNUMBER(FIND("Roof", Tasks[[#This Row],[Page]])), "Roof",  IF(ISNUMBER(FIND("S590", Tasks[[#This Row],[Page]])), "",  IF(ISNUMBER(FIND("Site", Tasks[[#This Row],[Page]])), "", "ERROR"))))</f>
        <v>Level 5</v>
      </c>
      <c r="G480" s="15" t="str">
        <f>IF(Tasks[[#This Row],[Location]]=0, "", Tasks[[#This Row],[Location]])</f>
        <v>511 - Instruction 7</v>
      </c>
      <c r="H480" s="15" t="str">
        <f>Tasks[[#This Row],[To Package]]</f>
        <v>Paint</v>
      </c>
      <c r="I480" s="15" t="str">
        <f>Tasks[[#This Row],[To Organisation]]</f>
        <v>Accent Painting and Special Coatings, LLC</v>
      </c>
    </row>
    <row r="481" spans="1:9" ht="15.5" x14ac:dyDescent="0.35">
      <c r="A481" s="16" t="str">
        <f>HYPERLINK(_xlfn.CONCAT(Edit_URL,Tasks[[#This Row],[Ref]]),Tasks[[#This Row],[Ref]])</f>
        <v>T74290.334</v>
      </c>
      <c r="B481" s="15" t="str" cm="1">
        <f t="array" ref="B481">_xlfn.SWITCH(LEFT(Tasks[[#This Row],[Status]],1),"O","Opened","C","Completed","S","Signed Off", "V", "Signed Off","ERROR")</f>
        <v>Opened</v>
      </c>
      <c r="C481" s="15" t="str" cm="1">
        <f t="array" ref="C481">_xlfn.SWITCH(LEFT(Tasks[[#This Row],[Type]], 3), "Fie", "Field Report", "Con", "Contractor QC", "Gen", "Contractor QC", "Pun", "Contractor QC", "Qua", "Contractor QC", "Fin", "Punch List")</f>
        <v>Contractor QC</v>
      </c>
      <c r="D481" s="15" t="str">
        <f>_xlfn.LET(
_xlpm.leftValue, TRIM(LEFT(Tasks[[#This Row],[Description]], 45)),
IF(LEN(_xlpm.leftValue) &lt; 40, _xlpm.leftValue, _xlfn.CONCAT(_xlpm.leftValue, "…"))
)</f>
        <v>Fill in nail holes in transom</v>
      </c>
      <c r="E481" s="15" t="str" cm="1">
        <f t="array" ref="E481">_xlfn.LET(
_xlpm.inTower, COUNTIF(Tower_Num_Table[Tower Rm Numbers], LEFT(Task_Summary_Table[[#This Row],[Area/Room]], 3)) &gt; 0,
_xlpm.typeResult, _xlfn.SWITCH(LEFT(Tasks[[#This Row],[Page]], 2), "Hi", "Historic", "An", "Annex", "Si", "Site", "S5", "Project Task", "SWITCH ERROR"),
IF(_xlpm.inTower, "West Tower", _xlpm.typeResult)
)</f>
        <v>Historic</v>
      </c>
      <c r="F481" s="15" t="str">
        <f>IFERROR(MID(Tasks[[#This Row],[Page]], FIND("Level", Tasks[[#This Row],[Page]]), 7), IF(ISNUMBER(FIND("Roof", Tasks[[#This Row],[Page]])), "Roof",  IF(ISNUMBER(FIND("S590", Tasks[[#This Row],[Page]])), "",  IF(ISNUMBER(FIND("Site", Tasks[[#This Row],[Page]])), "", "ERROR"))))</f>
        <v>Level 5</v>
      </c>
      <c r="G481" s="15" t="str">
        <f>IF(Tasks[[#This Row],[Location]]=0, "", Tasks[[#This Row],[Location]])</f>
        <v>512 - Instruction 8</v>
      </c>
      <c r="H481" s="15" t="str">
        <f>Tasks[[#This Row],[To Package]]</f>
        <v>Paint</v>
      </c>
      <c r="I481" s="15" t="str">
        <f>Tasks[[#This Row],[To Organisation]]</f>
        <v>Accent Painting and Special Coatings, LLC</v>
      </c>
    </row>
    <row r="482" spans="1:9" ht="15.5" x14ac:dyDescent="0.35">
      <c r="A482" s="16" t="str">
        <f>HYPERLINK(_xlfn.CONCAT(Edit_URL,Tasks[[#This Row],[Ref]]),Tasks[[#This Row],[Ref]])</f>
        <v>T74290.335</v>
      </c>
      <c r="B482" s="15" t="str" cm="1">
        <f t="array" ref="B482">_xlfn.SWITCH(LEFT(Tasks[[#This Row],[Status]],1),"O","Opened","C","Completed","S","Signed Off", "V", "Signed Off","ERROR")</f>
        <v>Opened</v>
      </c>
      <c r="C482" s="15" t="str" cm="1">
        <f t="array" ref="C482">_xlfn.SWITCH(LEFT(Tasks[[#This Row],[Type]], 3), "Fie", "Field Report", "Con", "Contractor QC", "Gen", "Contractor QC", "Pun", "Contractor QC", "Qua", "Contractor QC", "Fin", "Punch List")</f>
        <v>Contractor QC</v>
      </c>
      <c r="D482" s="15" t="str">
        <f>_xlfn.LET(
_xlpm.leftValue, TRIM(LEFT(Tasks[[#This Row],[Description]], 45)),
IF(LEN(_xlpm.leftValue) &lt; 40, _xlpm.leftValue, _xlfn.CONCAT(_xlpm.leftValue, "…"))
)</f>
        <v>Touch up base board for entire room</v>
      </c>
      <c r="E482" s="15" t="str" cm="1">
        <f t="array" ref="E482">_xlfn.LET(
_xlpm.inTower, COUNTIF(Tower_Num_Table[Tower Rm Numbers], LEFT(Task_Summary_Table[[#This Row],[Area/Room]], 3)) &gt; 0,
_xlpm.typeResult, _xlfn.SWITCH(LEFT(Tasks[[#This Row],[Page]], 2), "Hi", "Historic", "An", "Annex", "Si", "Site", "S5", "Project Task", "SWITCH ERROR"),
IF(_xlpm.inTower, "West Tower", _xlpm.typeResult)
)</f>
        <v>Historic</v>
      </c>
      <c r="F482" s="15" t="str">
        <f>IFERROR(MID(Tasks[[#This Row],[Page]], FIND("Level", Tasks[[#This Row],[Page]]), 7), IF(ISNUMBER(FIND("Roof", Tasks[[#This Row],[Page]])), "Roof",  IF(ISNUMBER(FIND("S590", Tasks[[#This Row],[Page]])), "",  IF(ISNUMBER(FIND("Site", Tasks[[#This Row],[Page]])), "", "ERROR"))))</f>
        <v>Level 5</v>
      </c>
      <c r="G482" s="15" t="str">
        <f>IF(Tasks[[#This Row],[Location]]=0, "", Tasks[[#This Row],[Location]])</f>
        <v>512 - Instruction 8</v>
      </c>
      <c r="H482" s="15" t="str">
        <f>Tasks[[#This Row],[To Package]]</f>
        <v>Paint</v>
      </c>
      <c r="I482" s="15" t="str">
        <f>Tasks[[#This Row],[To Organisation]]</f>
        <v>Accent Painting and Special Coatings, LLC</v>
      </c>
    </row>
    <row r="483" spans="1:9" ht="15.5" x14ac:dyDescent="0.35">
      <c r="A483" s="16" t="str">
        <f>HYPERLINK(_xlfn.CONCAT(Edit_URL,Tasks[[#This Row],[Ref]]),Tasks[[#This Row],[Ref]])</f>
        <v>T74290.336</v>
      </c>
      <c r="B483" s="15" t="str" cm="1">
        <f t="array" ref="B483">_xlfn.SWITCH(LEFT(Tasks[[#This Row],[Status]],1),"O","Opened","C","Completed","S","Signed Off", "V", "Signed Off","ERROR")</f>
        <v>Opened</v>
      </c>
      <c r="C483" s="15" t="str" cm="1">
        <f t="array" ref="C483">_xlfn.SWITCH(LEFT(Tasks[[#This Row],[Type]], 3), "Fie", "Field Report", "Con", "Contractor QC", "Gen", "Contractor QC", "Pun", "Contractor QC", "Qua", "Contractor QC", "Fin", "Punch List")</f>
        <v>Contractor QC</v>
      </c>
      <c r="D483" s="15" t="str">
        <f>_xlfn.LET(
_xlpm.leftValue, TRIM(LEFT(Tasks[[#This Row],[Description]], 45)),
IF(LEN(_xlpm.leftValue) &lt; 40, _xlpm.leftValue, _xlfn.CONCAT(_xlpm.leftValue, "…"))
)</f>
        <v>Caulk around window</v>
      </c>
      <c r="E483" s="15" t="str" cm="1">
        <f t="array" ref="E483">_xlfn.LET(
_xlpm.inTower, COUNTIF(Tower_Num_Table[Tower Rm Numbers], LEFT(Task_Summary_Table[[#This Row],[Area/Room]], 3)) &gt; 0,
_xlpm.typeResult, _xlfn.SWITCH(LEFT(Tasks[[#This Row],[Page]], 2), "Hi", "Historic", "An", "Annex", "Si", "Site", "S5", "Project Task", "SWITCH ERROR"),
IF(_xlpm.inTower, "West Tower", _xlpm.typeResult)
)</f>
        <v>Historic</v>
      </c>
      <c r="F483" s="15" t="str">
        <f>IFERROR(MID(Tasks[[#This Row],[Page]], FIND("Level", Tasks[[#This Row],[Page]]), 7), IF(ISNUMBER(FIND("Roof", Tasks[[#This Row],[Page]])), "Roof",  IF(ISNUMBER(FIND("S590", Tasks[[#This Row],[Page]])), "",  IF(ISNUMBER(FIND("Site", Tasks[[#This Row],[Page]])), "", "ERROR"))))</f>
        <v>Level 5</v>
      </c>
      <c r="G483" s="15" t="str">
        <f>IF(Tasks[[#This Row],[Location]]=0, "", Tasks[[#This Row],[Location]])</f>
        <v>512 - Instruction 8</v>
      </c>
      <c r="H483" s="15" t="str">
        <f>Tasks[[#This Row],[To Package]]</f>
        <v>Paint</v>
      </c>
      <c r="I483" s="15" t="str">
        <f>Tasks[[#This Row],[To Organisation]]</f>
        <v>Accent Painting and Special Coatings, LLC</v>
      </c>
    </row>
    <row r="484" spans="1:9" ht="15.5" x14ac:dyDescent="0.35">
      <c r="A484" s="16" t="str">
        <f>HYPERLINK(_xlfn.CONCAT(Edit_URL,Tasks[[#This Row],[Ref]]),Tasks[[#This Row],[Ref]])</f>
        <v>T74290.337</v>
      </c>
      <c r="B484" s="15" t="str" cm="1">
        <f t="array" ref="B484">_xlfn.SWITCH(LEFT(Tasks[[#This Row],[Status]],1),"O","Opened","C","Completed","S","Signed Off", "V", "Signed Off","ERROR")</f>
        <v>Opened</v>
      </c>
      <c r="C484" s="15" t="str" cm="1">
        <f t="array" ref="C484">_xlfn.SWITCH(LEFT(Tasks[[#This Row],[Type]], 3), "Fie", "Field Report", "Con", "Contractor QC", "Gen", "Contractor QC", "Pun", "Contractor QC", "Qua", "Contractor QC", "Fin", "Punch List")</f>
        <v>Contractor QC</v>
      </c>
      <c r="D484" s="15" t="str">
        <f>_xlfn.LET(
_xlpm.leftValue, TRIM(LEFT(Tasks[[#This Row],[Description]], 45)),
IF(LEN(_xlpm.leftValue) &lt; 40, _xlpm.leftValue, _xlfn.CONCAT(_xlpm.leftValue, "…"))
)</f>
        <v>Fill in nail holes in transom</v>
      </c>
      <c r="E484" s="15" t="str" cm="1">
        <f t="array" ref="E484">_xlfn.LET(
_xlpm.inTower, COUNTIF(Tower_Num_Table[Tower Rm Numbers], LEFT(Task_Summary_Table[[#This Row],[Area/Room]], 3)) &gt; 0,
_xlpm.typeResult, _xlfn.SWITCH(LEFT(Tasks[[#This Row],[Page]], 2), "Hi", "Historic", "An", "Annex", "Si", "Site", "S5", "Project Task", "SWITCH ERROR"),
IF(_xlpm.inTower, "West Tower", _xlpm.typeResult)
)</f>
        <v>Historic</v>
      </c>
      <c r="F484" s="15" t="str">
        <f>IFERROR(MID(Tasks[[#This Row],[Page]], FIND("Level", Tasks[[#This Row],[Page]]), 7), IF(ISNUMBER(FIND("Roof", Tasks[[#This Row],[Page]])), "Roof",  IF(ISNUMBER(FIND("S590", Tasks[[#This Row],[Page]])), "",  IF(ISNUMBER(FIND("Site", Tasks[[#This Row],[Page]])), "", "ERROR"))))</f>
        <v>Level 5</v>
      </c>
      <c r="G484" s="15" t="str">
        <f>IF(Tasks[[#This Row],[Location]]=0, "", Tasks[[#This Row],[Location]])</f>
        <v>513 - Instruction 9</v>
      </c>
      <c r="H484" s="15" t="str">
        <f>Tasks[[#This Row],[To Package]]</f>
        <v>Paint</v>
      </c>
      <c r="I484" s="15" t="str">
        <f>Tasks[[#This Row],[To Organisation]]</f>
        <v>Accent Painting and Special Coatings, LLC</v>
      </c>
    </row>
    <row r="485" spans="1:9" ht="15.5" x14ac:dyDescent="0.35">
      <c r="A485" s="16" t="str">
        <f>HYPERLINK(_xlfn.CONCAT(Edit_URL,Tasks[[#This Row],[Ref]]),Tasks[[#This Row],[Ref]])</f>
        <v>T74290.339</v>
      </c>
      <c r="B485" s="15" t="str" cm="1">
        <f t="array" ref="B485">_xlfn.SWITCH(LEFT(Tasks[[#This Row],[Status]],1),"O","Opened","C","Completed","S","Signed Off", "V", "Signed Off","ERROR")</f>
        <v>Opened</v>
      </c>
      <c r="C485" s="15" t="str" cm="1">
        <f t="array" ref="C485">_xlfn.SWITCH(LEFT(Tasks[[#This Row],[Type]], 3), "Fie", "Field Report", "Con", "Contractor QC", "Gen", "Contractor QC", "Pun", "Contractor QC", "Qua", "Contractor QC", "Fin", "Punch List")</f>
        <v>Contractor QC</v>
      </c>
      <c r="D485" s="15" t="str">
        <f>_xlfn.LET(
_xlpm.leftValue, TRIM(LEFT(Tasks[[#This Row],[Description]], 45)),
IF(LEN(_xlpm.leftValue) &lt; 40, _xlpm.leftValue, _xlfn.CONCAT(_xlpm.leftValue, "…"))
)</f>
        <v>Cracking paint on ceiling</v>
      </c>
      <c r="E485" s="15" t="str" cm="1">
        <f t="array" ref="E485">_xlfn.LET(
_xlpm.inTower, COUNTIF(Tower_Num_Table[Tower Rm Numbers], LEFT(Task_Summary_Table[[#This Row],[Area/Room]], 3)) &gt; 0,
_xlpm.typeResult, _xlfn.SWITCH(LEFT(Tasks[[#This Row],[Page]], 2), "Hi", "Historic", "An", "Annex", "Si", "Site", "S5", "Project Task", "SWITCH ERROR"),
IF(_xlpm.inTower, "West Tower", _xlpm.typeResult)
)</f>
        <v>Historic</v>
      </c>
      <c r="F485" s="15" t="str">
        <f>IFERROR(MID(Tasks[[#This Row],[Page]], FIND("Level", Tasks[[#This Row],[Page]]), 7), IF(ISNUMBER(FIND("Roof", Tasks[[#This Row],[Page]])), "Roof",  IF(ISNUMBER(FIND("S590", Tasks[[#This Row],[Page]])), "",  IF(ISNUMBER(FIND("Site", Tasks[[#This Row],[Page]])), "", "ERROR"))))</f>
        <v>Level 5</v>
      </c>
      <c r="G485" s="15" t="str">
        <f>IF(Tasks[[#This Row],[Location]]=0, "", Tasks[[#This Row],[Location]])</f>
        <v>513 - Instruction 9</v>
      </c>
      <c r="H485" s="15" t="str">
        <f>Tasks[[#This Row],[To Package]]</f>
        <v>Paint</v>
      </c>
      <c r="I485" s="15" t="str">
        <f>Tasks[[#This Row],[To Organisation]]</f>
        <v>Accent Painting and Special Coatings, LLC</v>
      </c>
    </row>
    <row r="486" spans="1:9" ht="15.5" x14ac:dyDescent="0.35">
      <c r="A486" s="16" t="str">
        <f>HYPERLINK(_xlfn.CONCAT(Edit_URL,Tasks[[#This Row],[Ref]]),Tasks[[#This Row],[Ref]])</f>
        <v>T74290.340</v>
      </c>
      <c r="B486" s="15" t="str" cm="1">
        <f t="array" ref="B486">_xlfn.SWITCH(LEFT(Tasks[[#This Row],[Status]],1),"O","Opened","C","Completed","S","Signed Off", "V", "Signed Off","ERROR")</f>
        <v>Opened</v>
      </c>
      <c r="C486" s="15" t="str" cm="1">
        <f t="array" ref="C486">_xlfn.SWITCH(LEFT(Tasks[[#This Row],[Type]], 3), "Fie", "Field Report", "Con", "Contractor QC", "Gen", "Contractor QC", "Pun", "Contractor QC", "Qua", "Contractor QC", "Fin", "Punch List")</f>
        <v>Contractor QC</v>
      </c>
      <c r="D486" s="15" t="str">
        <f>_xlfn.LET(
_xlpm.leftValue, TRIM(LEFT(Tasks[[#This Row],[Description]], 45)),
IF(LEN(_xlpm.leftValue) &lt; 40, _xlpm.leftValue, _xlfn.CONCAT(_xlpm.leftValue, "…"))
)</f>
        <v>Cracking paint on ceiling</v>
      </c>
      <c r="E486" s="15" t="str" cm="1">
        <f t="array" ref="E486">_xlfn.LET(
_xlpm.inTower, COUNTIF(Tower_Num_Table[Tower Rm Numbers], LEFT(Task_Summary_Table[[#This Row],[Area/Room]], 3)) &gt; 0,
_xlpm.typeResult, _xlfn.SWITCH(LEFT(Tasks[[#This Row],[Page]], 2), "Hi", "Historic", "An", "Annex", "Si", "Site", "S5", "Project Task", "SWITCH ERROR"),
IF(_xlpm.inTower, "West Tower", _xlpm.typeResult)
)</f>
        <v>Historic</v>
      </c>
      <c r="F486" s="15" t="str">
        <f>IFERROR(MID(Tasks[[#This Row],[Page]], FIND("Level", Tasks[[#This Row],[Page]]), 7), IF(ISNUMBER(FIND("Roof", Tasks[[#This Row],[Page]])), "Roof",  IF(ISNUMBER(FIND("S590", Tasks[[#This Row],[Page]])), "",  IF(ISNUMBER(FIND("Site", Tasks[[#This Row],[Page]])), "", "ERROR"))))</f>
        <v>Level 5</v>
      </c>
      <c r="G486" s="15" t="str">
        <f>IF(Tasks[[#This Row],[Location]]=0, "", Tasks[[#This Row],[Location]])</f>
        <v>513 - Instruction 9</v>
      </c>
      <c r="H486" s="15" t="str">
        <f>Tasks[[#This Row],[To Package]]</f>
        <v>Paint</v>
      </c>
      <c r="I486" s="15" t="str">
        <f>Tasks[[#This Row],[To Organisation]]</f>
        <v>Accent Painting and Special Coatings, LLC</v>
      </c>
    </row>
    <row r="487" spans="1:9" ht="15.5" x14ac:dyDescent="0.35">
      <c r="A487" s="16" t="str">
        <f>HYPERLINK(_xlfn.CONCAT(Edit_URL,Tasks[[#This Row],[Ref]]),Tasks[[#This Row],[Ref]])</f>
        <v>T74290.341</v>
      </c>
      <c r="B487" s="15" t="str" cm="1">
        <f t="array" ref="B487">_xlfn.SWITCH(LEFT(Tasks[[#This Row],[Status]],1),"O","Opened","C","Completed","S","Signed Off", "V", "Signed Off","ERROR")</f>
        <v>Opened</v>
      </c>
      <c r="C487" s="15" t="str" cm="1">
        <f t="array" ref="C487">_xlfn.SWITCH(LEFT(Tasks[[#This Row],[Type]], 3), "Fie", "Field Report", "Con", "Contractor QC", "Gen", "Contractor QC", "Pun", "Contractor QC", "Qua", "Contractor QC", "Fin", "Punch List")</f>
        <v>Contractor QC</v>
      </c>
      <c r="D487" s="15" t="str">
        <f>_xlfn.LET(
_xlpm.leftValue, TRIM(LEFT(Tasks[[#This Row],[Description]], 45)),
IF(LEN(_xlpm.leftValue) &lt; 40, _xlpm.leftValue, _xlfn.CONCAT(_xlpm.leftValue, "…"))
)</f>
        <v>Touchup and caulk plinth block￼</v>
      </c>
      <c r="E487" s="15" t="str" cm="1">
        <f t="array" ref="E487">_xlfn.LET(
_xlpm.inTower, COUNTIF(Tower_Num_Table[Tower Rm Numbers], LEFT(Task_Summary_Table[[#This Row],[Area/Room]], 3)) &gt; 0,
_xlpm.typeResult, _xlfn.SWITCH(LEFT(Tasks[[#This Row],[Page]], 2), "Hi", "Historic", "An", "Annex", "Si", "Site", "S5", "Project Task", "SWITCH ERROR"),
IF(_xlpm.inTower, "West Tower", _xlpm.typeResult)
)</f>
        <v>Historic</v>
      </c>
      <c r="F487" s="15" t="str">
        <f>IFERROR(MID(Tasks[[#This Row],[Page]], FIND("Level", Tasks[[#This Row],[Page]]), 7), IF(ISNUMBER(FIND("Roof", Tasks[[#This Row],[Page]])), "Roof",  IF(ISNUMBER(FIND("S590", Tasks[[#This Row],[Page]])), "",  IF(ISNUMBER(FIND("Site", Tasks[[#This Row],[Page]])), "", "ERROR"))))</f>
        <v>Level 5</v>
      </c>
      <c r="G487" s="15" t="str">
        <f>IF(Tasks[[#This Row],[Location]]=0, "", Tasks[[#This Row],[Location]])</f>
        <v>513 - Instruction 9</v>
      </c>
      <c r="H487" s="15" t="str">
        <f>Tasks[[#This Row],[To Package]]</f>
        <v>Paint</v>
      </c>
      <c r="I487" s="15" t="str">
        <f>Tasks[[#This Row],[To Organisation]]</f>
        <v>Accent Painting and Special Coatings, LLC</v>
      </c>
    </row>
    <row r="488" spans="1:9" ht="15.5" x14ac:dyDescent="0.35">
      <c r="A488" s="16" t="str">
        <f>HYPERLINK(_xlfn.CONCAT(Edit_URL,Tasks[[#This Row],[Ref]]),Tasks[[#This Row],[Ref]])</f>
        <v>T74290.342</v>
      </c>
      <c r="B488" s="15" t="str" cm="1">
        <f t="array" ref="B488">_xlfn.SWITCH(LEFT(Tasks[[#This Row],[Status]],1),"O","Opened","C","Completed","S","Signed Off", "V", "Signed Off","ERROR")</f>
        <v>Opened</v>
      </c>
      <c r="C488" s="15" t="str" cm="1">
        <f t="array" ref="C488">_xlfn.SWITCH(LEFT(Tasks[[#This Row],[Type]], 3), "Fie", "Field Report", "Con", "Contractor QC", "Gen", "Contractor QC", "Pun", "Contractor QC", "Qua", "Contractor QC", "Fin", "Punch List")</f>
        <v>Contractor QC</v>
      </c>
      <c r="D488" s="15" t="str">
        <f>_xlfn.LET(
_xlpm.leftValue, TRIM(LEFT(Tasks[[#This Row],[Description]], 45)),
IF(LEN(_xlpm.leftValue) &lt; 40, _xlpm.leftValue, _xlfn.CONCAT(_xlpm.leftValue, "…"))
)</f>
        <v>Touchup around Can light</v>
      </c>
      <c r="E488" s="15" t="str" cm="1">
        <f t="array" ref="E488">_xlfn.LET(
_xlpm.inTower, COUNTIF(Tower_Num_Table[Tower Rm Numbers], LEFT(Task_Summary_Table[[#This Row],[Area/Room]], 3)) &gt; 0,
_xlpm.typeResult, _xlfn.SWITCH(LEFT(Tasks[[#This Row],[Page]], 2), "Hi", "Historic", "An", "Annex", "Si", "Site", "S5", "Project Task", "SWITCH ERROR"),
IF(_xlpm.inTower, "West Tower", _xlpm.typeResult)
)</f>
        <v>Historic</v>
      </c>
      <c r="F488" s="15" t="str">
        <f>IFERROR(MID(Tasks[[#This Row],[Page]], FIND("Level", Tasks[[#This Row],[Page]]), 7), IF(ISNUMBER(FIND("Roof", Tasks[[#This Row],[Page]])), "Roof",  IF(ISNUMBER(FIND("S590", Tasks[[#This Row],[Page]])), "",  IF(ISNUMBER(FIND("Site", Tasks[[#This Row],[Page]])), "", "ERROR"))))</f>
        <v>Level 5</v>
      </c>
      <c r="G488" s="15" t="str">
        <f>IF(Tasks[[#This Row],[Location]]=0, "", Tasks[[#This Row],[Location]])</f>
        <v>514 - Instruction 10</v>
      </c>
      <c r="H488" s="15" t="str">
        <f>Tasks[[#This Row],[To Package]]</f>
        <v>Paint</v>
      </c>
      <c r="I488" s="15" t="str">
        <f>Tasks[[#This Row],[To Organisation]]</f>
        <v>Accent Painting and Special Coatings, LLC</v>
      </c>
    </row>
    <row r="489" spans="1:9" ht="15.5" x14ac:dyDescent="0.35">
      <c r="A489" s="16" t="str">
        <f>HYPERLINK(_xlfn.CONCAT(Edit_URL,Tasks[[#This Row],[Ref]]),Tasks[[#This Row],[Ref]])</f>
        <v>T74290.345</v>
      </c>
      <c r="B489" s="15" t="str" cm="1">
        <f t="array" ref="B489">_xlfn.SWITCH(LEFT(Tasks[[#This Row],[Status]],1),"O","Opened","C","Completed","S","Signed Off", "V", "Signed Off","ERROR")</f>
        <v>Opened</v>
      </c>
      <c r="C489" s="15" t="str" cm="1">
        <f t="array" ref="C489">_xlfn.SWITCH(LEFT(Tasks[[#This Row],[Type]], 3), "Fie", "Field Report", "Con", "Contractor QC", "Gen", "Contractor QC", "Pun", "Contractor QC", "Qua", "Contractor QC", "Fin", "Punch List")</f>
        <v>Contractor QC</v>
      </c>
      <c r="D489" s="15" t="str">
        <f>_xlfn.LET(
_xlpm.leftValue, TRIM(LEFT(Tasks[[#This Row],[Description]], 45)),
IF(LEN(_xlpm.leftValue) &lt; 40, _xlpm.leftValue, _xlfn.CONCAT(_xlpm.leftValue, "…"))
)</f>
        <v>Touchup around window￼</v>
      </c>
      <c r="E489" s="15" t="str" cm="1">
        <f t="array" ref="E489">_xlfn.LET(
_xlpm.inTower, COUNTIF(Tower_Num_Table[Tower Rm Numbers], LEFT(Task_Summary_Table[[#This Row],[Area/Room]], 3)) &gt; 0,
_xlpm.typeResult, _xlfn.SWITCH(LEFT(Tasks[[#This Row],[Page]], 2), "Hi", "Historic", "An", "Annex", "Si", "Site", "S5", "Project Task", "SWITCH ERROR"),
IF(_xlpm.inTower, "West Tower", _xlpm.typeResult)
)</f>
        <v>Historic</v>
      </c>
      <c r="F489" s="15" t="str">
        <f>IFERROR(MID(Tasks[[#This Row],[Page]], FIND("Level", Tasks[[#This Row],[Page]]), 7), IF(ISNUMBER(FIND("Roof", Tasks[[#This Row],[Page]])), "Roof",  IF(ISNUMBER(FIND("S590", Tasks[[#This Row],[Page]])), "",  IF(ISNUMBER(FIND("Site", Tasks[[#This Row],[Page]])), "", "ERROR"))))</f>
        <v>Level 5</v>
      </c>
      <c r="G489" s="15" t="str">
        <f>IF(Tasks[[#This Row],[Location]]=0, "", Tasks[[#This Row],[Location]])</f>
        <v>514 - Instruction 10</v>
      </c>
      <c r="H489" s="15" t="str">
        <f>Tasks[[#This Row],[To Package]]</f>
        <v>Paint</v>
      </c>
      <c r="I489" s="15" t="str">
        <f>Tasks[[#This Row],[To Organisation]]</f>
        <v>Accent Painting and Special Coatings, LLC</v>
      </c>
    </row>
    <row r="490" spans="1:9" ht="15.5" x14ac:dyDescent="0.35">
      <c r="A490" s="16" t="str">
        <f>HYPERLINK(_xlfn.CONCAT(Edit_URL,Tasks[[#This Row],[Ref]]),Tasks[[#This Row],[Ref]])</f>
        <v>T74290.346</v>
      </c>
      <c r="B490" s="15" t="str" cm="1">
        <f t="array" ref="B490">_xlfn.SWITCH(LEFT(Tasks[[#This Row],[Status]],1),"O","Opened","C","Completed","S","Signed Off", "V", "Signed Off","ERROR")</f>
        <v>Opened</v>
      </c>
      <c r="C490" s="15" t="str" cm="1">
        <f t="array" ref="C490">_xlfn.SWITCH(LEFT(Tasks[[#This Row],[Type]], 3), "Fie", "Field Report", "Con", "Contractor QC", "Gen", "Contractor QC", "Pun", "Contractor QC", "Qua", "Contractor QC", "Fin", "Punch List")</f>
        <v>Contractor QC</v>
      </c>
      <c r="D490" s="15" t="str">
        <f>_xlfn.LET(
_xlpm.leftValue, TRIM(LEFT(Tasks[[#This Row],[Description]], 45)),
IF(LEN(_xlpm.leftValue) &lt; 40, _xlpm.leftValue, _xlfn.CONCAT(_xlpm.leftValue, "…"))
)</f>
        <v>Touchup baseboard in south west corner￼</v>
      </c>
      <c r="E490" s="15" t="str" cm="1">
        <f t="array" ref="E490">_xlfn.LET(
_xlpm.inTower, COUNTIF(Tower_Num_Table[Tower Rm Numbers], LEFT(Task_Summary_Table[[#This Row],[Area/Room]], 3)) &gt; 0,
_xlpm.typeResult, _xlfn.SWITCH(LEFT(Tasks[[#This Row],[Page]], 2), "Hi", "Historic", "An", "Annex", "Si", "Site", "S5", "Project Task", "SWITCH ERROR"),
IF(_xlpm.inTower, "West Tower", _xlpm.typeResult)
)</f>
        <v>Historic</v>
      </c>
      <c r="F490" s="15" t="str">
        <f>IFERROR(MID(Tasks[[#This Row],[Page]], FIND("Level", Tasks[[#This Row],[Page]]), 7), IF(ISNUMBER(FIND("Roof", Tasks[[#This Row],[Page]])), "Roof",  IF(ISNUMBER(FIND("S590", Tasks[[#This Row],[Page]])), "",  IF(ISNUMBER(FIND("Site", Tasks[[#This Row],[Page]])), "", "ERROR"))))</f>
        <v>Level 5</v>
      </c>
      <c r="G490" s="15" t="str">
        <f>IF(Tasks[[#This Row],[Location]]=0, "", Tasks[[#This Row],[Location]])</f>
        <v>514 - Instruction 10</v>
      </c>
      <c r="H490" s="15" t="str">
        <f>Tasks[[#This Row],[To Package]]</f>
        <v>Paint</v>
      </c>
      <c r="I490" s="15" t="str">
        <f>Tasks[[#This Row],[To Organisation]]</f>
        <v>Accent Painting and Special Coatings, LLC</v>
      </c>
    </row>
    <row r="491" spans="1:9" ht="15.5" x14ac:dyDescent="0.35">
      <c r="A491" s="16" t="str">
        <f>HYPERLINK(_xlfn.CONCAT(Edit_URL,Tasks[[#This Row],[Ref]]),Tasks[[#This Row],[Ref]])</f>
        <v>T74290.366</v>
      </c>
      <c r="B491" s="15" t="str" cm="1">
        <f t="array" ref="B491">_xlfn.SWITCH(LEFT(Tasks[[#This Row],[Status]],1),"O","Opened","C","Completed","S","Signed Off", "V", "Signed Off","ERROR")</f>
        <v>Opened</v>
      </c>
      <c r="C491" s="15" t="str" cm="1">
        <f t="array" ref="C491">_xlfn.SWITCH(LEFT(Tasks[[#This Row],[Type]], 3), "Fie", "Field Report", "Con", "Contractor QC", "Gen", "Contractor QC", "Pun", "Contractor QC", "Qua", "Contractor QC", "Fin", "Punch List")</f>
        <v>Contractor QC</v>
      </c>
      <c r="D491" s="15" t="str">
        <f>_xlfn.LET(
_xlpm.leftValue, TRIM(LEFT(Tasks[[#This Row],[Description]], 45)),
IF(LEN(_xlpm.leftValue) &lt; 40, _xlpm.leftValue, _xlfn.CONCAT(_xlpm.leftValue, "…"))
)</f>
        <v>Remove masking and paint off cabinet and door…</v>
      </c>
      <c r="E491" s="15" t="str" cm="1">
        <f t="array" ref="E491">_xlfn.LET(
_xlpm.inTower, COUNTIF(Tower_Num_Table[Tower Rm Numbers], LEFT(Task_Summary_Table[[#This Row],[Area/Room]], 3)) &gt; 0,
_xlpm.typeResult, _xlfn.SWITCH(LEFT(Tasks[[#This Row],[Page]], 2), "Hi", "Historic", "An", "Annex", "Si", "Site", "S5", "Project Task", "SWITCH ERROR"),
IF(_xlpm.inTower, "West Tower", _xlpm.typeResult)
)</f>
        <v>Annex</v>
      </c>
      <c r="F491" s="15" t="str">
        <f>IFERROR(MID(Tasks[[#This Row],[Page]], FIND("Level", Tasks[[#This Row],[Page]]), 7), IF(ISNUMBER(FIND("Roof", Tasks[[#This Row],[Page]])), "Roof",  IF(ISNUMBER(FIND("S590", Tasks[[#This Row],[Page]])), "",  IF(ISNUMBER(FIND("Site", Tasks[[#This Row],[Page]])), "", "ERROR"))))</f>
        <v>Level 0</v>
      </c>
      <c r="G491" s="15" t="str">
        <f>IF(Tasks[[#This Row],[Location]]=0, "", Tasks[[#This Row],[Location]])</f>
        <v>042 - Shop</v>
      </c>
      <c r="H491" s="15" t="str">
        <f>Tasks[[#This Row],[To Package]]</f>
        <v>Paint</v>
      </c>
      <c r="I491" s="15" t="str">
        <f>Tasks[[#This Row],[To Organisation]]</f>
        <v>Accent Painting and Special Coatings, LLC</v>
      </c>
    </row>
    <row r="492" spans="1:9" ht="15.5" x14ac:dyDescent="0.35">
      <c r="A492" s="16" t="str">
        <f>HYPERLINK(_xlfn.CONCAT(Edit_URL,Tasks[[#This Row],[Ref]]),Tasks[[#This Row],[Ref]])</f>
        <v>T74290.367</v>
      </c>
      <c r="B492" s="15" t="str" cm="1">
        <f t="array" ref="B492">_xlfn.SWITCH(LEFT(Tasks[[#This Row],[Status]],1),"O","Opened","C","Completed","S","Signed Off", "V", "Signed Off","ERROR")</f>
        <v>Opened</v>
      </c>
      <c r="C492" s="15" t="str" cm="1">
        <f t="array" ref="C492">_xlfn.SWITCH(LEFT(Tasks[[#This Row],[Type]], 3), "Fie", "Field Report", "Con", "Contractor QC", "Gen", "Contractor QC", "Pun", "Contractor QC", "Qua", "Contractor QC", "Fin", "Punch List")</f>
        <v>Contractor QC</v>
      </c>
      <c r="D492" s="15" t="str">
        <f>_xlfn.LET(
_xlpm.leftValue, TRIM(LEFT(Tasks[[#This Row],[Description]], 45)),
IF(LEN(_xlpm.leftValue) &lt; 40, _xlpm.leftValue, _xlfn.CONCAT(_xlpm.leftValue, "…"))
)</f>
        <v>Remove paint off cabinet door</v>
      </c>
      <c r="E492" s="15" t="str" cm="1">
        <f t="array" ref="E492">_xlfn.LET(
_xlpm.inTower, COUNTIF(Tower_Num_Table[Tower Rm Numbers], LEFT(Task_Summary_Table[[#This Row],[Area/Room]], 3)) &gt; 0,
_xlpm.typeResult, _xlfn.SWITCH(LEFT(Tasks[[#This Row],[Page]], 2), "Hi", "Historic", "An", "Annex", "Si", "Site", "S5", "Project Task", "SWITCH ERROR"),
IF(_xlpm.inTower, "West Tower", _xlpm.typeResult)
)</f>
        <v>Annex</v>
      </c>
      <c r="F492" s="15" t="str">
        <f>IFERROR(MID(Tasks[[#This Row],[Page]], FIND("Level", Tasks[[#This Row],[Page]]), 7), IF(ISNUMBER(FIND("Roof", Tasks[[#This Row],[Page]])), "Roof",  IF(ISNUMBER(FIND("S590", Tasks[[#This Row],[Page]])), "",  IF(ISNUMBER(FIND("Site", Tasks[[#This Row],[Page]])), "", "ERROR"))))</f>
        <v>Level 0</v>
      </c>
      <c r="G492" s="15" t="str">
        <f>IF(Tasks[[#This Row],[Location]]=0, "", Tasks[[#This Row],[Location]])</f>
        <v>042 - Shop</v>
      </c>
      <c r="H492" s="15" t="str">
        <f>Tasks[[#This Row],[To Package]]</f>
        <v>Paint</v>
      </c>
      <c r="I492" s="15" t="str">
        <f>Tasks[[#This Row],[To Organisation]]</f>
        <v>Accent Painting and Special Coatings, LLC</v>
      </c>
    </row>
    <row r="493" spans="1:9" ht="15.5" x14ac:dyDescent="0.35">
      <c r="A493" s="16" t="str">
        <f>HYPERLINK(_xlfn.CONCAT(Edit_URL,Tasks[[#This Row],[Ref]]),Tasks[[#This Row],[Ref]])</f>
        <v>T74290.275</v>
      </c>
      <c r="B493" s="15" t="str" cm="1">
        <f t="array" ref="B493">_xlfn.SWITCH(LEFT(Tasks[[#This Row],[Status]],1),"O","Opened","C","Completed","S","Signed Off", "V", "Signed Off","ERROR")</f>
        <v>Opened</v>
      </c>
      <c r="C493" s="15" t="str" cm="1">
        <f t="array" ref="C493">_xlfn.SWITCH(LEFT(Tasks[[#This Row],[Type]], 3), "Fie", "Field Report", "Con", "Contractor QC", "Gen", "Contractor QC", "Pun", "Contractor QC", "Qua", "Contractor QC", "Fin", "Punch List")</f>
        <v>Contractor QC</v>
      </c>
      <c r="D493" s="15" t="str">
        <f>_xlfn.LET(
_xlpm.leftValue, TRIM(LEFT(Tasks[[#This Row],[Description]], 45)),
IF(LEN(_xlpm.leftValue) &lt; 40, _xlpm.leftValue, _xlfn.CONCAT(_xlpm.leftValue, "…"))
)</f>
        <v>Touch up book holder on back of bench</v>
      </c>
      <c r="E493" s="15" t="str" cm="1">
        <f t="array" ref="E493">_xlfn.LET(
_xlpm.inTower, COUNTIF(Tower_Num_Table[Tower Rm Numbers], LEFT(Task_Summary_Table[[#This Row],[Area/Room]], 3)) &gt; 0,
_xlpm.typeResult, _xlfn.SWITCH(LEFT(Tasks[[#This Row],[Page]], 2), "Hi", "Historic", "An", "Annex", "Si", "Site", "S5", "Project Task", "SWITCH ERROR"),
IF(_xlpm.inTower, "West Tower", _xlpm.typeResult)
)</f>
        <v>Annex</v>
      </c>
      <c r="F493" s="15" t="str">
        <f>IFERROR(MID(Tasks[[#This Row],[Page]], FIND("Level", Tasks[[#This Row],[Page]]), 7), IF(ISNUMBER(FIND("Roof", Tasks[[#This Row],[Page]])), "Roof",  IF(ISNUMBER(FIND("S590", Tasks[[#This Row],[Page]])), "",  IF(ISNUMBER(FIND("Site", Tasks[[#This Row],[Page]])), "", "ERROR"))))</f>
        <v>Level 1</v>
      </c>
      <c r="G493" s="15" t="str">
        <f>IF(Tasks[[#This Row],[Location]]=0, "", Tasks[[#This Row],[Location]])</f>
        <v>110 - Chapel</v>
      </c>
      <c r="H493" s="15" t="str">
        <f>Tasks[[#This Row],[To Package]]</f>
        <v>Audience Seating -- New Holland</v>
      </c>
      <c r="I493" s="15" t="str">
        <f>Tasks[[#This Row],[To Organisation]]</f>
        <v>New Holland Church Furniture</v>
      </c>
    </row>
    <row r="494" spans="1:9" ht="15.5" x14ac:dyDescent="0.35">
      <c r="A494" s="16" t="str">
        <f>HYPERLINK(_xlfn.CONCAT(Edit_URL,Tasks[[#This Row],[Ref]]),Tasks[[#This Row],[Ref]])</f>
        <v>T74290.276</v>
      </c>
      <c r="B494" s="15" t="str" cm="1">
        <f t="array" ref="B494">_xlfn.SWITCH(LEFT(Tasks[[#This Row],[Status]],1),"O","Opened","C","Completed","S","Signed Off", "V", "Signed Off","ERROR")</f>
        <v>Opened</v>
      </c>
      <c r="C494" s="15" t="str" cm="1">
        <f t="array" ref="C494">_xlfn.SWITCH(LEFT(Tasks[[#This Row],[Type]], 3), "Fie", "Field Report", "Con", "Contractor QC", "Gen", "Contractor QC", "Pun", "Contractor QC", "Qua", "Contractor QC", "Fin", "Punch List")</f>
        <v>Contractor QC</v>
      </c>
      <c r="D494" s="15" t="str">
        <f>_xlfn.LET(
_xlpm.leftValue, TRIM(LEFT(Tasks[[#This Row],[Description]], 45)),
IF(LEN(_xlpm.leftValue) &lt; 40, _xlpm.leftValue, _xlfn.CONCAT(_xlpm.leftValue, "…"))
)</f>
        <v>Repair and touch up scratch on arm rest - rig…</v>
      </c>
      <c r="E494" s="15" t="str" cm="1">
        <f t="array" ref="E494">_xlfn.LET(
_xlpm.inTower, COUNTIF(Tower_Num_Table[Tower Rm Numbers], LEFT(Task_Summary_Table[[#This Row],[Area/Room]], 3)) &gt; 0,
_xlpm.typeResult, _xlfn.SWITCH(LEFT(Tasks[[#This Row],[Page]], 2), "Hi", "Historic", "An", "Annex", "Si", "Site", "S5", "Project Task", "SWITCH ERROR"),
IF(_xlpm.inTower, "West Tower", _xlpm.typeResult)
)</f>
        <v>Annex</v>
      </c>
      <c r="F494" s="15" t="str">
        <f>IFERROR(MID(Tasks[[#This Row],[Page]], FIND("Level", Tasks[[#This Row],[Page]]), 7), IF(ISNUMBER(FIND("Roof", Tasks[[#This Row],[Page]])), "Roof",  IF(ISNUMBER(FIND("S590", Tasks[[#This Row],[Page]])), "",  IF(ISNUMBER(FIND("Site", Tasks[[#This Row],[Page]])), "", "ERROR"))))</f>
        <v>Level 1</v>
      </c>
      <c r="G494" s="15" t="str">
        <f>IF(Tasks[[#This Row],[Location]]=0, "", Tasks[[#This Row],[Location]])</f>
        <v>110 - Chapel</v>
      </c>
      <c r="H494" s="15" t="str">
        <f>Tasks[[#This Row],[To Package]]</f>
        <v>Audience Seating -- New Holland</v>
      </c>
      <c r="I494" s="15" t="str">
        <f>Tasks[[#This Row],[To Organisation]]</f>
        <v>New Holland Church Furniture</v>
      </c>
    </row>
    <row r="495" spans="1:9" ht="15.5" x14ac:dyDescent="0.35">
      <c r="A495" s="16" t="str">
        <f>HYPERLINK(_xlfn.CONCAT(Edit_URL,Tasks[[#This Row],[Ref]]),Tasks[[#This Row],[Ref]])</f>
        <v>T74290.277</v>
      </c>
      <c r="B495" s="15" t="str" cm="1">
        <f t="array" ref="B495">_xlfn.SWITCH(LEFT(Tasks[[#This Row],[Status]],1),"O","Opened","C","Completed","S","Signed Off", "V", "Signed Off","ERROR")</f>
        <v>Opened</v>
      </c>
      <c r="C495" s="15" t="str" cm="1">
        <f t="array" ref="C495">_xlfn.SWITCH(LEFT(Tasks[[#This Row],[Type]], 3), "Fie", "Field Report", "Con", "Contractor QC", "Gen", "Contractor QC", "Pun", "Contractor QC", "Qua", "Contractor QC", "Fin", "Punch List")</f>
        <v>Contractor QC</v>
      </c>
      <c r="D495" s="15" t="str">
        <f>_xlfn.LET(
_xlpm.leftValue, TRIM(LEFT(Tasks[[#This Row],[Description]], 45)),
IF(LEN(_xlpm.leftValue) &lt; 40, _xlpm.leftValue, _xlfn.CONCAT(_xlpm.leftValue, "…"))
)</f>
        <v>Fill holes properly on back panel and stile…</v>
      </c>
      <c r="E495" s="15" t="str" cm="1">
        <f t="array" ref="E495">_xlfn.LET(
_xlpm.inTower, COUNTIF(Tower_Num_Table[Tower Rm Numbers], LEFT(Task_Summary_Table[[#This Row],[Area/Room]], 3)) &gt; 0,
_xlpm.typeResult, _xlfn.SWITCH(LEFT(Tasks[[#This Row],[Page]], 2), "Hi", "Historic", "An", "Annex", "Si", "Site", "S5", "Project Task", "SWITCH ERROR"),
IF(_xlpm.inTower, "West Tower", _xlpm.typeResult)
)</f>
        <v>Annex</v>
      </c>
      <c r="F495" s="15" t="str">
        <f>IFERROR(MID(Tasks[[#This Row],[Page]], FIND("Level", Tasks[[#This Row],[Page]]), 7), IF(ISNUMBER(FIND("Roof", Tasks[[#This Row],[Page]])), "Roof",  IF(ISNUMBER(FIND("S590", Tasks[[#This Row],[Page]])), "",  IF(ISNUMBER(FIND("Site", Tasks[[#This Row],[Page]])), "", "ERROR"))))</f>
        <v>Level 1</v>
      </c>
      <c r="G495" s="15" t="str">
        <f>IF(Tasks[[#This Row],[Location]]=0, "", Tasks[[#This Row],[Location]])</f>
        <v>110 - Chapel</v>
      </c>
      <c r="H495" s="15" t="str">
        <f>Tasks[[#This Row],[To Package]]</f>
        <v>Audience Seating -- New Holland</v>
      </c>
      <c r="I495" s="15" t="str">
        <f>Tasks[[#This Row],[To Organisation]]</f>
        <v>New Holland Church Furniture</v>
      </c>
    </row>
    <row r="496" spans="1:9" ht="15.5" x14ac:dyDescent="0.35">
      <c r="A496" s="16" t="str">
        <f>HYPERLINK(_xlfn.CONCAT(Edit_URL,Tasks[[#This Row],[Ref]]),Tasks[[#This Row],[Ref]])</f>
        <v>T74290.278</v>
      </c>
      <c r="B496" s="15" t="str" cm="1">
        <f t="array" ref="B496">_xlfn.SWITCH(LEFT(Tasks[[#This Row],[Status]],1),"O","Opened","C","Completed","S","Signed Off", "V", "Signed Off","ERROR")</f>
        <v>Opened</v>
      </c>
      <c r="C496" s="15" t="str" cm="1">
        <f t="array" ref="C496">_xlfn.SWITCH(LEFT(Tasks[[#This Row],[Type]], 3), "Fie", "Field Report", "Con", "Contractor QC", "Gen", "Contractor QC", "Pun", "Contractor QC", "Qua", "Contractor QC", "Fin", "Punch List")</f>
        <v>Contractor QC</v>
      </c>
      <c r="D496" s="15" t="str">
        <f>_xlfn.LET(
_xlpm.leftValue, TRIM(LEFT(Tasks[[#This Row],[Description]], 45)),
IF(LEN(_xlpm.leftValue) &lt; 40, _xlpm.leftValue, _xlfn.CONCAT(_xlpm.leftValue, "…"))
)</f>
        <v>Repair / touch up scratch on left arm rest…</v>
      </c>
      <c r="E496" s="15" t="str" cm="1">
        <f t="array" ref="E496">_xlfn.LET(
_xlpm.inTower, COUNTIF(Tower_Num_Table[Tower Rm Numbers], LEFT(Task_Summary_Table[[#This Row],[Area/Room]], 3)) &gt; 0,
_xlpm.typeResult, _xlfn.SWITCH(LEFT(Tasks[[#This Row],[Page]], 2), "Hi", "Historic", "An", "Annex", "Si", "Site", "S5", "Project Task", "SWITCH ERROR"),
IF(_xlpm.inTower, "West Tower", _xlpm.typeResult)
)</f>
        <v>Annex</v>
      </c>
      <c r="F496" s="15" t="str">
        <f>IFERROR(MID(Tasks[[#This Row],[Page]], FIND("Level", Tasks[[#This Row],[Page]]), 7), IF(ISNUMBER(FIND("Roof", Tasks[[#This Row],[Page]])), "Roof",  IF(ISNUMBER(FIND("S590", Tasks[[#This Row],[Page]])), "",  IF(ISNUMBER(FIND("Site", Tasks[[#This Row],[Page]])), "", "ERROR"))))</f>
        <v>Level 1</v>
      </c>
      <c r="G496" s="15" t="str">
        <f>IF(Tasks[[#This Row],[Location]]=0, "", Tasks[[#This Row],[Location]])</f>
        <v>110 - Chapel</v>
      </c>
      <c r="H496" s="15" t="str">
        <f>Tasks[[#This Row],[To Package]]</f>
        <v>Audience Seating -- New Holland</v>
      </c>
      <c r="I496" s="15" t="str">
        <f>Tasks[[#This Row],[To Organisation]]</f>
        <v>New Holland Church Furniture</v>
      </c>
    </row>
    <row r="497" spans="1:9" ht="15.5" x14ac:dyDescent="0.35">
      <c r="A497" s="16" t="str">
        <f>HYPERLINK(_xlfn.CONCAT(Edit_URL,Tasks[[#This Row],[Ref]]),Tasks[[#This Row],[Ref]])</f>
        <v>T74290.279</v>
      </c>
      <c r="B497" s="15" t="str" cm="1">
        <f t="array" ref="B497">_xlfn.SWITCH(LEFT(Tasks[[#This Row],[Status]],1),"O","Opened","C","Completed","S","Signed Off", "V", "Signed Off","ERROR")</f>
        <v>Opened</v>
      </c>
      <c r="C497" s="15" t="str" cm="1">
        <f t="array" ref="C497">_xlfn.SWITCH(LEFT(Tasks[[#This Row],[Type]], 3), "Fie", "Field Report", "Con", "Contractor QC", "Gen", "Contractor QC", "Pun", "Contractor QC", "Qua", "Contractor QC", "Fin", "Punch List")</f>
        <v>Contractor QC</v>
      </c>
      <c r="D497" s="15" t="str">
        <f>_xlfn.LET(
_xlpm.leftValue, TRIM(LEFT(Tasks[[#This Row],[Description]], 45)),
IF(LEN(_xlpm.leftValue) &lt; 40, _xlpm.leftValue, _xlfn.CONCAT(_xlpm.leftValue, "…"))
)</f>
        <v>Remove glue and touch up</v>
      </c>
      <c r="E497" s="15" t="str" cm="1">
        <f t="array" ref="E497">_xlfn.LET(
_xlpm.inTower, COUNTIF(Tower_Num_Table[Tower Rm Numbers], LEFT(Task_Summary_Table[[#This Row],[Area/Room]], 3)) &gt; 0,
_xlpm.typeResult, _xlfn.SWITCH(LEFT(Tasks[[#This Row],[Page]], 2), "Hi", "Historic", "An", "Annex", "Si", "Site", "S5", "Project Task", "SWITCH ERROR"),
IF(_xlpm.inTower, "West Tower", _xlpm.typeResult)
)</f>
        <v>Annex</v>
      </c>
      <c r="F497" s="15" t="str">
        <f>IFERROR(MID(Tasks[[#This Row],[Page]], FIND("Level", Tasks[[#This Row],[Page]]), 7), IF(ISNUMBER(FIND("Roof", Tasks[[#This Row],[Page]])), "Roof",  IF(ISNUMBER(FIND("S590", Tasks[[#This Row],[Page]])), "",  IF(ISNUMBER(FIND("Site", Tasks[[#This Row],[Page]])), "", "ERROR"))))</f>
        <v>Level 1</v>
      </c>
      <c r="G497" s="15" t="str">
        <f>IF(Tasks[[#This Row],[Location]]=0, "", Tasks[[#This Row],[Location]])</f>
        <v>110 - Chapel</v>
      </c>
      <c r="H497" s="15" t="str">
        <f>Tasks[[#This Row],[To Package]]</f>
        <v>Audience Seating -- New Holland</v>
      </c>
      <c r="I497" s="15" t="str">
        <f>Tasks[[#This Row],[To Organisation]]</f>
        <v>New Holland Church Furniture</v>
      </c>
    </row>
    <row r="498" spans="1:9" ht="15.5" x14ac:dyDescent="0.35">
      <c r="A498" s="16" t="str">
        <f>HYPERLINK(_xlfn.CONCAT(Edit_URL,Tasks[[#This Row],[Ref]]),Tasks[[#This Row],[Ref]])</f>
        <v>T74290.280</v>
      </c>
      <c r="B498" s="15" t="str" cm="1">
        <f t="array" ref="B498">_xlfn.SWITCH(LEFT(Tasks[[#This Row],[Status]],1),"O","Opened","C","Completed","S","Signed Off", "V", "Signed Off","ERROR")</f>
        <v>Opened</v>
      </c>
      <c r="C498" s="15" t="str" cm="1">
        <f t="array" ref="C498">_xlfn.SWITCH(LEFT(Tasks[[#This Row],[Type]], 3), "Fie", "Field Report", "Con", "Contractor QC", "Gen", "Contractor QC", "Pun", "Contractor QC", "Qua", "Contractor QC", "Fin", "Punch List")</f>
        <v>Contractor QC</v>
      </c>
      <c r="D498" s="15" t="str">
        <f>_xlfn.LET(
_xlpm.leftValue, TRIM(LEFT(Tasks[[#This Row],[Description]], 45)),
IF(LEN(_xlpm.leftValue) &lt; 40, _xlpm.leftValue, _xlfn.CONCAT(_xlpm.leftValue, "…"))
)</f>
        <v>Panel on right side needs work</v>
      </c>
      <c r="E498" s="15" t="str" cm="1">
        <f t="array" ref="E498">_xlfn.LET(
_xlpm.inTower, COUNTIF(Tower_Num_Table[Tower Rm Numbers], LEFT(Task_Summary_Table[[#This Row],[Area/Room]], 3)) &gt; 0,
_xlpm.typeResult, _xlfn.SWITCH(LEFT(Tasks[[#This Row],[Page]], 2), "Hi", "Historic", "An", "Annex", "Si", "Site", "S5", "Project Task", "SWITCH ERROR"),
IF(_xlpm.inTower, "West Tower", _xlpm.typeResult)
)</f>
        <v>Annex</v>
      </c>
      <c r="F498" s="15" t="str">
        <f>IFERROR(MID(Tasks[[#This Row],[Page]], FIND("Level", Tasks[[#This Row],[Page]]), 7), IF(ISNUMBER(FIND("Roof", Tasks[[#This Row],[Page]])), "Roof",  IF(ISNUMBER(FIND("S590", Tasks[[#This Row],[Page]])), "",  IF(ISNUMBER(FIND("Site", Tasks[[#This Row],[Page]])), "", "ERROR"))))</f>
        <v>Level 1</v>
      </c>
      <c r="G498" s="15" t="str">
        <f>IF(Tasks[[#This Row],[Location]]=0, "", Tasks[[#This Row],[Location]])</f>
        <v>110 - Chapel</v>
      </c>
      <c r="H498" s="15" t="str">
        <f>Tasks[[#This Row],[To Package]]</f>
        <v>Audience Seating -- New Holland</v>
      </c>
      <c r="I498" s="15" t="str">
        <f>Tasks[[#This Row],[To Organisation]]</f>
        <v>New Holland Church Furniture</v>
      </c>
    </row>
    <row r="499" spans="1:9" ht="15.5" x14ac:dyDescent="0.35">
      <c r="A499" s="16" t="str">
        <f>HYPERLINK(_xlfn.CONCAT(Edit_URL,Tasks[[#This Row],[Ref]]),Tasks[[#This Row],[Ref]])</f>
        <v>T74290.281</v>
      </c>
      <c r="B499" s="15" t="str" cm="1">
        <f t="array" ref="B499">_xlfn.SWITCH(LEFT(Tasks[[#This Row],[Status]],1),"O","Opened","C","Completed","S","Signed Off", "V", "Signed Off","ERROR")</f>
        <v>Opened</v>
      </c>
      <c r="C499" s="15" t="str" cm="1">
        <f t="array" ref="C499">_xlfn.SWITCH(LEFT(Tasks[[#This Row],[Type]], 3), "Fie", "Field Report", "Con", "Contractor QC", "Gen", "Contractor QC", "Pun", "Contractor QC", "Qua", "Contractor QC", "Fin", "Punch List")</f>
        <v>Contractor QC</v>
      </c>
      <c r="D499" s="15" t="str">
        <f>_xlfn.LET(
_xlpm.leftValue, TRIM(LEFT(Tasks[[#This Row],[Description]], 45)),
IF(LEN(_xlpm.leftValue) &lt; 40, _xlpm.leftValue, _xlfn.CONCAT(_xlpm.leftValue, "…"))
)</f>
        <v>Touch up on right side of bench</v>
      </c>
      <c r="E499" s="15" t="str" cm="1">
        <f t="array" ref="E499">_xlfn.LET(
_xlpm.inTower, COUNTIF(Tower_Num_Table[Tower Rm Numbers], LEFT(Task_Summary_Table[[#This Row],[Area/Room]], 3)) &gt; 0,
_xlpm.typeResult, _xlfn.SWITCH(LEFT(Tasks[[#This Row],[Page]], 2), "Hi", "Historic", "An", "Annex", "Si", "Site", "S5", "Project Task", "SWITCH ERROR"),
IF(_xlpm.inTower, "West Tower", _xlpm.typeResult)
)</f>
        <v>Annex</v>
      </c>
      <c r="F499" s="15" t="str">
        <f>IFERROR(MID(Tasks[[#This Row],[Page]], FIND("Level", Tasks[[#This Row],[Page]]), 7), IF(ISNUMBER(FIND("Roof", Tasks[[#This Row],[Page]])), "Roof",  IF(ISNUMBER(FIND("S590", Tasks[[#This Row],[Page]])), "",  IF(ISNUMBER(FIND("Site", Tasks[[#This Row],[Page]])), "", "ERROR"))))</f>
        <v>Level 1</v>
      </c>
      <c r="G499" s="15" t="str">
        <f>IF(Tasks[[#This Row],[Location]]=0, "", Tasks[[#This Row],[Location]])</f>
        <v>110 - Chapel</v>
      </c>
      <c r="H499" s="15" t="str">
        <f>Tasks[[#This Row],[To Package]]</f>
        <v>Audience Seating -- New Holland</v>
      </c>
      <c r="I499" s="15" t="str">
        <f>Tasks[[#This Row],[To Organisation]]</f>
        <v>New Holland Church Furniture</v>
      </c>
    </row>
    <row r="500" spans="1:9" ht="15.5" x14ac:dyDescent="0.35">
      <c r="A500" s="16" t="str">
        <f>HYPERLINK(_xlfn.CONCAT(Edit_URL,Tasks[[#This Row],[Ref]]),Tasks[[#This Row],[Ref]])</f>
        <v>T74290.282</v>
      </c>
      <c r="B500" s="15" t="str" cm="1">
        <f t="array" ref="B500">_xlfn.SWITCH(LEFT(Tasks[[#This Row],[Status]],1),"O","Opened","C","Completed","S","Signed Off", "V", "Signed Off","ERROR")</f>
        <v>Opened</v>
      </c>
      <c r="C500" s="15" t="str" cm="1">
        <f t="array" ref="C500">_xlfn.SWITCH(LEFT(Tasks[[#This Row],[Type]], 3), "Fie", "Field Report", "Con", "Contractor QC", "Gen", "Contractor QC", "Pun", "Contractor QC", "Qua", "Contractor QC", "Fin", "Punch List")</f>
        <v>Contractor QC</v>
      </c>
      <c r="D500" s="15" t="str">
        <f>_xlfn.LET(
_xlpm.leftValue, TRIM(LEFT(Tasks[[#This Row],[Description]], 45)),
IF(LEN(_xlpm.leftValue) &lt; 40, _xlpm.leftValue, _xlfn.CONCAT(_xlpm.leftValue, "…"))
)</f>
        <v>Touch up on top rail</v>
      </c>
      <c r="E500" s="15" t="str" cm="1">
        <f t="array" ref="E500">_xlfn.LET(
_xlpm.inTower, COUNTIF(Tower_Num_Table[Tower Rm Numbers], LEFT(Task_Summary_Table[[#This Row],[Area/Room]], 3)) &gt; 0,
_xlpm.typeResult, _xlfn.SWITCH(LEFT(Tasks[[#This Row],[Page]], 2), "Hi", "Historic", "An", "Annex", "Si", "Site", "S5", "Project Task", "SWITCH ERROR"),
IF(_xlpm.inTower, "West Tower", _xlpm.typeResult)
)</f>
        <v>Annex</v>
      </c>
      <c r="F500" s="15" t="str">
        <f>IFERROR(MID(Tasks[[#This Row],[Page]], FIND("Level", Tasks[[#This Row],[Page]]), 7), IF(ISNUMBER(FIND("Roof", Tasks[[#This Row],[Page]])), "Roof",  IF(ISNUMBER(FIND("S590", Tasks[[#This Row],[Page]])), "",  IF(ISNUMBER(FIND("Site", Tasks[[#This Row],[Page]])), "", "ERROR"))))</f>
        <v>Level 1</v>
      </c>
      <c r="G500" s="15" t="str">
        <f>IF(Tasks[[#This Row],[Location]]=0, "", Tasks[[#This Row],[Location]])</f>
        <v>110 - Chapel</v>
      </c>
      <c r="H500" s="15" t="str">
        <f>Tasks[[#This Row],[To Package]]</f>
        <v>Audience Seating -- New Holland</v>
      </c>
      <c r="I500" s="15" t="str">
        <f>Tasks[[#This Row],[To Organisation]]</f>
        <v>New Holland Church Furniture</v>
      </c>
    </row>
    <row r="501" spans="1:9" ht="15.5" x14ac:dyDescent="0.35">
      <c r="A501" s="16" t="str">
        <f>HYPERLINK(_xlfn.CONCAT(Edit_URL,Tasks[[#This Row],[Ref]]),Tasks[[#This Row],[Ref]])</f>
        <v>T74290.283</v>
      </c>
      <c r="B501" s="15" t="str" cm="1">
        <f t="array" ref="B501">_xlfn.SWITCH(LEFT(Tasks[[#This Row],[Status]],1),"O","Opened","C","Completed","S","Signed Off", "V", "Signed Off","ERROR")</f>
        <v>Opened</v>
      </c>
      <c r="C501" s="15" t="str" cm="1">
        <f t="array" ref="C501">_xlfn.SWITCH(LEFT(Tasks[[#This Row],[Type]], 3), "Fie", "Field Report", "Con", "Contractor QC", "Gen", "Contractor QC", "Pun", "Contractor QC", "Qua", "Contractor QC", "Fin", "Punch List")</f>
        <v>Contractor QC</v>
      </c>
      <c r="D501" s="15" t="str">
        <f>_xlfn.LET(
_xlpm.leftValue, TRIM(LEFT(Tasks[[#This Row],[Description]], 45)),
IF(LEN(_xlpm.leftValue) &lt; 40, _xlpm.leftValue, _xlfn.CONCAT(_xlpm.leftValue, "…"))
)</f>
        <v>Repair nail holes on back of bench</v>
      </c>
      <c r="E501" s="15" t="str" cm="1">
        <f t="array" ref="E501">_xlfn.LET(
_xlpm.inTower, COUNTIF(Tower_Num_Table[Tower Rm Numbers], LEFT(Task_Summary_Table[[#This Row],[Area/Room]], 3)) &gt; 0,
_xlpm.typeResult, _xlfn.SWITCH(LEFT(Tasks[[#This Row],[Page]], 2), "Hi", "Historic", "An", "Annex", "Si", "Site", "S5", "Project Task", "SWITCH ERROR"),
IF(_xlpm.inTower, "West Tower", _xlpm.typeResult)
)</f>
        <v>Annex</v>
      </c>
      <c r="F501" s="15" t="str">
        <f>IFERROR(MID(Tasks[[#This Row],[Page]], FIND("Level", Tasks[[#This Row],[Page]]), 7), IF(ISNUMBER(FIND("Roof", Tasks[[#This Row],[Page]])), "Roof",  IF(ISNUMBER(FIND("S590", Tasks[[#This Row],[Page]])), "",  IF(ISNUMBER(FIND("Site", Tasks[[#This Row],[Page]])), "", "ERROR"))))</f>
        <v>Level 1</v>
      </c>
      <c r="G501" s="15" t="str">
        <f>IF(Tasks[[#This Row],[Location]]=0, "", Tasks[[#This Row],[Location]])</f>
        <v>110 - Chapel</v>
      </c>
      <c r="H501" s="15" t="str">
        <f>Tasks[[#This Row],[To Package]]</f>
        <v>Audience Seating -- New Holland</v>
      </c>
      <c r="I501" s="15" t="str">
        <f>Tasks[[#This Row],[To Organisation]]</f>
        <v>New Holland Church Furniture</v>
      </c>
    </row>
    <row r="502" spans="1:9" ht="15.5" x14ac:dyDescent="0.35">
      <c r="A502" s="16" t="str">
        <f>HYPERLINK(_xlfn.CONCAT(Edit_URL,Tasks[[#This Row],[Ref]]),Tasks[[#This Row],[Ref]])</f>
        <v>T74290.284</v>
      </c>
      <c r="B502" s="15" t="str" cm="1">
        <f t="array" ref="B502">_xlfn.SWITCH(LEFT(Tasks[[#This Row],[Status]],1),"O","Opened","C","Completed","S","Signed Off", "V", "Signed Off","ERROR")</f>
        <v>Opened</v>
      </c>
      <c r="C502" s="15" t="str" cm="1">
        <f t="array" ref="C502">_xlfn.SWITCH(LEFT(Tasks[[#This Row],[Type]], 3), "Fie", "Field Report", "Con", "Contractor QC", "Gen", "Contractor QC", "Pun", "Contractor QC", "Qua", "Contractor QC", "Fin", "Punch List")</f>
        <v>Contractor QC</v>
      </c>
      <c r="D502" s="15" t="str">
        <f>_xlfn.LET(
_xlpm.leftValue, TRIM(LEFT(Tasks[[#This Row],[Description]], 45)),
IF(LEN(_xlpm.leftValue) &lt; 40, _xlpm.leftValue, _xlfn.CONCAT(_xlpm.leftValue, "…"))
)</f>
        <v>Repair and touch up top of back panel - right…</v>
      </c>
      <c r="E502" s="15" t="str" cm="1">
        <f t="array" ref="E502">_xlfn.LET(
_xlpm.inTower, COUNTIF(Tower_Num_Table[Tower Rm Numbers], LEFT(Task_Summary_Table[[#This Row],[Area/Room]], 3)) &gt; 0,
_xlpm.typeResult, _xlfn.SWITCH(LEFT(Tasks[[#This Row],[Page]], 2), "Hi", "Historic", "An", "Annex", "Si", "Site", "S5", "Project Task", "SWITCH ERROR"),
IF(_xlpm.inTower, "West Tower", _xlpm.typeResult)
)</f>
        <v>Annex</v>
      </c>
      <c r="F502" s="15" t="str">
        <f>IFERROR(MID(Tasks[[#This Row],[Page]], FIND("Level", Tasks[[#This Row],[Page]]), 7), IF(ISNUMBER(FIND("Roof", Tasks[[#This Row],[Page]])), "Roof",  IF(ISNUMBER(FIND("S590", Tasks[[#This Row],[Page]])), "",  IF(ISNUMBER(FIND("Site", Tasks[[#This Row],[Page]])), "", "ERROR"))))</f>
        <v>Level 1</v>
      </c>
      <c r="G502" s="15" t="str">
        <f>IF(Tasks[[#This Row],[Location]]=0, "", Tasks[[#This Row],[Location]])</f>
        <v>110 - Chapel</v>
      </c>
      <c r="H502" s="15" t="str">
        <f>Tasks[[#This Row],[To Package]]</f>
        <v>Audience Seating -- New Holland</v>
      </c>
      <c r="I502" s="15" t="str">
        <f>Tasks[[#This Row],[To Organisation]]</f>
        <v>New Holland Church Furniture</v>
      </c>
    </row>
    <row r="503" spans="1:9" ht="15.5" x14ac:dyDescent="0.35">
      <c r="A503" s="16" t="str">
        <f>HYPERLINK(_xlfn.CONCAT(Edit_URL,Tasks[[#This Row],[Ref]]),Tasks[[#This Row],[Ref]])</f>
        <v>T74290.265</v>
      </c>
      <c r="B503" s="15" t="str" cm="1">
        <f t="array" ref="B503">_xlfn.SWITCH(LEFT(Tasks[[#This Row],[Status]],1),"O","Opened","C","Completed","S","Signed Off", "V", "Signed Off","ERROR")</f>
        <v>Opened</v>
      </c>
      <c r="C503" s="15" t="str" cm="1">
        <f t="array" ref="C503">_xlfn.SWITCH(LEFT(Tasks[[#This Row],[Type]], 3), "Fie", "Field Report", "Con", "Contractor QC", "Gen", "Contractor QC", "Pun", "Contractor QC", "Qua", "Contractor QC", "Fin", "Punch List")</f>
        <v>Contractor QC</v>
      </c>
      <c r="D503" s="15" t="str">
        <f>_xlfn.LET(
_xlpm.leftValue, TRIM(LEFT(Tasks[[#This Row],[Description]], 45)),
IF(LEN(_xlpm.leftValue) &lt; 40, _xlpm.leftValue, _xlfn.CONCAT(_xlpm.leftValue, "…"))
)</f>
        <v>Repair and touch up scratch on top rail - rig…</v>
      </c>
      <c r="E503" s="15" t="str" cm="1">
        <f t="array" ref="E503">_xlfn.LET(
_xlpm.inTower, COUNTIF(Tower_Num_Table[Tower Rm Numbers], LEFT(Task_Summary_Table[[#This Row],[Area/Room]], 3)) &gt; 0,
_xlpm.typeResult, _xlfn.SWITCH(LEFT(Tasks[[#This Row],[Page]], 2), "Hi", "Historic", "An", "Annex", "Si", "Site", "S5", "Project Task", "SWITCH ERROR"),
IF(_xlpm.inTower, "West Tower", _xlpm.typeResult)
)</f>
        <v>Annex</v>
      </c>
      <c r="F503" s="15" t="str">
        <f>IFERROR(MID(Tasks[[#This Row],[Page]], FIND("Level", Tasks[[#This Row],[Page]]), 7), IF(ISNUMBER(FIND("Roof", Tasks[[#This Row],[Page]])), "Roof",  IF(ISNUMBER(FIND("S590", Tasks[[#This Row],[Page]])), "",  IF(ISNUMBER(FIND("Site", Tasks[[#This Row],[Page]])), "", "ERROR"))))</f>
        <v>Level 1</v>
      </c>
      <c r="G503" s="15" t="str">
        <f>IF(Tasks[[#This Row],[Location]]=0, "", Tasks[[#This Row],[Location]])</f>
        <v>110 - Chapel</v>
      </c>
      <c r="H503" s="15" t="str">
        <f>Tasks[[#This Row],[To Package]]</f>
        <v>Audience Seating -- New Holland</v>
      </c>
      <c r="I503" s="15" t="str">
        <f>Tasks[[#This Row],[To Organisation]]</f>
        <v>New Holland Church Furniture</v>
      </c>
    </row>
    <row r="504" spans="1:9" ht="15.5" x14ac:dyDescent="0.35">
      <c r="A504" s="16" t="str">
        <f>HYPERLINK(_xlfn.CONCAT(Edit_URL,Tasks[[#This Row],[Ref]]),Tasks[[#This Row],[Ref]])</f>
        <v>T74290.266</v>
      </c>
      <c r="B504" s="15" t="str" cm="1">
        <f t="array" ref="B504">_xlfn.SWITCH(LEFT(Tasks[[#This Row],[Status]],1),"O","Opened","C","Completed","S","Signed Off", "V", "Signed Off","ERROR")</f>
        <v>Opened</v>
      </c>
      <c r="C504" s="15" t="str" cm="1">
        <f t="array" ref="C504">_xlfn.SWITCH(LEFT(Tasks[[#This Row],[Type]], 3), "Fie", "Field Report", "Con", "Contractor QC", "Gen", "Contractor QC", "Pun", "Contractor QC", "Qua", "Contractor QC", "Fin", "Punch List")</f>
        <v>Contractor QC</v>
      </c>
      <c r="D504" s="15" t="str">
        <f>_xlfn.LET(
_xlpm.leftValue, TRIM(LEFT(Tasks[[#This Row],[Description]], 45)),
IF(LEN(_xlpm.leftValue) &lt; 40, _xlpm.leftValue, _xlfn.CONCAT(_xlpm.leftValue, "…"))
)</f>
        <v>Fill all nail holes and smooth</v>
      </c>
      <c r="E504" s="15" t="str" cm="1">
        <f t="array" ref="E504">_xlfn.LET(
_xlpm.inTower, COUNTIF(Tower_Num_Table[Tower Rm Numbers], LEFT(Task_Summary_Table[[#This Row],[Area/Room]], 3)) &gt; 0,
_xlpm.typeResult, _xlfn.SWITCH(LEFT(Tasks[[#This Row],[Page]], 2), "Hi", "Historic", "An", "Annex", "Si", "Site", "S5", "Project Task", "SWITCH ERROR"),
IF(_xlpm.inTower, "West Tower", _xlpm.typeResult)
)</f>
        <v>Annex</v>
      </c>
      <c r="F504" s="15" t="str">
        <f>IFERROR(MID(Tasks[[#This Row],[Page]], FIND("Level", Tasks[[#This Row],[Page]]), 7), IF(ISNUMBER(FIND("Roof", Tasks[[#This Row],[Page]])), "Roof",  IF(ISNUMBER(FIND("S590", Tasks[[#This Row],[Page]])), "",  IF(ISNUMBER(FIND("Site", Tasks[[#This Row],[Page]])), "", "ERROR"))))</f>
        <v>Level 1</v>
      </c>
      <c r="G504" s="15" t="str">
        <f>IF(Tasks[[#This Row],[Location]]=0, "", Tasks[[#This Row],[Location]])</f>
        <v>110 - Chapel</v>
      </c>
      <c r="H504" s="15" t="str">
        <f>Tasks[[#This Row],[To Package]]</f>
        <v>Audience Seating -- New Holland</v>
      </c>
      <c r="I504" s="15" t="str">
        <f>Tasks[[#This Row],[To Organisation]]</f>
        <v>New Holland Church Furniture</v>
      </c>
    </row>
    <row r="505" spans="1:9" ht="15.5" x14ac:dyDescent="0.35">
      <c r="A505" s="16" t="str">
        <f>HYPERLINK(_xlfn.CONCAT(Edit_URL,Tasks[[#This Row],[Ref]]),Tasks[[#This Row],[Ref]])</f>
        <v>T74290.267</v>
      </c>
      <c r="B505" s="15" t="str" cm="1">
        <f t="array" ref="B505">_xlfn.SWITCH(LEFT(Tasks[[#This Row],[Status]],1),"O","Opened","C","Completed","S","Signed Off", "V", "Signed Off","ERROR")</f>
        <v>Opened</v>
      </c>
      <c r="C505" s="15" t="str" cm="1">
        <f t="array" ref="C505">_xlfn.SWITCH(LEFT(Tasks[[#This Row],[Type]], 3), "Fie", "Field Report", "Con", "Contractor QC", "Gen", "Contractor QC", "Pun", "Contractor QC", "Qua", "Contractor QC", "Fin", "Punch List")</f>
        <v>Contractor QC</v>
      </c>
      <c r="D505" s="15" t="str">
        <f>_xlfn.LET(
_xlpm.leftValue, TRIM(LEFT(Tasks[[#This Row],[Description]], 45)),
IF(LEN(_xlpm.leftValue) &lt; 40, _xlpm.leftValue, _xlfn.CONCAT(_xlpm.leftValue, "…"))
)</f>
        <v>Remove tape and packaging mark</v>
      </c>
      <c r="E505" s="15" t="str" cm="1">
        <f t="array" ref="E505">_xlfn.LET(
_xlpm.inTower, COUNTIF(Tower_Num_Table[Tower Rm Numbers], LEFT(Task_Summary_Table[[#This Row],[Area/Room]], 3)) &gt; 0,
_xlpm.typeResult, _xlfn.SWITCH(LEFT(Tasks[[#This Row],[Page]], 2), "Hi", "Historic", "An", "Annex", "Si", "Site", "S5", "Project Task", "SWITCH ERROR"),
IF(_xlpm.inTower, "West Tower", _xlpm.typeResult)
)</f>
        <v>Annex</v>
      </c>
      <c r="F505" s="15" t="str">
        <f>IFERROR(MID(Tasks[[#This Row],[Page]], FIND("Level", Tasks[[#This Row],[Page]]), 7), IF(ISNUMBER(FIND("Roof", Tasks[[#This Row],[Page]])), "Roof",  IF(ISNUMBER(FIND("S590", Tasks[[#This Row],[Page]])), "",  IF(ISNUMBER(FIND("Site", Tasks[[#This Row],[Page]])), "", "ERROR"))))</f>
        <v>Level 1</v>
      </c>
      <c r="G505" s="15" t="str">
        <f>IF(Tasks[[#This Row],[Location]]=0, "", Tasks[[#This Row],[Location]])</f>
        <v>110 - Chapel</v>
      </c>
      <c r="H505" s="15" t="str">
        <f>Tasks[[#This Row],[To Package]]</f>
        <v>Audience Seating -- New Holland</v>
      </c>
      <c r="I505" s="15" t="str">
        <f>Tasks[[#This Row],[To Organisation]]</f>
        <v>New Holland Church Furniture</v>
      </c>
    </row>
    <row r="506" spans="1:9" ht="15.5" x14ac:dyDescent="0.35">
      <c r="A506" s="16" t="str">
        <f>HYPERLINK(_xlfn.CONCAT(Edit_URL,Tasks[[#This Row],[Ref]]),Tasks[[#This Row],[Ref]])</f>
        <v>T74290.268</v>
      </c>
      <c r="B506" s="15" t="str" cm="1">
        <f t="array" ref="B506">_xlfn.SWITCH(LEFT(Tasks[[#This Row],[Status]],1),"O","Opened","C","Completed","S","Signed Off", "V", "Signed Off","ERROR")</f>
        <v>Opened</v>
      </c>
      <c r="C506" s="15" t="str" cm="1">
        <f t="array" ref="C506">_xlfn.SWITCH(LEFT(Tasks[[#This Row],[Type]], 3), "Fie", "Field Report", "Con", "Contractor QC", "Gen", "Contractor QC", "Pun", "Contractor QC", "Qua", "Contractor QC", "Fin", "Punch List")</f>
        <v>Contractor QC</v>
      </c>
      <c r="D506" s="15" t="str">
        <f>_xlfn.LET(
_xlpm.leftValue, TRIM(LEFT(Tasks[[#This Row],[Description]], 45)),
IF(LEN(_xlpm.leftValue) &lt; 40, _xlpm.leftValue, _xlfn.CONCAT(_xlpm.leftValue, "…"))
)</f>
        <v>Touch up around plug on back of bench</v>
      </c>
      <c r="E506" s="15" t="str" cm="1">
        <f t="array" ref="E506">_xlfn.LET(
_xlpm.inTower, COUNTIF(Tower_Num_Table[Tower Rm Numbers], LEFT(Task_Summary_Table[[#This Row],[Area/Room]], 3)) &gt; 0,
_xlpm.typeResult, _xlfn.SWITCH(LEFT(Tasks[[#This Row],[Page]], 2), "Hi", "Historic", "An", "Annex", "Si", "Site", "S5", "Project Task", "SWITCH ERROR"),
IF(_xlpm.inTower, "West Tower", _xlpm.typeResult)
)</f>
        <v>Annex</v>
      </c>
      <c r="F506" s="15" t="str">
        <f>IFERROR(MID(Tasks[[#This Row],[Page]], FIND("Level", Tasks[[#This Row],[Page]]), 7), IF(ISNUMBER(FIND("Roof", Tasks[[#This Row],[Page]])), "Roof",  IF(ISNUMBER(FIND("S590", Tasks[[#This Row],[Page]])), "",  IF(ISNUMBER(FIND("Site", Tasks[[#This Row],[Page]])), "", "ERROR"))))</f>
        <v>Level 1</v>
      </c>
      <c r="G506" s="15" t="str">
        <f>IF(Tasks[[#This Row],[Location]]=0, "", Tasks[[#This Row],[Location]])</f>
        <v>110 - Chapel</v>
      </c>
      <c r="H506" s="15" t="str">
        <f>Tasks[[#This Row],[To Package]]</f>
        <v>Audience Seating -- New Holland</v>
      </c>
      <c r="I506" s="15" t="str">
        <f>Tasks[[#This Row],[To Organisation]]</f>
        <v>New Holland Church Furniture</v>
      </c>
    </row>
    <row r="507" spans="1:9" ht="15.5" x14ac:dyDescent="0.35">
      <c r="A507" s="16" t="str">
        <f>HYPERLINK(_xlfn.CONCAT(Edit_URL,Tasks[[#This Row],[Ref]]),Tasks[[#This Row],[Ref]])</f>
        <v>T74290.269</v>
      </c>
      <c r="B507" s="15" t="str" cm="1">
        <f t="array" ref="B507">_xlfn.SWITCH(LEFT(Tasks[[#This Row],[Status]],1),"O","Opened","C","Completed","S","Signed Off", "V", "Signed Off","ERROR")</f>
        <v>Opened</v>
      </c>
      <c r="C507" s="15" t="str" cm="1">
        <f t="array" ref="C507">_xlfn.SWITCH(LEFT(Tasks[[#This Row],[Type]], 3), "Fie", "Field Report", "Con", "Contractor QC", "Gen", "Contractor QC", "Pun", "Contractor QC", "Qua", "Contractor QC", "Fin", "Punch List")</f>
        <v>Contractor QC</v>
      </c>
      <c r="D507" s="15" t="str">
        <f>_xlfn.LET(
_xlpm.leftValue, TRIM(LEFT(Tasks[[#This Row],[Description]], 45)),
IF(LEN(_xlpm.leftValue) &lt; 40, _xlpm.leftValue, _xlfn.CONCAT(_xlpm.leftValue, "…"))
)</f>
        <v>Repair scratch on top of left arm rest</v>
      </c>
      <c r="E507" s="15" t="str" cm="1">
        <f t="array" ref="E507">_xlfn.LET(
_xlpm.inTower, COUNTIF(Tower_Num_Table[Tower Rm Numbers], LEFT(Task_Summary_Table[[#This Row],[Area/Room]], 3)) &gt; 0,
_xlpm.typeResult, _xlfn.SWITCH(LEFT(Tasks[[#This Row],[Page]], 2), "Hi", "Historic", "An", "Annex", "Si", "Site", "S5", "Project Task", "SWITCH ERROR"),
IF(_xlpm.inTower, "West Tower", _xlpm.typeResult)
)</f>
        <v>Annex</v>
      </c>
      <c r="F507" s="15" t="str">
        <f>IFERROR(MID(Tasks[[#This Row],[Page]], FIND("Level", Tasks[[#This Row],[Page]]), 7), IF(ISNUMBER(FIND("Roof", Tasks[[#This Row],[Page]])), "Roof",  IF(ISNUMBER(FIND("S590", Tasks[[#This Row],[Page]])), "",  IF(ISNUMBER(FIND("Site", Tasks[[#This Row],[Page]])), "", "ERROR"))))</f>
        <v>Level 1</v>
      </c>
      <c r="G507" s="15" t="str">
        <f>IF(Tasks[[#This Row],[Location]]=0, "", Tasks[[#This Row],[Location]])</f>
        <v>110 - Chapel</v>
      </c>
      <c r="H507" s="15" t="str">
        <f>Tasks[[#This Row],[To Package]]</f>
        <v>Audience Seating -- New Holland</v>
      </c>
      <c r="I507" s="15" t="str">
        <f>Tasks[[#This Row],[To Organisation]]</f>
        <v>New Holland Church Furniture</v>
      </c>
    </row>
    <row r="508" spans="1:9" ht="15.5" x14ac:dyDescent="0.35">
      <c r="A508" s="16" t="str">
        <f>HYPERLINK(_xlfn.CONCAT(Edit_URL,Tasks[[#This Row],[Ref]]),Tasks[[#This Row],[Ref]])</f>
        <v>T74290.270</v>
      </c>
      <c r="B508" s="15" t="str" cm="1">
        <f t="array" ref="B508">_xlfn.SWITCH(LEFT(Tasks[[#This Row],[Status]],1),"O","Opened","C","Completed","S","Signed Off", "V", "Signed Off","ERROR")</f>
        <v>Opened</v>
      </c>
      <c r="C508" s="15" t="str" cm="1">
        <f t="array" ref="C508">_xlfn.SWITCH(LEFT(Tasks[[#This Row],[Type]], 3), "Fie", "Field Report", "Con", "Contractor QC", "Gen", "Contractor QC", "Pun", "Contractor QC", "Qua", "Contractor QC", "Fin", "Punch List")</f>
        <v>Contractor QC</v>
      </c>
      <c r="D508" s="15" t="str">
        <f>_xlfn.LET(
_xlpm.leftValue, TRIM(LEFT(Tasks[[#This Row],[Description]], 45)),
IF(LEN(_xlpm.leftValue) &lt; 40, _xlpm.leftValue, _xlfn.CONCAT(_xlpm.leftValue, "…"))
)</f>
        <v>Install missing plug</v>
      </c>
      <c r="E508" s="15" t="str" cm="1">
        <f t="array" ref="E508">_xlfn.LET(
_xlpm.inTower, COUNTIF(Tower_Num_Table[Tower Rm Numbers], LEFT(Task_Summary_Table[[#This Row],[Area/Room]], 3)) &gt; 0,
_xlpm.typeResult, _xlfn.SWITCH(LEFT(Tasks[[#This Row],[Page]], 2), "Hi", "Historic", "An", "Annex", "Si", "Site", "S5", "Project Task", "SWITCH ERROR"),
IF(_xlpm.inTower, "West Tower", _xlpm.typeResult)
)</f>
        <v>Annex</v>
      </c>
      <c r="F508" s="15" t="str">
        <f>IFERROR(MID(Tasks[[#This Row],[Page]], FIND("Level", Tasks[[#This Row],[Page]]), 7), IF(ISNUMBER(FIND("Roof", Tasks[[#This Row],[Page]])), "Roof",  IF(ISNUMBER(FIND("S590", Tasks[[#This Row],[Page]])), "",  IF(ISNUMBER(FIND("Site", Tasks[[#This Row],[Page]])), "", "ERROR"))))</f>
        <v>Level 1</v>
      </c>
      <c r="G508" s="15" t="str">
        <f>IF(Tasks[[#This Row],[Location]]=0, "", Tasks[[#This Row],[Location]])</f>
        <v>110 - Chapel</v>
      </c>
      <c r="H508" s="15" t="str">
        <f>Tasks[[#This Row],[To Package]]</f>
        <v>Audience Seating -- New Holland</v>
      </c>
      <c r="I508" s="15" t="str">
        <f>Tasks[[#This Row],[To Organisation]]</f>
        <v>New Holland Church Furniture</v>
      </c>
    </row>
    <row r="509" spans="1:9" ht="15.5" x14ac:dyDescent="0.35">
      <c r="A509" s="16" t="str">
        <f>HYPERLINK(_xlfn.CONCAT(Edit_URL,Tasks[[#This Row],[Ref]]),Tasks[[#This Row],[Ref]])</f>
        <v>T74290.271</v>
      </c>
      <c r="B509" s="15" t="str" cm="1">
        <f t="array" ref="B509">_xlfn.SWITCH(LEFT(Tasks[[#This Row],[Status]],1),"O","Opened","C","Completed","S","Signed Off", "V", "Signed Off","ERROR")</f>
        <v>Opened</v>
      </c>
      <c r="C509" s="15" t="str" cm="1">
        <f t="array" ref="C509">_xlfn.SWITCH(LEFT(Tasks[[#This Row],[Type]], 3), "Fie", "Field Report", "Con", "Contractor QC", "Gen", "Contractor QC", "Pun", "Contractor QC", "Qua", "Contractor QC", "Fin", "Punch List")</f>
        <v>Contractor QC</v>
      </c>
      <c r="D509" s="15" t="str">
        <f>_xlfn.LET(
_xlpm.leftValue, TRIM(LEFT(Tasks[[#This Row],[Description]], 45)),
IF(LEN(_xlpm.leftValue) &lt; 40, _xlpm.leftValue, _xlfn.CONCAT(_xlpm.leftValue, "…"))
)</f>
        <v>Remove excess stain</v>
      </c>
      <c r="E509" s="15" t="str" cm="1">
        <f t="array" ref="E509">_xlfn.LET(
_xlpm.inTower, COUNTIF(Tower_Num_Table[Tower Rm Numbers], LEFT(Task_Summary_Table[[#This Row],[Area/Room]], 3)) &gt; 0,
_xlpm.typeResult, _xlfn.SWITCH(LEFT(Tasks[[#This Row],[Page]], 2), "Hi", "Historic", "An", "Annex", "Si", "Site", "S5", "Project Task", "SWITCH ERROR"),
IF(_xlpm.inTower, "West Tower", _xlpm.typeResult)
)</f>
        <v>Annex</v>
      </c>
      <c r="F509" s="15" t="str">
        <f>IFERROR(MID(Tasks[[#This Row],[Page]], FIND("Level", Tasks[[#This Row],[Page]]), 7), IF(ISNUMBER(FIND("Roof", Tasks[[#This Row],[Page]])), "Roof",  IF(ISNUMBER(FIND("S590", Tasks[[#This Row],[Page]])), "",  IF(ISNUMBER(FIND("Site", Tasks[[#This Row],[Page]])), "", "ERROR"))))</f>
        <v>Level 1</v>
      </c>
      <c r="G509" s="15" t="str">
        <f>IF(Tasks[[#This Row],[Location]]=0, "", Tasks[[#This Row],[Location]])</f>
        <v>110 - Chapel</v>
      </c>
      <c r="H509" s="15" t="str">
        <f>Tasks[[#This Row],[To Package]]</f>
        <v>Audience Seating -- New Holland</v>
      </c>
      <c r="I509" s="15" t="str">
        <f>Tasks[[#This Row],[To Organisation]]</f>
        <v>New Holland Church Furniture</v>
      </c>
    </row>
    <row r="510" spans="1:9" ht="15.5" x14ac:dyDescent="0.35">
      <c r="A510" s="16" t="str">
        <f>HYPERLINK(_xlfn.CONCAT(Edit_URL,Tasks[[#This Row],[Ref]]),Tasks[[#This Row],[Ref]])</f>
        <v>T74290.272</v>
      </c>
      <c r="B510" s="15" t="str" cm="1">
        <f t="array" ref="B510">_xlfn.SWITCH(LEFT(Tasks[[#This Row],[Status]],1),"O","Opened","C","Completed","S","Signed Off", "V", "Signed Off","ERROR")</f>
        <v>Opened</v>
      </c>
      <c r="C510" s="15" t="str" cm="1">
        <f t="array" ref="C510">_xlfn.SWITCH(LEFT(Tasks[[#This Row],[Type]], 3), "Fie", "Field Report", "Con", "Contractor QC", "Gen", "Contractor QC", "Pun", "Contractor QC", "Qua", "Contractor QC", "Fin", "Punch List")</f>
        <v>Contractor QC</v>
      </c>
      <c r="D510" s="15" t="str">
        <f>_xlfn.LET(
_xlpm.leftValue, TRIM(LEFT(Tasks[[#This Row],[Description]], 45)),
IF(LEN(_xlpm.leftValue) &lt; 40, _xlpm.leftValue, _xlfn.CONCAT(_xlpm.leftValue, "…"))
)</f>
        <v>Remove / touch up excess glue</v>
      </c>
      <c r="E510" s="15" t="str" cm="1">
        <f t="array" ref="E510">_xlfn.LET(
_xlpm.inTower, COUNTIF(Tower_Num_Table[Tower Rm Numbers], LEFT(Task_Summary_Table[[#This Row],[Area/Room]], 3)) &gt; 0,
_xlpm.typeResult, _xlfn.SWITCH(LEFT(Tasks[[#This Row],[Page]], 2), "Hi", "Historic", "An", "Annex", "Si", "Site", "S5", "Project Task", "SWITCH ERROR"),
IF(_xlpm.inTower, "West Tower", _xlpm.typeResult)
)</f>
        <v>Annex</v>
      </c>
      <c r="F510" s="15" t="str">
        <f>IFERROR(MID(Tasks[[#This Row],[Page]], FIND("Level", Tasks[[#This Row],[Page]]), 7), IF(ISNUMBER(FIND("Roof", Tasks[[#This Row],[Page]])), "Roof",  IF(ISNUMBER(FIND("S590", Tasks[[#This Row],[Page]])), "",  IF(ISNUMBER(FIND("Site", Tasks[[#This Row],[Page]])), "", "ERROR"))))</f>
        <v>Level 1</v>
      </c>
      <c r="G510" s="15" t="str">
        <f>IF(Tasks[[#This Row],[Location]]=0, "", Tasks[[#This Row],[Location]])</f>
        <v>110 - Chapel</v>
      </c>
      <c r="H510" s="15" t="str">
        <f>Tasks[[#This Row],[To Package]]</f>
        <v>Audience Seating -- New Holland</v>
      </c>
      <c r="I510" s="15" t="str">
        <f>Tasks[[#This Row],[To Organisation]]</f>
        <v>New Holland Church Furniture</v>
      </c>
    </row>
    <row r="511" spans="1:9" ht="15.5" x14ac:dyDescent="0.35">
      <c r="A511" s="16" t="str">
        <f>HYPERLINK(_xlfn.CONCAT(Edit_URL,Tasks[[#This Row],[Ref]]),Tasks[[#This Row],[Ref]])</f>
        <v>T74290.273</v>
      </c>
      <c r="B511" s="15" t="str" cm="1">
        <f t="array" ref="B511">_xlfn.SWITCH(LEFT(Tasks[[#This Row],[Status]],1),"O","Opened","C","Completed","S","Signed Off", "V", "Signed Off","ERROR")</f>
        <v>Opened</v>
      </c>
      <c r="C511" s="15" t="str" cm="1">
        <f t="array" ref="C511">_xlfn.SWITCH(LEFT(Tasks[[#This Row],[Type]], 3), "Fie", "Field Report", "Con", "Contractor QC", "Gen", "Contractor QC", "Pun", "Contractor QC", "Qua", "Contractor QC", "Fin", "Punch List")</f>
        <v>Contractor QC</v>
      </c>
      <c r="D511" s="15" t="str">
        <f>_xlfn.LET(
_xlpm.leftValue, TRIM(LEFT(Tasks[[#This Row],[Description]], 45)),
IF(LEN(_xlpm.leftValue) &lt; 40, _xlpm.leftValue, _xlfn.CONCAT(_xlpm.leftValue, "…"))
)</f>
        <v>Repair and touch up scratch on front arm rest…</v>
      </c>
      <c r="E511" s="15" t="str" cm="1">
        <f t="array" ref="E511">_xlfn.LET(
_xlpm.inTower, COUNTIF(Tower_Num_Table[Tower Rm Numbers], LEFT(Task_Summary_Table[[#This Row],[Area/Room]], 3)) &gt; 0,
_xlpm.typeResult, _xlfn.SWITCH(LEFT(Tasks[[#This Row],[Page]], 2), "Hi", "Historic", "An", "Annex", "Si", "Site", "S5", "Project Task", "SWITCH ERROR"),
IF(_xlpm.inTower, "West Tower", _xlpm.typeResult)
)</f>
        <v>Annex</v>
      </c>
      <c r="F511" s="15" t="str">
        <f>IFERROR(MID(Tasks[[#This Row],[Page]], FIND("Level", Tasks[[#This Row],[Page]]), 7), IF(ISNUMBER(FIND("Roof", Tasks[[#This Row],[Page]])), "Roof",  IF(ISNUMBER(FIND("S590", Tasks[[#This Row],[Page]])), "",  IF(ISNUMBER(FIND("Site", Tasks[[#This Row],[Page]])), "", "ERROR"))))</f>
        <v>Level 1</v>
      </c>
      <c r="G511" s="15" t="str">
        <f>IF(Tasks[[#This Row],[Location]]=0, "", Tasks[[#This Row],[Location]])</f>
        <v>110 - Chapel</v>
      </c>
      <c r="H511" s="15" t="str">
        <f>Tasks[[#This Row],[To Package]]</f>
        <v>Audience Seating -- New Holland</v>
      </c>
      <c r="I511" s="15" t="str">
        <f>Tasks[[#This Row],[To Organisation]]</f>
        <v>New Holland Church Furniture</v>
      </c>
    </row>
    <row r="512" spans="1:9" ht="15.5" x14ac:dyDescent="0.35">
      <c r="A512" s="16" t="str">
        <f>HYPERLINK(_xlfn.CONCAT(Edit_URL,Tasks[[#This Row],[Ref]]),Tasks[[#This Row],[Ref]])</f>
        <v>T74290.274</v>
      </c>
      <c r="B512" s="15" t="str" cm="1">
        <f t="array" ref="B512">_xlfn.SWITCH(LEFT(Tasks[[#This Row],[Status]],1),"O","Opened","C","Completed","S","Signed Off", "V", "Signed Off","ERROR")</f>
        <v>Opened</v>
      </c>
      <c r="C512" s="15" t="str" cm="1">
        <f t="array" ref="C512">_xlfn.SWITCH(LEFT(Tasks[[#This Row],[Type]], 3), "Fie", "Field Report", "Con", "Contractor QC", "Gen", "Contractor QC", "Pun", "Contractor QC", "Qua", "Contractor QC", "Fin", "Punch List")</f>
        <v>Contractor QC</v>
      </c>
      <c r="D512" s="15" t="str">
        <f>_xlfn.LET(
_xlpm.leftValue, TRIM(LEFT(Tasks[[#This Row],[Description]], 45)),
IF(LEN(_xlpm.leftValue) &lt; 40, _xlpm.leftValue, _xlfn.CONCAT(_xlpm.leftValue, "…"))
)</f>
        <v>Touch up plug on back of bench</v>
      </c>
      <c r="E512" s="15" t="str" cm="1">
        <f t="array" ref="E512">_xlfn.LET(
_xlpm.inTower, COUNTIF(Tower_Num_Table[Tower Rm Numbers], LEFT(Task_Summary_Table[[#This Row],[Area/Room]], 3)) &gt; 0,
_xlpm.typeResult, _xlfn.SWITCH(LEFT(Tasks[[#This Row],[Page]], 2), "Hi", "Historic", "An", "Annex", "Si", "Site", "S5", "Project Task", "SWITCH ERROR"),
IF(_xlpm.inTower, "West Tower", _xlpm.typeResult)
)</f>
        <v>Annex</v>
      </c>
      <c r="F512" s="15" t="str">
        <f>IFERROR(MID(Tasks[[#This Row],[Page]], FIND("Level", Tasks[[#This Row],[Page]]), 7), IF(ISNUMBER(FIND("Roof", Tasks[[#This Row],[Page]])), "Roof",  IF(ISNUMBER(FIND("S590", Tasks[[#This Row],[Page]])), "",  IF(ISNUMBER(FIND("Site", Tasks[[#This Row],[Page]])), "", "ERROR"))))</f>
        <v>Level 1</v>
      </c>
      <c r="G512" s="15" t="str">
        <f>IF(Tasks[[#This Row],[Location]]=0, "", Tasks[[#This Row],[Location]])</f>
        <v>110 - Chapel</v>
      </c>
      <c r="H512" s="15" t="str">
        <f>Tasks[[#This Row],[To Package]]</f>
        <v>Audience Seating -- New Holland</v>
      </c>
      <c r="I512" s="15" t="str">
        <f>Tasks[[#This Row],[To Organisation]]</f>
        <v>New Holland Church Furniture</v>
      </c>
    </row>
    <row r="513" spans="1:9" ht="15.5" x14ac:dyDescent="0.35">
      <c r="A513" s="16" t="str">
        <f>HYPERLINK(_xlfn.CONCAT(Edit_URL,Tasks[[#This Row],[Ref]]),Tasks[[#This Row],[Ref]])</f>
        <v>T74290.255</v>
      </c>
      <c r="B513" s="15" t="str" cm="1">
        <f t="array" ref="B513">_xlfn.SWITCH(LEFT(Tasks[[#This Row],[Status]],1),"O","Opened","C","Completed","S","Signed Off", "V", "Signed Off","ERROR")</f>
        <v>Opened</v>
      </c>
      <c r="C513" s="15" t="str" cm="1">
        <f t="array" ref="C513">_xlfn.SWITCH(LEFT(Tasks[[#This Row],[Type]], 3), "Fie", "Field Report", "Con", "Contractor QC", "Gen", "Contractor QC", "Pun", "Contractor QC", "Qua", "Contractor QC", "Fin", "Punch List")</f>
        <v>Contractor QC</v>
      </c>
      <c r="D513" s="15" t="str">
        <f>_xlfn.LET(
_xlpm.leftValue, TRIM(LEFT(Tasks[[#This Row],[Description]], 45)),
IF(LEN(_xlpm.leftValue) &lt; 40, _xlpm.leftValue, _xlfn.CONCAT(_xlpm.leftValue, "…"))
)</f>
        <v>Repair scratch on side panel - right side…</v>
      </c>
      <c r="E513" s="15" t="str" cm="1">
        <f t="array" ref="E513">_xlfn.LET(
_xlpm.inTower, COUNTIF(Tower_Num_Table[Tower Rm Numbers], LEFT(Task_Summary_Table[[#This Row],[Area/Room]], 3)) &gt; 0,
_xlpm.typeResult, _xlfn.SWITCH(LEFT(Tasks[[#This Row],[Page]], 2), "Hi", "Historic", "An", "Annex", "Si", "Site", "S5", "Project Task", "SWITCH ERROR"),
IF(_xlpm.inTower, "West Tower", _xlpm.typeResult)
)</f>
        <v>Annex</v>
      </c>
      <c r="F513" s="15" t="str">
        <f>IFERROR(MID(Tasks[[#This Row],[Page]], FIND("Level", Tasks[[#This Row],[Page]]), 7), IF(ISNUMBER(FIND("Roof", Tasks[[#This Row],[Page]])), "Roof",  IF(ISNUMBER(FIND("S590", Tasks[[#This Row],[Page]])), "",  IF(ISNUMBER(FIND("Site", Tasks[[#This Row],[Page]])), "", "ERROR"))))</f>
        <v>Level 1</v>
      </c>
      <c r="G513" s="15" t="str">
        <f>IF(Tasks[[#This Row],[Location]]=0, "", Tasks[[#This Row],[Location]])</f>
        <v>110 - Chapel</v>
      </c>
      <c r="H513" s="15" t="str">
        <f>Tasks[[#This Row],[To Package]]</f>
        <v>Audience Seating -- New Holland</v>
      </c>
      <c r="I513" s="15" t="str">
        <f>Tasks[[#This Row],[To Organisation]]</f>
        <v>New Holland Church Furniture</v>
      </c>
    </row>
    <row r="514" spans="1:9" ht="15.5" x14ac:dyDescent="0.35">
      <c r="A514" s="16" t="str">
        <f>HYPERLINK(_xlfn.CONCAT(Edit_URL,Tasks[[#This Row],[Ref]]),Tasks[[#This Row],[Ref]])</f>
        <v>T74290.256</v>
      </c>
      <c r="B514" s="15" t="str" cm="1">
        <f t="array" ref="B514">_xlfn.SWITCH(LEFT(Tasks[[#This Row],[Status]],1),"O","Opened","C","Completed","S","Signed Off", "V", "Signed Off","ERROR")</f>
        <v>Opened</v>
      </c>
      <c r="C514" s="15" t="str" cm="1">
        <f t="array" ref="C514">_xlfn.SWITCH(LEFT(Tasks[[#This Row],[Type]], 3), "Fie", "Field Report", "Con", "Contractor QC", "Gen", "Contractor QC", "Pun", "Contractor QC", "Qua", "Contractor QC", "Fin", "Punch List")</f>
        <v>Contractor QC</v>
      </c>
      <c r="D514" s="15" t="str">
        <f>_xlfn.LET(
_xlpm.leftValue, TRIM(LEFT(Tasks[[#This Row],[Description]], 45)),
IF(LEN(_xlpm.leftValue) &lt; 40, _xlpm.leftValue, _xlfn.CONCAT(_xlpm.leftValue, "…"))
)</f>
        <v>Repair scratch on panel above back cushion…</v>
      </c>
      <c r="E514" s="15" t="str" cm="1">
        <f t="array" ref="E514">_xlfn.LET(
_xlpm.inTower, COUNTIF(Tower_Num_Table[Tower Rm Numbers], LEFT(Task_Summary_Table[[#This Row],[Area/Room]], 3)) &gt; 0,
_xlpm.typeResult, _xlfn.SWITCH(LEFT(Tasks[[#This Row],[Page]], 2), "Hi", "Historic", "An", "Annex", "Si", "Site", "S5", "Project Task", "SWITCH ERROR"),
IF(_xlpm.inTower, "West Tower", _xlpm.typeResult)
)</f>
        <v>Annex</v>
      </c>
      <c r="F514" s="15" t="str">
        <f>IFERROR(MID(Tasks[[#This Row],[Page]], FIND("Level", Tasks[[#This Row],[Page]]), 7), IF(ISNUMBER(FIND("Roof", Tasks[[#This Row],[Page]])), "Roof",  IF(ISNUMBER(FIND("S590", Tasks[[#This Row],[Page]])), "",  IF(ISNUMBER(FIND("Site", Tasks[[#This Row],[Page]])), "", "ERROR"))))</f>
        <v>Level 1</v>
      </c>
      <c r="G514" s="15" t="str">
        <f>IF(Tasks[[#This Row],[Location]]=0, "", Tasks[[#This Row],[Location]])</f>
        <v>110 - Chapel</v>
      </c>
      <c r="H514" s="15" t="str">
        <f>Tasks[[#This Row],[To Package]]</f>
        <v>Audience Seating -- New Holland</v>
      </c>
      <c r="I514" s="15" t="str">
        <f>Tasks[[#This Row],[To Organisation]]</f>
        <v>New Holland Church Furniture</v>
      </c>
    </row>
    <row r="515" spans="1:9" ht="15.5" x14ac:dyDescent="0.35">
      <c r="A515" s="16" t="str">
        <f>HYPERLINK(_xlfn.CONCAT(Edit_URL,Tasks[[#This Row],[Ref]]),Tasks[[#This Row],[Ref]])</f>
        <v>T74290.257</v>
      </c>
      <c r="B515" s="15" t="str" cm="1">
        <f t="array" ref="B515">_xlfn.SWITCH(LEFT(Tasks[[#This Row],[Status]],1),"O","Opened","C","Completed","S","Signed Off", "V", "Signed Off","ERROR")</f>
        <v>Opened</v>
      </c>
      <c r="C515" s="15" t="str" cm="1">
        <f t="array" ref="C515">_xlfn.SWITCH(LEFT(Tasks[[#This Row],[Type]], 3), "Fie", "Field Report", "Con", "Contractor QC", "Gen", "Contractor QC", "Pun", "Contractor QC", "Qua", "Contractor QC", "Fin", "Punch List")</f>
        <v>Contractor QC</v>
      </c>
      <c r="D515" s="15" t="str">
        <f>_xlfn.LET(
_xlpm.leftValue, TRIM(LEFT(Tasks[[#This Row],[Description]], 45)),
IF(LEN(_xlpm.leftValue) &lt; 40, _xlpm.leftValue, _xlfn.CONCAT(_xlpm.leftValue, "…"))
)</f>
        <v>Fill nail holes and smooth</v>
      </c>
      <c r="E515" s="15" t="str" cm="1">
        <f t="array" ref="E515">_xlfn.LET(
_xlpm.inTower, COUNTIF(Tower_Num_Table[Tower Rm Numbers], LEFT(Task_Summary_Table[[#This Row],[Area/Room]], 3)) &gt; 0,
_xlpm.typeResult, _xlfn.SWITCH(LEFT(Tasks[[#This Row],[Page]], 2), "Hi", "Historic", "An", "Annex", "Si", "Site", "S5", "Project Task", "SWITCH ERROR"),
IF(_xlpm.inTower, "West Tower", _xlpm.typeResult)
)</f>
        <v>Annex</v>
      </c>
      <c r="F515" s="15" t="str">
        <f>IFERROR(MID(Tasks[[#This Row],[Page]], FIND("Level", Tasks[[#This Row],[Page]]), 7), IF(ISNUMBER(FIND("Roof", Tasks[[#This Row],[Page]])), "Roof",  IF(ISNUMBER(FIND("S590", Tasks[[#This Row],[Page]])), "",  IF(ISNUMBER(FIND("Site", Tasks[[#This Row],[Page]])), "", "ERROR"))))</f>
        <v>Level 1</v>
      </c>
      <c r="G515" s="15" t="str">
        <f>IF(Tasks[[#This Row],[Location]]=0, "", Tasks[[#This Row],[Location]])</f>
        <v>110 - Chapel</v>
      </c>
      <c r="H515" s="15" t="str">
        <f>Tasks[[#This Row],[To Package]]</f>
        <v>Audience Seating -- New Holland</v>
      </c>
      <c r="I515" s="15" t="str">
        <f>Tasks[[#This Row],[To Organisation]]</f>
        <v>New Holland Church Furniture</v>
      </c>
    </row>
    <row r="516" spans="1:9" ht="15.5" x14ac:dyDescent="0.35">
      <c r="A516" s="16" t="str">
        <f>HYPERLINK(_xlfn.CONCAT(Edit_URL,Tasks[[#This Row],[Ref]]),Tasks[[#This Row],[Ref]])</f>
        <v>T74290.258</v>
      </c>
      <c r="B516" s="15" t="str" cm="1">
        <f t="array" ref="B516">_xlfn.SWITCH(LEFT(Tasks[[#This Row],[Status]],1),"O","Opened","C","Completed","S","Signed Off", "V", "Signed Off","ERROR")</f>
        <v>Opened</v>
      </c>
      <c r="C516" s="15" t="str" cm="1">
        <f t="array" ref="C516">_xlfn.SWITCH(LEFT(Tasks[[#This Row],[Type]], 3), "Fie", "Field Report", "Con", "Contractor QC", "Gen", "Contractor QC", "Pun", "Contractor QC", "Qua", "Contractor QC", "Fin", "Punch List")</f>
        <v>Contractor QC</v>
      </c>
      <c r="D516" s="15" t="str">
        <f>_xlfn.LET(
_xlpm.leftValue, TRIM(LEFT(Tasks[[#This Row],[Description]], 45)),
IF(LEN(_xlpm.leftValue) &lt; 40, _xlpm.leftValue, _xlfn.CONCAT(_xlpm.leftValue, "…"))
)</f>
        <v>Finish connection of top rail - left side…</v>
      </c>
      <c r="E516" s="15" t="str" cm="1">
        <f t="array" ref="E516">_xlfn.LET(
_xlpm.inTower, COUNTIF(Tower_Num_Table[Tower Rm Numbers], LEFT(Task_Summary_Table[[#This Row],[Area/Room]], 3)) &gt; 0,
_xlpm.typeResult, _xlfn.SWITCH(LEFT(Tasks[[#This Row],[Page]], 2), "Hi", "Historic", "An", "Annex", "Si", "Site", "S5", "Project Task", "SWITCH ERROR"),
IF(_xlpm.inTower, "West Tower", _xlpm.typeResult)
)</f>
        <v>Annex</v>
      </c>
      <c r="F516" s="15" t="str">
        <f>IFERROR(MID(Tasks[[#This Row],[Page]], FIND("Level", Tasks[[#This Row],[Page]]), 7), IF(ISNUMBER(FIND("Roof", Tasks[[#This Row],[Page]])), "Roof",  IF(ISNUMBER(FIND("S590", Tasks[[#This Row],[Page]])), "",  IF(ISNUMBER(FIND("Site", Tasks[[#This Row],[Page]])), "", "ERROR"))))</f>
        <v>Level 1</v>
      </c>
      <c r="G516" s="15" t="str">
        <f>IF(Tasks[[#This Row],[Location]]=0, "", Tasks[[#This Row],[Location]])</f>
        <v>110 - Chapel</v>
      </c>
      <c r="H516" s="15" t="str">
        <f>Tasks[[#This Row],[To Package]]</f>
        <v>Audience Seating -- New Holland</v>
      </c>
      <c r="I516" s="15" t="str">
        <f>Tasks[[#This Row],[To Organisation]]</f>
        <v>New Holland Church Furniture</v>
      </c>
    </row>
    <row r="517" spans="1:9" ht="15.5" x14ac:dyDescent="0.35">
      <c r="A517" s="16" t="str">
        <f>HYPERLINK(_xlfn.CONCAT(Edit_URL,Tasks[[#This Row],[Ref]]),Tasks[[#This Row],[Ref]])</f>
        <v>T74290.259</v>
      </c>
      <c r="B517" s="15" t="str" cm="1">
        <f t="array" ref="B517">_xlfn.SWITCH(LEFT(Tasks[[#This Row],[Status]],1),"O","Opened","C","Completed","S","Signed Off", "V", "Signed Off","ERROR")</f>
        <v>Opened</v>
      </c>
      <c r="C517" s="15" t="str" cm="1">
        <f t="array" ref="C517">_xlfn.SWITCH(LEFT(Tasks[[#This Row],[Type]], 3), "Fie", "Field Report", "Con", "Contractor QC", "Gen", "Contractor QC", "Pun", "Contractor QC", "Qua", "Contractor QC", "Fin", "Punch List")</f>
        <v>Contractor QC</v>
      </c>
      <c r="D517" s="15" t="str">
        <f>_xlfn.LET(
_xlpm.leftValue, TRIM(LEFT(Tasks[[#This Row],[Description]], 45)),
IF(LEN(_xlpm.leftValue) &lt; 40, _xlpm.leftValue, _xlfn.CONCAT(_xlpm.leftValue, "…"))
)</f>
        <v>Remove glue and touch up under arm rest</v>
      </c>
      <c r="E517" s="15" t="str" cm="1">
        <f t="array" ref="E517">_xlfn.LET(
_xlpm.inTower, COUNTIF(Tower_Num_Table[Tower Rm Numbers], LEFT(Task_Summary_Table[[#This Row],[Area/Room]], 3)) &gt; 0,
_xlpm.typeResult, _xlfn.SWITCH(LEFT(Tasks[[#This Row],[Page]], 2), "Hi", "Historic", "An", "Annex", "Si", "Site", "S5", "Project Task", "SWITCH ERROR"),
IF(_xlpm.inTower, "West Tower", _xlpm.typeResult)
)</f>
        <v>Annex</v>
      </c>
      <c r="F517" s="15" t="str">
        <f>IFERROR(MID(Tasks[[#This Row],[Page]], FIND("Level", Tasks[[#This Row],[Page]]), 7), IF(ISNUMBER(FIND("Roof", Tasks[[#This Row],[Page]])), "Roof",  IF(ISNUMBER(FIND("S590", Tasks[[#This Row],[Page]])), "",  IF(ISNUMBER(FIND("Site", Tasks[[#This Row],[Page]])), "", "ERROR"))))</f>
        <v>Level 1</v>
      </c>
      <c r="G517" s="15" t="str">
        <f>IF(Tasks[[#This Row],[Location]]=0, "", Tasks[[#This Row],[Location]])</f>
        <v>110 - Chapel</v>
      </c>
      <c r="H517" s="15" t="str">
        <f>Tasks[[#This Row],[To Package]]</f>
        <v>Audience Seating -- New Holland</v>
      </c>
      <c r="I517" s="15" t="str">
        <f>Tasks[[#This Row],[To Organisation]]</f>
        <v>New Holland Church Furniture</v>
      </c>
    </row>
    <row r="518" spans="1:9" ht="15.5" x14ac:dyDescent="0.35">
      <c r="A518" s="16" t="str">
        <f>HYPERLINK(_xlfn.CONCAT(Edit_URL,Tasks[[#This Row],[Ref]]),Tasks[[#This Row],[Ref]])</f>
        <v>T74290.260</v>
      </c>
      <c r="B518" s="15" t="str" cm="1">
        <f t="array" ref="B518">_xlfn.SWITCH(LEFT(Tasks[[#This Row],[Status]],1),"O","Opened","C","Completed","S","Signed Off", "V", "Signed Off","ERROR")</f>
        <v>Opened</v>
      </c>
      <c r="C518" s="15" t="str" cm="1">
        <f t="array" ref="C518">_xlfn.SWITCH(LEFT(Tasks[[#This Row],[Type]], 3), "Fie", "Field Report", "Con", "Contractor QC", "Gen", "Contractor QC", "Pun", "Contractor QC", "Qua", "Contractor QC", "Fin", "Punch List")</f>
        <v>Contractor QC</v>
      </c>
      <c r="D518" s="15" t="str">
        <f>_xlfn.LET(
_xlpm.leftValue, TRIM(LEFT(Tasks[[#This Row],[Description]], 45)),
IF(LEN(_xlpm.leftValue) &lt; 40, _xlpm.leftValue, _xlfn.CONCAT(_xlpm.leftValue, "…"))
)</f>
        <v>Smooth out nail filler on stile of back panel…</v>
      </c>
      <c r="E518" s="15" t="str" cm="1">
        <f t="array" ref="E518">_xlfn.LET(
_xlpm.inTower, COUNTIF(Tower_Num_Table[Tower Rm Numbers], LEFT(Task_Summary_Table[[#This Row],[Area/Room]], 3)) &gt; 0,
_xlpm.typeResult, _xlfn.SWITCH(LEFT(Tasks[[#This Row],[Page]], 2), "Hi", "Historic", "An", "Annex", "Si", "Site", "S5", "Project Task", "SWITCH ERROR"),
IF(_xlpm.inTower, "West Tower", _xlpm.typeResult)
)</f>
        <v>Annex</v>
      </c>
      <c r="F518" s="15" t="str">
        <f>IFERROR(MID(Tasks[[#This Row],[Page]], FIND("Level", Tasks[[#This Row],[Page]]), 7), IF(ISNUMBER(FIND("Roof", Tasks[[#This Row],[Page]])), "Roof",  IF(ISNUMBER(FIND("S590", Tasks[[#This Row],[Page]])), "",  IF(ISNUMBER(FIND("Site", Tasks[[#This Row],[Page]])), "", "ERROR"))))</f>
        <v>Level 1</v>
      </c>
      <c r="G518" s="15" t="str">
        <f>IF(Tasks[[#This Row],[Location]]=0, "", Tasks[[#This Row],[Location]])</f>
        <v>110 - Chapel</v>
      </c>
      <c r="H518" s="15" t="str">
        <f>Tasks[[#This Row],[To Package]]</f>
        <v>Audience Seating -- New Holland</v>
      </c>
      <c r="I518" s="15" t="str">
        <f>Tasks[[#This Row],[To Organisation]]</f>
        <v>New Holland Church Furniture</v>
      </c>
    </row>
    <row r="519" spans="1:9" ht="15.5" x14ac:dyDescent="0.35">
      <c r="A519" s="16" t="str">
        <f>HYPERLINK(_xlfn.CONCAT(Edit_URL,Tasks[[#This Row],[Ref]]),Tasks[[#This Row],[Ref]])</f>
        <v>T74290.261</v>
      </c>
      <c r="B519" s="15" t="str" cm="1">
        <f t="array" ref="B519">_xlfn.SWITCH(LEFT(Tasks[[#This Row],[Status]],1),"O","Opened","C","Completed","S","Signed Off", "V", "Signed Off","ERROR")</f>
        <v>Opened</v>
      </c>
      <c r="C519" s="15" t="str" cm="1">
        <f t="array" ref="C519">_xlfn.SWITCH(LEFT(Tasks[[#This Row],[Type]], 3), "Fie", "Field Report", "Con", "Contractor QC", "Gen", "Contractor QC", "Pun", "Contractor QC", "Qua", "Contractor QC", "Fin", "Punch List")</f>
        <v>Contractor QC</v>
      </c>
      <c r="D519" s="15" t="str">
        <f>_xlfn.LET(
_xlpm.leftValue, TRIM(LEFT(Tasks[[#This Row],[Description]], 45)),
IF(LEN(_xlpm.leftValue) &lt; 40, _xlpm.leftValue, _xlfn.CONCAT(_xlpm.leftValue, "…"))
)</f>
        <v>Repair dent in book holder</v>
      </c>
      <c r="E519" s="15" t="str" cm="1">
        <f t="array" ref="E519">_xlfn.LET(
_xlpm.inTower, COUNTIF(Tower_Num_Table[Tower Rm Numbers], LEFT(Task_Summary_Table[[#This Row],[Area/Room]], 3)) &gt; 0,
_xlpm.typeResult, _xlfn.SWITCH(LEFT(Tasks[[#This Row],[Page]], 2), "Hi", "Historic", "An", "Annex", "Si", "Site", "S5", "Project Task", "SWITCH ERROR"),
IF(_xlpm.inTower, "West Tower", _xlpm.typeResult)
)</f>
        <v>Annex</v>
      </c>
      <c r="F519" s="15" t="str">
        <f>IFERROR(MID(Tasks[[#This Row],[Page]], FIND("Level", Tasks[[#This Row],[Page]]), 7), IF(ISNUMBER(FIND("Roof", Tasks[[#This Row],[Page]])), "Roof",  IF(ISNUMBER(FIND("S590", Tasks[[#This Row],[Page]])), "",  IF(ISNUMBER(FIND("Site", Tasks[[#This Row],[Page]])), "", "ERROR"))))</f>
        <v>Level 1</v>
      </c>
      <c r="G519" s="15" t="str">
        <f>IF(Tasks[[#This Row],[Location]]=0, "", Tasks[[#This Row],[Location]])</f>
        <v>110 - Chapel</v>
      </c>
      <c r="H519" s="15" t="str">
        <f>Tasks[[#This Row],[To Package]]</f>
        <v>Audience Seating -- New Holland</v>
      </c>
      <c r="I519" s="15" t="str">
        <f>Tasks[[#This Row],[To Organisation]]</f>
        <v>New Holland Church Furniture</v>
      </c>
    </row>
    <row r="520" spans="1:9" ht="15.5" x14ac:dyDescent="0.35">
      <c r="A520" s="16" t="str">
        <f>HYPERLINK(_xlfn.CONCAT(Edit_URL,Tasks[[#This Row],[Ref]]),Tasks[[#This Row],[Ref]])</f>
        <v>T74290.262</v>
      </c>
      <c r="B520" s="15" t="str" cm="1">
        <f t="array" ref="B520">_xlfn.SWITCH(LEFT(Tasks[[#This Row],[Status]],1),"O","Opened","C","Completed","S","Signed Off", "V", "Signed Off","ERROR")</f>
        <v>Opened</v>
      </c>
      <c r="C520" s="15" t="str" cm="1">
        <f t="array" ref="C520">_xlfn.SWITCH(LEFT(Tasks[[#This Row],[Type]], 3), "Fie", "Field Report", "Con", "Contractor QC", "Gen", "Contractor QC", "Pun", "Contractor QC", "Qua", "Contractor QC", "Fin", "Punch List")</f>
        <v>Contractor QC</v>
      </c>
      <c r="D520" s="15" t="str">
        <f>_xlfn.LET(
_xlpm.leftValue, TRIM(LEFT(Tasks[[#This Row],[Description]], 45)),
IF(LEN(_xlpm.leftValue) &lt; 40, _xlpm.leftValue, _xlfn.CONCAT(_xlpm.leftValue, "…"))
)</f>
        <v>Replace plug on back of bench</v>
      </c>
      <c r="E520" s="15" t="str" cm="1">
        <f t="array" ref="E520">_xlfn.LET(
_xlpm.inTower, COUNTIF(Tower_Num_Table[Tower Rm Numbers], LEFT(Task_Summary_Table[[#This Row],[Area/Room]], 3)) &gt; 0,
_xlpm.typeResult, _xlfn.SWITCH(LEFT(Tasks[[#This Row],[Page]], 2), "Hi", "Historic", "An", "Annex", "Si", "Site", "S5", "Project Task", "SWITCH ERROR"),
IF(_xlpm.inTower, "West Tower", _xlpm.typeResult)
)</f>
        <v>Annex</v>
      </c>
      <c r="F520" s="15" t="str">
        <f>IFERROR(MID(Tasks[[#This Row],[Page]], FIND("Level", Tasks[[#This Row],[Page]]), 7), IF(ISNUMBER(FIND("Roof", Tasks[[#This Row],[Page]])), "Roof",  IF(ISNUMBER(FIND("S590", Tasks[[#This Row],[Page]])), "",  IF(ISNUMBER(FIND("Site", Tasks[[#This Row],[Page]])), "", "ERROR"))))</f>
        <v>Level 1</v>
      </c>
      <c r="G520" s="15" t="str">
        <f>IF(Tasks[[#This Row],[Location]]=0, "", Tasks[[#This Row],[Location]])</f>
        <v>110 - Chapel</v>
      </c>
      <c r="H520" s="15" t="str">
        <f>Tasks[[#This Row],[To Package]]</f>
        <v>Audience Seating -- New Holland</v>
      </c>
      <c r="I520" s="15" t="str">
        <f>Tasks[[#This Row],[To Organisation]]</f>
        <v>New Holland Church Furniture</v>
      </c>
    </row>
    <row r="521" spans="1:9" ht="15.5" x14ac:dyDescent="0.35">
      <c r="A521" s="16" t="str">
        <f>HYPERLINK(_xlfn.CONCAT(Edit_URL,Tasks[[#This Row],[Ref]]),Tasks[[#This Row],[Ref]])</f>
        <v>T74290.263</v>
      </c>
      <c r="B521" s="15" t="str" cm="1">
        <f t="array" ref="B521">_xlfn.SWITCH(LEFT(Tasks[[#This Row],[Status]],1),"O","Opened","C","Completed","S","Signed Off", "V", "Signed Off","ERROR")</f>
        <v>Opened</v>
      </c>
      <c r="C521" s="15" t="str" cm="1">
        <f t="array" ref="C521">_xlfn.SWITCH(LEFT(Tasks[[#This Row],[Type]], 3), "Fie", "Field Report", "Con", "Contractor QC", "Gen", "Contractor QC", "Pun", "Contractor QC", "Qua", "Contractor QC", "Fin", "Punch List")</f>
        <v>Contractor QC</v>
      </c>
      <c r="D521" s="15" t="str">
        <f>_xlfn.LET(
_xlpm.leftValue, TRIM(LEFT(Tasks[[#This Row],[Description]], 45)),
IF(LEN(_xlpm.leftValue) &lt; 40, _xlpm.leftValue, _xlfn.CONCAT(_xlpm.leftValue, "…"))
)</f>
        <v>Repair crack in back panel</v>
      </c>
      <c r="E521" s="15" t="str" cm="1">
        <f t="array" ref="E521">_xlfn.LET(
_xlpm.inTower, COUNTIF(Tower_Num_Table[Tower Rm Numbers], LEFT(Task_Summary_Table[[#This Row],[Area/Room]], 3)) &gt; 0,
_xlpm.typeResult, _xlfn.SWITCH(LEFT(Tasks[[#This Row],[Page]], 2), "Hi", "Historic", "An", "Annex", "Si", "Site", "S5", "Project Task", "SWITCH ERROR"),
IF(_xlpm.inTower, "West Tower", _xlpm.typeResult)
)</f>
        <v>Annex</v>
      </c>
      <c r="F521" s="15" t="str">
        <f>IFERROR(MID(Tasks[[#This Row],[Page]], FIND("Level", Tasks[[#This Row],[Page]]), 7), IF(ISNUMBER(FIND("Roof", Tasks[[#This Row],[Page]])), "Roof",  IF(ISNUMBER(FIND("S590", Tasks[[#This Row],[Page]])), "",  IF(ISNUMBER(FIND("Site", Tasks[[#This Row],[Page]])), "", "ERROR"))))</f>
        <v>Level 1</v>
      </c>
      <c r="G521" s="15" t="str">
        <f>IF(Tasks[[#This Row],[Location]]=0, "", Tasks[[#This Row],[Location]])</f>
        <v>110 - Chapel</v>
      </c>
      <c r="H521" s="15" t="str">
        <f>Tasks[[#This Row],[To Package]]</f>
        <v>Audience Seating -- New Holland</v>
      </c>
      <c r="I521" s="15" t="str">
        <f>Tasks[[#This Row],[To Organisation]]</f>
        <v>New Holland Church Furniture</v>
      </c>
    </row>
    <row r="522" spans="1:9" ht="15.5" x14ac:dyDescent="0.35">
      <c r="A522" s="16" t="str">
        <f>HYPERLINK(_xlfn.CONCAT(Edit_URL,Tasks[[#This Row],[Ref]]),Tasks[[#This Row],[Ref]])</f>
        <v>T74290.264</v>
      </c>
      <c r="B522" s="15" t="str" cm="1">
        <f t="array" ref="B522">_xlfn.SWITCH(LEFT(Tasks[[#This Row],[Status]],1),"O","Opened","C","Completed","S","Signed Off", "V", "Signed Off","ERROR")</f>
        <v>Opened</v>
      </c>
      <c r="C522" s="15" t="str" cm="1">
        <f t="array" ref="C522">_xlfn.SWITCH(LEFT(Tasks[[#This Row],[Type]], 3), "Fie", "Field Report", "Con", "Contractor QC", "Gen", "Contractor QC", "Pun", "Contractor QC", "Qua", "Contractor QC", "Fin", "Punch List")</f>
        <v>Contractor QC</v>
      </c>
      <c r="D522" s="15" t="str">
        <f>_xlfn.LET(
_xlpm.leftValue, TRIM(LEFT(Tasks[[#This Row],[Description]], 45)),
IF(LEN(_xlpm.leftValue) &lt; 40, _xlpm.leftValue, _xlfn.CONCAT(_xlpm.leftValue, "…"))
)</f>
        <v>Repair / touch up crack around front left plu…</v>
      </c>
      <c r="E522" s="15" t="str" cm="1">
        <f t="array" ref="E522">_xlfn.LET(
_xlpm.inTower, COUNTIF(Tower_Num_Table[Tower Rm Numbers], LEFT(Task_Summary_Table[[#This Row],[Area/Room]], 3)) &gt; 0,
_xlpm.typeResult, _xlfn.SWITCH(LEFT(Tasks[[#This Row],[Page]], 2), "Hi", "Historic", "An", "Annex", "Si", "Site", "S5", "Project Task", "SWITCH ERROR"),
IF(_xlpm.inTower, "West Tower", _xlpm.typeResult)
)</f>
        <v>Annex</v>
      </c>
      <c r="F522" s="15" t="str">
        <f>IFERROR(MID(Tasks[[#This Row],[Page]], FIND("Level", Tasks[[#This Row],[Page]]), 7), IF(ISNUMBER(FIND("Roof", Tasks[[#This Row],[Page]])), "Roof",  IF(ISNUMBER(FIND("S590", Tasks[[#This Row],[Page]])), "",  IF(ISNUMBER(FIND("Site", Tasks[[#This Row],[Page]])), "", "ERROR"))))</f>
        <v>Level 1</v>
      </c>
      <c r="G522" s="15" t="str">
        <f>IF(Tasks[[#This Row],[Location]]=0, "", Tasks[[#This Row],[Location]])</f>
        <v>110 - Chapel</v>
      </c>
      <c r="H522" s="15" t="str">
        <f>Tasks[[#This Row],[To Package]]</f>
        <v>Audience Seating -- New Holland</v>
      </c>
      <c r="I522" s="15" t="str">
        <f>Tasks[[#This Row],[To Organisation]]</f>
        <v>New Holland Church Furniture</v>
      </c>
    </row>
    <row r="523" spans="1:9" ht="15.5" x14ac:dyDescent="0.35">
      <c r="A523" s="16" t="str">
        <f>HYPERLINK(_xlfn.CONCAT(Edit_URL,Tasks[[#This Row],[Ref]]),Tasks[[#This Row],[Ref]])</f>
        <v>T74290.368</v>
      </c>
      <c r="B523" s="15" t="str" cm="1">
        <f t="array" ref="B523">_xlfn.SWITCH(LEFT(Tasks[[#This Row],[Status]],1),"O","Opened","C","Completed","S","Signed Off", "V", "Signed Off","ERROR")</f>
        <v>Opened</v>
      </c>
      <c r="C523" s="15" t="str" cm="1">
        <f t="array" ref="C523">_xlfn.SWITCH(LEFT(Tasks[[#This Row],[Type]], 3), "Fie", "Field Report", "Con", "Contractor QC", "Gen", "Contractor QC", "Pun", "Contractor QC", "Qua", "Contractor QC", "Fin", "Punch List")</f>
        <v>Contractor QC</v>
      </c>
      <c r="D523" s="15" t="str">
        <f>_xlfn.LET(
_xlpm.leftValue, TRIM(LEFT(Tasks[[#This Row],[Description]], 45)),
IF(LEN(_xlpm.leftValue) &lt; 40, _xlpm.leftValue, _xlfn.CONCAT(_xlpm.leftValue, "…"))
)</f>
        <v>Empty box. What is this for? There is one abo…</v>
      </c>
      <c r="E523" s="15" t="str" cm="1">
        <f t="array" ref="E523">_xlfn.LET(
_xlpm.inTower, COUNTIF(Tower_Num_Table[Tower Rm Numbers], LEFT(Task_Summary_Table[[#This Row],[Area/Room]], 3)) &gt; 0,
_xlpm.typeResult, _xlfn.SWITCH(LEFT(Tasks[[#This Row],[Page]], 2), "Hi", "Historic", "An", "Annex", "Si", "Site", "S5", "Project Task", "SWITCH ERROR"),
IF(_xlpm.inTower, "West Tower", _xlpm.typeResult)
)</f>
        <v>Annex</v>
      </c>
      <c r="F523" s="15" t="str">
        <f>IFERROR(MID(Tasks[[#This Row],[Page]], FIND("Level", Tasks[[#This Row],[Page]]), 7), IF(ISNUMBER(FIND("Roof", Tasks[[#This Row],[Page]])), "Roof",  IF(ISNUMBER(FIND("S590", Tasks[[#This Row],[Page]])), "",  IF(ISNUMBER(FIND("Site", Tasks[[#This Row],[Page]])), "", "ERROR"))))</f>
        <v>Level 0</v>
      </c>
      <c r="G523" s="15" t="str">
        <f>IF(Tasks[[#This Row],[Location]]=0, "", Tasks[[#This Row],[Location]])</f>
        <v>042 - Shop</v>
      </c>
      <c r="H523" s="15" t="str">
        <f>Tasks[[#This Row],[To Package]]</f>
        <v>Electrical</v>
      </c>
      <c r="I523" s="15" t="str">
        <f>Tasks[[#This Row],[To Organisation]]</f>
        <v>Wilkinson Electric Inc</v>
      </c>
    </row>
    <row r="524" spans="1:9" ht="15.5" x14ac:dyDescent="0.35">
      <c r="A524" s="16" t="str">
        <f>HYPERLINK(_xlfn.CONCAT(Edit_URL,Tasks[[#This Row],[Ref]]),Tasks[[#This Row],[Ref]])</f>
        <v>T74290.369</v>
      </c>
      <c r="B524" s="15" t="str" cm="1">
        <f t="array" ref="B524">_xlfn.SWITCH(LEFT(Tasks[[#This Row],[Status]],1),"O","Opened","C","Completed","S","Signed Off", "V", "Signed Off","ERROR")</f>
        <v>Opened</v>
      </c>
      <c r="C524" s="15" t="str" cm="1">
        <f t="array" ref="C524">_xlfn.SWITCH(LEFT(Tasks[[#This Row],[Type]], 3), "Fie", "Field Report", "Con", "Contractor QC", "Gen", "Contractor QC", "Pun", "Contractor QC", "Qua", "Contractor QC", "Fin", "Punch List")</f>
        <v>Contractor QC</v>
      </c>
      <c r="D524" s="15" t="str">
        <f>_xlfn.LET(
_xlpm.leftValue, TRIM(LEFT(Tasks[[#This Row],[Description]], 45)),
IF(LEN(_xlpm.leftValue) &lt; 40, _xlpm.leftValue, _xlfn.CONCAT(_xlpm.leftValue, "…"))
)</f>
        <v>Install exit sign</v>
      </c>
      <c r="E524" s="15" t="str" cm="1">
        <f t="array" ref="E524">_xlfn.LET(
_xlpm.inTower, COUNTIF(Tower_Num_Table[Tower Rm Numbers], LEFT(Task_Summary_Table[[#This Row],[Area/Room]], 3)) &gt; 0,
_xlpm.typeResult, _xlfn.SWITCH(LEFT(Tasks[[#This Row],[Page]], 2), "Hi", "Historic", "An", "Annex", "Si", "Site", "S5", "Project Task", "SWITCH ERROR"),
IF(_xlpm.inTower, "West Tower", _xlpm.typeResult)
)</f>
        <v>Annex</v>
      </c>
      <c r="F524" s="15" t="str">
        <f>IFERROR(MID(Tasks[[#This Row],[Page]], FIND("Level", Tasks[[#This Row],[Page]]), 7), IF(ISNUMBER(FIND("Roof", Tasks[[#This Row],[Page]])), "Roof",  IF(ISNUMBER(FIND("S590", Tasks[[#This Row],[Page]])), "",  IF(ISNUMBER(FIND("Site", Tasks[[#This Row],[Page]])), "", "ERROR"))))</f>
        <v>Level 0</v>
      </c>
      <c r="G524" s="15" t="str">
        <f>IF(Tasks[[#This Row],[Location]]=0, "", Tasks[[#This Row],[Location]])</f>
        <v>044 - Hall</v>
      </c>
      <c r="H524" s="15" t="str">
        <f>Tasks[[#This Row],[To Package]]</f>
        <v>Electrical</v>
      </c>
      <c r="I524" s="15" t="str">
        <f>Tasks[[#This Row],[To Organisation]]</f>
        <v>Wilkinson Electric Inc</v>
      </c>
    </row>
    <row r="525" spans="1:9" ht="15.5" x14ac:dyDescent="0.35">
      <c r="A525" s="16" t="str">
        <f>HYPERLINK(_xlfn.CONCAT(Edit_URL,Tasks[[#This Row],[Ref]]),Tasks[[#This Row],[Ref]])</f>
        <v>T74290.370</v>
      </c>
      <c r="B525" s="15" t="str" cm="1">
        <f t="array" ref="B525">_xlfn.SWITCH(LEFT(Tasks[[#This Row],[Status]],1),"O","Opened","C","Completed","S","Signed Off", "V", "Signed Off","ERROR")</f>
        <v>Opened</v>
      </c>
      <c r="C525" s="15" t="str" cm="1">
        <f t="array" ref="C525">_xlfn.SWITCH(LEFT(Tasks[[#This Row],[Type]], 3), "Fie", "Field Report", "Con", "Contractor QC", "Gen", "Contractor QC", "Pun", "Contractor QC", "Qua", "Contractor QC", "Fin", "Punch List")</f>
        <v>Contractor QC</v>
      </c>
      <c r="D525" s="15" t="str">
        <f>_xlfn.LET(
_xlpm.leftValue, TRIM(LEFT(Tasks[[#This Row],[Description]], 45)),
IF(LEN(_xlpm.leftValue) &lt; 40, _xlpm.leftValue, _xlfn.CONCAT(_xlpm.leftValue, "…"))
)</f>
        <v>Touch up wall</v>
      </c>
      <c r="E525" s="15" t="str" cm="1">
        <f t="array" ref="E525">_xlfn.LET(
_xlpm.inTower, COUNTIF(Tower_Num_Table[Tower Rm Numbers], LEFT(Task_Summary_Table[[#This Row],[Area/Room]], 3)) &gt; 0,
_xlpm.typeResult, _xlfn.SWITCH(LEFT(Tasks[[#This Row],[Page]], 2), "Hi", "Historic", "An", "Annex", "Si", "Site", "S5", "Project Task", "SWITCH ERROR"),
IF(_xlpm.inTower, "West Tower", _xlpm.typeResult)
)</f>
        <v>Annex</v>
      </c>
      <c r="F525" s="15" t="str">
        <f>IFERROR(MID(Tasks[[#This Row],[Page]], FIND("Level", Tasks[[#This Row],[Page]]), 7), IF(ISNUMBER(FIND("Roof", Tasks[[#This Row],[Page]])), "Roof",  IF(ISNUMBER(FIND("S590", Tasks[[#This Row],[Page]])), "",  IF(ISNUMBER(FIND("Site", Tasks[[#This Row],[Page]])), "", "ERROR"))))</f>
        <v>Level 0</v>
      </c>
      <c r="G525" s="15" t="str">
        <f>IF(Tasks[[#This Row],[Location]]=0, "", Tasks[[#This Row],[Location]])</f>
        <v>042 - Shop</v>
      </c>
      <c r="H525" s="15" t="str">
        <f>Tasks[[#This Row],[To Package]]</f>
        <v>Paint</v>
      </c>
      <c r="I525" s="15" t="str">
        <f>Tasks[[#This Row],[To Organisation]]</f>
        <v>Accent Painting and Special Coatings, LLC</v>
      </c>
    </row>
    <row r="526" spans="1:9" ht="15.5" x14ac:dyDescent="0.35">
      <c r="A526" s="16" t="str">
        <f>HYPERLINK(_xlfn.CONCAT(Edit_URL,Tasks[[#This Row],[Ref]]),Tasks[[#This Row],[Ref]])</f>
        <v>T74290.371</v>
      </c>
      <c r="B526" s="15" t="str" cm="1">
        <f t="array" ref="B526">_xlfn.SWITCH(LEFT(Tasks[[#This Row],[Status]],1),"O","Opened","C","Completed","S","Signed Off", "V", "Signed Off","ERROR")</f>
        <v>Opened</v>
      </c>
      <c r="C526" s="15" t="str" cm="1">
        <f t="array" ref="C526">_xlfn.SWITCH(LEFT(Tasks[[#This Row],[Type]], 3), "Fie", "Field Report", "Con", "Contractor QC", "Gen", "Contractor QC", "Pun", "Contractor QC", "Qua", "Contractor QC", "Fin", "Punch List")</f>
        <v>Contractor QC</v>
      </c>
      <c r="D526" s="15" t="str">
        <f>_xlfn.LET(
_xlpm.leftValue, TRIM(LEFT(Tasks[[#This Row],[Description]], 45)),
IF(LEN(_xlpm.leftValue) &lt; 40, _xlpm.leftValue, _xlfn.CONCAT(_xlpm.leftValue, "…"))
)</f>
        <v>Repaint doors</v>
      </c>
      <c r="E526" s="15" t="str" cm="1">
        <f t="array" ref="E526">_xlfn.LET(
_xlpm.inTower, COUNTIF(Tower_Num_Table[Tower Rm Numbers], LEFT(Task_Summary_Table[[#This Row],[Area/Room]], 3)) &gt; 0,
_xlpm.typeResult, _xlfn.SWITCH(LEFT(Tasks[[#This Row],[Page]], 2), "Hi", "Historic", "An", "Annex", "Si", "Site", "S5", "Project Task", "SWITCH ERROR"),
IF(_xlpm.inTower, "West Tower", _xlpm.typeResult)
)</f>
        <v>Annex</v>
      </c>
      <c r="F526" s="15" t="str">
        <f>IFERROR(MID(Tasks[[#This Row],[Page]], FIND("Level", Tasks[[#This Row],[Page]]), 7), IF(ISNUMBER(FIND("Roof", Tasks[[#This Row],[Page]])), "Roof",  IF(ISNUMBER(FIND("S590", Tasks[[#This Row],[Page]])), "",  IF(ISNUMBER(FIND("Site", Tasks[[#This Row],[Page]])), "", "ERROR"))))</f>
        <v>Level 0</v>
      </c>
      <c r="G526" s="15" t="str">
        <f>IF(Tasks[[#This Row],[Location]]=0, "", Tasks[[#This Row],[Location]])</f>
        <v>042 - Shop</v>
      </c>
      <c r="H526" s="15" t="str">
        <f>Tasks[[#This Row],[To Package]]</f>
        <v>Paint</v>
      </c>
      <c r="I526" s="15" t="str">
        <f>Tasks[[#This Row],[To Organisation]]</f>
        <v>Accent Painting and Special Coatings, LLC</v>
      </c>
    </row>
    <row r="527" spans="1:9" ht="15.5" x14ac:dyDescent="0.35">
      <c r="A527" s="16" t="str">
        <f>HYPERLINK(_xlfn.CONCAT(Edit_URL,Tasks[[#This Row],[Ref]]),Tasks[[#This Row],[Ref]])</f>
        <v>T74290.372</v>
      </c>
      <c r="B527" s="15" t="str" cm="1">
        <f t="array" ref="B527">_xlfn.SWITCH(LEFT(Tasks[[#This Row],[Status]],1),"O","Opened","C","Completed","S","Signed Off", "V", "Signed Off","ERROR")</f>
        <v>Opened</v>
      </c>
      <c r="C527" s="15" t="str" cm="1">
        <f t="array" ref="C527">_xlfn.SWITCH(LEFT(Tasks[[#This Row],[Type]], 3), "Fie", "Field Report", "Con", "Contractor QC", "Gen", "Contractor QC", "Pun", "Contractor QC", "Qua", "Contractor QC", "Fin", "Punch List")</f>
        <v>Contractor QC</v>
      </c>
      <c r="D527" s="15" t="str">
        <f>_xlfn.LET(
_xlpm.leftValue, TRIM(LEFT(Tasks[[#This Row],[Description]], 45)),
IF(LEN(_xlpm.leftValue) &lt; 40, _xlpm.leftValue, _xlfn.CONCAT(_xlpm.leftValue, "…"))
)</f>
        <v>Install door hardware</v>
      </c>
      <c r="E527" s="15" t="str" cm="1">
        <f t="array" ref="E527">_xlfn.LET(
_xlpm.inTower, COUNTIF(Tower_Num_Table[Tower Rm Numbers], LEFT(Task_Summary_Table[[#This Row],[Area/Room]], 3)) &gt; 0,
_xlpm.typeResult, _xlfn.SWITCH(LEFT(Tasks[[#This Row],[Page]], 2), "Hi", "Historic", "An", "Annex", "Si", "Site", "S5", "Project Task", "SWITCH ERROR"),
IF(_xlpm.inTower, "West Tower", _xlpm.typeResult)
)</f>
        <v>Annex</v>
      </c>
      <c r="F527" s="15" t="str">
        <f>IFERROR(MID(Tasks[[#This Row],[Page]], FIND("Level", Tasks[[#This Row],[Page]]), 7), IF(ISNUMBER(FIND("Roof", Tasks[[#This Row],[Page]])), "Roof",  IF(ISNUMBER(FIND("S590", Tasks[[#This Row],[Page]])), "",  IF(ISNUMBER(FIND("Site", Tasks[[#This Row],[Page]])), "", "ERROR"))))</f>
        <v>Level 0</v>
      </c>
      <c r="G527" s="15" t="str">
        <f>IF(Tasks[[#This Row],[Location]]=0, "", Tasks[[#This Row],[Location]])</f>
        <v>042 - Shop</v>
      </c>
      <c r="H527" s="15" t="str">
        <f>Tasks[[#This Row],[To Package]]</f>
        <v xml:space="preserve">Finish Carpentry </v>
      </c>
      <c r="I527" s="15" t="str">
        <f>Tasks[[#This Row],[To Organisation]]</f>
        <v>Fetzers' Inc.</v>
      </c>
    </row>
    <row r="528" spans="1:9" ht="15.5" x14ac:dyDescent="0.35">
      <c r="A528" s="16" t="str">
        <f>HYPERLINK(_xlfn.CONCAT(Edit_URL,Tasks[[#This Row],[Ref]]),Tasks[[#This Row],[Ref]])</f>
        <v>T74290.373</v>
      </c>
      <c r="B528" s="15" t="str" cm="1">
        <f t="array" ref="B528">_xlfn.SWITCH(LEFT(Tasks[[#This Row],[Status]],1),"O","Opened","C","Completed","S","Signed Off", "V", "Signed Off","ERROR")</f>
        <v>Opened</v>
      </c>
      <c r="C528" s="15" t="str" cm="1">
        <f t="array" ref="C528">_xlfn.SWITCH(LEFT(Tasks[[#This Row],[Type]], 3), "Fie", "Field Report", "Con", "Contractor QC", "Gen", "Contractor QC", "Pun", "Contractor QC", "Qua", "Contractor QC", "Fin", "Punch List")</f>
        <v>Contractor QC</v>
      </c>
      <c r="D528" s="15" t="str">
        <f>_xlfn.LET(
_xlpm.leftValue, TRIM(LEFT(Tasks[[#This Row],[Description]], 45)),
IF(LEN(_xlpm.leftValue) &lt; 40, _xlpm.leftValue, _xlfn.CONCAT(_xlpm.leftValue, "…"))
)</f>
        <v>Clean paint off edge cabinet on both ends of…</v>
      </c>
      <c r="E528" s="15" t="str" cm="1">
        <f t="array" ref="E528">_xlfn.LET(
_xlpm.inTower, COUNTIF(Tower_Num_Table[Tower Rm Numbers], LEFT(Task_Summary_Table[[#This Row],[Area/Room]], 3)) &gt; 0,
_xlpm.typeResult, _xlfn.SWITCH(LEFT(Tasks[[#This Row],[Page]], 2), "Hi", "Historic", "An", "Annex", "Si", "Site", "S5", "Project Task", "SWITCH ERROR"),
IF(_xlpm.inTower, "West Tower", _xlpm.typeResult)
)</f>
        <v>Annex</v>
      </c>
      <c r="F528" s="15" t="str">
        <f>IFERROR(MID(Tasks[[#This Row],[Page]], FIND("Level", Tasks[[#This Row],[Page]]), 7), IF(ISNUMBER(FIND("Roof", Tasks[[#This Row],[Page]])), "Roof",  IF(ISNUMBER(FIND("S590", Tasks[[#This Row],[Page]])), "",  IF(ISNUMBER(FIND("Site", Tasks[[#This Row],[Page]])), "", "ERROR"))))</f>
        <v>Level 0</v>
      </c>
      <c r="G528" s="15" t="str">
        <f>IF(Tasks[[#This Row],[Location]]=0, "", Tasks[[#This Row],[Location]])</f>
        <v>042 - Shop</v>
      </c>
      <c r="H528" s="15" t="str">
        <f>Tasks[[#This Row],[To Package]]</f>
        <v>Paint</v>
      </c>
      <c r="I528" s="15" t="str">
        <f>Tasks[[#This Row],[To Organisation]]</f>
        <v>Accent Painting and Special Coatings, LLC</v>
      </c>
    </row>
    <row r="529" spans="1:9" ht="15.5" x14ac:dyDescent="0.35">
      <c r="A529" s="16" t="str">
        <f>HYPERLINK(_xlfn.CONCAT(Edit_URL,Tasks[[#This Row],[Ref]]),Tasks[[#This Row],[Ref]])</f>
        <v>T74290.374</v>
      </c>
      <c r="B529" s="15" t="str" cm="1">
        <f t="array" ref="B529">_xlfn.SWITCH(LEFT(Tasks[[#This Row],[Status]],1),"O","Opened","C","Completed","S","Signed Off", "V", "Signed Off","ERROR")</f>
        <v>Opened</v>
      </c>
      <c r="C529" s="15" t="str" cm="1">
        <f t="array" ref="C529">_xlfn.SWITCH(LEFT(Tasks[[#This Row],[Type]], 3), "Fie", "Field Report", "Con", "Contractor QC", "Gen", "Contractor QC", "Pun", "Contractor QC", "Qua", "Contractor QC", "Fin", "Punch List")</f>
        <v>Contractor QC</v>
      </c>
      <c r="D529" s="15" t="str">
        <f>_xlfn.LET(
_xlpm.leftValue, TRIM(LEFT(Tasks[[#This Row],[Description]], 45)),
IF(LEN(_xlpm.leftValue) &lt; 40, _xlpm.leftValue, _xlfn.CONCAT(_xlpm.leftValue, "…"))
)</f>
        <v>Touch up along top of backsplash</v>
      </c>
      <c r="E529" s="15" t="str" cm="1">
        <f t="array" ref="E529">_xlfn.LET(
_xlpm.inTower, COUNTIF(Tower_Num_Table[Tower Rm Numbers], LEFT(Task_Summary_Table[[#This Row],[Area/Room]], 3)) &gt; 0,
_xlpm.typeResult, _xlfn.SWITCH(LEFT(Tasks[[#This Row],[Page]], 2), "Hi", "Historic", "An", "Annex", "Si", "Site", "S5", "Project Task", "SWITCH ERROR"),
IF(_xlpm.inTower, "West Tower", _xlpm.typeResult)
)</f>
        <v>Annex</v>
      </c>
      <c r="F529" s="15" t="str">
        <f>IFERROR(MID(Tasks[[#This Row],[Page]], FIND("Level", Tasks[[#This Row],[Page]]), 7), IF(ISNUMBER(FIND("Roof", Tasks[[#This Row],[Page]])), "Roof",  IF(ISNUMBER(FIND("S590", Tasks[[#This Row],[Page]])), "",  IF(ISNUMBER(FIND("Site", Tasks[[#This Row],[Page]])), "", "ERROR"))))</f>
        <v>Level 0</v>
      </c>
      <c r="G529" s="15" t="str">
        <f>IF(Tasks[[#This Row],[Location]]=0, "", Tasks[[#This Row],[Location]])</f>
        <v>042 - Shop</v>
      </c>
      <c r="H529" s="15" t="str">
        <f>Tasks[[#This Row],[To Package]]</f>
        <v>Paint</v>
      </c>
      <c r="I529" s="15" t="str">
        <f>Tasks[[#This Row],[To Organisation]]</f>
        <v>Accent Painting and Special Coatings, LLC</v>
      </c>
    </row>
    <row r="530" spans="1:9" ht="15.5" x14ac:dyDescent="0.35">
      <c r="A530" s="16" t="str">
        <f>HYPERLINK(_xlfn.CONCAT(Edit_URL,Tasks[[#This Row],[Ref]]),Tasks[[#This Row],[Ref]])</f>
        <v>T74290.375</v>
      </c>
      <c r="B530" s="15" t="str" cm="1">
        <f t="array" ref="B530">_xlfn.SWITCH(LEFT(Tasks[[#This Row],[Status]],1),"O","Opened","C","Completed","S","Signed Off", "V", "Signed Off","ERROR")</f>
        <v>Opened</v>
      </c>
      <c r="C530" s="15" t="str" cm="1">
        <f t="array" ref="C530">_xlfn.SWITCH(LEFT(Tasks[[#This Row],[Type]], 3), "Fie", "Field Report", "Con", "Contractor QC", "Gen", "Contractor QC", "Pun", "Contractor QC", "Qua", "Contractor QC", "Fin", "Punch List")</f>
        <v>Contractor QC</v>
      </c>
      <c r="D530" s="15" t="str">
        <f>_xlfn.LET(
_xlpm.leftValue, TRIM(LEFT(Tasks[[#This Row],[Description]], 45)),
IF(LEN(_xlpm.leftValue) &lt; 40, _xlpm.leftValue, _xlfn.CONCAT(_xlpm.leftValue, "…"))
)</f>
        <v>2 - 3” conduit need capped?</v>
      </c>
      <c r="E530" s="15" t="str" cm="1">
        <f t="array" ref="E530">_xlfn.LET(
_xlpm.inTower, COUNTIF(Tower_Num_Table[Tower Rm Numbers], LEFT(Task_Summary_Table[[#This Row],[Area/Room]], 3)) &gt; 0,
_xlpm.typeResult, _xlfn.SWITCH(LEFT(Tasks[[#This Row],[Page]], 2), "Hi", "Historic", "An", "Annex", "Si", "Site", "S5", "Project Task", "SWITCH ERROR"),
IF(_xlpm.inTower, "West Tower", _xlpm.typeResult)
)</f>
        <v>Annex</v>
      </c>
      <c r="F530" s="15" t="str">
        <f>IFERROR(MID(Tasks[[#This Row],[Page]], FIND("Level", Tasks[[#This Row],[Page]]), 7), IF(ISNUMBER(FIND("Roof", Tasks[[#This Row],[Page]])), "Roof",  IF(ISNUMBER(FIND("S590", Tasks[[#This Row],[Page]])), "",  IF(ISNUMBER(FIND("Site", Tasks[[#This Row],[Page]])), "", "ERROR"))))</f>
        <v>Level 0</v>
      </c>
      <c r="G530" s="15" t="str">
        <f>IF(Tasks[[#This Row],[Location]]=0, "", Tasks[[#This Row],[Location]])</f>
        <v>042 - Shop</v>
      </c>
      <c r="H530" s="15" t="str">
        <f>Tasks[[#This Row],[To Package]]</f>
        <v>Electrical</v>
      </c>
      <c r="I530" s="15" t="str">
        <f>Tasks[[#This Row],[To Organisation]]</f>
        <v>Wilkinson Electric Inc</v>
      </c>
    </row>
    <row r="531" spans="1:9" ht="15.5" x14ac:dyDescent="0.35">
      <c r="A531" s="16" t="str">
        <f>HYPERLINK(_xlfn.CONCAT(Edit_URL,Tasks[[#This Row],[Ref]]),Tasks[[#This Row],[Ref]])</f>
        <v>T74290.376</v>
      </c>
      <c r="B531" s="15" t="str" cm="1">
        <f t="array" ref="B531">_xlfn.SWITCH(LEFT(Tasks[[#This Row],[Status]],1),"O","Opened","C","Completed","S","Signed Off", "V", "Signed Off","ERROR")</f>
        <v>Opened</v>
      </c>
      <c r="C531" s="15" t="str" cm="1">
        <f t="array" ref="C531">_xlfn.SWITCH(LEFT(Tasks[[#This Row],[Type]], 3), "Fie", "Field Report", "Con", "Contractor QC", "Gen", "Contractor QC", "Pun", "Contractor QC", "Qua", "Contractor QC", "Fin", "Punch List")</f>
        <v>Contractor QC</v>
      </c>
      <c r="D531" s="15" t="str">
        <f>_xlfn.LET(
_xlpm.leftValue, TRIM(LEFT(Tasks[[#This Row],[Description]], 45)),
IF(LEN(_xlpm.leftValue) &lt; 40, _xlpm.leftValue, _xlfn.CONCAT(_xlpm.leftValue, "…"))
)</f>
        <v>Need cover plate</v>
      </c>
      <c r="E531" s="15" t="str" cm="1">
        <f t="array" ref="E531">_xlfn.LET(
_xlpm.inTower, COUNTIF(Tower_Num_Table[Tower Rm Numbers], LEFT(Task_Summary_Table[[#This Row],[Area/Room]], 3)) &gt; 0,
_xlpm.typeResult, _xlfn.SWITCH(LEFT(Tasks[[#This Row],[Page]], 2), "Hi", "Historic", "An", "Annex", "Si", "Site", "S5", "Project Task", "SWITCH ERROR"),
IF(_xlpm.inTower, "West Tower", _xlpm.typeResult)
)</f>
        <v>Annex</v>
      </c>
      <c r="F531" s="15" t="str">
        <f>IFERROR(MID(Tasks[[#This Row],[Page]], FIND("Level", Tasks[[#This Row],[Page]]), 7), IF(ISNUMBER(FIND("Roof", Tasks[[#This Row],[Page]])), "Roof",  IF(ISNUMBER(FIND("S590", Tasks[[#This Row],[Page]])), "",  IF(ISNUMBER(FIND("Site", Tasks[[#This Row],[Page]])), "", "ERROR"))))</f>
        <v>Level 0</v>
      </c>
      <c r="G531" s="15" t="str">
        <f>IF(Tasks[[#This Row],[Location]]=0, "", Tasks[[#This Row],[Location]])</f>
        <v>042 - Shop</v>
      </c>
      <c r="H531" s="15" t="str">
        <f>Tasks[[#This Row],[To Package]]</f>
        <v>Electrical</v>
      </c>
      <c r="I531" s="15" t="str">
        <f>Tasks[[#This Row],[To Organisation]]</f>
        <v>Wilkinson Electric Inc</v>
      </c>
    </row>
    <row r="532" spans="1:9" ht="15.5" x14ac:dyDescent="0.35">
      <c r="A532" s="16" t="str">
        <f>HYPERLINK(_xlfn.CONCAT(Edit_URL,Tasks[[#This Row],[Ref]]),Tasks[[#This Row],[Ref]])</f>
        <v>T74290.377</v>
      </c>
      <c r="B532" s="15" t="str" cm="1">
        <f t="array" ref="B532">_xlfn.SWITCH(LEFT(Tasks[[#This Row],[Status]],1),"O","Opened","C","Completed","S","Signed Off", "V", "Signed Off","ERROR")</f>
        <v>Opened</v>
      </c>
      <c r="C532" s="15" t="str" cm="1">
        <f t="array" ref="C532">_xlfn.SWITCH(LEFT(Tasks[[#This Row],[Type]], 3), "Fie", "Field Report", "Con", "Contractor QC", "Gen", "Contractor QC", "Pun", "Contractor QC", "Qua", "Contractor QC", "Fin", "Punch List")</f>
        <v>Contractor QC</v>
      </c>
      <c r="D532" s="15" t="str">
        <f>_xlfn.LET(
_xlpm.leftValue, TRIM(LEFT(Tasks[[#This Row],[Description]], 45)),
IF(LEN(_xlpm.leftValue) &lt; 40, _xlpm.leftValue, _xlfn.CONCAT(_xlpm.leftValue, "…"))
)</f>
        <v>Complete ceiling tile</v>
      </c>
      <c r="E532" s="15" t="str" cm="1">
        <f t="array" ref="E532">_xlfn.LET(
_xlpm.inTower, COUNTIF(Tower_Num_Table[Tower Rm Numbers], LEFT(Task_Summary_Table[[#This Row],[Area/Room]], 3)) &gt; 0,
_xlpm.typeResult, _xlfn.SWITCH(LEFT(Tasks[[#This Row],[Page]], 2), "Hi", "Historic", "An", "Annex", "Si", "Site", "S5", "Project Task", "SWITCH ERROR"),
IF(_xlpm.inTower, "West Tower", _xlpm.typeResult)
)</f>
        <v>Annex</v>
      </c>
      <c r="F532" s="15" t="str">
        <f>IFERROR(MID(Tasks[[#This Row],[Page]], FIND("Level", Tasks[[#This Row],[Page]]), 7), IF(ISNUMBER(FIND("Roof", Tasks[[#This Row],[Page]])), "Roof",  IF(ISNUMBER(FIND("S590", Tasks[[#This Row],[Page]])), "",  IF(ISNUMBER(FIND("Site", Tasks[[#This Row],[Page]])), "", "ERROR"))))</f>
        <v>Level 1</v>
      </c>
      <c r="G532" s="15" t="str">
        <f>IF(Tasks[[#This Row],[Location]]=0, "", Tasks[[#This Row],[Location]])</f>
        <v>123 - Security</v>
      </c>
      <c r="H532" s="15" t="str">
        <f>Tasks[[#This Row],[To Package]]</f>
        <v>Acoustical Ceilings</v>
      </c>
      <c r="I532" s="15" t="str">
        <f>Tasks[[#This Row],[To Organisation]]</f>
        <v>Design West Acoustics</v>
      </c>
    </row>
    <row r="533" spans="1:9" ht="15.5" x14ac:dyDescent="0.35">
      <c r="A533" s="16" t="str">
        <f>HYPERLINK(_xlfn.CONCAT(Edit_URL,Tasks[[#This Row],[Ref]]),Tasks[[#This Row],[Ref]])</f>
        <v>T74290.252</v>
      </c>
      <c r="B533" s="15" t="str" cm="1">
        <f t="array" ref="B533">_xlfn.SWITCH(LEFT(Tasks[[#This Row],[Status]],1),"O","Opened","C","Completed","S","Signed Off", "V", "Signed Off","ERROR")</f>
        <v>Opened</v>
      </c>
      <c r="C533" s="15" t="str" cm="1">
        <f t="array" ref="C533">_xlfn.SWITCH(LEFT(Tasks[[#This Row],[Type]], 3), "Fie", "Field Report", "Con", "Contractor QC", "Gen", "Contractor QC", "Pun", "Contractor QC", "Qua", "Contractor QC", "Fin", "Punch List")</f>
        <v>Contractor QC</v>
      </c>
      <c r="D533" s="15" t="str">
        <f>_xlfn.LET(
_xlpm.leftValue, TRIM(LEFT(Tasks[[#This Row],[Description]], 45)),
IF(LEN(_xlpm.leftValue) &lt; 40, _xlpm.leftValue, _xlfn.CONCAT(_xlpm.leftValue, "…"))
)</f>
        <v>Base is resting on the plywood protection of…</v>
      </c>
      <c r="E533" s="15" t="str" cm="1">
        <f t="array" ref="E533">_xlfn.LET(
_xlpm.inTower, COUNTIF(Tower_Num_Table[Tower Rm Numbers], LEFT(Task_Summary_Table[[#This Row],[Area/Room]], 3)) &gt; 0,
_xlpm.typeResult, _xlfn.SWITCH(LEFT(Tasks[[#This Row],[Page]], 2), "Hi", "Historic", "An", "Annex", "Si", "Site", "S5", "Project Task", "SWITCH ERROR"),
IF(_xlpm.inTower, "West Tower", _xlpm.typeResult)
)</f>
        <v>Historic</v>
      </c>
      <c r="F533" s="15" t="str">
        <f>IFERROR(MID(Tasks[[#This Row],[Page]], FIND("Level", Tasks[[#This Row],[Page]]), 7), IF(ISNUMBER(FIND("Roof", Tasks[[#This Row],[Page]])), "Roof",  IF(ISNUMBER(FIND("S590", Tasks[[#This Row],[Page]])), "",  IF(ISNUMBER(FIND("Site", Tasks[[#This Row],[Page]])), "", "ERROR"))))</f>
        <v>Level 4</v>
      </c>
      <c r="G533" s="15" t="str">
        <f>IF(Tasks[[#This Row],[Location]]=0, "", Tasks[[#This Row],[Location]])</f>
        <v>410 - Study</v>
      </c>
      <c r="H533" s="15" t="str">
        <f>Tasks[[#This Row],[To Package]]</f>
        <v xml:space="preserve">Finish Carpentry </v>
      </c>
      <c r="I533" s="15" t="str">
        <f>Tasks[[#This Row],[To Organisation]]</f>
        <v>Fetzers' Inc.</v>
      </c>
    </row>
    <row r="534" spans="1:9" ht="15.5" x14ac:dyDescent="0.35">
      <c r="A534" s="16" t="str">
        <f>HYPERLINK(_xlfn.CONCAT(Edit_URL,Tasks[[#This Row],[Ref]]),Tasks[[#This Row],[Ref]])</f>
        <v>T74290.287</v>
      </c>
      <c r="B534" s="15" t="str" cm="1">
        <f t="array" ref="B534">_xlfn.SWITCH(LEFT(Tasks[[#This Row],[Status]],1),"O","Opened","C","Completed","S","Signed Off", "V", "Signed Off","ERROR")</f>
        <v>Opened</v>
      </c>
      <c r="C534" s="15" t="str" cm="1">
        <f t="array" ref="C534">_xlfn.SWITCH(LEFT(Tasks[[#This Row],[Type]], 3), "Fie", "Field Report", "Con", "Contractor QC", "Gen", "Contractor QC", "Pun", "Contractor QC", "Qua", "Contractor QC", "Fin", "Punch List")</f>
        <v>Contractor QC</v>
      </c>
      <c r="D534" s="15" t="str">
        <f>_xlfn.LET(
_xlpm.leftValue, TRIM(LEFT(Tasks[[#This Row],[Description]], 45)),
IF(LEN(_xlpm.leftValue) &lt; 40, _xlpm.leftValue, _xlfn.CONCAT(_xlpm.leftValue, "…"))
)</f>
        <v>Remove Paint drip in northwest corner</v>
      </c>
      <c r="E534" s="15" t="str" cm="1">
        <f t="array" ref="E534">_xlfn.LET(
_xlpm.inTower, COUNTIF(Tower_Num_Table[Tower Rm Numbers], LEFT(Task_Summary_Table[[#This Row],[Area/Room]], 3)) &gt; 0,
_xlpm.typeResult, _xlfn.SWITCH(LEFT(Tasks[[#This Row],[Page]], 2), "Hi", "Historic", "An", "Annex", "Si", "Site", "S5", "Project Task", "SWITCH ERROR"),
IF(_xlpm.inTower, "West Tower", _xlpm.typeResult)
)</f>
        <v>Historic</v>
      </c>
      <c r="F534" s="15" t="str">
        <f>IFERROR(MID(Tasks[[#This Row],[Page]], FIND("Level", Tasks[[#This Row],[Page]]), 7), IF(ISNUMBER(FIND("Roof", Tasks[[#This Row],[Page]])), "Roof",  IF(ISNUMBER(FIND("S590", Tasks[[#This Row],[Page]])), "",  IF(ISNUMBER(FIND("Site", Tasks[[#This Row],[Page]])), "", "ERROR"))))</f>
        <v>Level 5</v>
      </c>
      <c r="G534" s="15" t="str">
        <f>IF(Tasks[[#This Row],[Location]]=0, "", Tasks[[#This Row],[Location]])</f>
        <v>522 - Instruction 12</v>
      </c>
      <c r="H534" s="15" t="str">
        <f>Tasks[[#This Row],[To Package]]</f>
        <v>Paint</v>
      </c>
      <c r="I534" s="15" t="str">
        <f>Tasks[[#This Row],[To Organisation]]</f>
        <v>Accent Painting and Special Coatings, LLC</v>
      </c>
    </row>
    <row r="535" spans="1:9" ht="15.5" x14ac:dyDescent="0.35">
      <c r="A535" s="16" t="str">
        <f>HYPERLINK(_xlfn.CONCAT(Edit_URL,Tasks[[#This Row],[Ref]]),Tasks[[#This Row],[Ref]])</f>
        <v>T74290.288</v>
      </c>
      <c r="B535" s="15" t="str" cm="1">
        <f t="array" ref="B535">_xlfn.SWITCH(LEFT(Tasks[[#This Row],[Status]],1),"O","Opened","C","Completed","S","Signed Off", "V", "Signed Off","ERROR")</f>
        <v>Opened</v>
      </c>
      <c r="C535" s="15" t="str" cm="1">
        <f t="array" ref="C535">_xlfn.SWITCH(LEFT(Tasks[[#This Row],[Type]], 3), "Fie", "Field Report", "Con", "Contractor QC", "Gen", "Contractor QC", "Pun", "Contractor QC", "Qua", "Contractor QC", "Fin", "Punch List")</f>
        <v>Contractor QC</v>
      </c>
      <c r="D535" s="15" t="str">
        <f>_xlfn.LET(
_xlpm.leftValue, TRIM(LEFT(Tasks[[#This Row],[Description]], 45)),
IF(LEN(_xlpm.leftValue) &lt; 40, _xlpm.leftValue, _xlfn.CONCAT(_xlpm.leftValue, "…"))
)</f>
        <v>Touch up wall around door stop</v>
      </c>
      <c r="E535" s="15" t="str" cm="1">
        <f t="array" ref="E535">_xlfn.LET(
_xlpm.inTower, COUNTIF(Tower_Num_Table[Tower Rm Numbers], LEFT(Task_Summary_Table[[#This Row],[Area/Room]], 3)) &gt; 0,
_xlpm.typeResult, _xlfn.SWITCH(LEFT(Tasks[[#This Row],[Page]], 2), "Hi", "Historic", "An", "Annex", "Si", "Site", "S5", "Project Task", "SWITCH ERROR"),
IF(_xlpm.inTower, "West Tower", _xlpm.typeResult)
)</f>
        <v>Historic</v>
      </c>
      <c r="F535" s="15" t="str">
        <f>IFERROR(MID(Tasks[[#This Row],[Page]], FIND("Level", Tasks[[#This Row],[Page]]), 7), IF(ISNUMBER(FIND("Roof", Tasks[[#This Row],[Page]])), "Roof",  IF(ISNUMBER(FIND("S590", Tasks[[#This Row],[Page]])), "",  IF(ISNUMBER(FIND("Site", Tasks[[#This Row],[Page]])), "", "ERROR"))))</f>
        <v>Level 5</v>
      </c>
      <c r="G535" s="15" t="str">
        <f>IF(Tasks[[#This Row],[Location]]=0, "", Tasks[[#This Row],[Location]])</f>
        <v>522 - Instruction 12</v>
      </c>
      <c r="H535" s="15" t="str">
        <f>Tasks[[#This Row],[To Package]]</f>
        <v>Paint</v>
      </c>
      <c r="I535" s="15" t="str">
        <f>Tasks[[#This Row],[To Organisation]]</f>
        <v>Accent Painting and Special Coatings, LLC</v>
      </c>
    </row>
    <row r="536" spans="1:9" ht="15.5" x14ac:dyDescent="0.35">
      <c r="A536" s="16" t="str">
        <f>HYPERLINK(_xlfn.CONCAT(Edit_URL,Tasks[[#This Row],[Ref]]),Tasks[[#This Row],[Ref]])</f>
        <v>T74290.289</v>
      </c>
      <c r="B536" s="15" t="str" cm="1">
        <f t="array" ref="B536">_xlfn.SWITCH(LEFT(Tasks[[#This Row],[Status]],1),"O","Opened","C","Completed","S","Signed Off", "V", "Signed Off","ERROR")</f>
        <v>Opened</v>
      </c>
      <c r="C536" s="15" t="str" cm="1">
        <f t="array" ref="C536">_xlfn.SWITCH(LEFT(Tasks[[#This Row],[Type]], 3), "Fie", "Field Report", "Con", "Contractor QC", "Gen", "Contractor QC", "Pun", "Contractor QC", "Qua", "Contractor QC", "Fin", "Punch List")</f>
        <v>Contractor QC</v>
      </c>
      <c r="D536" s="15" t="str">
        <f>_xlfn.LET(
_xlpm.leftValue, TRIM(LEFT(Tasks[[#This Row],[Description]], 45)),
IF(LEN(_xlpm.leftValue) &lt; 40, _xlpm.leftValue, _xlfn.CONCAT(_xlpm.leftValue, "…"))
)</f>
        <v>Caulk around window</v>
      </c>
      <c r="E536" s="15" t="str" cm="1">
        <f t="array" ref="E536">_xlfn.LET(
_xlpm.inTower, COUNTIF(Tower_Num_Table[Tower Rm Numbers], LEFT(Task_Summary_Table[[#This Row],[Area/Room]], 3)) &gt; 0,
_xlpm.typeResult, _xlfn.SWITCH(LEFT(Tasks[[#This Row],[Page]], 2), "Hi", "Historic", "An", "Annex", "Si", "Site", "S5", "Project Task", "SWITCH ERROR"),
IF(_xlpm.inTower, "West Tower", _xlpm.typeResult)
)</f>
        <v>Historic</v>
      </c>
      <c r="F536" s="15" t="str">
        <f>IFERROR(MID(Tasks[[#This Row],[Page]], FIND("Level", Tasks[[#This Row],[Page]]), 7), IF(ISNUMBER(FIND("Roof", Tasks[[#This Row],[Page]])), "Roof",  IF(ISNUMBER(FIND("S590", Tasks[[#This Row],[Page]])), "",  IF(ISNUMBER(FIND("Site", Tasks[[#This Row],[Page]])), "", "ERROR"))))</f>
        <v>Level 5</v>
      </c>
      <c r="G536" s="15" t="str">
        <f>IF(Tasks[[#This Row],[Location]]=0, "", Tasks[[#This Row],[Location]])</f>
        <v>522 - Instruction 12</v>
      </c>
      <c r="H536" s="15" t="str">
        <f>Tasks[[#This Row],[To Package]]</f>
        <v>Paint</v>
      </c>
      <c r="I536" s="15" t="str">
        <f>Tasks[[#This Row],[To Organisation]]</f>
        <v>Accent Painting and Special Coatings, LLC</v>
      </c>
    </row>
    <row r="537" spans="1:9" ht="15.5" x14ac:dyDescent="0.35">
      <c r="A537" s="16" t="str">
        <f>HYPERLINK(_xlfn.CONCAT(Edit_URL,Tasks[[#This Row],[Ref]]),Tasks[[#This Row],[Ref]])</f>
        <v>T74290.290</v>
      </c>
      <c r="B537" s="15" t="str" cm="1">
        <f t="array" ref="B537">_xlfn.SWITCH(LEFT(Tasks[[#This Row],[Status]],1),"O","Opened","C","Completed","S","Signed Off", "V", "Signed Off","ERROR")</f>
        <v>Opened</v>
      </c>
      <c r="C537" s="15" t="str" cm="1">
        <f t="array" ref="C537">_xlfn.SWITCH(LEFT(Tasks[[#This Row],[Type]], 3), "Fie", "Field Report", "Con", "Contractor QC", "Gen", "Contractor QC", "Pun", "Contractor QC", "Qua", "Contractor QC", "Fin", "Punch List")</f>
        <v>Contractor QC</v>
      </c>
      <c r="D537" s="15" t="str">
        <f>_xlfn.LET(
_xlpm.leftValue, TRIM(LEFT(Tasks[[#This Row],[Description]], 45)),
IF(LEN(_xlpm.leftValue) &lt; 40, _xlpm.leftValue, _xlfn.CONCAT(_xlpm.leftValue, "…"))
)</f>
        <v>Touch up wall to the left of window</v>
      </c>
      <c r="E537" s="15" t="str" cm="1">
        <f t="array" ref="E537">_xlfn.LET(
_xlpm.inTower, COUNTIF(Tower_Num_Table[Tower Rm Numbers], LEFT(Task_Summary_Table[[#This Row],[Area/Room]], 3)) &gt; 0,
_xlpm.typeResult, _xlfn.SWITCH(LEFT(Tasks[[#This Row],[Page]], 2), "Hi", "Historic", "An", "Annex", "Si", "Site", "S5", "Project Task", "SWITCH ERROR"),
IF(_xlpm.inTower, "West Tower", _xlpm.typeResult)
)</f>
        <v>Historic</v>
      </c>
      <c r="F537" s="15" t="str">
        <f>IFERROR(MID(Tasks[[#This Row],[Page]], FIND("Level", Tasks[[#This Row],[Page]]), 7), IF(ISNUMBER(FIND("Roof", Tasks[[#This Row],[Page]])), "Roof",  IF(ISNUMBER(FIND("S590", Tasks[[#This Row],[Page]])), "",  IF(ISNUMBER(FIND("Site", Tasks[[#This Row],[Page]])), "", "ERROR"))))</f>
        <v>Level 5</v>
      </c>
      <c r="G537" s="15" t="str">
        <f>IF(Tasks[[#This Row],[Location]]=0, "", Tasks[[#This Row],[Location]])</f>
        <v>522 - Instruction 12</v>
      </c>
      <c r="H537" s="15" t="str">
        <f>Tasks[[#This Row],[To Package]]</f>
        <v>Paint</v>
      </c>
      <c r="I537" s="15" t="str">
        <f>Tasks[[#This Row],[To Organisation]]</f>
        <v>Accent Painting and Special Coatings, LLC</v>
      </c>
    </row>
    <row r="538" spans="1:9" ht="15.5" x14ac:dyDescent="0.35">
      <c r="A538" s="16" t="str">
        <f>HYPERLINK(_xlfn.CONCAT(Edit_URL,Tasks[[#This Row],[Ref]]),Tasks[[#This Row],[Ref]])</f>
        <v>T74290.291</v>
      </c>
      <c r="B538" s="15" t="str" cm="1">
        <f t="array" ref="B538">_xlfn.SWITCH(LEFT(Tasks[[#This Row],[Status]],1),"O","Opened","C","Completed","S","Signed Off", "V", "Signed Off","ERROR")</f>
        <v>Opened</v>
      </c>
      <c r="C538" s="15" t="str" cm="1">
        <f t="array" ref="C538">_xlfn.SWITCH(LEFT(Tasks[[#This Row],[Type]], 3), "Fie", "Field Report", "Con", "Contractor QC", "Gen", "Contractor QC", "Pun", "Contractor QC", "Qua", "Contractor QC", "Fin", "Punch List")</f>
        <v>Contractor QC</v>
      </c>
      <c r="D538" s="15" t="str">
        <f>_xlfn.LET(
_xlpm.leftValue, TRIM(LEFT(Tasks[[#This Row],[Description]], 45)),
IF(LEN(_xlpm.leftValue) &lt; 40, _xlpm.leftValue, _xlfn.CONCAT(_xlpm.leftValue, "…"))
)</f>
        <v>Close in around can light</v>
      </c>
      <c r="E538" s="15" t="str" cm="1">
        <f t="array" ref="E538">_xlfn.LET(
_xlpm.inTower, COUNTIF(Tower_Num_Table[Tower Rm Numbers], LEFT(Task_Summary_Table[[#This Row],[Area/Room]], 3)) &gt; 0,
_xlpm.typeResult, _xlfn.SWITCH(LEFT(Tasks[[#This Row],[Page]], 2), "Hi", "Historic", "An", "Annex", "Si", "Site", "S5", "Project Task", "SWITCH ERROR"),
IF(_xlpm.inTower, "West Tower", _xlpm.typeResult)
)</f>
        <v>Historic</v>
      </c>
      <c r="F538" s="15" t="str">
        <f>IFERROR(MID(Tasks[[#This Row],[Page]], FIND("Level", Tasks[[#This Row],[Page]]), 7), IF(ISNUMBER(FIND("Roof", Tasks[[#This Row],[Page]])), "Roof",  IF(ISNUMBER(FIND("S590", Tasks[[#This Row],[Page]])), "",  IF(ISNUMBER(FIND("Site", Tasks[[#This Row],[Page]])), "", "ERROR"))))</f>
        <v>Level 5</v>
      </c>
      <c r="G538" s="15" t="str">
        <f>IF(Tasks[[#This Row],[Location]]=0, "", Tasks[[#This Row],[Location]])</f>
        <v>523 - Instruction 13</v>
      </c>
      <c r="H538" s="15" t="str">
        <f>Tasks[[#This Row],[To Package]]</f>
        <v>Metal Stud / Drywall</v>
      </c>
      <c r="I538" s="15" t="str">
        <f>Tasks[[#This Row],[To Organisation]]</f>
        <v>Pete King Construction</v>
      </c>
    </row>
    <row r="539" spans="1:9" ht="15.5" x14ac:dyDescent="0.35">
      <c r="A539" s="16" t="str">
        <f>HYPERLINK(_xlfn.CONCAT(Edit_URL,Tasks[[#This Row],[Ref]]),Tasks[[#This Row],[Ref]])</f>
        <v>T74290.292</v>
      </c>
      <c r="B539" s="15" t="str" cm="1">
        <f t="array" ref="B539">_xlfn.SWITCH(LEFT(Tasks[[#This Row],[Status]],1),"O","Opened","C","Completed","S","Signed Off", "V", "Signed Off","ERROR")</f>
        <v>Opened</v>
      </c>
      <c r="C539" s="15" t="str" cm="1">
        <f t="array" ref="C539">_xlfn.SWITCH(LEFT(Tasks[[#This Row],[Type]], 3), "Fie", "Field Report", "Con", "Contractor QC", "Gen", "Contractor QC", "Pun", "Contractor QC", "Qua", "Contractor QC", "Fin", "Punch List")</f>
        <v>Contractor QC</v>
      </c>
      <c r="D539" s="15" t="str">
        <f>_xlfn.LET(
_xlpm.leftValue, TRIM(LEFT(Tasks[[#This Row],[Description]], 45)),
IF(LEN(_xlpm.leftValue) &lt; 40, _xlpm.leftValue, _xlfn.CONCAT(_xlpm.leftValue, "…"))
)</f>
        <v>Touch up nail holes on transom</v>
      </c>
      <c r="E539" s="15" t="str" cm="1">
        <f t="array" ref="E539">_xlfn.LET(
_xlpm.inTower, COUNTIF(Tower_Num_Table[Tower Rm Numbers], LEFT(Task_Summary_Table[[#This Row],[Area/Room]], 3)) &gt; 0,
_xlpm.typeResult, _xlfn.SWITCH(LEFT(Tasks[[#This Row],[Page]], 2), "Hi", "Historic", "An", "Annex", "Si", "Site", "S5", "Project Task", "SWITCH ERROR"),
IF(_xlpm.inTower, "West Tower", _xlpm.typeResult)
)</f>
        <v>Historic</v>
      </c>
      <c r="F539" s="15" t="str">
        <f>IFERROR(MID(Tasks[[#This Row],[Page]], FIND("Level", Tasks[[#This Row],[Page]]), 7), IF(ISNUMBER(FIND("Roof", Tasks[[#This Row],[Page]])), "Roof",  IF(ISNUMBER(FIND("S590", Tasks[[#This Row],[Page]])), "",  IF(ISNUMBER(FIND("Site", Tasks[[#This Row],[Page]])), "", "ERROR"))))</f>
        <v>Level 5</v>
      </c>
      <c r="G539" s="15" t="str">
        <f>IF(Tasks[[#This Row],[Location]]=0, "", Tasks[[#This Row],[Location]])</f>
        <v>523 - Instruction 13</v>
      </c>
      <c r="H539" s="15" t="str">
        <f>Tasks[[#This Row],[To Package]]</f>
        <v>Paint</v>
      </c>
      <c r="I539" s="15" t="str">
        <f>Tasks[[#This Row],[To Organisation]]</f>
        <v>Accent Painting and Special Coatings, LLC</v>
      </c>
    </row>
    <row r="540" spans="1:9" ht="15.5" x14ac:dyDescent="0.35">
      <c r="A540" s="16" t="str">
        <f>HYPERLINK(_xlfn.CONCAT(Edit_URL,Tasks[[#This Row],[Ref]]),Tasks[[#This Row],[Ref]])</f>
        <v>T74290.293</v>
      </c>
      <c r="B540" s="15" t="str" cm="1">
        <f t="array" ref="B540">_xlfn.SWITCH(LEFT(Tasks[[#This Row],[Status]],1),"O","Opened","C","Completed","S","Signed Off", "V", "Signed Off","ERROR")</f>
        <v>Opened</v>
      </c>
      <c r="C540" s="15" t="str" cm="1">
        <f t="array" ref="C540">_xlfn.SWITCH(LEFT(Tasks[[#This Row],[Type]], 3), "Fie", "Field Report", "Con", "Contractor QC", "Gen", "Contractor QC", "Pun", "Contractor QC", "Qua", "Contractor QC", "Fin", "Punch List")</f>
        <v>Contractor QC</v>
      </c>
      <c r="D540" s="15" t="str">
        <f>_xlfn.LET(
_xlpm.leftValue, TRIM(LEFT(Tasks[[#This Row],[Description]], 45)),
IF(LEN(_xlpm.leftValue) &lt; 40, _xlpm.leftValue, _xlfn.CONCAT(_xlpm.leftValue, "…"))
)</f>
        <v>Touch up baseboard to the right of window…</v>
      </c>
      <c r="E540" s="15" t="str" cm="1">
        <f t="array" ref="E540">_xlfn.LET(
_xlpm.inTower, COUNTIF(Tower_Num_Table[Tower Rm Numbers], LEFT(Task_Summary_Table[[#This Row],[Area/Room]], 3)) &gt; 0,
_xlpm.typeResult, _xlfn.SWITCH(LEFT(Tasks[[#This Row],[Page]], 2), "Hi", "Historic", "An", "Annex", "Si", "Site", "S5", "Project Task", "SWITCH ERROR"),
IF(_xlpm.inTower, "West Tower", _xlpm.typeResult)
)</f>
        <v>Historic</v>
      </c>
      <c r="F540" s="15" t="str">
        <f>IFERROR(MID(Tasks[[#This Row],[Page]], FIND("Level", Tasks[[#This Row],[Page]]), 7), IF(ISNUMBER(FIND("Roof", Tasks[[#This Row],[Page]])), "Roof",  IF(ISNUMBER(FIND("S590", Tasks[[#This Row],[Page]])), "",  IF(ISNUMBER(FIND("Site", Tasks[[#This Row],[Page]])), "", "ERROR"))))</f>
        <v>Level 5</v>
      </c>
      <c r="G540" s="15" t="str">
        <f>IF(Tasks[[#This Row],[Location]]=0, "", Tasks[[#This Row],[Location]])</f>
        <v>523 - Instruction 13</v>
      </c>
      <c r="H540" s="15" t="str">
        <f>Tasks[[#This Row],[To Package]]</f>
        <v>Paint</v>
      </c>
      <c r="I540" s="15" t="str">
        <f>Tasks[[#This Row],[To Organisation]]</f>
        <v>Accent Painting and Special Coatings, LLC</v>
      </c>
    </row>
    <row r="541" spans="1:9" ht="15.5" x14ac:dyDescent="0.35">
      <c r="A541" s="16" t="str">
        <f>HYPERLINK(_xlfn.CONCAT(Edit_URL,Tasks[[#This Row],[Ref]]),Tasks[[#This Row],[Ref]])</f>
        <v>T74290.294</v>
      </c>
      <c r="B541" s="15" t="str" cm="1">
        <f t="array" ref="B541">_xlfn.SWITCH(LEFT(Tasks[[#This Row],[Status]],1),"O","Opened","C","Completed","S","Signed Off", "V", "Signed Off","ERROR")</f>
        <v>Opened</v>
      </c>
      <c r="C541" s="15" t="str" cm="1">
        <f t="array" ref="C541">_xlfn.SWITCH(LEFT(Tasks[[#This Row],[Type]], 3), "Fie", "Field Report", "Con", "Contractor QC", "Gen", "Contractor QC", "Pun", "Contractor QC", "Qua", "Contractor QC", "Fin", "Punch List")</f>
        <v>Contractor QC</v>
      </c>
      <c r="D541" s="15" t="str">
        <f>_xlfn.LET(
_xlpm.leftValue, TRIM(LEFT(Tasks[[#This Row],[Description]], 45)),
IF(LEN(_xlpm.leftValue) &lt; 40, _xlpm.leftValue, _xlfn.CONCAT(_xlpm.leftValue, "…"))
)</f>
        <v>Touch up around window</v>
      </c>
      <c r="E541" s="15" t="str" cm="1">
        <f t="array" ref="E541">_xlfn.LET(
_xlpm.inTower, COUNTIF(Tower_Num_Table[Tower Rm Numbers], LEFT(Task_Summary_Table[[#This Row],[Area/Room]], 3)) &gt; 0,
_xlpm.typeResult, _xlfn.SWITCH(LEFT(Tasks[[#This Row],[Page]], 2), "Hi", "Historic", "An", "Annex", "Si", "Site", "S5", "Project Task", "SWITCH ERROR"),
IF(_xlpm.inTower, "West Tower", _xlpm.typeResult)
)</f>
        <v>Historic</v>
      </c>
      <c r="F541" s="15" t="str">
        <f>IFERROR(MID(Tasks[[#This Row],[Page]], FIND("Level", Tasks[[#This Row],[Page]]), 7), IF(ISNUMBER(FIND("Roof", Tasks[[#This Row],[Page]])), "Roof",  IF(ISNUMBER(FIND("S590", Tasks[[#This Row],[Page]])), "",  IF(ISNUMBER(FIND("Site", Tasks[[#This Row],[Page]])), "", "ERROR"))))</f>
        <v>Level 5</v>
      </c>
      <c r="G541" s="15" t="str">
        <f>IF(Tasks[[#This Row],[Location]]=0, "", Tasks[[#This Row],[Location]])</f>
        <v>523 - Instruction 13</v>
      </c>
      <c r="H541" s="15" t="str">
        <f>Tasks[[#This Row],[To Package]]</f>
        <v>Paint</v>
      </c>
      <c r="I541" s="15" t="str">
        <f>Tasks[[#This Row],[To Organisation]]</f>
        <v>Accent Painting and Special Coatings, LLC</v>
      </c>
    </row>
    <row r="542" spans="1:9" ht="15.5" x14ac:dyDescent="0.35">
      <c r="A542" s="16" t="str">
        <f>HYPERLINK(_xlfn.CONCAT(Edit_URL,Tasks[[#This Row],[Ref]]),Tasks[[#This Row],[Ref]])</f>
        <v>T74290.295</v>
      </c>
      <c r="B542" s="15" t="str" cm="1">
        <f t="array" ref="B542">_xlfn.SWITCH(LEFT(Tasks[[#This Row],[Status]],1),"O","Opened","C","Completed","S","Signed Off", "V", "Signed Off","ERROR")</f>
        <v>Opened</v>
      </c>
      <c r="C542" s="15" t="str" cm="1">
        <f t="array" ref="C542">_xlfn.SWITCH(LEFT(Tasks[[#This Row],[Type]], 3), "Fie", "Field Report", "Con", "Contractor QC", "Gen", "Contractor QC", "Pun", "Contractor QC", "Qua", "Contractor QC", "Fin", "Punch List")</f>
        <v>Contractor QC</v>
      </c>
      <c r="D542" s="15" t="str">
        <f>_xlfn.LET(
_xlpm.leftValue, TRIM(LEFT(Tasks[[#This Row],[Description]], 45)),
IF(LEN(_xlpm.leftValue) &lt; 40, _xlpm.leftValue, _xlfn.CONCAT(_xlpm.leftValue, "…"))
)</f>
        <v>Close in around can light</v>
      </c>
      <c r="E542" s="15" t="str" cm="1">
        <f t="array" ref="E542">_xlfn.LET(
_xlpm.inTower, COUNTIF(Tower_Num_Table[Tower Rm Numbers], LEFT(Task_Summary_Table[[#This Row],[Area/Room]], 3)) &gt; 0,
_xlpm.typeResult, _xlfn.SWITCH(LEFT(Tasks[[#This Row],[Page]], 2), "Hi", "Historic", "An", "Annex", "Si", "Site", "S5", "Project Task", "SWITCH ERROR"),
IF(_xlpm.inTower, "West Tower", _xlpm.typeResult)
)</f>
        <v>Historic</v>
      </c>
      <c r="F542" s="15" t="str">
        <f>IFERROR(MID(Tasks[[#This Row],[Page]], FIND("Level", Tasks[[#This Row],[Page]]), 7), IF(ISNUMBER(FIND("Roof", Tasks[[#This Row],[Page]])), "Roof",  IF(ISNUMBER(FIND("S590", Tasks[[#This Row],[Page]])), "",  IF(ISNUMBER(FIND("Site", Tasks[[#This Row],[Page]])), "", "ERROR"))))</f>
        <v>Level 5</v>
      </c>
      <c r="G542" s="15" t="str">
        <f>IF(Tasks[[#This Row],[Location]]=0, "", Tasks[[#This Row],[Location]])</f>
        <v>524 - Instruction 14</v>
      </c>
      <c r="H542" s="15" t="str">
        <f>Tasks[[#This Row],[To Package]]</f>
        <v>Metal Stud / Drywall</v>
      </c>
      <c r="I542" s="15" t="str">
        <f>Tasks[[#This Row],[To Organisation]]</f>
        <v>Pete King Construction</v>
      </c>
    </row>
    <row r="543" spans="1:9" ht="15.5" x14ac:dyDescent="0.35">
      <c r="A543" s="16" t="str">
        <f>HYPERLINK(_xlfn.CONCAT(Edit_URL,Tasks[[#This Row],[Ref]]),Tasks[[#This Row],[Ref]])</f>
        <v>T74290.296</v>
      </c>
      <c r="B543" s="15" t="str" cm="1">
        <f t="array" ref="B543">_xlfn.SWITCH(LEFT(Tasks[[#This Row],[Status]],1),"O","Opened","C","Completed","S","Signed Off", "V", "Signed Off","ERROR")</f>
        <v>Opened</v>
      </c>
      <c r="C543" s="15" t="str" cm="1">
        <f t="array" ref="C543">_xlfn.SWITCH(LEFT(Tasks[[#This Row],[Type]], 3), "Fie", "Field Report", "Con", "Contractor QC", "Gen", "Contractor QC", "Pun", "Contractor QC", "Qua", "Contractor QC", "Fin", "Punch List")</f>
        <v>Contractor QC</v>
      </c>
      <c r="D543" s="15" t="str">
        <f>_xlfn.LET(
_xlpm.leftValue, TRIM(LEFT(Tasks[[#This Row],[Description]], 45)),
IF(LEN(_xlpm.leftValue) &lt; 40, _xlpm.leftValue, _xlfn.CONCAT(_xlpm.leftValue, "…"))
)</f>
        <v>Install canopy for chandelier</v>
      </c>
      <c r="E543" s="15" t="str" cm="1">
        <f t="array" ref="E543">_xlfn.LET(
_xlpm.inTower, COUNTIF(Tower_Num_Table[Tower Rm Numbers], LEFT(Task_Summary_Table[[#This Row],[Area/Room]], 3)) &gt; 0,
_xlpm.typeResult, _xlfn.SWITCH(LEFT(Tasks[[#This Row],[Page]], 2), "Hi", "Historic", "An", "Annex", "Si", "Site", "S5", "Project Task", "SWITCH ERROR"),
IF(_xlpm.inTower, "West Tower", _xlpm.typeResult)
)</f>
        <v>Historic</v>
      </c>
      <c r="F543" s="15" t="str">
        <f>IFERROR(MID(Tasks[[#This Row],[Page]], FIND("Level", Tasks[[#This Row],[Page]]), 7), IF(ISNUMBER(FIND("Roof", Tasks[[#This Row],[Page]])), "Roof",  IF(ISNUMBER(FIND("S590", Tasks[[#This Row],[Page]])), "",  IF(ISNUMBER(FIND("Site", Tasks[[#This Row],[Page]])), "", "ERROR"))))</f>
        <v>Level 5</v>
      </c>
      <c r="G543" s="15" t="str">
        <f>IF(Tasks[[#This Row],[Location]]=0, "", Tasks[[#This Row],[Location]])</f>
        <v>524 - Instruction 14</v>
      </c>
      <c r="H543" s="15" t="str">
        <f>Tasks[[#This Row],[To Package]]</f>
        <v>Electrical</v>
      </c>
      <c r="I543" s="15" t="str">
        <f>Tasks[[#This Row],[To Organisation]]</f>
        <v>Wilkinson Electric Inc</v>
      </c>
    </row>
    <row r="544" spans="1:9" ht="15.5" x14ac:dyDescent="0.35">
      <c r="A544" s="16" t="str">
        <f>HYPERLINK(_xlfn.CONCAT(Edit_URL,Tasks[[#This Row],[Ref]]),Tasks[[#This Row],[Ref]])</f>
        <v>T74290.297</v>
      </c>
      <c r="B544" s="15" t="str" cm="1">
        <f t="array" ref="B544">_xlfn.SWITCH(LEFT(Tasks[[#This Row],[Status]],1),"O","Opened","C","Completed","S","Signed Off", "V", "Signed Off","ERROR")</f>
        <v>Opened</v>
      </c>
      <c r="C544" s="15" t="str" cm="1">
        <f t="array" ref="C544">_xlfn.SWITCH(LEFT(Tasks[[#This Row],[Type]], 3), "Fie", "Field Report", "Con", "Contractor QC", "Gen", "Contractor QC", "Pun", "Contractor QC", "Qua", "Contractor QC", "Fin", "Punch List")</f>
        <v>Contractor QC</v>
      </c>
      <c r="D544" s="15" t="str">
        <f>_xlfn.LET(
_xlpm.leftValue, TRIM(LEFT(Tasks[[#This Row],[Description]], 45)),
IF(LEN(_xlpm.leftValue) &lt; 40, _xlpm.leftValue, _xlfn.CONCAT(_xlpm.leftValue, "…"))
)</f>
        <v>Touch up base board</v>
      </c>
      <c r="E544" s="15" t="str" cm="1">
        <f t="array" ref="E544">_xlfn.LET(
_xlpm.inTower, COUNTIF(Tower_Num_Table[Tower Rm Numbers], LEFT(Task_Summary_Table[[#This Row],[Area/Room]], 3)) &gt; 0,
_xlpm.typeResult, _xlfn.SWITCH(LEFT(Tasks[[#This Row],[Page]], 2), "Hi", "Historic", "An", "Annex", "Si", "Site", "S5", "Project Task", "SWITCH ERROR"),
IF(_xlpm.inTower, "West Tower", _xlpm.typeResult)
)</f>
        <v>Historic</v>
      </c>
      <c r="F544" s="15" t="str">
        <f>IFERROR(MID(Tasks[[#This Row],[Page]], FIND("Level", Tasks[[#This Row],[Page]]), 7), IF(ISNUMBER(FIND("Roof", Tasks[[#This Row],[Page]])), "Roof",  IF(ISNUMBER(FIND("S590", Tasks[[#This Row],[Page]])), "",  IF(ISNUMBER(FIND("Site", Tasks[[#This Row],[Page]])), "", "ERROR"))))</f>
        <v>Level 5</v>
      </c>
      <c r="G544" s="15" t="str">
        <f>IF(Tasks[[#This Row],[Location]]=0, "", Tasks[[#This Row],[Location]])</f>
        <v>524 - Instruction 14</v>
      </c>
      <c r="H544" s="15" t="str">
        <f>Tasks[[#This Row],[To Package]]</f>
        <v>Paint</v>
      </c>
      <c r="I544" s="15" t="str">
        <f>Tasks[[#This Row],[To Organisation]]</f>
        <v>Accent Painting and Special Coatings, LLC</v>
      </c>
    </row>
    <row r="545" spans="1:9" ht="15.5" x14ac:dyDescent="0.35">
      <c r="A545" s="16" t="str">
        <f>HYPERLINK(_xlfn.CONCAT(Edit_URL,Tasks[[#This Row],[Ref]]),Tasks[[#This Row],[Ref]])</f>
        <v>T74290.300</v>
      </c>
      <c r="B545" s="15" t="str" cm="1">
        <f t="array" ref="B545">_xlfn.SWITCH(LEFT(Tasks[[#This Row],[Status]],1),"O","Opened","C","Completed","S","Signed Off", "V", "Signed Off","ERROR")</f>
        <v>Opened</v>
      </c>
      <c r="C545" s="15" t="str" cm="1">
        <f t="array" ref="C545">_xlfn.SWITCH(LEFT(Tasks[[#This Row],[Type]], 3), "Fie", "Field Report", "Con", "Contractor QC", "Gen", "Contractor QC", "Pun", "Contractor QC", "Qua", "Contractor QC", "Fin", "Punch List")</f>
        <v>Contractor QC</v>
      </c>
      <c r="D545" s="15" t="str">
        <f>_xlfn.LET(
_xlpm.leftValue, TRIM(LEFT(Tasks[[#This Row],[Description]], 45)),
IF(LEN(_xlpm.leftValue) &lt; 40, _xlpm.leftValue, _xlfn.CONCAT(_xlpm.leftValue, "…"))
)</f>
        <v>Close in around sprinkler head</v>
      </c>
      <c r="E545" s="15" t="str" cm="1">
        <f t="array" ref="E545">_xlfn.LET(
_xlpm.inTower, COUNTIF(Tower_Num_Table[Tower Rm Numbers], LEFT(Task_Summary_Table[[#This Row],[Area/Room]], 3)) &gt; 0,
_xlpm.typeResult, _xlfn.SWITCH(LEFT(Tasks[[#This Row],[Page]], 2), "Hi", "Historic", "An", "Annex", "Si", "Site", "S5", "Project Task", "SWITCH ERROR"),
IF(_xlpm.inTower, "West Tower", _xlpm.typeResult)
)</f>
        <v>Historic</v>
      </c>
      <c r="F545" s="15" t="str">
        <f>IFERROR(MID(Tasks[[#This Row],[Page]], FIND("Level", Tasks[[#This Row],[Page]]), 7), IF(ISNUMBER(FIND("Roof", Tasks[[#This Row],[Page]])), "Roof",  IF(ISNUMBER(FIND("S590", Tasks[[#This Row],[Page]])), "",  IF(ISNUMBER(FIND("Site", Tasks[[#This Row],[Page]])), "", "ERROR"))))</f>
        <v>Level 5</v>
      </c>
      <c r="G545" s="15" t="str">
        <f>IF(Tasks[[#This Row],[Location]]=0, "", Tasks[[#This Row],[Location]])</f>
        <v>525 - Instruction 15</v>
      </c>
      <c r="H545" s="15" t="str">
        <f>Tasks[[#This Row],[To Package]]</f>
        <v>Metal Stud / Drywall</v>
      </c>
      <c r="I545" s="15" t="str">
        <f>Tasks[[#This Row],[To Organisation]]</f>
        <v>Pete King Construction</v>
      </c>
    </row>
    <row r="546" spans="1:9" ht="15.5" x14ac:dyDescent="0.35">
      <c r="A546" s="16" t="str">
        <f>HYPERLINK(_xlfn.CONCAT(Edit_URL,Tasks[[#This Row],[Ref]]),Tasks[[#This Row],[Ref]])</f>
        <v>T74290.303</v>
      </c>
      <c r="B546" s="15" t="str" cm="1">
        <f t="array" ref="B546">_xlfn.SWITCH(LEFT(Tasks[[#This Row],[Status]],1),"O","Opened","C","Completed","S","Signed Off", "V", "Signed Off","ERROR")</f>
        <v>Opened</v>
      </c>
      <c r="C546" s="15" t="str" cm="1">
        <f t="array" ref="C546">_xlfn.SWITCH(LEFT(Tasks[[#This Row],[Type]], 3), "Fie", "Field Report", "Con", "Contractor QC", "Gen", "Contractor QC", "Pun", "Contractor QC", "Qua", "Contractor QC", "Fin", "Punch List")</f>
        <v>Contractor QC</v>
      </c>
      <c r="D546" s="15" t="str">
        <f>_xlfn.LET(
_xlpm.leftValue, TRIM(LEFT(Tasks[[#This Row],[Description]], 45)),
IF(LEN(_xlpm.leftValue) &lt; 40, _xlpm.leftValue, _xlfn.CONCAT(_xlpm.leftValue, "…"))
)</f>
        <v>Touch up wall and base board</v>
      </c>
      <c r="E546" s="15" t="str" cm="1">
        <f t="array" ref="E546">_xlfn.LET(
_xlpm.inTower, COUNTIF(Tower_Num_Table[Tower Rm Numbers], LEFT(Task_Summary_Table[[#This Row],[Area/Room]], 3)) &gt; 0,
_xlpm.typeResult, _xlfn.SWITCH(LEFT(Tasks[[#This Row],[Page]], 2), "Hi", "Historic", "An", "Annex", "Si", "Site", "S5", "Project Task", "SWITCH ERROR"),
IF(_xlpm.inTower, "West Tower", _xlpm.typeResult)
)</f>
        <v>Historic</v>
      </c>
      <c r="F546" s="15" t="str">
        <f>IFERROR(MID(Tasks[[#This Row],[Page]], FIND("Level", Tasks[[#This Row],[Page]]), 7), IF(ISNUMBER(FIND("Roof", Tasks[[#This Row],[Page]])), "Roof",  IF(ISNUMBER(FIND("S590", Tasks[[#This Row],[Page]])), "",  IF(ISNUMBER(FIND("Site", Tasks[[#This Row],[Page]])), "", "ERROR"))))</f>
        <v>Level 5</v>
      </c>
      <c r="G546" s="15" t="str">
        <f>IF(Tasks[[#This Row],[Location]]=0, "", Tasks[[#This Row],[Location]])</f>
        <v>525 - Instruction 15</v>
      </c>
      <c r="H546" s="15" t="str">
        <f>Tasks[[#This Row],[To Package]]</f>
        <v>Paint</v>
      </c>
      <c r="I546" s="15" t="str">
        <f>Tasks[[#This Row],[To Organisation]]</f>
        <v>Accent Painting and Special Coatings, LLC</v>
      </c>
    </row>
    <row r="547" spans="1:9" ht="15.5" x14ac:dyDescent="0.35">
      <c r="A547" s="16" t="str">
        <f>HYPERLINK(_xlfn.CONCAT(Edit_URL,Tasks[[#This Row],[Ref]]),Tasks[[#This Row],[Ref]])</f>
        <v>T74290.304</v>
      </c>
      <c r="B547" s="15" t="str" cm="1">
        <f t="array" ref="B547">_xlfn.SWITCH(LEFT(Tasks[[#This Row],[Status]],1),"O","Opened","C","Completed","S","Signed Off", "V", "Signed Off","ERROR")</f>
        <v>Opened</v>
      </c>
      <c r="C547" s="15" t="str" cm="1">
        <f t="array" ref="C547">_xlfn.SWITCH(LEFT(Tasks[[#This Row],[Type]], 3), "Fie", "Field Report", "Con", "Contractor QC", "Gen", "Contractor QC", "Pun", "Contractor QC", "Qua", "Contractor QC", "Fin", "Punch List")</f>
        <v>Contractor QC</v>
      </c>
      <c r="D547" s="15" t="str">
        <f>_xlfn.LET(
_xlpm.leftValue, TRIM(LEFT(Tasks[[#This Row],[Description]], 45)),
IF(LEN(_xlpm.leftValue) &lt; 40, _xlpm.leftValue, _xlfn.CONCAT(_xlpm.leftValue, "…"))
)</f>
        <v>Repair ceiling and touch up</v>
      </c>
      <c r="E547" s="15" t="str" cm="1">
        <f t="array" ref="E547">_xlfn.LET(
_xlpm.inTower, COUNTIF(Tower_Num_Table[Tower Rm Numbers], LEFT(Task_Summary_Table[[#This Row],[Area/Room]], 3)) &gt; 0,
_xlpm.typeResult, _xlfn.SWITCH(LEFT(Tasks[[#This Row],[Page]], 2), "Hi", "Historic", "An", "Annex", "Si", "Site", "S5", "Project Task", "SWITCH ERROR"),
IF(_xlpm.inTower, "West Tower", _xlpm.typeResult)
)</f>
        <v>Historic</v>
      </c>
      <c r="F547" s="15" t="str">
        <f>IFERROR(MID(Tasks[[#This Row],[Page]], FIND("Level", Tasks[[#This Row],[Page]]), 7), IF(ISNUMBER(FIND("Roof", Tasks[[#This Row],[Page]])), "Roof",  IF(ISNUMBER(FIND("S590", Tasks[[#This Row],[Page]])), "",  IF(ISNUMBER(FIND("Site", Tasks[[#This Row],[Page]])), "", "ERROR"))))</f>
        <v>Level 5</v>
      </c>
      <c r="G547" s="15" t="str">
        <f>IF(Tasks[[#This Row],[Location]]=0, "", Tasks[[#This Row],[Location]])</f>
        <v>526 - Instruction 16</v>
      </c>
      <c r="H547" s="15" t="str">
        <f>Tasks[[#This Row],[To Package]]</f>
        <v>Paint</v>
      </c>
      <c r="I547" s="15" t="str">
        <f>Tasks[[#This Row],[To Organisation]]</f>
        <v>Accent Painting and Special Coatings, LLC</v>
      </c>
    </row>
    <row r="548" spans="1:9" ht="15.5" x14ac:dyDescent="0.35">
      <c r="A548" s="16" t="str">
        <f>HYPERLINK(_xlfn.CONCAT(Edit_URL,Tasks[[#This Row],[Ref]]),Tasks[[#This Row],[Ref]])</f>
        <v>T74290.306</v>
      </c>
      <c r="B548" s="15" t="str" cm="1">
        <f t="array" ref="B548">_xlfn.SWITCH(LEFT(Tasks[[#This Row],[Status]],1),"O","Opened","C","Completed","S","Signed Off", "V", "Signed Off","ERROR")</f>
        <v>Opened</v>
      </c>
      <c r="C548" s="15" t="str" cm="1">
        <f t="array" ref="C548">_xlfn.SWITCH(LEFT(Tasks[[#This Row],[Type]], 3), "Fie", "Field Report", "Con", "Contractor QC", "Gen", "Contractor QC", "Pun", "Contractor QC", "Qua", "Contractor QC", "Fin", "Punch List")</f>
        <v>Contractor QC</v>
      </c>
      <c r="D548" s="15" t="str">
        <f>_xlfn.LET(
_xlpm.leftValue, TRIM(LEFT(Tasks[[#This Row],[Description]], 45)),
IF(LEN(_xlpm.leftValue) &lt; 40, _xlpm.leftValue, _xlfn.CONCAT(_xlpm.leftValue, "…"))
)</f>
        <v>Touch up and caulk around around window</v>
      </c>
      <c r="E548" s="15" t="str" cm="1">
        <f t="array" ref="E548">_xlfn.LET(
_xlpm.inTower, COUNTIF(Tower_Num_Table[Tower Rm Numbers], LEFT(Task_Summary_Table[[#This Row],[Area/Room]], 3)) &gt; 0,
_xlpm.typeResult, _xlfn.SWITCH(LEFT(Tasks[[#This Row],[Page]], 2), "Hi", "Historic", "An", "Annex", "Si", "Site", "S5", "Project Task", "SWITCH ERROR"),
IF(_xlpm.inTower, "West Tower", _xlpm.typeResult)
)</f>
        <v>Historic</v>
      </c>
      <c r="F548" s="15" t="str">
        <f>IFERROR(MID(Tasks[[#This Row],[Page]], FIND("Level", Tasks[[#This Row],[Page]]), 7), IF(ISNUMBER(FIND("Roof", Tasks[[#This Row],[Page]])), "Roof",  IF(ISNUMBER(FIND("S590", Tasks[[#This Row],[Page]])), "",  IF(ISNUMBER(FIND("Site", Tasks[[#This Row],[Page]])), "", "ERROR"))))</f>
        <v>Level 5</v>
      </c>
      <c r="G548" s="15" t="str">
        <f>IF(Tasks[[#This Row],[Location]]=0, "", Tasks[[#This Row],[Location]])</f>
        <v>526 - Instruction 16</v>
      </c>
      <c r="H548" s="15" t="str">
        <f>Tasks[[#This Row],[To Package]]</f>
        <v>Paint</v>
      </c>
      <c r="I548" s="15" t="str">
        <f>Tasks[[#This Row],[To Organisation]]</f>
        <v>Accent Painting and Special Coatings, LLC</v>
      </c>
    </row>
    <row r="549" spans="1:9" ht="15.5" x14ac:dyDescent="0.35">
      <c r="A549" s="16" t="str">
        <f>HYPERLINK(_xlfn.CONCAT(Edit_URL,Tasks[[#This Row],[Ref]]),Tasks[[#This Row],[Ref]])</f>
        <v>T74290.307</v>
      </c>
      <c r="B549" s="15" t="str" cm="1">
        <f t="array" ref="B549">_xlfn.SWITCH(LEFT(Tasks[[#This Row],[Status]],1),"O","Opened","C","Completed","S","Signed Off", "V", "Signed Off","ERROR")</f>
        <v>Opened</v>
      </c>
      <c r="C549" s="15" t="str" cm="1">
        <f t="array" ref="C549">_xlfn.SWITCH(LEFT(Tasks[[#This Row],[Type]], 3), "Fie", "Field Report", "Con", "Contractor QC", "Gen", "Contractor QC", "Pun", "Contractor QC", "Qua", "Contractor QC", "Fin", "Punch List")</f>
        <v>Contractor QC</v>
      </c>
      <c r="D549" s="15" t="str">
        <f>_xlfn.LET(
_xlpm.leftValue, TRIM(LEFT(Tasks[[#This Row],[Description]], 45)),
IF(LEN(_xlpm.leftValue) &lt; 40, _xlpm.leftValue, _xlfn.CONCAT(_xlpm.leftValue, "…"))
)</f>
        <v>Fill nail holes in transom</v>
      </c>
      <c r="E549" s="15" t="str" cm="1">
        <f t="array" ref="E549">_xlfn.LET(
_xlpm.inTower, COUNTIF(Tower_Num_Table[Tower Rm Numbers], LEFT(Task_Summary_Table[[#This Row],[Area/Room]], 3)) &gt; 0,
_xlpm.typeResult, _xlfn.SWITCH(LEFT(Tasks[[#This Row],[Page]], 2), "Hi", "Historic", "An", "Annex", "Si", "Site", "S5", "Project Task", "SWITCH ERROR"),
IF(_xlpm.inTower, "West Tower", _xlpm.typeResult)
)</f>
        <v>Historic</v>
      </c>
      <c r="F549" s="15" t="str">
        <f>IFERROR(MID(Tasks[[#This Row],[Page]], FIND("Level", Tasks[[#This Row],[Page]]), 7), IF(ISNUMBER(FIND("Roof", Tasks[[#This Row],[Page]])), "Roof",  IF(ISNUMBER(FIND("S590", Tasks[[#This Row],[Page]])), "",  IF(ISNUMBER(FIND("Site", Tasks[[#This Row],[Page]])), "", "ERROR"))))</f>
        <v>Level 5</v>
      </c>
      <c r="G549" s="15" t="str">
        <f>IF(Tasks[[#This Row],[Location]]=0, "", Tasks[[#This Row],[Location]])</f>
        <v>527 - Instruction 17</v>
      </c>
      <c r="H549" s="15" t="str">
        <f>Tasks[[#This Row],[To Package]]</f>
        <v>Paint</v>
      </c>
      <c r="I549" s="15" t="str">
        <f>Tasks[[#This Row],[To Organisation]]</f>
        <v>Accent Painting and Special Coatings, LLC</v>
      </c>
    </row>
    <row r="550" spans="1:9" ht="15.5" x14ac:dyDescent="0.35">
      <c r="A550" s="16" t="str">
        <f>HYPERLINK(_xlfn.CONCAT(Edit_URL,Tasks[[#This Row],[Ref]]),Tasks[[#This Row],[Ref]])</f>
        <v>T74290.308</v>
      </c>
      <c r="B550" s="15" t="str" cm="1">
        <f t="array" ref="B550">_xlfn.SWITCH(LEFT(Tasks[[#This Row],[Status]],1),"O","Opened","C","Completed","S","Signed Off", "V", "Signed Off","ERROR")</f>
        <v>Opened</v>
      </c>
      <c r="C550" s="15" t="str" cm="1">
        <f t="array" ref="C550">_xlfn.SWITCH(LEFT(Tasks[[#This Row],[Type]], 3), "Fie", "Field Report", "Con", "Contractor QC", "Gen", "Contractor QC", "Pun", "Contractor QC", "Qua", "Contractor QC", "Fin", "Punch List")</f>
        <v>Contractor QC</v>
      </c>
      <c r="D550" s="15" t="str">
        <f>_xlfn.LET(
_xlpm.leftValue, TRIM(LEFT(Tasks[[#This Row],[Description]], 45)),
IF(LEN(_xlpm.leftValue) &lt; 40, _xlpm.leftValue, _xlfn.CONCAT(_xlpm.leftValue, "…"))
)</f>
        <v>Touch up door</v>
      </c>
      <c r="E550" s="15" t="str" cm="1">
        <f t="array" ref="E550">_xlfn.LET(
_xlpm.inTower, COUNTIF(Tower_Num_Table[Tower Rm Numbers], LEFT(Task_Summary_Table[[#This Row],[Area/Room]], 3)) &gt; 0,
_xlpm.typeResult, _xlfn.SWITCH(LEFT(Tasks[[#This Row],[Page]], 2), "Hi", "Historic", "An", "Annex", "Si", "Site", "S5", "Project Task", "SWITCH ERROR"),
IF(_xlpm.inTower, "West Tower", _xlpm.typeResult)
)</f>
        <v>Historic</v>
      </c>
      <c r="F550" s="15" t="str">
        <f>IFERROR(MID(Tasks[[#This Row],[Page]], FIND("Level", Tasks[[#This Row],[Page]]), 7), IF(ISNUMBER(FIND("Roof", Tasks[[#This Row],[Page]])), "Roof",  IF(ISNUMBER(FIND("S590", Tasks[[#This Row],[Page]])), "",  IF(ISNUMBER(FIND("Site", Tasks[[#This Row],[Page]])), "", "ERROR"))))</f>
        <v>Level 5</v>
      </c>
      <c r="G550" s="15" t="str">
        <f>IF(Tasks[[#This Row],[Location]]=0, "", Tasks[[#This Row],[Location]])</f>
        <v>527 - Instruction 17</v>
      </c>
      <c r="H550" s="15" t="str">
        <f>Tasks[[#This Row],[To Package]]</f>
        <v>Paint</v>
      </c>
      <c r="I550" s="15" t="str">
        <f>Tasks[[#This Row],[To Organisation]]</f>
        <v>Accent Painting and Special Coatings, LLC</v>
      </c>
    </row>
    <row r="551" spans="1:9" ht="15.5" x14ac:dyDescent="0.35">
      <c r="A551" s="16" t="str">
        <f>HYPERLINK(_xlfn.CONCAT(Edit_URL,Tasks[[#This Row],[Ref]]),Tasks[[#This Row],[Ref]])</f>
        <v>T74290.309</v>
      </c>
      <c r="B551" s="15" t="str" cm="1">
        <f t="array" ref="B551">_xlfn.SWITCH(LEFT(Tasks[[#This Row],[Status]],1),"O","Opened","C","Completed","S","Signed Off", "V", "Signed Off","ERROR")</f>
        <v>Opened</v>
      </c>
      <c r="C551" s="15" t="str" cm="1">
        <f t="array" ref="C551">_xlfn.SWITCH(LEFT(Tasks[[#This Row],[Type]], 3), "Fie", "Field Report", "Con", "Contractor QC", "Gen", "Contractor QC", "Pun", "Contractor QC", "Qua", "Contractor QC", "Fin", "Punch List")</f>
        <v>Contractor QC</v>
      </c>
      <c r="D551" s="15" t="str">
        <f>_xlfn.LET(
_xlpm.leftValue, TRIM(LEFT(Tasks[[#This Row],[Description]], 45)),
IF(LEN(_xlpm.leftValue) &lt; 40, _xlpm.leftValue, _xlfn.CONCAT(_xlpm.leftValue, "…"))
)</f>
        <v>Touch up wall</v>
      </c>
      <c r="E551" s="15" t="str" cm="1">
        <f t="array" ref="E551">_xlfn.LET(
_xlpm.inTower, COUNTIF(Tower_Num_Table[Tower Rm Numbers], LEFT(Task_Summary_Table[[#This Row],[Area/Room]], 3)) &gt; 0,
_xlpm.typeResult, _xlfn.SWITCH(LEFT(Tasks[[#This Row],[Page]], 2), "Hi", "Historic", "An", "Annex", "Si", "Site", "S5", "Project Task", "SWITCH ERROR"),
IF(_xlpm.inTower, "West Tower", _xlpm.typeResult)
)</f>
        <v>Annex</v>
      </c>
      <c r="F551" s="15" t="str">
        <f>IFERROR(MID(Tasks[[#This Row],[Page]], FIND("Level", Tasks[[#This Row],[Page]]), 7), IF(ISNUMBER(FIND("Roof", Tasks[[#This Row],[Page]])), "Roof",  IF(ISNUMBER(FIND("S590", Tasks[[#This Row],[Page]])), "",  IF(ISNUMBER(FIND("Site", Tasks[[#This Row],[Page]])), "", "ERROR"))))</f>
        <v>Level 0</v>
      </c>
      <c r="G551" s="15" t="str">
        <f>IF(Tasks[[#This Row],[Location]]=0, "", Tasks[[#This Row],[Location]])</f>
        <v>012 - STORAGE</v>
      </c>
      <c r="H551" s="15" t="str">
        <f>Tasks[[#This Row],[To Package]]</f>
        <v>Paint</v>
      </c>
      <c r="I551" s="15" t="str">
        <f>Tasks[[#This Row],[To Organisation]]</f>
        <v>Accent Painting and Special Coatings, LLC</v>
      </c>
    </row>
    <row r="552" spans="1:9" ht="15.5" x14ac:dyDescent="0.35">
      <c r="A552" s="16" t="str">
        <f>HYPERLINK(_xlfn.CONCAT(Edit_URL,Tasks[[#This Row],[Ref]]),Tasks[[#This Row],[Ref]])</f>
        <v>T74290.310</v>
      </c>
      <c r="B552" s="15" t="str" cm="1">
        <f t="array" ref="B552">_xlfn.SWITCH(LEFT(Tasks[[#This Row],[Status]],1),"O","Opened","C","Completed","S","Signed Off", "V", "Signed Off","ERROR")</f>
        <v>Opened</v>
      </c>
      <c r="C552" s="15" t="str" cm="1">
        <f t="array" ref="C552">_xlfn.SWITCH(LEFT(Tasks[[#This Row],[Type]], 3), "Fie", "Field Report", "Con", "Contractor QC", "Gen", "Contractor QC", "Pun", "Contractor QC", "Qua", "Contractor QC", "Fin", "Punch List")</f>
        <v>Contractor QC</v>
      </c>
      <c r="D552" s="15" t="str">
        <f>_xlfn.LET(
_xlpm.leftValue, TRIM(LEFT(Tasks[[#This Row],[Description]], 45)),
IF(LEN(_xlpm.leftValue) &lt; 40, _xlpm.leftValue, _xlfn.CONCAT(_xlpm.leftValue, "…"))
)</f>
        <v>Wall touch up</v>
      </c>
      <c r="E552" s="15" t="str" cm="1">
        <f t="array" ref="E552">_xlfn.LET(
_xlpm.inTower, COUNTIF(Tower_Num_Table[Tower Rm Numbers], LEFT(Task_Summary_Table[[#This Row],[Area/Room]], 3)) &gt; 0,
_xlpm.typeResult, _xlfn.SWITCH(LEFT(Tasks[[#This Row],[Page]], 2), "Hi", "Historic", "An", "Annex", "Si", "Site", "S5", "Project Task", "SWITCH ERROR"),
IF(_xlpm.inTower, "West Tower", _xlpm.typeResult)
)</f>
        <v>Annex</v>
      </c>
      <c r="F552" s="15" t="str">
        <f>IFERROR(MID(Tasks[[#This Row],[Page]], FIND("Level", Tasks[[#This Row],[Page]]), 7), IF(ISNUMBER(FIND("Roof", Tasks[[#This Row],[Page]])), "Roof",  IF(ISNUMBER(FIND("S590", Tasks[[#This Row],[Page]])), "",  IF(ISNUMBER(FIND("Site", Tasks[[#This Row],[Page]])), "", "ERROR"))))</f>
        <v>Level 0</v>
      </c>
      <c r="G552" s="15" t="str">
        <f>IF(Tasks[[#This Row],[Location]]=0, "", Tasks[[#This Row],[Location]])</f>
        <v>012 - STORAGE</v>
      </c>
      <c r="H552" s="15" t="str">
        <f>Tasks[[#This Row],[To Package]]</f>
        <v>Paint</v>
      </c>
      <c r="I552" s="15" t="str">
        <f>Tasks[[#This Row],[To Organisation]]</f>
        <v>Accent Painting and Special Coatings, LLC</v>
      </c>
    </row>
    <row r="553" spans="1:9" ht="15.5" x14ac:dyDescent="0.35">
      <c r="A553" s="16" t="str">
        <f>HYPERLINK(_xlfn.CONCAT(Edit_URL,Tasks[[#This Row],[Ref]]),Tasks[[#This Row],[Ref]])</f>
        <v>T74290.311</v>
      </c>
      <c r="B553" s="15" t="str" cm="1">
        <f t="array" ref="B553">_xlfn.SWITCH(LEFT(Tasks[[#This Row],[Status]],1),"O","Opened","C","Completed","S","Signed Off", "V", "Signed Off","ERROR")</f>
        <v>Opened</v>
      </c>
      <c r="C553" s="15" t="str" cm="1">
        <f t="array" ref="C553">_xlfn.SWITCH(LEFT(Tasks[[#This Row],[Type]], 3), "Fie", "Field Report", "Con", "Contractor QC", "Gen", "Contractor QC", "Pun", "Contractor QC", "Qua", "Contractor QC", "Fin", "Punch List")</f>
        <v>Contractor QC</v>
      </c>
      <c r="D553" s="15" t="str">
        <f>_xlfn.LET(
_xlpm.leftValue, TRIM(LEFT(Tasks[[#This Row],[Description]], 45)),
IF(LEN(_xlpm.leftValue) &lt; 40, _xlpm.leftValue, _xlfn.CONCAT(_xlpm.leftValue, "…"))
)</f>
        <v>Caulk around door</v>
      </c>
      <c r="E553" s="15" t="str" cm="1">
        <f t="array" ref="E553">_xlfn.LET(
_xlpm.inTower, COUNTIF(Tower_Num_Table[Tower Rm Numbers], LEFT(Task_Summary_Table[[#This Row],[Area/Room]], 3)) &gt; 0,
_xlpm.typeResult, _xlfn.SWITCH(LEFT(Tasks[[#This Row],[Page]], 2), "Hi", "Historic", "An", "Annex", "Si", "Site", "S5", "Project Task", "SWITCH ERROR"),
IF(_xlpm.inTower, "West Tower", _xlpm.typeResult)
)</f>
        <v>Annex</v>
      </c>
      <c r="F553" s="15" t="str">
        <f>IFERROR(MID(Tasks[[#This Row],[Page]], FIND("Level", Tasks[[#This Row],[Page]]), 7), IF(ISNUMBER(FIND("Roof", Tasks[[#This Row],[Page]])), "Roof",  IF(ISNUMBER(FIND("S590", Tasks[[#This Row],[Page]])), "",  IF(ISNUMBER(FIND("Site", Tasks[[#This Row],[Page]])), "", "ERROR"))))</f>
        <v>Level 0</v>
      </c>
      <c r="G553" s="15" t="str">
        <f>IF(Tasks[[#This Row],[Location]]=0, "", Tasks[[#This Row],[Location]])</f>
        <v>012 - STORAGE</v>
      </c>
      <c r="H553" s="15" t="str">
        <f>Tasks[[#This Row],[To Package]]</f>
        <v>Paint</v>
      </c>
      <c r="I553" s="15" t="str">
        <f>Tasks[[#This Row],[To Organisation]]</f>
        <v>Accent Painting and Special Coatings, LLC</v>
      </c>
    </row>
    <row r="554" spans="1:9" ht="15.5" x14ac:dyDescent="0.35">
      <c r="A554" s="16" t="str">
        <f>HYPERLINK(_xlfn.CONCAT(Edit_URL,Tasks[[#This Row],[Ref]]),Tasks[[#This Row],[Ref]])</f>
        <v>T74290.347</v>
      </c>
      <c r="B554" s="15" t="str" cm="1">
        <f t="array" ref="B554">_xlfn.SWITCH(LEFT(Tasks[[#This Row],[Status]],1),"O","Opened","C","Completed","S","Signed Off", "V", "Signed Off","ERROR")</f>
        <v>Opened</v>
      </c>
      <c r="C554" s="15" t="str" cm="1">
        <f t="array" ref="C554">_xlfn.SWITCH(LEFT(Tasks[[#This Row],[Type]], 3), "Fie", "Field Report", "Con", "Contractor QC", "Gen", "Contractor QC", "Pun", "Contractor QC", "Qua", "Contractor QC", "Fin", "Punch List")</f>
        <v>Contractor QC</v>
      </c>
      <c r="D554" s="15" t="str">
        <f>_xlfn.LET(
_xlpm.leftValue, TRIM(LEFT(Tasks[[#This Row],[Description]], 45)),
IF(LEN(_xlpm.leftValue) &lt; 40, _xlpm.leftValue, _xlfn.CONCAT(_xlpm.leftValue, "…"))
)</f>
        <v>Close in around all four ceiling lights</v>
      </c>
      <c r="E554" s="15" t="str" cm="1">
        <f t="array" ref="E554">_xlfn.LET(
_xlpm.inTower, COUNTIF(Tower_Num_Table[Tower Rm Numbers], LEFT(Task_Summary_Table[[#This Row],[Area/Room]], 3)) &gt; 0,
_xlpm.typeResult, _xlfn.SWITCH(LEFT(Tasks[[#This Row],[Page]], 2), "Hi", "Historic", "An", "Annex", "Si", "Site", "S5", "Project Task", "SWITCH ERROR"),
IF(_xlpm.inTower, "West Tower", _xlpm.typeResult)
)</f>
        <v>Historic</v>
      </c>
      <c r="F554" s="15" t="str">
        <f>IFERROR(MID(Tasks[[#This Row],[Page]], FIND("Level", Tasks[[#This Row],[Page]]), 7), IF(ISNUMBER(FIND("Roof", Tasks[[#This Row],[Page]])), "Roof",  IF(ISNUMBER(FIND("S590", Tasks[[#This Row],[Page]])), "",  IF(ISNUMBER(FIND("Site", Tasks[[#This Row],[Page]])), "", "ERROR"))))</f>
        <v>Level 5</v>
      </c>
      <c r="G554" s="15" t="str">
        <f>IF(Tasks[[#This Row],[Location]]=0, "", Tasks[[#This Row],[Location]])</f>
        <v>515 - Elec.</v>
      </c>
      <c r="H554" s="15" t="str">
        <f>Tasks[[#This Row],[To Package]]</f>
        <v>Metal Stud / Drywall</v>
      </c>
      <c r="I554" s="15" t="str">
        <f>Tasks[[#This Row],[To Organisation]]</f>
        <v>Pete King Construction</v>
      </c>
    </row>
    <row r="555" spans="1:9" ht="15.5" x14ac:dyDescent="0.35">
      <c r="A555" s="16" t="str">
        <f>HYPERLINK(_xlfn.CONCAT(Edit_URL,Tasks[[#This Row],[Ref]]),Tasks[[#This Row],[Ref]])</f>
        <v>T74290.349</v>
      </c>
      <c r="B555" s="15" t="str" cm="1">
        <f t="array" ref="B555">_xlfn.SWITCH(LEFT(Tasks[[#This Row],[Status]],1),"O","Opened","C","Completed","S","Signed Off", "V", "Signed Off","ERROR")</f>
        <v>Opened</v>
      </c>
      <c r="C555" s="15" t="str" cm="1">
        <f t="array" ref="C555">_xlfn.SWITCH(LEFT(Tasks[[#This Row],[Type]], 3), "Fie", "Field Report", "Con", "Contractor QC", "Gen", "Contractor QC", "Pun", "Contractor QC", "Qua", "Contractor QC", "Fin", "Punch List")</f>
        <v>Contractor QC</v>
      </c>
      <c r="D555" s="15" t="str">
        <f>_xlfn.LET(
_xlpm.leftValue, TRIM(LEFT(Tasks[[#This Row],[Description]], 45)),
IF(LEN(_xlpm.leftValue) &lt; 40, _xlpm.leftValue, _xlfn.CONCAT(_xlpm.leftValue, "…"))
)</f>
        <v>Exit sign box extends past plaster</v>
      </c>
      <c r="E555" s="15" t="str" cm="1">
        <f t="array" ref="E555">_xlfn.LET(
_xlpm.inTower, COUNTIF(Tower_Num_Table[Tower Rm Numbers], LEFT(Task_Summary_Table[[#This Row],[Area/Room]], 3)) &gt; 0,
_xlpm.typeResult, _xlfn.SWITCH(LEFT(Tasks[[#This Row],[Page]], 2), "Hi", "Historic", "An", "Annex", "Si", "Site", "S5", "Project Task", "SWITCH ERROR"),
IF(_xlpm.inTower, "West Tower", _xlpm.typeResult)
)</f>
        <v>Historic</v>
      </c>
      <c r="F555" s="15" t="str">
        <f>IFERROR(MID(Tasks[[#This Row],[Page]], FIND("Level", Tasks[[#This Row],[Page]]), 7), IF(ISNUMBER(FIND("Roof", Tasks[[#This Row],[Page]])), "Roof",  IF(ISNUMBER(FIND("S590", Tasks[[#This Row],[Page]])), "",  IF(ISNUMBER(FIND("Site", Tasks[[#This Row],[Page]])), "", "ERROR"))))</f>
        <v>Level 5</v>
      </c>
      <c r="G555" s="15" t="str">
        <f>IF(Tasks[[#This Row],[Location]]=0, "", Tasks[[#This Row],[Location]])</f>
        <v>517 - Waiting</v>
      </c>
      <c r="H555" s="15" t="str">
        <f>Tasks[[#This Row],[To Package]]</f>
        <v>Electrical</v>
      </c>
      <c r="I555" s="15" t="str">
        <f>Tasks[[#This Row],[To Organisation]]</f>
        <v>Wilkinson Electric Inc</v>
      </c>
    </row>
    <row r="556" spans="1:9" ht="15.5" x14ac:dyDescent="0.35">
      <c r="A556" s="16" t="str">
        <f>HYPERLINK(_xlfn.CONCAT(Edit_URL,Tasks[[#This Row],[Ref]]),Tasks[[#This Row],[Ref]])</f>
        <v>T74290.350</v>
      </c>
      <c r="B556" s="15" t="str" cm="1">
        <f t="array" ref="B556">_xlfn.SWITCH(LEFT(Tasks[[#This Row],[Status]],1),"O","Opened","C","Completed","S","Signed Off", "V", "Signed Off","ERROR")</f>
        <v>Opened</v>
      </c>
      <c r="C556" s="15" t="str" cm="1">
        <f t="array" ref="C556">_xlfn.SWITCH(LEFT(Tasks[[#This Row],[Type]], 3), "Fie", "Field Report", "Con", "Contractor QC", "Gen", "Contractor QC", "Pun", "Contractor QC", "Qua", "Contractor QC", "Fin", "Punch List")</f>
        <v>Contractor QC</v>
      </c>
      <c r="D556" s="15" t="str">
        <f>_xlfn.LET(
_xlpm.leftValue, TRIM(LEFT(Tasks[[#This Row],[Description]], 45)),
IF(LEN(_xlpm.leftValue) &lt; 40, _xlpm.leftValue, _xlfn.CONCAT(_xlpm.leftValue, "…"))
)</f>
        <v>Close in around can light and fire sprinkler…</v>
      </c>
      <c r="E556" s="15" t="str" cm="1">
        <f t="array" ref="E556">_xlfn.LET(
_xlpm.inTower, COUNTIF(Tower_Num_Table[Tower Rm Numbers], LEFT(Task_Summary_Table[[#This Row],[Area/Room]], 3)) &gt; 0,
_xlpm.typeResult, _xlfn.SWITCH(LEFT(Tasks[[#This Row],[Page]], 2), "Hi", "Historic", "An", "Annex", "Si", "Site", "S5", "Project Task", "SWITCH ERROR"),
IF(_xlpm.inTower, "West Tower", _xlpm.typeResult)
)</f>
        <v>Historic</v>
      </c>
      <c r="F556" s="15" t="str">
        <f>IFERROR(MID(Tasks[[#This Row],[Page]], FIND("Level", Tasks[[#This Row],[Page]]), 7), IF(ISNUMBER(FIND("Roof", Tasks[[#This Row],[Page]])), "Roof",  IF(ISNUMBER(FIND("S590", Tasks[[#This Row],[Page]])), "",  IF(ISNUMBER(FIND("Site", Tasks[[#This Row],[Page]])), "", "ERROR"))))</f>
        <v>Level 5</v>
      </c>
      <c r="G556" s="15" t="str">
        <f>IF(Tasks[[#This Row],[Location]]=0, "", Tasks[[#This Row],[Location]])</f>
        <v>516 - Hallway</v>
      </c>
      <c r="H556" s="15" t="str">
        <f>Tasks[[#This Row],[To Package]]</f>
        <v>Paint</v>
      </c>
      <c r="I556" s="15" t="str">
        <f>Tasks[[#This Row],[To Organisation]]</f>
        <v>Accent Painting and Special Coatings, LLC</v>
      </c>
    </row>
    <row r="557" spans="1:9" ht="15.5" x14ac:dyDescent="0.35">
      <c r="A557" s="16" t="str">
        <f>HYPERLINK(_xlfn.CONCAT(Edit_URL,Tasks[[#This Row],[Ref]]),Tasks[[#This Row],[Ref]])</f>
        <v>T74290.351</v>
      </c>
      <c r="B557" s="15" t="str" cm="1">
        <f t="array" ref="B557">_xlfn.SWITCH(LEFT(Tasks[[#This Row],[Status]],1),"O","Opened","C","Completed","S","Signed Off", "V", "Signed Off","ERROR")</f>
        <v>Opened</v>
      </c>
      <c r="C557" s="15" t="str" cm="1">
        <f t="array" ref="C557">_xlfn.SWITCH(LEFT(Tasks[[#This Row],[Type]], 3), "Fie", "Field Report", "Con", "Contractor QC", "Gen", "Contractor QC", "Pun", "Contractor QC", "Qua", "Contractor QC", "Fin", "Punch List")</f>
        <v>Contractor QC</v>
      </c>
      <c r="D557" s="15" t="str">
        <f>_xlfn.LET(
_xlpm.leftValue, TRIM(LEFT(Tasks[[#This Row],[Description]], 45)),
IF(LEN(_xlpm.leftValue) &lt; 40, _xlpm.leftValue, _xlfn.CONCAT(_xlpm.leftValue, "…"))
)</f>
        <v>Touch header of portal</v>
      </c>
      <c r="E557" s="15" t="str" cm="1">
        <f t="array" ref="E557">_xlfn.LET(
_xlpm.inTower, COUNTIF(Tower_Num_Table[Tower Rm Numbers], LEFT(Task_Summary_Table[[#This Row],[Area/Room]], 3)) &gt; 0,
_xlpm.typeResult, _xlfn.SWITCH(LEFT(Tasks[[#This Row],[Page]], 2), "Hi", "Historic", "An", "Annex", "Si", "Site", "S5", "Project Task", "SWITCH ERROR"),
IF(_xlpm.inTower, "West Tower", _xlpm.typeResult)
)</f>
        <v>Historic</v>
      </c>
      <c r="F557" s="15" t="str">
        <f>IFERROR(MID(Tasks[[#This Row],[Page]], FIND("Level", Tasks[[#This Row],[Page]]), 7), IF(ISNUMBER(FIND("Roof", Tasks[[#This Row],[Page]])), "Roof",  IF(ISNUMBER(FIND("S590", Tasks[[#This Row],[Page]])), "",  IF(ISNUMBER(FIND("Site", Tasks[[#This Row],[Page]])), "", "ERROR"))))</f>
        <v>Level 5</v>
      </c>
      <c r="G557" s="15" t="str">
        <f>IF(Tasks[[#This Row],[Location]]=0, "", Tasks[[#This Row],[Location]])</f>
        <v>516 - Hallway</v>
      </c>
      <c r="H557" s="15" t="str">
        <f>Tasks[[#This Row],[To Package]]</f>
        <v>Paint</v>
      </c>
      <c r="I557" s="15" t="str">
        <f>Tasks[[#This Row],[To Organisation]]</f>
        <v>Accent Painting and Special Coatings, LLC</v>
      </c>
    </row>
    <row r="558" spans="1:9" ht="15.5" x14ac:dyDescent="0.35">
      <c r="A558" s="16" t="str">
        <f>HYPERLINK(_xlfn.CONCAT(Edit_URL,Tasks[[#This Row],[Ref]]),Tasks[[#This Row],[Ref]])</f>
        <v>T74290.352</v>
      </c>
      <c r="B558" s="15" t="str" cm="1">
        <f t="array" ref="B558">_xlfn.SWITCH(LEFT(Tasks[[#This Row],[Status]],1),"O","Opened","C","Completed","S","Signed Off", "V", "Signed Off","ERROR")</f>
        <v>Opened</v>
      </c>
      <c r="C558" s="15" t="str" cm="1">
        <f t="array" ref="C558">_xlfn.SWITCH(LEFT(Tasks[[#This Row],[Type]], 3), "Fie", "Field Report", "Con", "Contractor QC", "Gen", "Contractor QC", "Pun", "Contractor QC", "Qua", "Contractor QC", "Fin", "Punch List")</f>
        <v>Contractor QC</v>
      </c>
      <c r="D558" s="15" t="str">
        <f>_xlfn.LET(
_xlpm.leftValue, TRIM(LEFT(Tasks[[#This Row],[Description]], 45)),
IF(LEN(_xlpm.leftValue) &lt; 40, _xlpm.leftValue, _xlfn.CONCAT(_xlpm.leftValue, "…"))
)</f>
        <v>Touchup wall along casing￼</v>
      </c>
      <c r="E558" s="15" t="str" cm="1">
        <f t="array" ref="E558">_xlfn.LET(
_xlpm.inTower, COUNTIF(Tower_Num_Table[Tower Rm Numbers], LEFT(Task_Summary_Table[[#This Row],[Area/Room]], 3)) &gt; 0,
_xlpm.typeResult, _xlfn.SWITCH(LEFT(Tasks[[#This Row],[Page]], 2), "Hi", "Historic", "An", "Annex", "Si", "Site", "S5", "Project Task", "SWITCH ERROR"),
IF(_xlpm.inTower, "West Tower", _xlpm.typeResult)
)</f>
        <v>Historic</v>
      </c>
      <c r="F558" s="15" t="str">
        <f>IFERROR(MID(Tasks[[#This Row],[Page]], FIND("Level", Tasks[[#This Row],[Page]]), 7), IF(ISNUMBER(FIND("Roof", Tasks[[#This Row],[Page]])), "Roof",  IF(ISNUMBER(FIND("S590", Tasks[[#This Row],[Page]])), "",  IF(ISNUMBER(FIND("Site", Tasks[[#This Row],[Page]])), "", "ERROR"))))</f>
        <v>Level 5</v>
      </c>
      <c r="G558" s="15" t="str">
        <f>IF(Tasks[[#This Row],[Location]]=0, "", Tasks[[#This Row],[Location]])</f>
        <v>516 - Hallway</v>
      </c>
      <c r="H558" s="15" t="str">
        <f>Tasks[[#This Row],[To Package]]</f>
        <v>Paint</v>
      </c>
      <c r="I558" s="15" t="str">
        <f>Tasks[[#This Row],[To Organisation]]</f>
        <v>Accent Painting and Special Coatings, LLC</v>
      </c>
    </row>
    <row r="559" spans="1:9" ht="15.5" x14ac:dyDescent="0.35">
      <c r="A559" s="16" t="str">
        <f>HYPERLINK(_xlfn.CONCAT(Edit_URL,Tasks[[#This Row],[Ref]]),Tasks[[#This Row],[Ref]])</f>
        <v>T74290.355</v>
      </c>
      <c r="B559" s="15" t="str" cm="1">
        <f t="array" ref="B559">_xlfn.SWITCH(LEFT(Tasks[[#This Row],[Status]],1),"O","Opened","C","Completed","S","Signed Off", "V", "Signed Off","ERROR")</f>
        <v>Opened</v>
      </c>
      <c r="C559" s="15" t="str" cm="1">
        <f t="array" ref="C559">_xlfn.SWITCH(LEFT(Tasks[[#This Row],[Type]], 3), "Fie", "Field Report", "Con", "Contractor QC", "Gen", "Contractor QC", "Pun", "Contractor QC", "Qua", "Contractor QC", "Fin", "Punch List")</f>
        <v>Contractor QC</v>
      </c>
      <c r="D559" s="15" t="str">
        <f>_xlfn.LET(
_xlpm.leftValue, TRIM(LEFT(Tasks[[#This Row],[Description]], 45)),
IF(LEN(_xlpm.leftValue) &lt; 40, _xlpm.leftValue, _xlfn.CONCAT(_xlpm.leftValue, "…"))
)</f>
        <v>Touch up casing￼</v>
      </c>
      <c r="E559" s="15" t="str" cm="1">
        <f t="array" ref="E559">_xlfn.LET(
_xlpm.inTower, COUNTIF(Tower_Num_Table[Tower Rm Numbers], LEFT(Task_Summary_Table[[#This Row],[Area/Room]], 3)) &gt; 0,
_xlpm.typeResult, _xlfn.SWITCH(LEFT(Tasks[[#This Row],[Page]], 2), "Hi", "Historic", "An", "Annex", "Si", "Site", "S5", "Project Task", "SWITCH ERROR"),
IF(_xlpm.inTower, "West Tower", _xlpm.typeResult)
)</f>
        <v>Historic</v>
      </c>
      <c r="F559" s="15" t="str">
        <f>IFERROR(MID(Tasks[[#This Row],[Page]], FIND("Level", Tasks[[#This Row],[Page]]), 7), IF(ISNUMBER(FIND("Roof", Tasks[[#This Row],[Page]])), "Roof",  IF(ISNUMBER(FIND("S590", Tasks[[#This Row],[Page]])), "",  IF(ISNUMBER(FIND("Site", Tasks[[#This Row],[Page]])), "", "ERROR"))))</f>
        <v>Level 5</v>
      </c>
      <c r="G559" s="15" t="str">
        <f>IF(Tasks[[#This Row],[Location]]=0, "", Tasks[[#This Row],[Location]])</f>
        <v>516 - Hallway</v>
      </c>
      <c r="H559" s="15" t="str">
        <f>Tasks[[#This Row],[To Package]]</f>
        <v>Paint</v>
      </c>
      <c r="I559" s="15" t="str">
        <f>Tasks[[#This Row],[To Organisation]]</f>
        <v>Accent Painting and Special Coatings, LLC</v>
      </c>
    </row>
    <row r="560" spans="1:9" ht="15.5" x14ac:dyDescent="0.35">
      <c r="A560" s="16" t="str">
        <f>HYPERLINK(_xlfn.CONCAT(Edit_URL,Tasks[[#This Row],[Ref]]),Tasks[[#This Row],[Ref]])</f>
        <v>T74290.357</v>
      </c>
      <c r="B560" s="15" t="str" cm="1">
        <f t="array" ref="B560">_xlfn.SWITCH(LEFT(Tasks[[#This Row],[Status]],1),"O","Opened","C","Completed","S","Signed Off", "V", "Signed Off","ERROR")</f>
        <v>Opened</v>
      </c>
      <c r="C560" s="15" t="str" cm="1">
        <f t="array" ref="C560">_xlfn.SWITCH(LEFT(Tasks[[#This Row],[Type]], 3), "Fie", "Field Report", "Con", "Contractor QC", "Gen", "Contractor QC", "Pun", "Contractor QC", "Qua", "Contractor QC", "Fin", "Punch List")</f>
        <v>Contractor QC</v>
      </c>
      <c r="D560" s="15" t="str">
        <f>_xlfn.LET(
_xlpm.leftValue, TRIM(LEFT(Tasks[[#This Row],[Description]], 45)),
IF(LEN(_xlpm.leftValue) &lt; 40, _xlpm.leftValue, _xlfn.CONCAT(_xlpm.leftValue, "…"))
)</f>
        <v>Install can lights</v>
      </c>
      <c r="E560" s="15" t="str" cm="1">
        <f t="array" ref="E560">_xlfn.LET(
_xlpm.inTower, COUNTIF(Tower_Num_Table[Tower Rm Numbers], LEFT(Task_Summary_Table[[#This Row],[Area/Room]], 3)) &gt; 0,
_xlpm.typeResult, _xlfn.SWITCH(LEFT(Tasks[[#This Row],[Page]], 2), "Hi", "Historic", "An", "Annex", "Si", "Site", "S5", "Project Task", "SWITCH ERROR"),
IF(_xlpm.inTower, "West Tower", _xlpm.typeResult)
)</f>
        <v>Historic</v>
      </c>
      <c r="F560" s="15" t="str">
        <f>IFERROR(MID(Tasks[[#This Row],[Page]], FIND("Level", Tasks[[#This Row],[Page]]), 7), IF(ISNUMBER(FIND("Roof", Tasks[[#This Row],[Page]])), "Roof",  IF(ISNUMBER(FIND("S590", Tasks[[#This Row],[Page]])), "",  IF(ISNUMBER(FIND("Site", Tasks[[#This Row],[Page]])), "", "ERROR"))))</f>
        <v>Level 5</v>
      </c>
      <c r="G560" s="15" t="str">
        <f>IF(Tasks[[#This Row],[Location]]=0, "", Tasks[[#This Row],[Location]])</f>
        <v>Level 5 SE Stair Tower</v>
      </c>
      <c r="H560" s="15" t="str">
        <f>Tasks[[#This Row],[To Package]]</f>
        <v>Electrical</v>
      </c>
      <c r="I560" s="15" t="str">
        <f>Tasks[[#This Row],[To Organisation]]</f>
        <v>Wilkinson Electric Inc</v>
      </c>
    </row>
    <row r="561" spans="1:9" ht="15.5" x14ac:dyDescent="0.35">
      <c r="A561" s="16" t="str">
        <f>HYPERLINK(_xlfn.CONCAT(Edit_URL,Tasks[[#This Row],[Ref]]),Tasks[[#This Row],[Ref]])</f>
        <v>T74290.358</v>
      </c>
      <c r="B561" s="15" t="str" cm="1">
        <f t="array" ref="B561">_xlfn.SWITCH(LEFT(Tasks[[#This Row],[Status]],1),"O","Opened","C","Completed","S","Signed Off", "V", "Signed Off","ERROR")</f>
        <v>Opened</v>
      </c>
      <c r="C561" s="15" t="str" cm="1">
        <f t="array" ref="C561">_xlfn.SWITCH(LEFT(Tasks[[#This Row],[Type]], 3), "Fie", "Field Report", "Con", "Contractor QC", "Gen", "Contractor QC", "Pun", "Contractor QC", "Qua", "Contractor QC", "Fin", "Punch List")</f>
        <v>Contractor QC</v>
      </c>
      <c r="D561" s="15" t="str">
        <f>_xlfn.LET(
_xlpm.leftValue, TRIM(LEFT(Tasks[[#This Row],[Description]], 45)),
IF(LEN(_xlpm.leftValue) &lt; 40, _xlpm.leftValue, _xlfn.CONCAT(_xlpm.leftValue, "…"))
)</f>
        <v>Install sconce light</v>
      </c>
      <c r="E561" s="15" t="str" cm="1">
        <f t="array" ref="E561">_xlfn.LET(
_xlpm.inTower, COUNTIF(Tower_Num_Table[Tower Rm Numbers], LEFT(Task_Summary_Table[[#This Row],[Area/Room]], 3)) &gt; 0,
_xlpm.typeResult, _xlfn.SWITCH(LEFT(Tasks[[#This Row],[Page]], 2), "Hi", "Historic", "An", "Annex", "Si", "Site", "S5", "Project Task", "SWITCH ERROR"),
IF(_xlpm.inTower, "West Tower", _xlpm.typeResult)
)</f>
        <v>Historic</v>
      </c>
      <c r="F561" s="15" t="str">
        <f>IFERROR(MID(Tasks[[#This Row],[Page]], FIND("Level", Tasks[[#This Row],[Page]]), 7), IF(ISNUMBER(FIND("Roof", Tasks[[#This Row],[Page]])), "Roof",  IF(ISNUMBER(FIND("S590", Tasks[[#This Row],[Page]])), "",  IF(ISNUMBER(FIND("Site", Tasks[[#This Row],[Page]])), "", "ERROR"))))</f>
        <v>Level 5</v>
      </c>
      <c r="G561" s="15" t="str">
        <f>IF(Tasks[[#This Row],[Location]]=0, "", Tasks[[#This Row],[Location]])</f>
        <v>Level 5 SE Stair Tower</v>
      </c>
      <c r="H561" s="15" t="str">
        <f>Tasks[[#This Row],[To Package]]</f>
        <v>Electrical</v>
      </c>
      <c r="I561" s="15" t="str">
        <f>Tasks[[#This Row],[To Organisation]]</f>
        <v>Wilkinson Electric Inc</v>
      </c>
    </row>
    <row r="562" spans="1:9" ht="15.5" x14ac:dyDescent="0.35">
      <c r="A562" s="16" t="str">
        <f>HYPERLINK(_xlfn.CONCAT(Edit_URL,Tasks[[#This Row],[Ref]]),Tasks[[#This Row],[Ref]])</f>
        <v>T74290.359</v>
      </c>
      <c r="B562" s="15" t="str" cm="1">
        <f t="array" ref="B562">_xlfn.SWITCH(LEFT(Tasks[[#This Row],[Status]],1),"O","Opened","C","Completed","S","Signed Off", "V", "Signed Off","ERROR")</f>
        <v>Opened</v>
      </c>
      <c r="C562" s="15" t="str" cm="1">
        <f t="array" ref="C562">_xlfn.SWITCH(LEFT(Tasks[[#This Row],[Type]], 3), "Fie", "Field Report", "Con", "Contractor QC", "Gen", "Contractor QC", "Pun", "Contractor QC", "Qua", "Contractor QC", "Fin", "Punch List")</f>
        <v>Contractor QC</v>
      </c>
      <c r="D562" s="15" t="str">
        <f>_xlfn.LET(
_xlpm.leftValue, TRIM(LEFT(Tasks[[#This Row],[Description]], 45)),
IF(LEN(_xlpm.leftValue) &lt; 40, _xlpm.leftValue, _xlfn.CONCAT(_xlpm.leftValue, "…"))
)</f>
        <v>Install sprinkler head covers￼</v>
      </c>
      <c r="E562" s="15" t="str" cm="1">
        <f t="array" ref="E562">_xlfn.LET(
_xlpm.inTower, COUNTIF(Tower_Num_Table[Tower Rm Numbers], LEFT(Task_Summary_Table[[#This Row],[Area/Room]], 3)) &gt; 0,
_xlpm.typeResult, _xlfn.SWITCH(LEFT(Tasks[[#This Row],[Page]], 2), "Hi", "Historic", "An", "Annex", "Si", "Site", "S5", "Project Task", "SWITCH ERROR"),
IF(_xlpm.inTower, "West Tower", _xlpm.typeResult)
)</f>
        <v>Historic</v>
      </c>
      <c r="F562" s="15" t="str">
        <f>IFERROR(MID(Tasks[[#This Row],[Page]], FIND("Level", Tasks[[#This Row],[Page]]), 7), IF(ISNUMBER(FIND("Roof", Tasks[[#This Row],[Page]])), "Roof",  IF(ISNUMBER(FIND("S590", Tasks[[#This Row],[Page]])), "",  IF(ISNUMBER(FIND("Site", Tasks[[#This Row],[Page]])), "", "ERROR"))))</f>
        <v>Level 5</v>
      </c>
      <c r="G562" s="15" t="str">
        <f>IF(Tasks[[#This Row],[Location]]=0, "", Tasks[[#This Row],[Location]])</f>
        <v>Level 5 SE Stair Tower</v>
      </c>
      <c r="H562" s="15" t="str">
        <f>Tasks[[#This Row],[To Package]]</f>
        <v>Fire Suppression</v>
      </c>
      <c r="I562" s="15" t="str">
        <f>Tasks[[#This Row],[To Organisation]]</f>
        <v>Broken Arrow Construction Corporation</v>
      </c>
    </row>
    <row r="563" spans="1:9" ht="15.5" x14ac:dyDescent="0.35">
      <c r="A563" s="16" t="str">
        <f>HYPERLINK(_xlfn.CONCAT(Edit_URL,Tasks[[#This Row],[Ref]]),Tasks[[#This Row],[Ref]])</f>
        <v>T74290.360</v>
      </c>
      <c r="B563" s="15" t="str" cm="1">
        <f t="array" ref="B563">_xlfn.SWITCH(LEFT(Tasks[[#This Row],[Status]],1),"O","Opened","C","Completed","S","Signed Off", "V", "Signed Off","ERROR")</f>
        <v>Opened</v>
      </c>
      <c r="C563" s="15" t="str" cm="1">
        <f t="array" ref="C563">_xlfn.SWITCH(LEFT(Tasks[[#This Row],[Type]], 3), "Fie", "Field Report", "Con", "Contractor QC", "Gen", "Contractor QC", "Pun", "Contractor QC", "Qua", "Contractor QC", "Fin", "Punch List")</f>
        <v>Contractor QC</v>
      </c>
      <c r="D563" s="15" t="str">
        <f>_xlfn.LET(
_xlpm.leftValue, TRIM(LEFT(Tasks[[#This Row],[Description]], 45)),
IF(LEN(_xlpm.leftValue) &lt; 40, _xlpm.leftValue, _xlfn.CONCAT(_xlpm.leftValue, "…"))
)</f>
        <v>Repair damage to doors</v>
      </c>
      <c r="E563" s="15" t="str" cm="1">
        <f t="array" ref="E563">_xlfn.LET(
_xlpm.inTower, COUNTIF(Tower_Num_Table[Tower Rm Numbers], LEFT(Task_Summary_Table[[#This Row],[Area/Room]], 3)) &gt; 0,
_xlpm.typeResult, _xlfn.SWITCH(LEFT(Tasks[[#This Row],[Page]], 2), "Hi", "Historic", "An", "Annex", "Si", "Site", "S5", "Project Task", "SWITCH ERROR"),
IF(_xlpm.inTower, "West Tower", _xlpm.typeResult)
)</f>
        <v>Historic</v>
      </c>
      <c r="F563" s="15" t="str">
        <f>IFERROR(MID(Tasks[[#This Row],[Page]], FIND("Level", Tasks[[#This Row],[Page]]), 7), IF(ISNUMBER(FIND("Roof", Tasks[[#This Row],[Page]])), "Roof",  IF(ISNUMBER(FIND("S590", Tasks[[#This Row],[Page]])), "",  IF(ISNUMBER(FIND("Site", Tasks[[#This Row],[Page]])), "", "ERROR"))))</f>
        <v>Level 4</v>
      </c>
      <c r="G563" s="15" t="str">
        <f>IF(Tasks[[#This Row],[Location]]=0, "", Tasks[[#This Row],[Location]])</f>
        <v>411 - Vestibule</v>
      </c>
      <c r="H563" s="15" t="str">
        <f>Tasks[[#This Row],[To Package]]</f>
        <v xml:space="preserve">Finish Carpentry </v>
      </c>
      <c r="I563" s="15" t="str">
        <f>Tasks[[#This Row],[To Organisation]]</f>
        <v>Fetzers' Inc.</v>
      </c>
    </row>
    <row r="564" spans="1:9" ht="15.5" x14ac:dyDescent="0.35">
      <c r="A564" s="16" t="str">
        <f>HYPERLINK(_xlfn.CONCAT(Edit_URL,Tasks[[#This Row],[Ref]]),Tasks[[#This Row],[Ref]])</f>
        <v>T74290.385</v>
      </c>
      <c r="B564" s="15" t="str" cm="1">
        <f t="array" ref="B564">_xlfn.SWITCH(LEFT(Tasks[[#This Row],[Status]],1),"O","Opened","C","Completed","S","Signed Off", "V", "Signed Off","ERROR")</f>
        <v>Opened</v>
      </c>
      <c r="C564" s="15" t="str" cm="1">
        <f t="array" ref="C564">_xlfn.SWITCH(LEFT(Tasks[[#This Row],[Type]], 3), "Fie", "Field Report", "Con", "Contractor QC", "Gen", "Contractor QC", "Pun", "Contractor QC", "Qua", "Contractor QC", "Fin", "Punch List")</f>
        <v>Contractor QC</v>
      </c>
      <c r="D564" s="15" t="str">
        <f>_xlfn.LET(
_xlpm.leftValue, TRIM(LEFT(Tasks[[#This Row],[Description]], 45)),
IF(LEN(_xlpm.leftValue) &lt; 40, _xlpm.leftValue, _xlfn.CONCAT(_xlpm.leftValue, "…"))
)</f>
        <v>Repair and touch up scratches</v>
      </c>
      <c r="E564" s="15" t="str" cm="1">
        <f t="array" ref="E564">_xlfn.LET(
_xlpm.inTower, COUNTIF(Tower_Num_Table[Tower Rm Numbers], LEFT(Task_Summary_Table[[#This Row],[Area/Room]], 3)) &gt; 0,
_xlpm.typeResult, _xlfn.SWITCH(LEFT(Tasks[[#This Row],[Page]], 2), "Hi", "Historic", "An", "Annex", "Si", "Site", "S5", "Project Task", "SWITCH ERROR"),
IF(_xlpm.inTower, "West Tower", _xlpm.typeResult)
)</f>
        <v>Historic</v>
      </c>
      <c r="F564" s="15" t="str">
        <f>IFERROR(MID(Tasks[[#This Row],[Page]], FIND("Level", Tasks[[#This Row],[Page]]), 7), IF(ISNUMBER(FIND("Roof", Tasks[[#This Row],[Page]])), "Roof",  IF(ISNUMBER(FIND("S590", Tasks[[#This Row],[Page]])), "",  IF(ISNUMBER(FIND("Site", Tasks[[#This Row],[Page]])), "", "ERROR"))))</f>
        <v>Level 0</v>
      </c>
      <c r="G564" s="15" t="str">
        <f>IF(Tasks[[#This Row],[Location]]=0, "", Tasks[[#This Row],[Location]])</f>
        <v>062 - Chapel</v>
      </c>
      <c r="H564" s="15" t="str">
        <f>Tasks[[#This Row],[To Package]]</f>
        <v>Audience Seating -- New Holland</v>
      </c>
      <c r="I564" s="15" t="str">
        <f>Tasks[[#This Row],[To Organisation]]</f>
        <v>New Holland Church Furniture</v>
      </c>
    </row>
    <row r="565" spans="1:9" ht="15.5" x14ac:dyDescent="0.35">
      <c r="A565" s="16" t="str">
        <f>HYPERLINK(_xlfn.CONCAT(Edit_URL,Tasks[[#This Row],[Ref]]),Tasks[[#This Row],[Ref]])</f>
        <v>T74290.386</v>
      </c>
      <c r="B565" s="15" t="str" cm="1">
        <f t="array" ref="B565">_xlfn.SWITCH(LEFT(Tasks[[#This Row],[Status]],1),"O","Opened","C","Completed","S","Signed Off", "V", "Signed Off","ERROR")</f>
        <v>Opened</v>
      </c>
      <c r="C565" s="15" t="str" cm="1">
        <f t="array" ref="C565">_xlfn.SWITCH(LEFT(Tasks[[#This Row],[Type]], 3), "Fie", "Field Report", "Con", "Contractor QC", "Gen", "Contractor QC", "Pun", "Contractor QC", "Qua", "Contractor QC", "Fin", "Punch List")</f>
        <v>Contractor QC</v>
      </c>
      <c r="D565" s="15" t="str">
        <f>_xlfn.LET(
_xlpm.leftValue, TRIM(LEFT(Tasks[[#This Row],[Description]], 45)),
IF(LEN(_xlpm.leftValue) &lt; 40, _xlpm.leftValue, _xlfn.CONCAT(_xlpm.leftValue, "…"))
)</f>
        <v>Finish grinding marble base</v>
      </c>
      <c r="E565" s="15" t="str" cm="1">
        <f t="array" ref="E565">_xlfn.LET(
_xlpm.inTower, COUNTIF(Tower_Num_Table[Tower Rm Numbers], LEFT(Task_Summary_Table[[#This Row],[Area/Room]], 3)) &gt; 0,
_xlpm.typeResult, _xlfn.SWITCH(LEFT(Tasks[[#This Row],[Page]], 2), "Hi", "Historic", "An", "Annex", "Si", "Site", "S5", "Project Task", "SWITCH ERROR"),
IF(_xlpm.inTower, "West Tower", _xlpm.typeResult)
)</f>
        <v>Historic</v>
      </c>
      <c r="F565" s="15" t="str">
        <f>IFERROR(MID(Tasks[[#This Row],[Page]], FIND("Level", Tasks[[#This Row],[Page]]), 7), IF(ISNUMBER(FIND("Roof", Tasks[[#This Row],[Page]])), "Roof",  IF(ISNUMBER(FIND("S590", Tasks[[#This Row],[Page]])), "",  IF(ISNUMBER(FIND("Site", Tasks[[#This Row],[Page]])), "", "ERROR"))))</f>
        <v>Level 0</v>
      </c>
      <c r="G565" s="15" t="str">
        <f>IF(Tasks[[#This Row],[Location]]=0, "", Tasks[[#This Row],[Location]])</f>
        <v>062 - Chapel</v>
      </c>
      <c r="H565" s="15" t="str">
        <f>Tasks[[#This Row],[To Package]]</f>
        <v>Tile</v>
      </c>
      <c r="I565" s="15" t="str">
        <f>Tasks[[#This Row],[To Organisation]]</f>
        <v>Global Stone and Tile, LLC</v>
      </c>
    </row>
    <row r="566" spans="1:9" ht="15.5" x14ac:dyDescent="0.35">
      <c r="A566" s="16" t="str">
        <f>HYPERLINK(_xlfn.CONCAT(Edit_URL,Tasks[[#This Row],[Ref]]),Tasks[[#This Row],[Ref]])</f>
        <v>T74290.387</v>
      </c>
      <c r="B566" s="15" t="str" cm="1">
        <f t="array" ref="B566">_xlfn.SWITCH(LEFT(Tasks[[#This Row],[Status]],1),"O","Opened","C","Completed","S","Signed Off", "V", "Signed Off","ERROR")</f>
        <v>Opened</v>
      </c>
      <c r="C566" s="15" t="str" cm="1">
        <f t="array" ref="C566">_xlfn.SWITCH(LEFT(Tasks[[#This Row],[Type]], 3), "Fie", "Field Report", "Con", "Contractor QC", "Gen", "Contractor QC", "Pun", "Contractor QC", "Qua", "Contractor QC", "Fin", "Punch List")</f>
        <v>Contractor QC</v>
      </c>
      <c r="D566" s="15" t="str">
        <f>_xlfn.LET(
_xlpm.leftValue, TRIM(LEFT(Tasks[[#This Row],[Description]], 45)),
IF(LEN(_xlpm.leftValue) &lt; 40, _xlpm.leftValue, _xlfn.CONCAT(_xlpm.leftValue, "…"))
)</f>
        <v>Fill nail holes on back right</v>
      </c>
      <c r="E566" s="15" t="str" cm="1">
        <f t="array" ref="E566">_xlfn.LET(
_xlpm.inTower, COUNTIF(Tower_Num_Table[Tower Rm Numbers], LEFT(Task_Summary_Table[[#This Row],[Area/Room]], 3)) &gt; 0,
_xlpm.typeResult, _xlfn.SWITCH(LEFT(Tasks[[#This Row],[Page]], 2), "Hi", "Historic", "An", "Annex", "Si", "Site", "S5", "Project Task", "SWITCH ERROR"),
IF(_xlpm.inTower, "West Tower", _xlpm.typeResult)
)</f>
        <v>Historic</v>
      </c>
      <c r="F566" s="15" t="str">
        <f>IFERROR(MID(Tasks[[#This Row],[Page]], FIND("Level", Tasks[[#This Row],[Page]]), 7), IF(ISNUMBER(FIND("Roof", Tasks[[#This Row],[Page]])), "Roof",  IF(ISNUMBER(FIND("S590", Tasks[[#This Row],[Page]])), "",  IF(ISNUMBER(FIND("Site", Tasks[[#This Row],[Page]])), "", "ERROR"))))</f>
        <v>Level 0</v>
      </c>
      <c r="G566" s="15" t="str">
        <f>IF(Tasks[[#This Row],[Location]]=0, "", Tasks[[#This Row],[Location]])</f>
        <v>062 - Chapel</v>
      </c>
      <c r="H566" s="15" t="str">
        <f>Tasks[[#This Row],[To Package]]</f>
        <v>Audience Seating -- New Holland</v>
      </c>
      <c r="I566" s="15" t="str">
        <f>Tasks[[#This Row],[To Organisation]]</f>
        <v>New Holland Church Furniture</v>
      </c>
    </row>
    <row r="567" spans="1:9" ht="15.5" x14ac:dyDescent="0.35">
      <c r="A567" s="16" t="str">
        <f>HYPERLINK(_xlfn.CONCAT(Edit_URL,Tasks[[#This Row],[Ref]]),Tasks[[#This Row],[Ref]])</f>
        <v>T74290.388</v>
      </c>
      <c r="B567" s="15" t="str" cm="1">
        <f t="array" ref="B567">_xlfn.SWITCH(LEFT(Tasks[[#This Row],[Status]],1),"O","Opened","C","Completed","S","Signed Off", "V", "Signed Off","ERROR")</f>
        <v>Opened</v>
      </c>
      <c r="C567" s="15" t="str" cm="1">
        <f t="array" ref="C567">_xlfn.SWITCH(LEFT(Tasks[[#This Row],[Type]], 3), "Fie", "Field Report", "Con", "Contractor QC", "Gen", "Contractor QC", "Pun", "Contractor QC", "Qua", "Contractor QC", "Fin", "Punch List")</f>
        <v>Contractor QC</v>
      </c>
      <c r="D567" s="15" t="str">
        <f>_xlfn.LET(
_xlpm.leftValue, TRIM(LEFT(Tasks[[#This Row],[Description]], 45)),
IF(LEN(_xlpm.leftValue) &lt; 40, _xlpm.leftValue, _xlfn.CONCAT(_xlpm.leftValue, "…"))
)</f>
        <v>Fill nail holes on back left</v>
      </c>
      <c r="E567" s="15" t="str" cm="1">
        <f t="array" ref="E567">_xlfn.LET(
_xlpm.inTower, COUNTIF(Tower_Num_Table[Tower Rm Numbers], LEFT(Task_Summary_Table[[#This Row],[Area/Room]], 3)) &gt; 0,
_xlpm.typeResult, _xlfn.SWITCH(LEFT(Tasks[[#This Row],[Page]], 2), "Hi", "Historic", "An", "Annex", "Si", "Site", "S5", "Project Task", "SWITCH ERROR"),
IF(_xlpm.inTower, "West Tower", _xlpm.typeResult)
)</f>
        <v>Historic</v>
      </c>
      <c r="F567" s="15" t="str">
        <f>IFERROR(MID(Tasks[[#This Row],[Page]], FIND("Level", Tasks[[#This Row],[Page]]), 7), IF(ISNUMBER(FIND("Roof", Tasks[[#This Row],[Page]])), "Roof",  IF(ISNUMBER(FIND("S590", Tasks[[#This Row],[Page]])), "",  IF(ISNUMBER(FIND("Site", Tasks[[#This Row],[Page]])), "", "ERROR"))))</f>
        <v>Level 0</v>
      </c>
      <c r="G567" s="15" t="str">
        <f>IF(Tasks[[#This Row],[Location]]=0, "", Tasks[[#This Row],[Location]])</f>
        <v>062 - Chapel</v>
      </c>
      <c r="H567" s="15" t="str">
        <f>Tasks[[#This Row],[To Package]]</f>
        <v>Audience Seating -- New Holland</v>
      </c>
      <c r="I567" s="15" t="str">
        <f>Tasks[[#This Row],[To Organisation]]</f>
        <v>New Holland Church Furniture</v>
      </c>
    </row>
    <row r="568" spans="1:9" ht="15.5" x14ac:dyDescent="0.35">
      <c r="A568" s="16" t="str">
        <f>HYPERLINK(_xlfn.CONCAT(Edit_URL,Tasks[[#This Row],[Ref]]),Tasks[[#This Row],[Ref]])</f>
        <v>T74290.389</v>
      </c>
      <c r="B568" s="15" t="str" cm="1">
        <f t="array" ref="B568">_xlfn.SWITCH(LEFT(Tasks[[#This Row],[Status]],1),"O","Opened","C","Completed","S","Signed Off", "V", "Signed Off","ERROR")</f>
        <v>Opened</v>
      </c>
      <c r="C568" s="15" t="str" cm="1">
        <f t="array" ref="C568">_xlfn.SWITCH(LEFT(Tasks[[#This Row],[Type]], 3), "Fie", "Field Report", "Con", "Contractor QC", "Gen", "Contractor QC", "Pun", "Contractor QC", "Qua", "Contractor QC", "Fin", "Punch List")</f>
        <v>Contractor QC</v>
      </c>
      <c r="D568" s="15" t="str">
        <f>_xlfn.LET(
_xlpm.leftValue, TRIM(LEFT(Tasks[[#This Row],[Description]], 45)),
IF(LEN(_xlpm.leftValue) &lt; 40, _xlpm.leftValue, _xlfn.CONCAT(_xlpm.leftValue, "…"))
)</f>
        <v>Repair and touch up right</v>
      </c>
      <c r="E568" s="15" t="str" cm="1">
        <f t="array" ref="E568">_xlfn.LET(
_xlpm.inTower, COUNTIF(Tower_Num_Table[Tower Rm Numbers], LEFT(Task_Summary_Table[[#This Row],[Area/Room]], 3)) &gt; 0,
_xlpm.typeResult, _xlfn.SWITCH(LEFT(Tasks[[#This Row],[Page]], 2), "Hi", "Historic", "An", "Annex", "Si", "Site", "S5", "Project Task", "SWITCH ERROR"),
IF(_xlpm.inTower, "West Tower", _xlpm.typeResult)
)</f>
        <v>Historic</v>
      </c>
      <c r="F568" s="15" t="str">
        <f>IFERROR(MID(Tasks[[#This Row],[Page]], FIND("Level", Tasks[[#This Row],[Page]]), 7), IF(ISNUMBER(FIND("Roof", Tasks[[#This Row],[Page]])), "Roof",  IF(ISNUMBER(FIND("S590", Tasks[[#This Row],[Page]])), "",  IF(ISNUMBER(FIND("Site", Tasks[[#This Row],[Page]])), "", "ERROR"))))</f>
        <v>Level 0</v>
      </c>
      <c r="G568" s="15" t="str">
        <f>IF(Tasks[[#This Row],[Location]]=0, "", Tasks[[#This Row],[Location]])</f>
        <v>062 - Chapel</v>
      </c>
      <c r="H568" s="15" t="str">
        <f>Tasks[[#This Row],[To Package]]</f>
        <v>Audience Seating -- New Holland</v>
      </c>
      <c r="I568" s="15" t="str">
        <f>Tasks[[#This Row],[To Organisation]]</f>
        <v>New Holland Church Furniture</v>
      </c>
    </row>
    <row r="569" spans="1:9" ht="15.5" x14ac:dyDescent="0.35">
      <c r="A569" s="16" t="str">
        <f>HYPERLINK(_xlfn.CONCAT(Edit_URL,Tasks[[#This Row],[Ref]]),Tasks[[#This Row],[Ref]])</f>
        <v>T74290.390</v>
      </c>
      <c r="B569" s="15" t="str" cm="1">
        <f t="array" ref="B569">_xlfn.SWITCH(LEFT(Tasks[[#This Row],[Status]],1),"O","Opened","C","Completed","S","Signed Off", "V", "Signed Off","ERROR")</f>
        <v>Opened</v>
      </c>
      <c r="C569" s="15" t="str" cm="1">
        <f t="array" ref="C569">_xlfn.SWITCH(LEFT(Tasks[[#This Row],[Type]], 3), "Fie", "Field Report", "Con", "Contractor QC", "Gen", "Contractor QC", "Pun", "Contractor QC", "Qua", "Contractor QC", "Fin", "Punch List")</f>
        <v>Contractor QC</v>
      </c>
      <c r="D569" s="15" t="str">
        <f>_xlfn.LET(
_xlpm.leftValue, TRIM(LEFT(Tasks[[#This Row],[Description]], 45)),
IF(LEN(_xlpm.leftValue) &lt; 40, _xlpm.leftValue, _xlfn.CONCAT(_xlpm.leftValue, "…"))
)</f>
        <v>Replace base cap</v>
      </c>
      <c r="E569" s="15" t="str" cm="1">
        <f t="array" ref="E569">_xlfn.LET(
_xlpm.inTower, COUNTIF(Tower_Num_Table[Tower Rm Numbers], LEFT(Task_Summary_Table[[#This Row],[Area/Room]], 3)) &gt; 0,
_xlpm.typeResult, _xlfn.SWITCH(LEFT(Tasks[[#This Row],[Page]], 2), "Hi", "Historic", "An", "Annex", "Si", "Site", "S5", "Project Task", "SWITCH ERROR"),
IF(_xlpm.inTower, "West Tower", _xlpm.typeResult)
)</f>
        <v>Historic</v>
      </c>
      <c r="F569" s="15" t="str">
        <f>IFERROR(MID(Tasks[[#This Row],[Page]], FIND("Level", Tasks[[#This Row],[Page]]), 7), IF(ISNUMBER(FIND("Roof", Tasks[[#This Row],[Page]])), "Roof",  IF(ISNUMBER(FIND("S590", Tasks[[#This Row],[Page]])), "",  IF(ISNUMBER(FIND("Site", Tasks[[#This Row],[Page]])), "", "ERROR"))))</f>
        <v>Level 0</v>
      </c>
      <c r="G569" s="15" t="str">
        <f>IF(Tasks[[#This Row],[Location]]=0, "", Tasks[[#This Row],[Location]])</f>
        <v>062 - Chapel</v>
      </c>
      <c r="H569" s="15" t="str">
        <f>Tasks[[#This Row],[To Package]]</f>
        <v>Audience Seating -- New Holland</v>
      </c>
      <c r="I569" s="15" t="str">
        <f>Tasks[[#This Row],[To Organisation]]</f>
        <v>New Holland Church Furniture</v>
      </c>
    </row>
    <row r="570" spans="1:9" ht="15.5" x14ac:dyDescent="0.35">
      <c r="A570" s="16" t="str">
        <f>HYPERLINK(_xlfn.CONCAT(Edit_URL,Tasks[[#This Row],[Ref]]),Tasks[[#This Row],[Ref]])</f>
        <v>T74290.391</v>
      </c>
      <c r="B570" s="15" t="str" cm="1">
        <f t="array" ref="B570">_xlfn.SWITCH(LEFT(Tasks[[#This Row],[Status]],1),"O","Opened","C","Completed","S","Signed Off", "V", "Signed Off","ERROR")</f>
        <v>Opened</v>
      </c>
      <c r="C570" s="15" t="str" cm="1">
        <f t="array" ref="C570">_xlfn.SWITCH(LEFT(Tasks[[#This Row],[Type]], 3), "Fie", "Field Report", "Con", "Contractor QC", "Gen", "Contractor QC", "Pun", "Contractor QC", "Qua", "Contractor QC", "Fin", "Punch List")</f>
        <v>Contractor QC</v>
      </c>
      <c r="D570" s="15" t="str">
        <f>_xlfn.LET(
_xlpm.leftValue, TRIM(LEFT(Tasks[[#This Row],[Description]], 45)),
IF(LEN(_xlpm.leftValue) &lt; 40, _xlpm.leftValue, _xlfn.CONCAT(_xlpm.leftValue, "…"))
)</f>
        <v>Touch up top rail</v>
      </c>
      <c r="E570" s="15" t="str" cm="1">
        <f t="array" ref="E570">_xlfn.LET(
_xlpm.inTower, COUNTIF(Tower_Num_Table[Tower Rm Numbers], LEFT(Task_Summary_Table[[#This Row],[Area/Room]], 3)) &gt; 0,
_xlpm.typeResult, _xlfn.SWITCH(LEFT(Tasks[[#This Row],[Page]], 2), "Hi", "Historic", "An", "Annex", "Si", "Site", "S5", "Project Task", "SWITCH ERROR"),
IF(_xlpm.inTower, "West Tower", _xlpm.typeResult)
)</f>
        <v>Historic</v>
      </c>
      <c r="F570" s="15" t="str">
        <f>IFERROR(MID(Tasks[[#This Row],[Page]], FIND("Level", Tasks[[#This Row],[Page]]), 7), IF(ISNUMBER(FIND("Roof", Tasks[[#This Row],[Page]])), "Roof",  IF(ISNUMBER(FIND("S590", Tasks[[#This Row],[Page]])), "",  IF(ISNUMBER(FIND("Site", Tasks[[#This Row],[Page]])), "", "ERROR"))))</f>
        <v>Level 0</v>
      </c>
      <c r="G570" s="15" t="str">
        <f>IF(Tasks[[#This Row],[Location]]=0, "", Tasks[[#This Row],[Location]])</f>
        <v>062 - Chapel</v>
      </c>
      <c r="H570" s="15" t="str">
        <f>Tasks[[#This Row],[To Package]]</f>
        <v>Audience Seating -- New Holland</v>
      </c>
      <c r="I570" s="15" t="str">
        <f>Tasks[[#This Row],[To Organisation]]</f>
        <v>New Holland Church Furniture</v>
      </c>
    </row>
    <row r="571" spans="1:9" ht="15.5" x14ac:dyDescent="0.35">
      <c r="A571" s="16" t="str">
        <f>HYPERLINK(_xlfn.CONCAT(Edit_URL,Tasks[[#This Row],[Ref]]),Tasks[[#This Row],[Ref]])</f>
        <v>T74290.392</v>
      </c>
      <c r="B571" s="15" t="str" cm="1">
        <f t="array" ref="B571">_xlfn.SWITCH(LEFT(Tasks[[#This Row],[Status]],1),"O","Opened","C","Completed","S","Signed Off", "V", "Signed Off","ERROR")</f>
        <v>Opened</v>
      </c>
      <c r="C571" s="15" t="str" cm="1">
        <f t="array" ref="C571">_xlfn.SWITCH(LEFT(Tasks[[#This Row],[Type]], 3), "Fie", "Field Report", "Con", "Contractor QC", "Gen", "Contractor QC", "Pun", "Contractor QC", "Qua", "Contractor QC", "Fin", "Punch List")</f>
        <v>Contractor QC</v>
      </c>
      <c r="D571" s="15" t="str">
        <f>_xlfn.LET(
_xlpm.leftValue, TRIM(LEFT(Tasks[[#This Row],[Description]], 45)),
IF(LEN(_xlpm.leftValue) &lt; 40, _xlpm.leftValue, _xlfn.CONCAT(_xlpm.leftValue, "…"))
)</f>
        <v>Touch up left side panel</v>
      </c>
      <c r="E571" s="15" t="str" cm="1">
        <f t="array" ref="E571">_xlfn.LET(
_xlpm.inTower, COUNTIF(Tower_Num_Table[Tower Rm Numbers], LEFT(Task_Summary_Table[[#This Row],[Area/Room]], 3)) &gt; 0,
_xlpm.typeResult, _xlfn.SWITCH(LEFT(Tasks[[#This Row],[Page]], 2), "Hi", "Historic", "An", "Annex", "Si", "Site", "S5", "Project Task", "SWITCH ERROR"),
IF(_xlpm.inTower, "West Tower", _xlpm.typeResult)
)</f>
        <v>Historic</v>
      </c>
      <c r="F571" s="15" t="str">
        <f>IFERROR(MID(Tasks[[#This Row],[Page]], FIND("Level", Tasks[[#This Row],[Page]]), 7), IF(ISNUMBER(FIND("Roof", Tasks[[#This Row],[Page]])), "Roof",  IF(ISNUMBER(FIND("S590", Tasks[[#This Row],[Page]])), "",  IF(ISNUMBER(FIND("Site", Tasks[[#This Row],[Page]])), "", "ERROR"))))</f>
        <v>Level 0</v>
      </c>
      <c r="G571" s="15" t="str">
        <f>IF(Tasks[[#This Row],[Location]]=0, "", Tasks[[#This Row],[Location]])</f>
        <v>062 - Chapel</v>
      </c>
      <c r="H571" s="15" t="str">
        <f>Tasks[[#This Row],[To Package]]</f>
        <v>Audience Seating -- New Holland</v>
      </c>
      <c r="I571" s="15" t="str">
        <f>Tasks[[#This Row],[To Organisation]]</f>
        <v>New Holland Church Furniture</v>
      </c>
    </row>
    <row r="572" spans="1:9" ht="15.5" x14ac:dyDescent="0.35">
      <c r="A572" s="16" t="str">
        <f>HYPERLINK(_xlfn.CONCAT(Edit_URL,Tasks[[#This Row],[Ref]]),Tasks[[#This Row],[Ref]])</f>
        <v>T74290.393</v>
      </c>
      <c r="B572" s="15" t="str" cm="1">
        <f t="array" ref="B572">_xlfn.SWITCH(LEFT(Tasks[[#This Row],[Status]],1),"O","Opened","C","Completed","S","Signed Off", "V", "Signed Off","ERROR")</f>
        <v>Opened</v>
      </c>
      <c r="C572" s="15" t="str" cm="1">
        <f t="array" ref="C572">_xlfn.SWITCH(LEFT(Tasks[[#This Row],[Type]], 3), "Fie", "Field Report", "Con", "Contractor QC", "Gen", "Contractor QC", "Pun", "Contractor QC", "Qua", "Contractor QC", "Fin", "Punch List")</f>
        <v>Contractor QC</v>
      </c>
      <c r="D572" s="15" t="str">
        <f>_xlfn.LET(
_xlpm.leftValue, TRIM(LEFT(Tasks[[#This Row],[Description]], 45)),
IF(LEN(_xlpm.leftValue) &lt; 40, _xlpm.leftValue, _xlfn.CONCAT(_xlpm.leftValue, "…"))
)</f>
        <v>Touch up top of arm rest</v>
      </c>
      <c r="E572" s="15" t="str" cm="1">
        <f t="array" ref="E572">_xlfn.LET(
_xlpm.inTower, COUNTIF(Tower_Num_Table[Tower Rm Numbers], LEFT(Task_Summary_Table[[#This Row],[Area/Room]], 3)) &gt; 0,
_xlpm.typeResult, _xlfn.SWITCH(LEFT(Tasks[[#This Row],[Page]], 2), "Hi", "Historic", "An", "Annex", "Si", "Site", "S5", "Project Task", "SWITCH ERROR"),
IF(_xlpm.inTower, "West Tower", _xlpm.typeResult)
)</f>
        <v>Historic</v>
      </c>
      <c r="F572" s="15" t="str">
        <f>IFERROR(MID(Tasks[[#This Row],[Page]], FIND("Level", Tasks[[#This Row],[Page]]), 7), IF(ISNUMBER(FIND("Roof", Tasks[[#This Row],[Page]])), "Roof",  IF(ISNUMBER(FIND("S590", Tasks[[#This Row],[Page]])), "",  IF(ISNUMBER(FIND("Site", Tasks[[#This Row],[Page]])), "", "ERROR"))))</f>
        <v>Level 0</v>
      </c>
      <c r="G572" s="15" t="str">
        <f>IF(Tasks[[#This Row],[Location]]=0, "", Tasks[[#This Row],[Location]])</f>
        <v>062 - Chapel</v>
      </c>
      <c r="H572" s="15" t="str">
        <f>Tasks[[#This Row],[To Package]]</f>
        <v>Audience Seating -- New Holland</v>
      </c>
      <c r="I572" s="15" t="str">
        <f>Tasks[[#This Row],[To Organisation]]</f>
        <v>New Holland Church Furniture</v>
      </c>
    </row>
    <row r="573" spans="1:9" ht="15.5" x14ac:dyDescent="0.35">
      <c r="A573" s="16" t="str">
        <f>HYPERLINK(_xlfn.CONCAT(Edit_URL,Tasks[[#This Row],[Ref]]),Tasks[[#This Row],[Ref]])</f>
        <v>T74290.394</v>
      </c>
      <c r="B573" s="15" t="str" cm="1">
        <f t="array" ref="B573">_xlfn.SWITCH(LEFT(Tasks[[#This Row],[Status]],1),"O","Opened","C","Completed","S","Signed Off", "V", "Signed Off","ERROR")</f>
        <v>Opened</v>
      </c>
      <c r="C573" s="15" t="str" cm="1">
        <f t="array" ref="C573">_xlfn.SWITCH(LEFT(Tasks[[#This Row],[Type]], 3), "Fie", "Field Report", "Con", "Contractor QC", "Gen", "Contractor QC", "Pun", "Contractor QC", "Qua", "Contractor QC", "Fin", "Punch List")</f>
        <v>Contractor QC</v>
      </c>
      <c r="D573" s="15" t="str">
        <f>_xlfn.LET(
_xlpm.leftValue, TRIM(LEFT(Tasks[[#This Row],[Description]], 45)),
IF(LEN(_xlpm.leftValue) &lt; 40, _xlpm.leftValue, _xlfn.CONCAT(_xlpm.leftValue, "…"))
)</f>
        <v>Fill nail holes on back right side</v>
      </c>
      <c r="E573" s="15" t="str" cm="1">
        <f t="array" ref="E573">_xlfn.LET(
_xlpm.inTower, COUNTIF(Tower_Num_Table[Tower Rm Numbers], LEFT(Task_Summary_Table[[#This Row],[Area/Room]], 3)) &gt; 0,
_xlpm.typeResult, _xlfn.SWITCH(LEFT(Tasks[[#This Row],[Page]], 2), "Hi", "Historic", "An", "Annex", "Si", "Site", "S5", "Project Task", "SWITCH ERROR"),
IF(_xlpm.inTower, "West Tower", _xlpm.typeResult)
)</f>
        <v>Historic</v>
      </c>
      <c r="F573" s="15" t="str">
        <f>IFERROR(MID(Tasks[[#This Row],[Page]], FIND("Level", Tasks[[#This Row],[Page]]), 7), IF(ISNUMBER(FIND("Roof", Tasks[[#This Row],[Page]])), "Roof",  IF(ISNUMBER(FIND("S590", Tasks[[#This Row],[Page]])), "",  IF(ISNUMBER(FIND("Site", Tasks[[#This Row],[Page]])), "", "ERROR"))))</f>
        <v>Level 0</v>
      </c>
      <c r="G573" s="15" t="str">
        <f>IF(Tasks[[#This Row],[Location]]=0, "", Tasks[[#This Row],[Location]])</f>
        <v>062 - Chapel</v>
      </c>
      <c r="H573" s="15" t="str">
        <f>Tasks[[#This Row],[To Package]]</f>
        <v>Audience Seating -- New Holland</v>
      </c>
      <c r="I573" s="15" t="str">
        <f>Tasks[[#This Row],[To Organisation]]</f>
        <v>New Holland Church Furniture</v>
      </c>
    </row>
    <row r="574" spans="1:9" ht="15.5" x14ac:dyDescent="0.35">
      <c r="A574" s="16" t="str">
        <f>HYPERLINK(_xlfn.CONCAT(Edit_URL,Tasks[[#This Row],[Ref]]),Tasks[[#This Row],[Ref]])</f>
        <v>T74290.395</v>
      </c>
      <c r="B574" s="15" t="str" cm="1">
        <f t="array" ref="B574">_xlfn.SWITCH(LEFT(Tasks[[#This Row],[Status]],1),"O","Opened","C","Completed","S","Signed Off", "V", "Signed Off","ERROR")</f>
        <v>Opened</v>
      </c>
      <c r="C574" s="15" t="str" cm="1">
        <f t="array" ref="C574">_xlfn.SWITCH(LEFT(Tasks[[#This Row],[Type]], 3), "Fie", "Field Report", "Con", "Contractor QC", "Gen", "Contractor QC", "Pun", "Contractor QC", "Qua", "Contractor QC", "Fin", "Punch List")</f>
        <v>Contractor QC</v>
      </c>
      <c r="D574" s="15" t="str">
        <f>_xlfn.LET(
_xlpm.leftValue, TRIM(LEFT(Tasks[[#This Row],[Description]], 45)),
IF(LEN(_xlpm.leftValue) &lt; 40, _xlpm.leftValue, _xlfn.CONCAT(_xlpm.leftValue, "…"))
)</f>
        <v>Repair and touch up on top handrail</v>
      </c>
      <c r="E574" s="15" t="str" cm="1">
        <f t="array" ref="E574">_xlfn.LET(
_xlpm.inTower, COUNTIF(Tower_Num_Table[Tower Rm Numbers], LEFT(Task_Summary_Table[[#This Row],[Area/Room]], 3)) &gt; 0,
_xlpm.typeResult, _xlfn.SWITCH(LEFT(Tasks[[#This Row],[Page]], 2), "Hi", "Historic", "An", "Annex", "Si", "Site", "S5", "Project Task", "SWITCH ERROR"),
IF(_xlpm.inTower, "West Tower", _xlpm.typeResult)
)</f>
        <v>Historic</v>
      </c>
      <c r="F574" s="15" t="str">
        <f>IFERROR(MID(Tasks[[#This Row],[Page]], FIND("Level", Tasks[[#This Row],[Page]]), 7), IF(ISNUMBER(FIND("Roof", Tasks[[#This Row],[Page]])), "Roof",  IF(ISNUMBER(FIND("S590", Tasks[[#This Row],[Page]])), "",  IF(ISNUMBER(FIND("Site", Tasks[[#This Row],[Page]])), "", "ERROR"))))</f>
        <v>Level 0</v>
      </c>
      <c r="G574" s="15" t="str">
        <f>IF(Tasks[[#This Row],[Location]]=0, "", Tasks[[#This Row],[Location]])</f>
        <v>062 - Chapel</v>
      </c>
      <c r="H574" s="15" t="str">
        <f>Tasks[[#This Row],[To Package]]</f>
        <v>Audience Seating -- New Holland</v>
      </c>
      <c r="I574" s="15" t="str">
        <f>Tasks[[#This Row],[To Organisation]]</f>
        <v>New Holland Church Furniture</v>
      </c>
    </row>
    <row r="575" spans="1:9" ht="15.5" x14ac:dyDescent="0.35">
      <c r="A575" s="16" t="str">
        <f>HYPERLINK(_xlfn.CONCAT(Edit_URL,Tasks[[#This Row],[Ref]]),Tasks[[#This Row],[Ref]])</f>
        <v>T74290.396</v>
      </c>
      <c r="B575" s="15" t="str" cm="1">
        <f t="array" ref="B575">_xlfn.SWITCH(LEFT(Tasks[[#This Row],[Status]],1),"O","Opened","C","Completed","S","Signed Off", "V", "Signed Off","ERROR")</f>
        <v>Opened</v>
      </c>
      <c r="C575" s="15" t="str" cm="1">
        <f t="array" ref="C575">_xlfn.SWITCH(LEFT(Tasks[[#This Row],[Type]], 3), "Fie", "Field Report", "Con", "Contractor QC", "Gen", "Contractor QC", "Pun", "Contractor QC", "Qua", "Contractor QC", "Fin", "Punch List")</f>
        <v>Contractor QC</v>
      </c>
      <c r="D575" s="15" t="str">
        <f>_xlfn.LET(
_xlpm.leftValue, TRIM(LEFT(Tasks[[#This Row],[Description]], 45)),
IF(LEN(_xlpm.leftValue) &lt; 40, _xlpm.leftValue, _xlfn.CONCAT(_xlpm.leftValue, "…"))
)</f>
        <v>Repair and touch up scratches on inside left…</v>
      </c>
      <c r="E575" s="15" t="str" cm="1">
        <f t="array" ref="E575">_xlfn.LET(
_xlpm.inTower, COUNTIF(Tower_Num_Table[Tower Rm Numbers], LEFT(Task_Summary_Table[[#This Row],[Area/Room]], 3)) &gt; 0,
_xlpm.typeResult, _xlfn.SWITCH(LEFT(Tasks[[#This Row],[Page]], 2), "Hi", "Historic", "An", "Annex", "Si", "Site", "S5", "Project Task", "SWITCH ERROR"),
IF(_xlpm.inTower, "West Tower", _xlpm.typeResult)
)</f>
        <v>Historic</v>
      </c>
      <c r="F575" s="15" t="str">
        <f>IFERROR(MID(Tasks[[#This Row],[Page]], FIND("Level", Tasks[[#This Row],[Page]]), 7), IF(ISNUMBER(FIND("Roof", Tasks[[#This Row],[Page]])), "Roof",  IF(ISNUMBER(FIND("S590", Tasks[[#This Row],[Page]])), "",  IF(ISNUMBER(FIND("Site", Tasks[[#This Row],[Page]])), "", "ERROR"))))</f>
        <v>Level 0</v>
      </c>
      <c r="G575" s="15" t="str">
        <f>IF(Tasks[[#This Row],[Location]]=0, "", Tasks[[#This Row],[Location]])</f>
        <v>062 - Chapel</v>
      </c>
      <c r="H575" s="15" t="str">
        <f>Tasks[[#This Row],[To Package]]</f>
        <v>Audience Seating -- New Holland</v>
      </c>
      <c r="I575" s="15" t="str">
        <f>Tasks[[#This Row],[To Organisation]]</f>
        <v>New Holland Church Furniture</v>
      </c>
    </row>
    <row r="576" spans="1:9" ht="15.5" x14ac:dyDescent="0.35">
      <c r="A576" s="16" t="str">
        <f>HYPERLINK(_xlfn.CONCAT(Edit_URL,Tasks[[#This Row],[Ref]]),Tasks[[#This Row],[Ref]])</f>
        <v>T74290.397</v>
      </c>
      <c r="B576" s="15" t="str" cm="1">
        <f t="array" ref="B576">_xlfn.SWITCH(LEFT(Tasks[[#This Row],[Status]],1),"O","Opened","C","Completed","S","Signed Off", "V", "Signed Off","ERROR")</f>
        <v>Opened</v>
      </c>
      <c r="C576" s="15" t="str" cm="1">
        <f t="array" ref="C576">_xlfn.SWITCH(LEFT(Tasks[[#This Row],[Type]], 3), "Fie", "Field Report", "Con", "Contractor QC", "Gen", "Contractor QC", "Pun", "Contractor QC", "Qua", "Contractor QC", "Fin", "Punch List")</f>
        <v>Contractor QC</v>
      </c>
      <c r="D576" s="15" t="str">
        <f>_xlfn.LET(
_xlpm.leftValue, TRIM(LEFT(Tasks[[#This Row],[Description]], 45)),
IF(LEN(_xlpm.leftValue) &lt; 40, _xlpm.leftValue, _xlfn.CONCAT(_xlpm.leftValue, "…"))
)</f>
        <v>Touch up top left arm rest</v>
      </c>
      <c r="E576" s="15" t="str" cm="1">
        <f t="array" ref="E576">_xlfn.LET(
_xlpm.inTower, COUNTIF(Tower_Num_Table[Tower Rm Numbers], LEFT(Task_Summary_Table[[#This Row],[Area/Room]], 3)) &gt; 0,
_xlpm.typeResult, _xlfn.SWITCH(LEFT(Tasks[[#This Row],[Page]], 2), "Hi", "Historic", "An", "Annex", "Si", "Site", "S5", "Project Task", "SWITCH ERROR"),
IF(_xlpm.inTower, "West Tower", _xlpm.typeResult)
)</f>
        <v>Historic</v>
      </c>
      <c r="F576" s="15" t="str">
        <f>IFERROR(MID(Tasks[[#This Row],[Page]], FIND("Level", Tasks[[#This Row],[Page]]), 7), IF(ISNUMBER(FIND("Roof", Tasks[[#This Row],[Page]])), "Roof",  IF(ISNUMBER(FIND("S590", Tasks[[#This Row],[Page]])), "",  IF(ISNUMBER(FIND("Site", Tasks[[#This Row],[Page]])), "", "ERROR"))))</f>
        <v>Level 0</v>
      </c>
      <c r="G576" s="15" t="str">
        <f>IF(Tasks[[#This Row],[Location]]=0, "", Tasks[[#This Row],[Location]])</f>
        <v>062 - Chapel</v>
      </c>
      <c r="H576" s="15" t="str">
        <f>Tasks[[#This Row],[To Package]]</f>
        <v>Audience Seating -- New Holland</v>
      </c>
      <c r="I576" s="15" t="str">
        <f>Tasks[[#This Row],[To Organisation]]</f>
        <v>New Holland Church Furniture</v>
      </c>
    </row>
    <row r="577" spans="1:9" ht="15.5" x14ac:dyDescent="0.35">
      <c r="A577" s="16" t="str">
        <f>HYPERLINK(_xlfn.CONCAT(Edit_URL,Tasks[[#This Row],[Ref]]),Tasks[[#This Row],[Ref]])</f>
        <v>T74290.398</v>
      </c>
      <c r="B577" s="15" t="str" cm="1">
        <f t="array" ref="B577">_xlfn.SWITCH(LEFT(Tasks[[#This Row],[Status]],1),"O","Opened","C","Completed","S","Signed Off", "V", "Signed Off","ERROR")</f>
        <v>Opened</v>
      </c>
      <c r="C577" s="15" t="str" cm="1">
        <f t="array" ref="C577">_xlfn.SWITCH(LEFT(Tasks[[#This Row],[Type]], 3), "Fie", "Field Report", "Con", "Contractor QC", "Gen", "Contractor QC", "Pun", "Contractor QC", "Qua", "Contractor QC", "Fin", "Punch List")</f>
        <v>Contractor QC</v>
      </c>
      <c r="D577" s="15" t="str">
        <f>_xlfn.LET(
_xlpm.leftValue, TRIM(LEFT(Tasks[[#This Row],[Description]], 45)),
IF(LEN(_xlpm.leftValue) &lt; 40, _xlpm.leftValue, _xlfn.CONCAT(_xlpm.leftValue, "…"))
)</f>
        <v>Repair and touch up back left panel</v>
      </c>
      <c r="E577" s="15" t="str" cm="1">
        <f t="array" ref="E577">_xlfn.LET(
_xlpm.inTower, COUNTIF(Tower_Num_Table[Tower Rm Numbers], LEFT(Task_Summary_Table[[#This Row],[Area/Room]], 3)) &gt; 0,
_xlpm.typeResult, _xlfn.SWITCH(LEFT(Tasks[[#This Row],[Page]], 2), "Hi", "Historic", "An", "Annex", "Si", "Site", "S5", "Project Task", "SWITCH ERROR"),
IF(_xlpm.inTower, "West Tower", _xlpm.typeResult)
)</f>
        <v>Historic</v>
      </c>
      <c r="F577" s="15" t="str">
        <f>IFERROR(MID(Tasks[[#This Row],[Page]], FIND("Level", Tasks[[#This Row],[Page]]), 7), IF(ISNUMBER(FIND("Roof", Tasks[[#This Row],[Page]])), "Roof",  IF(ISNUMBER(FIND("S590", Tasks[[#This Row],[Page]])), "",  IF(ISNUMBER(FIND("Site", Tasks[[#This Row],[Page]])), "", "ERROR"))))</f>
        <v>Level 0</v>
      </c>
      <c r="G577" s="15" t="str">
        <f>IF(Tasks[[#This Row],[Location]]=0, "", Tasks[[#This Row],[Location]])</f>
        <v>062 - Chapel</v>
      </c>
      <c r="H577" s="15" t="str">
        <f>Tasks[[#This Row],[To Package]]</f>
        <v>Audience Seating -- New Holland</v>
      </c>
      <c r="I577" s="15" t="str">
        <f>Tasks[[#This Row],[To Organisation]]</f>
        <v>New Holland Church Furniture</v>
      </c>
    </row>
    <row r="578" spans="1:9" ht="15.5" x14ac:dyDescent="0.35">
      <c r="A578" s="16" t="str">
        <f>HYPERLINK(_xlfn.CONCAT(Edit_URL,Tasks[[#This Row],[Ref]]),Tasks[[#This Row],[Ref]])</f>
        <v>T74290.399</v>
      </c>
      <c r="B578" s="15" t="str" cm="1">
        <f t="array" ref="B578">_xlfn.SWITCH(LEFT(Tasks[[#This Row],[Status]],1),"O","Opened","C","Completed","S","Signed Off", "V", "Signed Off","ERROR")</f>
        <v>Opened</v>
      </c>
      <c r="C578" s="15" t="str" cm="1">
        <f t="array" ref="C578">_xlfn.SWITCH(LEFT(Tasks[[#This Row],[Type]], 3), "Fie", "Field Report", "Con", "Contractor QC", "Gen", "Contractor QC", "Pun", "Contractor QC", "Qua", "Contractor QC", "Fin", "Punch List")</f>
        <v>Contractor QC</v>
      </c>
      <c r="D578" s="15" t="str">
        <f>_xlfn.LET(
_xlpm.leftValue, TRIM(LEFT(Tasks[[#This Row],[Description]], 45)),
IF(LEN(_xlpm.leftValue) &lt; 40, _xlpm.leftValue, _xlfn.CONCAT(_xlpm.leftValue, "…"))
)</f>
        <v>Repair and touch up on back left side of benc…</v>
      </c>
      <c r="E578" s="15" t="str" cm="1">
        <f t="array" ref="E578">_xlfn.LET(
_xlpm.inTower, COUNTIF(Tower_Num_Table[Tower Rm Numbers], LEFT(Task_Summary_Table[[#This Row],[Area/Room]], 3)) &gt; 0,
_xlpm.typeResult, _xlfn.SWITCH(LEFT(Tasks[[#This Row],[Page]], 2), "Hi", "Historic", "An", "Annex", "Si", "Site", "S5", "Project Task", "SWITCH ERROR"),
IF(_xlpm.inTower, "West Tower", _xlpm.typeResult)
)</f>
        <v>Historic</v>
      </c>
      <c r="F578" s="15" t="str">
        <f>IFERROR(MID(Tasks[[#This Row],[Page]], FIND("Level", Tasks[[#This Row],[Page]]), 7), IF(ISNUMBER(FIND("Roof", Tasks[[#This Row],[Page]])), "Roof",  IF(ISNUMBER(FIND("S590", Tasks[[#This Row],[Page]])), "",  IF(ISNUMBER(FIND("Site", Tasks[[#This Row],[Page]])), "", "ERROR"))))</f>
        <v>Level 0</v>
      </c>
      <c r="G578" s="15" t="str">
        <f>IF(Tasks[[#This Row],[Location]]=0, "", Tasks[[#This Row],[Location]])</f>
        <v>062 - Chapel</v>
      </c>
      <c r="H578" s="15" t="str">
        <f>Tasks[[#This Row],[To Package]]</f>
        <v>Audience Seating -- New Holland</v>
      </c>
      <c r="I578" s="15" t="str">
        <f>Tasks[[#This Row],[To Organisation]]</f>
        <v>New Holland Church Furniture</v>
      </c>
    </row>
    <row r="579" spans="1:9" ht="15.5" x14ac:dyDescent="0.35">
      <c r="A579" s="16" t="str">
        <f>HYPERLINK(_xlfn.CONCAT(Edit_URL,Tasks[[#This Row],[Ref]]),Tasks[[#This Row],[Ref]])</f>
        <v>T74290.400</v>
      </c>
      <c r="B579" s="15" t="str" cm="1">
        <f t="array" ref="B579">_xlfn.SWITCH(LEFT(Tasks[[#This Row],[Status]],1),"O","Opened","C","Completed","S","Signed Off", "V", "Signed Off","ERROR")</f>
        <v>Opened</v>
      </c>
      <c r="C579" s="15" t="str" cm="1">
        <f t="array" ref="C579">_xlfn.SWITCH(LEFT(Tasks[[#This Row],[Type]], 3), "Fie", "Field Report", "Con", "Contractor QC", "Gen", "Contractor QC", "Pun", "Contractor QC", "Qua", "Contractor QC", "Fin", "Punch List")</f>
        <v>Contractor QC</v>
      </c>
      <c r="D579" s="15" t="str">
        <f>_xlfn.LET(
_xlpm.leftValue, TRIM(LEFT(Tasks[[#This Row],[Description]], 45)),
IF(LEN(_xlpm.leftValue) &lt; 40, _xlpm.leftValue, _xlfn.CONCAT(_xlpm.leftValue, "…"))
)</f>
        <v>Fill nail holes on back right panel</v>
      </c>
      <c r="E579" s="15" t="str" cm="1">
        <f t="array" ref="E579">_xlfn.LET(
_xlpm.inTower, COUNTIF(Tower_Num_Table[Tower Rm Numbers], LEFT(Task_Summary_Table[[#This Row],[Area/Room]], 3)) &gt; 0,
_xlpm.typeResult, _xlfn.SWITCH(LEFT(Tasks[[#This Row],[Page]], 2), "Hi", "Historic", "An", "Annex", "Si", "Site", "S5", "Project Task", "SWITCH ERROR"),
IF(_xlpm.inTower, "West Tower", _xlpm.typeResult)
)</f>
        <v>Historic</v>
      </c>
      <c r="F579" s="15" t="str">
        <f>IFERROR(MID(Tasks[[#This Row],[Page]], FIND("Level", Tasks[[#This Row],[Page]]), 7), IF(ISNUMBER(FIND("Roof", Tasks[[#This Row],[Page]])), "Roof",  IF(ISNUMBER(FIND("S590", Tasks[[#This Row],[Page]])), "",  IF(ISNUMBER(FIND("Site", Tasks[[#This Row],[Page]])), "", "ERROR"))))</f>
        <v>Level 0</v>
      </c>
      <c r="G579" s="15" t="str">
        <f>IF(Tasks[[#This Row],[Location]]=0, "", Tasks[[#This Row],[Location]])</f>
        <v>067 - Font</v>
      </c>
      <c r="H579" s="15" t="str">
        <f>Tasks[[#This Row],[To Package]]</f>
        <v>Audience Seating -- New Holland</v>
      </c>
      <c r="I579" s="15" t="str">
        <f>Tasks[[#This Row],[To Organisation]]</f>
        <v>New Holland Church Furniture</v>
      </c>
    </row>
    <row r="580" spans="1:9" ht="15.5" x14ac:dyDescent="0.35">
      <c r="A580" s="16" t="str">
        <f>HYPERLINK(_xlfn.CONCAT(Edit_URL,Tasks[[#This Row],[Ref]]),Tasks[[#This Row],[Ref]])</f>
        <v>T74290.401</v>
      </c>
      <c r="B580" s="15" t="str" cm="1">
        <f t="array" ref="B580">_xlfn.SWITCH(LEFT(Tasks[[#This Row],[Status]],1),"O","Opened","C","Completed","S","Signed Off", "V", "Signed Off","ERROR")</f>
        <v>Opened</v>
      </c>
      <c r="C580" s="15" t="str" cm="1">
        <f t="array" ref="C580">_xlfn.SWITCH(LEFT(Tasks[[#This Row],[Type]], 3), "Fie", "Field Report", "Con", "Contractor QC", "Gen", "Contractor QC", "Pun", "Contractor QC", "Qua", "Contractor QC", "Fin", "Punch List")</f>
        <v>Contractor QC</v>
      </c>
      <c r="D580" s="15" t="str">
        <f>_xlfn.LET(
_xlpm.leftValue, TRIM(LEFT(Tasks[[#This Row],[Description]], 45)),
IF(LEN(_xlpm.leftValue) &lt; 40, _xlpm.leftValue, _xlfn.CONCAT(_xlpm.leftValue, "…"))
)</f>
        <v>Fill and touchup nail holes on back left side…</v>
      </c>
      <c r="E580" s="15" t="str" cm="1">
        <f t="array" ref="E580">_xlfn.LET(
_xlpm.inTower, COUNTIF(Tower_Num_Table[Tower Rm Numbers], LEFT(Task_Summary_Table[[#This Row],[Area/Room]], 3)) &gt; 0,
_xlpm.typeResult, _xlfn.SWITCH(LEFT(Tasks[[#This Row],[Page]], 2), "Hi", "Historic", "An", "Annex", "Si", "Site", "S5", "Project Task", "SWITCH ERROR"),
IF(_xlpm.inTower, "West Tower", _xlpm.typeResult)
)</f>
        <v>Historic</v>
      </c>
      <c r="F580" s="15" t="str">
        <f>IFERROR(MID(Tasks[[#This Row],[Page]], FIND("Level", Tasks[[#This Row],[Page]]), 7), IF(ISNUMBER(FIND("Roof", Tasks[[#This Row],[Page]])), "Roof",  IF(ISNUMBER(FIND("S590", Tasks[[#This Row],[Page]])), "",  IF(ISNUMBER(FIND("Site", Tasks[[#This Row],[Page]])), "", "ERROR"))))</f>
        <v>Level 0</v>
      </c>
      <c r="G580" s="15" t="str">
        <f>IF(Tasks[[#This Row],[Location]]=0, "", Tasks[[#This Row],[Location]])</f>
        <v>067 - Font</v>
      </c>
      <c r="H580" s="15" t="str">
        <f>Tasks[[#This Row],[To Package]]</f>
        <v>Audience Seating -- New Holland</v>
      </c>
      <c r="I580" s="15" t="str">
        <f>Tasks[[#This Row],[To Organisation]]</f>
        <v>New Holland Church Furniture</v>
      </c>
    </row>
    <row r="581" spans="1:9" ht="15.5" x14ac:dyDescent="0.35">
      <c r="A581" s="16" t="str">
        <f>HYPERLINK(_xlfn.CONCAT(Edit_URL,Tasks[[#This Row],[Ref]]),Tasks[[#This Row],[Ref]])</f>
        <v>T74290.402</v>
      </c>
      <c r="B581" s="15" t="str" cm="1">
        <f t="array" ref="B581">_xlfn.SWITCH(LEFT(Tasks[[#This Row],[Status]],1),"O","Opened","C","Completed","S","Signed Off", "V", "Signed Off","ERROR")</f>
        <v>Opened</v>
      </c>
      <c r="C581" s="15" t="str" cm="1">
        <f t="array" ref="C581">_xlfn.SWITCH(LEFT(Tasks[[#This Row],[Type]], 3), "Fie", "Field Report", "Con", "Contractor QC", "Gen", "Contractor QC", "Pun", "Contractor QC", "Qua", "Contractor QC", "Fin", "Punch List")</f>
        <v>Contractor QC</v>
      </c>
      <c r="D581" s="15" t="str">
        <f>_xlfn.LET(
_xlpm.leftValue, TRIM(LEFT(Tasks[[#This Row],[Description]], 45)),
IF(LEN(_xlpm.leftValue) &lt; 40, _xlpm.leftValue, _xlfn.CONCAT(_xlpm.leftValue, "…"))
)</f>
        <v>Replace caps for all 3 supports</v>
      </c>
      <c r="E581" s="15" t="str" cm="1">
        <f t="array" ref="E581">_xlfn.LET(
_xlpm.inTower, COUNTIF(Tower_Num_Table[Tower Rm Numbers], LEFT(Task_Summary_Table[[#This Row],[Area/Room]], 3)) &gt; 0,
_xlpm.typeResult, _xlfn.SWITCH(LEFT(Tasks[[#This Row],[Page]], 2), "Hi", "Historic", "An", "Annex", "Si", "Site", "S5", "Project Task", "SWITCH ERROR"),
IF(_xlpm.inTower, "West Tower", _xlpm.typeResult)
)</f>
        <v>Historic</v>
      </c>
      <c r="F581" s="15" t="str">
        <f>IFERROR(MID(Tasks[[#This Row],[Page]], FIND("Level", Tasks[[#This Row],[Page]]), 7), IF(ISNUMBER(FIND("Roof", Tasks[[#This Row],[Page]])), "Roof",  IF(ISNUMBER(FIND("S590", Tasks[[#This Row],[Page]])), "",  IF(ISNUMBER(FIND("Site", Tasks[[#This Row],[Page]])), "", "ERROR"))))</f>
        <v>Level 0</v>
      </c>
      <c r="G581" s="15" t="str">
        <f>IF(Tasks[[#This Row],[Location]]=0, "", Tasks[[#This Row],[Location]])</f>
        <v>067 - Font</v>
      </c>
      <c r="H581" s="15" t="str">
        <f>Tasks[[#This Row],[To Package]]</f>
        <v>Audience Seating -- New Holland</v>
      </c>
      <c r="I581" s="15" t="str">
        <f>Tasks[[#This Row],[To Organisation]]</f>
        <v>New Holland Church Furniture</v>
      </c>
    </row>
    <row r="582" spans="1:9" ht="15.5" x14ac:dyDescent="0.35">
      <c r="A582" s="16" t="str">
        <f>HYPERLINK(_xlfn.CONCAT(Edit_URL,Tasks[[#This Row],[Ref]]),Tasks[[#This Row],[Ref]])</f>
        <v>T74290.403</v>
      </c>
      <c r="B582" s="15" t="str" cm="1">
        <f t="array" ref="B582">_xlfn.SWITCH(LEFT(Tasks[[#This Row],[Status]],1),"O","Opened","C","Completed","S","Signed Off", "V", "Signed Off","ERROR")</f>
        <v>Opened</v>
      </c>
      <c r="C582" s="15" t="str" cm="1">
        <f t="array" ref="C582">_xlfn.SWITCH(LEFT(Tasks[[#This Row],[Type]], 3), "Fie", "Field Report", "Con", "Contractor QC", "Gen", "Contractor QC", "Pun", "Contractor QC", "Qua", "Contractor QC", "Fin", "Punch List")</f>
        <v>Contractor QC</v>
      </c>
      <c r="D582" s="15" t="str">
        <f>_xlfn.LET(
_xlpm.leftValue, TRIM(LEFT(Tasks[[#This Row],[Description]], 45)),
IF(LEN(_xlpm.leftValue) &lt; 40, _xlpm.leftValue, _xlfn.CONCAT(_xlpm.leftValue, "…"))
)</f>
        <v>Replace cap on right base</v>
      </c>
      <c r="E582" s="15" t="str" cm="1">
        <f t="array" ref="E582">_xlfn.LET(
_xlpm.inTower, COUNTIF(Tower_Num_Table[Tower Rm Numbers], LEFT(Task_Summary_Table[[#This Row],[Area/Room]], 3)) &gt; 0,
_xlpm.typeResult, _xlfn.SWITCH(LEFT(Tasks[[#This Row],[Page]], 2), "Hi", "Historic", "An", "Annex", "Si", "Site", "S5", "Project Task", "SWITCH ERROR"),
IF(_xlpm.inTower, "West Tower", _xlpm.typeResult)
)</f>
        <v>Historic</v>
      </c>
      <c r="F582" s="15" t="str">
        <f>IFERROR(MID(Tasks[[#This Row],[Page]], FIND("Level", Tasks[[#This Row],[Page]]), 7), IF(ISNUMBER(FIND("Roof", Tasks[[#This Row],[Page]])), "Roof",  IF(ISNUMBER(FIND("S590", Tasks[[#This Row],[Page]])), "",  IF(ISNUMBER(FIND("Site", Tasks[[#This Row],[Page]])), "", "ERROR"))))</f>
        <v>Level 0</v>
      </c>
      <c r="G582" s="15" t="str">
        <f>IF(Tasks[[#This Row],[Location]]=0, "", Tasks[[#This Row],[Location]])</f>
        <v>067 - Font</v>
      </c>
      <c r="H582" s="15" t="str">
        <f>Tasks[[#This Row],[To Package]]</f>
        <v>Audience Seating -- New Holland</v>
      </c>
      <c r="I582" s="15" t="str">
        <f>Tasks[[#This Row],[To Organisation]]</f>
        <v>New Holland Church Furniture</v>
      </c>
    </row>
    <row r="583" spans="1:9" ht="15.5" x14ac:dyDescent="0.35">
      <c r="A583" s="16" t="str">
        <f>HYPERLINK(_xlfn.CONCAT(Edit_URL,Tasks[[#This Row],[Ref]]),Tasks[[#This Row],[Ref]])</f>
        <v>T74290.404</v>
      </c>
      <c r="B583" s="15" t="str" cm="1">
        <f t="array" ref="B583">_xlfn.SWITCH(LEFT(Tasks[[#This Row],[Status]],1),"O","Opened","C","Completed","S","Signed Off", "V", "Signed Off","ERROR")</f>
        <v>Opened</v>
      </c>
      <c r="C583" s="15" t="str" cm="1">
        <f t="array" ref="C583">_xlfn.SWITCH(LEFT(Tasks[[#This Row],[Type]], 3), "Fie", "Field Report", "Con", "Contractor QC", "Gen", "Contractor QC", "Pun", "Contractor QC", "Qua", "Contractor QC", "Fin", "Punch List")</f>
        <v>Contractor QC</v>
      </c>
      <c r="D583" s="15" t="str">
        <f>_xlfn.LET(
_xlpm.leftValue, TRIM(LEFT(Tasks[[#This Row],[Description]], 45)),
IF(LEN(_xlpm.leftValue) &lt; 40, _xlpm.leftValue, _xlfn.CONCAT(_xlpm.leftValue, "…"))
)</f>
        <v>Fill and touch up nail holes on back right si…</v>
      </c>
      <c r="E583" s="15" t="str" cm="1">
        <f t="array" ref="E583">_xlfn.LET(
_xlpm.inTower, COUNTIF(Tower_Num_Table[Tower Rm Numbers], LEFT(Task_Summary_Table[[#This Row],[Area/Room]], 3)) &gt; 0,
_xlpm.typeResult, _xlfn.SWITCH(LEFT(Tasks[[#This Row],[Page]], 2), "Hi", "Historic", "An", "Annex", "Si", "Site", "S5", "Project Task", "SWITCH ERROR"),
IF(_xlpm.inTower, "West Tower", _xlpm.typeResult)
)</f>
        <v>Historic</v>
      </c>
      <c r="F583" s="15" t="str">
        <f>IFERROR(MID(Tasks[[#This Row],[Page]], FIND("Level", Tasks[[#This Row],[Page]]), 7), IF(ISNUMBER(FIND("Roof", Tasks[[#This Row],[Page]])), "Roof",  IF(ISNUMBER(FIND("S590", Tasks[[#This Row],[Page]])), "",  IF(ISNUMBER(FIND("Site", Tasks[[#This Row],[Page]])), "", "ERROR"))))</f>
        <v>Level 0</v>
      </c>
      <c r="G583" s="15" t="str">
        <f>IF(Tasks[[#This Row],[Location]]=0, "", Tasks[[#This Row],[Location]])</f>
        <v>067 - Font</v>
      </c>
      <c r="H583" s="15" t="str">
        <f>Tasks[[#This Row],[To Package]]</f>
        <v>Audience Seating -- New Holland</v>
      </c>
      <c r="I583" s="15" t="str">
        <f>Tasks[[#This Row],[To Organisation]]</f>
        <v>New Holland Church Furniture</v>
      </c>
    </row>
    <row r="584" spans="1:9" ht="15.5" x14ac:dyDescent="0.35">
      <c r="A584" s="16" t="str">
        <f>HYPERLINK(_xlfn.CONCAT(Edit_URL,Tasks[[#This Row],[Ref]]),Tasks[[#This Row],[Ref]])</f>
        <v>T74290.405</v>
      </c>
      <c r="B584" s="15" t="str" cm="1">
        <f t="array" ref="B584">_xlfn.SWITCH(LEFT(Tasks[[#This Row],[Status]],1),"O","Opened","C","Completed","S","Signed Off", "V", "Signed Off","ERROR")</f>
        <v>Opened</v>
      </c>
      <c r="C584" s="15" t="str" cm="1">
        <f t="array" ref="C584">_xlfn.SWITCH(LEFT(Tasks[[#This Row],[Type]], 3), "Fie", "Field Report", "Con", "Contractor QC", "Gen", "Contractor QC", "Pun", "Contractor QC", "Qua", "Contractor QC", "Fin", "Punch List")</f>
        <v>Contractor QC</v>
      </c>
      <c r="D584" s="15" t="str">
        <f>_xlfn.LET(
_xlpm.leftValue, TRIM(LEFT(Tasks[[#This Row],[Description]], 45)),
IF(LEN(_xlpm.leftValue) &lt; 40, _xlpm.leftValue, _xlfn.CONCAT(_xlpm.leftValue, "…"))
)</f>
        <v>Touch up scratches on top rail</v>
      </c>
      <c r="E584" s="15" t="str" cm="1">
        <f t="array" ref="E584">_xlfn.LET(
_xlpm.inTower, COUNTIF(Tower_Num_Table[Tower Rm Numbers], LEFT(Task_Summary_Table[[#This Row],[Area/Room]], 3)) &gt; 0,
_xlpm.typeResult, _xlfn.SWITCH(LEFT(Tasks[[#This Row],[Page]], 2), "Hi", "Historic", "An", "Annex", "Si", "Site", "S5", "Project Task", "SWITCH ERROR"),
IF(_xlpm.inTower, "West Tower", _xlpm.typeResult)
)</f>
        <v>Historic</v>
      </c>
      <c r="F584" s="15" t="str">
        <f>IFERROR(MID(Tasks[[#This Row],[Page]], FIND("Level", Tasks[[#This Row],[Page]]), 7), IF(ISNUMBER(FIND("Roof", Tasks[[#This Row],[Page]])), "Roof",  IF(ISNUMBER(FIND("S590", Tasks[[#This Row],[Page]])), "",  IF(ISNUMBER(FIND("Site", Tasks[[#This Row],[Page]])), "", "ERROR"))))</f>
        <v>Level 0</v>
      </c>
      <c r="G584" s="15" t="str">
        <f>IF(Tasks[[#This Row],[Location]]=0, "", Tasks[[#This Row],[Location]])</f>
        <v>067 - Font</v>
      </c>
      <c r="H584" s="15" t="str">
        <f>Tasks[[#This Row],[To Package]]</f>
        <v>Audience Seating -- New Holland</v>
      </c>
      <c r="I584" s="15" t="str">
        <f>Tasks[[#This Row],[To Organisation]]</f>
        <v>New Holland Church Furniture</v>
      </c>
    </row>
    <row r="585" spans="1:9" ht="15.5" x14ac:dyDescent="0.35">
      <c r="A585" s="16" t="str">
        <f>HYPERLINK(_xlfn.CONCAT(Edit_URL,Tasks[[#This Row],[Ref]]),Tasks[[#This Row],[Ref]])</f>
        <v>T74290.406</v>
      </c>
      <c r="B585" s="15" t="str" cm="1">
        <f t="array" ref="B585">_xlfn.SWITCH(LEFT(Tasks[[#This Row],[Status]],1),"O","Opened","C","Completed","S","Signed Off", "V", "Signed Off","ERROR")</f>
        <v>Opened</v>
      </c>
      <c r="C585" s="15" t="str" cm="1">
        <f t="array" ref="C585">_xlfn.SWITCH(LEFT(Tasks[[#This Row],[Type]], 3), "Fie", "Field Report", "Con", "Contractor QC", "Gen", "Contractor QC", "Pun", "Contractor QC", "Qua", "Contractor QC", "Fin", "Punch List")</f>
        <v>Contractor QC</v>
      </c>
      <c r="D585" s="15" t="str">
        <f>_xlfn.LET(
_xlpm.leftValue, TRIM(LEFT(Tasks[[#This Row],[Description]], 45)),
IF(LEN(_xlpm.leftValue) &lt; 40, _xlpm.leftValue, _xlfn.CONCAT(_xlpm.leftValue, "…"))
)</f>
        <v>Repair and touch up scratches on center leg…</v>
      </c>
      <c r="E585" s="15" t="str" cm="1">
        <f t="array" ref="E585">_xlfn.LET(
_xlpm.inTower, COUNTIF(Tower_Num_Table[Tower Rm Numbers], LEFT(Task_Summary_Table[[#This Row],[Area/Room]], 3)) &gt; 0,
_xlpm.typeResult, _xlfn.SWITCH(LEFT(Tasks[[#This Row],[Page]], 2), "Hi", "Historic", "An", "Annex", "Si", "Site", "S5", "Project Task", "SWITCH ERROR"),
IF(_xlpm.inTower, "West Tower", _xlpm.typeResult)
)</f>
        <v>Historic</v>
      </c>
      <c r="F585" s="15" t="str">
        <f>IFERROR(MID(Tasks[[#This Row],[Page]], FIND("Level", Tasks[[#This Row],[Page]]), 7), IF(ISNUMBER(FIND("Roof", Tasks[[#This Row],[Page]])), "Roof",  IF(ISNUMBER(FIND("S590", Tasks[[#This Row],[Page]])), "",  IF(ISNUMBER(FIND("Site", Tasks[[#This Row],[Page]])), "", "ERROR"))))</f>
        <v>Level 0</v>
      </c>
      <c r="G585" s="15" t="str">
        <f>IF(Tasks[[#This Row],[Location]]=0, "", Tasks[[#This Row],[Location]])</f>
        <v>067 - Font</v>
      </c>
      <c r="H585" s="15" t="str">
        <f>Tasks[[#This Row],[To Package]]</f>
        <v>Audience Seating -- New Holland</v>
      </c>
      <c r="I585" s="15" t="str">
        <f>Tasks[[#This Row],[To Organisation]]</f>
        <v>New Holland Church Furniture</v>
      </c>
    </row>
    <row r="586" spans="1:9" ht="15.5" x14ac:dyDescent="0.35">
      <c r="A586" s="16" t="str">
        <f>HYPERLINK(_xlfn.CONCAT(Edit_URL,Tasks[[#This Row],[Ref]]),Tasks[[#This Row],[Ref]])</f>
        <v>T74290.407</v>
      </c>
      <c r="B586" s="15" t="str" cm="1">
        <f t="array" ref="B586">_xlfn.SWITCH(LEFT(Tasks[[#This Row],[Status]],1),"O","Opened","C","Completed","S","Signed Off", "V", "Signed Off","ERROR")</f>
        <v>Opened</v>
      </c>
      <c r="C586" s="15" t="str" cm="1">
        <f t="array" ref="C586">_xlfn.SWITCH(LEFT(Tasks[[#This Row],[Type]], 3), "Fie", "Field Report", "Con", "Contractor QC", "Gen", "Contractor QC", "Pun", "Contractor QC", "Qua", "Contractor QC", "Fin", "Punch List")</f>
        <v>Contractor QC</v>
      </c>
      <c r="D586" s="15" t="str">
        <f>_xlfn.LET(
_xlpm.leftValue, TRIM(LEFT(Tasks[[#This Row],[Description]], 45)),
IF(LEN(_xlpm.leftValue) &lt; 40, _xlpm.leftValue, _xlfn.CONCAT(_xlpm.leftValue, "…"))
)</f>
        <v>Fill and touch up nail holes</v>
      </c>
      <c r="E586" s="15" t="str" cm="1">
        <f t="array" ref="E586">_xlfn.LET(
_xlpm.inTower, COUNTIF(Tower_Num_Table[Tower Rm Numbers], LEFT(Task_Summary_Table[[#This Row],[Area/Room]], 3)) &gt; 0,
_xlpm.typeResult, _xlfn.SWITCH(LEFT(Tasks[[#This Row],[Page]], 2), "Hi", "Historic", "An", "Annex", "Si", "Site", "S5", "Project Task", "SWITCH ERROR"),
IF(_xlpm.inTower, "West Tower", _xlpm.typeResult)
)</f>
        <v>Historic</v>
      </c>
      <c r="F586" s="15" t="str">
        <f>IFERROR(MID(Tasks[[#This Row],[Page]], FIND("Level", Tasks[[#This Row],[Page]]), 7), IF(ISNUMBER(FIND("Roof", Tasks[[#This Row],[Page]])), "Roof",  IF(ISNUMBER(FIND("S590", Tasks[[#This Row],[Page]])), "",  IF(ISNUMBER(FIND("Site", Tasks[[#This Row],[Page]])), "", "ERROR"))))</f>
        <v>Level 0</v>
      </c>
      <c r="G586" s="15" t="str">
        <f>IF(Tasks[[#This Row],[Location]]=0, "", Tasks[[#This Row],[Location]])</f>
        <v>067 - Font</v>
      </c>
      <c r="H586" s="15" t="str">
        <f>Tasks[[#This Row],[To Package]]</f>
        <v>Audience Seating -- New Holland</v>
      </c>
      <c r="I586" s="15" t="str">
        <f>Tasks[[#This Row],[To Organisation]]</f>
        <v>New Holland Church Furniture</v>
      </c>
    </row>
    <row r="587" spans="1:9" ht="15.5" x14ac:dyDescent="0.35">
      <c r="A587" s="16" t="str">
        <f>HYPERLINK(_xlfn.CONCAT(Edit_URL,Tasks[[#This Row],[Ref]]),Tasks[[#This Row],[Ref]])</f>
        <v>T74290.446</v>
      </c>
      <c r="B587" s="15" t="str" cm="1">
        <f t="array" ref="B587">_xlfn.SWITCH(LEFT(Tasks[[#This Row],[Status]],1),"O","Opened","C","Completed","S","Signed Off", "V", "Signed Off","ERROR")</f>
        <v>Opened</v>
      </c>
      <c r="C587" s="15" t="str" cm="1">
        <f t="array" ref="C587">_xlfn.SWITCH(LEFT(Tasks[[#This Row],[Type]], 3), "Fie", "Field Report", "Con", "Contractor QC", "Gen", "Contractor QC", "Pun", "Contractor QC", "Qua", "Contractor QC", "Fin", "Punch List")</f>
        <v>Contractor QC</v>
      </c>
      <c r="D587" s="15" t="str">
        <f>_xlfn.LET(
_xlpm.leftValue, TRIM(LEFT(Tasks[[#This Row],[Description]], 45)),
IF(LEN(_xlpm.leftValue) &lt; 40, _xlpm.leftValue, _xlfn.CONCAT(_xlpm.leftValue, "…"))
)</f>
        <v>Close in around exit sign</v>
      </c>
      <c r="E587" s="15" t="str" cm="1">
        <f t="array" ref="E587">_xlfn.LET(
_xlpm.inTower, COUNTIF(Tower_Num_Table[Tower Rm Numbers], LEFT(Task_Summary_Table[[#This Row],[Area/Room]], 3)) &gt; 0,
_xlpm.typeResult, _xlfn.SWITCH(LEFT(Tasks[[#This Row],[Page]], 2), "Hi", "Historic", "An", "Annex", "Si", "Site", "S5", "Project Task", "SWITCH ERROR"),
IF(_xlpm.inTower, "West Tower", _xlpm.typeResult)
)</f>
        <v>Historic</v>
      </c>
      <c r="F587" s="15" t="str">
        <f>IFERROR(MID(Tasks[[#This Row],[Page]], FIND("Level", Tasks[[#This Row],[Page]]), 7), IF(ISNUMBER(FIND("Roof", Tasks[[#This Row],[Page]])), "Roof",  IF(ISNUMBER(FIND("S590", Tasks[[#This Row],[Page]])), "",  IF(ISNUMBER(FIND("Site", Tasks[[#This Row],[Page]])), "", "ERROR"))))</f>
        <v>Level 3</v>
      </c>
      <c r="G587" s="15" t="str">
        <f>IF(Tasks[[#This Row],[Location]]=0, "", Tasks[[#This Row],[Location]])</f>
        <v>320 - Hallway</v>
      </c>
      <c r="H587" s="15" t="str">
        <f>Tasks[[#This Row],[To Package]]</f>
        <v>Metal Stud / Drywall</v>
      </c>
      <c r="I587" s="15" t="str">
        <f>Tasks[[#This Row],[To Organisation]]</f>
        <v>Pete King Construction</v>
      </c>
    </row>
    <row r="588" spans="1:9" ht="15.5" x14ac:dyDescent="0.35">
      <c r="A588" s="16" t="str">
        <f>HYPERLINK(_xlfn.CONCAT(Edit_URL,Tasks[[#This Row],[Ref]]),Tasks[[#This Row],[Ref]])</f>
        <v>T74290.447</v>
      </c>
      <c r="B588" s="15" t="str" cm="1">
        <f t="array" ref="B588">_xlfn.SWITCH(LEFT(Tasks[[#This Row],[Status]],1),"O","Opened","C","Completed","S","Signed Off", "V", "Signed Off","ERROR")</f>
        <v>Opened</v>
      </c>
      <c r="C588" s="15" t="str" cm="1">
        <f t="array" ref="C588">_xlfn.SWITCH(LEFT(Tasks[[#This Row],[Type]], 3), "Fie", "Field Report", "Con", "Contractor QC", "Gen", "Contractor QC", "Pun", "Contractor QC", "Qua", "Contractor QC", "Fin", "Punch List")</f>
        <v>Contractor QC</v>
      </c>
      <c r="D588" s="15" t="str">
        <f>_xlfn.LET(
_xlpm.leftValue, TRIM(LEFT(Tasks[[#This Row],[Description]], 45)),
IF(LEN(_xlpm.leftValue) &lt; 40, _xlpm.leftValue, _xlfn.CONCAT(_xlpm.leftValue, "…"))
)</f>
        <v>Finish around fire extinguisher box</v>
      </c>
      <c r="E588" s="15" t="str" cm="1">
        <f t="array" ref="E588">_xlfn.LET(
_xlpm.inTower, COUNTIF(Tower_Num_Table[Tower Rm Numbers], LEFT(Task_Summary_Table[[#This Row],[Area/Room]], 3)) &gt; 0,
_xlpm.typeResult, _xlfn.SWITCH(LEFT(Tasks[[#This Row],[Page]], 2), "Hi", "Historic", "An", "Annex", "Si", "Site", "S5", "Project Task", "SWITCH ERROR"),
IF(_xlpm.inTower, "West Tower", _xlpm.typeResult)
)</f>
        <v>Historic</v>
      </c>
      <c r="F588" s="15" t="str">
        <f>IFERROR(MID(Tasks[[#This Row],[Page]], FIND("Level", Tasks[[#This Row],[Page]]), 7), IF(ISNUMBER(FIND("Roof", Tasks[[#This Row],[Page]])), "Roof",  IF(ISNUMBER(FIND("S590", Tasks[[#This Row],[Page]])), "",  IF(ISNUMBER(FIND("Site", Tasks[[#This Row],[Page]])), "", "ERROR"))))</f>
        <v>Level 3</v>
      </c>
      <c r="G588" s="15" t="str">
        <f>IF(Tasks[[#This Row],[Location]]=0, "", Tasks[[#This Row],[Location]])</f>
        <v>320 - Hallway</v>
      </c>
      <c r="H588" s="15" t="str">
        <f>Tasks[[#This Row],[To Package]]</f>
        <v>Metal Stud / Drywall</v>
      </c>
      <c r="I588" s="15" t="str">
        <f>Tasks[[#This Row],[To Organisation]]</f>
        <v>Pete King Construction</v>
      </c>
    </row>
    <row r="589" spans="1:9" ht="15.5" x14ac:dyDescent="0.35">
      <c r="A589" s="16" t="str">
        <f>HYPERLINK(_xlfn.CONCAT(Edit_URL,Tasks[[#This Row],[Ref]]),Tasks[[#This Row],[Ref]])</f>
        <v>T74290.448</v>
      </c>
      <c r="B589" s="15" t="str" cm="1">
        <f t="array" ref="B589">_xlfn.SWITCH(LEFT(Tasks[[#This Row],[Status]],1),"O","Opened","C","Completed","S","Signed Off", "V", "Signed Off","ERROR")</f>
        <v>Opened</v>
      </c>
      <c r="C589" s="15" t="str" cm="1">
        <f t="array" ref="C589">_xlfn.SWITCH(LEFT(Tasks[[#This Row],[Type]], 3), "Fie", "Field Report", "Con", "Contractor QC", "Gen", "Contractor QC", "Pun", "Contractor QC", "Qua", "Contractor QC", "Fin", "Punch List")</f>
        <v>Contractor QC</v>
      </c>
      <c r="D589" s="15" t="str">
        <f>_xlfn.LET(
_xlpm.leftValue, TRIM(LEFT(Tasks[[#This Row],[Description]], 45)),
IF(LEN(_xlpm.leftValue) &lt; 40, _xlpm.leftValue, _xlfn.CONCAT(_xlpm.leftValue, "…"))
)</f>
        <v>Close in around can light</v>
      </c>
      <c r="E589" s="15" t="str" cm="1">
        <f t="array" ref="E589">_xlfn.LET(
_xlpm.inTower, COUNTIF(Tower_Num_Table[Tower Rm Numbers], LEFT(Task_Summary_Table[[#This Row],[Area/Room]], 3)) &gt; 0,
_xlpm.typeResult, _xlfn.SWITCH(LEFT(Tasks[[#This Row],[Page]], 2), "Hi", "Historic", "An", "Annex", "Si", "Site", "S5", "Project Task", "SWITCH ERROR"),
IF(_xlpm.inTower, "West Tower", _xlpm.typeResult)
)</f>
        <v>Historic</v>
      </c>
      <c r="F589" s="15" t="str">
        <f>IFERROR(MID(Tasks[[#This Row],[Page]], FIND("Level", Tasks[[#This Row],[Page]]), 7), IF(ISNUMBER(FIND("Roof", Tasks[[#This Row],[Page]])), "Roof",  IF(ISNUMBER(FIND("S590", Tasks[[#This Row],[Page]])), "",  IF(ISNUMBER(FIND("Site", Tasks[[#This Row],[Page]])), "", "ERROR"))))</f>
        <v>Level 3</v>
      </c>
      <c r="G589" s="15" t="str">
        <f>IF(Tasks[[#This Row],[Location]]=0, "", Tasks[[#This Row],[Location]])</f>
        <v>320 - Hallway</v>
      </c>
      <c r="H589" s="15" t="str">
        <f>Tasks[[#This Row],[To Package]]</f>
        <v>Metal Stud / Drywall</v>
      </c>
      <c r="I589" s="15" t="str">
        <f>Tasks[[#This Row],[To Organisation]]</f>
        <v>Pete King Construction</v>
      </c>
    </row>
    <row r="590" spans="1:9" ht="15.5" x14ac:dyDescent="0.35">
      <c r="A590" s="16" t="str">
        <f>HYPERLINK(_xlfn.CONCAT(Edit_URL,Tasks[[#This Row],[Ref]]),Tasks[[#This Row],[Ref]])</f>
        <v>T74290.449</v>
      </c>
      <c r="B590" s="15" t="str" cm="1">
        <f t="array" ref="B590">_xlfn.SWITCH(LEFT(Tasks[[#This Row],[Status]],1),"O","Opened","C","Completed","S","Signed Off", "V", "Signed Off","ERROR")</f>
        <v>Opened</v>
      </c>
      <c r="C590" s="15" t="str" cm="1">
        <f t="array" ref="C590">_xlfn.SWITCH(LEFT(Tasks[[#This Row],[Type]], 3), "Fie", "Field Report", "Con", "Contractor QC", "Gen", "Contractor QC", "Pun", "Contractor QC", "Qua", "Contractor QC", "Fin", "Punch List")</f>
        <v>Contractor QC</v>
      </c>
      <c r="D590" s="15" t="str">
        <f>_xlfn.LET(
_xlpm.leftValue, TRIM(LEFT(Tasks[[#This Row],[Description]], 45)),
IF(LEN(_xlpm.leftValue) &lt; 40, _xlpm.leftValue, _xlfn.CONCAT(_xlpm.leftValue, "…"))
)</f>
        <v>Install sprinkler head covers</v>
      </c>
      <c r="E590" s="15" t="str" cm="1">
        <f t="array" ref="E590">_xlfn.LET(
_xlpm.inTower, COUNTIF(Tower_Num_Table[Tower Rm Numbers], LEFT(Task_Summary_Table[[#This Row],[Area/Room]], 3)) &gt; 0,
_xlpm.typeResult, _xlfn.SWITCH(LEFT(Tasks[[#This Row],[Page]], 2), "Hi", "Historic", "An", "Annex", "Si", "Site", "S5", "Project Task", "SWITCH ERROR"),
IF(_xlpm.inTower, "West Tower", _xlpm.typeResult)
)</f>
        <v>Historic</v>
      </c>
      <c r="F590" s="15" t="str">
        <f>IFERROR(MID(Tasks[[#This Row],[Page]], FIND("Level", Tasks[[#This Row],[Page]]), 7), IF(ISNUMBER(FIND("Roof", Tasks[[#This Row],[Page]])), "Roof",  IF(ISNUMBER(FIND("S590", Tasks[[#This Row],[Page]])), "",  IF(ISNUMBER(FIND("Site", Tasks[[#This Row],[Page]])), "", "ERROR"))))</f>
        <v>Level 3</v>
      </c>
      <c r="G590" s="15" t="str">
        <f>IF(Tasks[[#This Row],[Location]]=0, "", Tasks[[#This Row],[Location]])</f>
        <v>320 - Hallway</v>
      </c>
      <c r="H590" s="15" t="str">
        <f>Tasks[[#This Row],[To Package]]</f>
        <v>Fire Suppression</v>
      </c>
      <c r="I590" s="15" t="str">
        <f>Tasks[[#This Row],[To Organisation]]</f>
        <v>Broken Arrow Construction Corporation</v>
      </c>
    </row>
    <row r="591" spans="1:9" ht="15.5" x14ac:dyDescent="0.35">
      <c r="A591" s="16" t="str">
        <f>HYPERLINK(_xlfn.CONCAT(Edit_URL,Tasks[[#This Row],[Ref]]),Tasks[[#This Row],[Ref]])</f>
        <v>T74290.450</v>
      </c>
      <c r="B591" s="15" t="str" cm="1">
        <f t="array" ref="B591">_xlfn.SWITCH(LEFT(Tasks[[#This Row],[Status]],1),"O","Opened","C","Completed","S","Signed Off", "V", "Signed Off","ERROR")</f>
        <v>Opened</v>
      </c>
      <c r="C591" s="15" t="str" cm="1">
        <f t="array" ref="C591">_xlfn.SWITCH(LEFT(Tasks[[#This Row],[Type]], 3), "Fie", "Field Report", "Con", "Contractor QC", "Gen", "Contractor QC", "Pun", "Contractor QC", "Qua", "Contractor QC", "Fin", "Punch List")</f>
        <v>Contractor QC</v>
      </c>
      <c r="D591" s="15" t="str">
        <f>_xlfn.LET(
_xlpm.leftValue, TRIM(LEFT(Tasks[[#This Row],[Description]], 45)),
IF(LEN(_xlpm.leftValue) &lt; 40, _xlpm.leftValue, _xlfn.CONCAT(_xlpm.leftValue, "…"))
)</f>
        <v>Close in can light</v>
      </c>
      <c r="E591" s="15" t="str" cm="1">
        <f t="array" ref="E591">_xlfn.LET(
_xlpm.inTower, COUNTIF(Tower_Num_Table[Tower Rm Numbers], LEFT(Task_Summary_Table[[#This Row],[Area/Room]], 3)) &gt; 0,
_xlpm.typeResult, _xlfn.SWITCH(LEFT(Tasks[[#This Row],[Page]], 2), "Hi", "Historic", "An", "Annex", "Si", "Site", "S5", "Project Task", "SWITCH ERROR"),
IF(_xlpm.inTower, "West Tower", _xlpm.typeResult)
)</f>
        <v>Historic</v>
      </c>
      <c r="F591" s="15" t="str">
        <f>IFERROR(MID(Tasks[[#This Row],[Page]], FIND("Level", Tasks[[#This Row],[Page]]), 7), IF(ISNUMBER(FIND("Roof", Tasks[[#This Row],[Page]])), "Roof",  IF(ISNUMBER(FIND("S590", Tasks[[#This Row],[Page]])), "",  IF(ISNUMBER(FIND("Site", Tasks[[#This Row],[Page]])), "", "ERROR"))))</f>
        <v>Level 3</v>
      </c>
      <c r="G591" s="15" t="str">
        <f>IF(Tasks[[#This Row],[Location]]=0, "", Tasks[[#This Row],[Location]])</f>
        <v>320 - Hallway</v>
      </c>
      <c r="H591" s="15" t="str">
        <f>Tasks[[#This Row],[To Package]]</f>
        <v>Metal Stud / Drywall</v>
      </c>
      <c r="I591" s="15" t="str">
        <f>Tasks[[#This Row],[To Organisation]]</f>
        <v>Pete King Construction</v>
      </c>
    </row>
    <row r="592" spans="1:9" ht="15.5" x14ac:dyDescent="0.35">
      <c r="A592" s="16" t="str">
        <f>HYPERLINK(_xlfn.CONCAT(Edit_URL,Tasks[[#This Row],[Ref]]),Tasks[[#This Row],[Ref]])</f>
        <v>T74290.451</v>
      </c>
      <c r="B592" s="15" t="str" cm="1">
        <f t="array" ref="B592">_xlfn.SWITCH(LEFT(Tasks[[#This Row],[Status]],1),"O","Opened","C","Completed","S","Signed Off", "V", "Signed Off","ERROR")</f>
        <v>Opened</v>
      </c>
      <c r="C592" s="15" t="str" cm="1">
        <f t="array" ref="C592">_xlfn.SWITCH(LEFT(Tasks[[#This Row],[Type]], 3), "Fie", "Field Report", "Con", "Contractor QC", "Gen", "Contractor QC", "Pun", "Contractor QC", "Qua", "Contractor QC", "Fin", "Punch List")</f>
        <v>Contractor QC</v>
      </c>
      <c r="D592" s="15" t="str">
        <f>_xlfn.LET(
_xlpm.leftValue, TRIM(LEFT(Tasks[[#This Row],[Description]], 45)),
IF(LEN(_xlpm.leftValue) &lt; 40, _xlpm.leftValue, _xlfn.CONCAT(_xlpm.leftValue, "…"))
)</f>
        <v>Install sprinkler head cover</v>
      </c>
      <c r="E592" s="15" t="str" cm="1">
        <f t="array" ref="E592">_xlfn.LET(
_xlpm.inTower, COUNTIF(Tower_Num_Table[Tower Rm Numbers], LEFT(Task_Summary_Table[[#This Row],[Area/Room]], 3)) &gt; 0,
_xlpm.typeResult, _xlfn.SWITCH(LEFT(Tasks[[#This Row],[Page]], 2), "Hi", "Historic", "An", "Annex", "Si", "Site", "S5", "Project Task", "SWITCH ERROR"),
IF(_xlpm.inTower, "West Tower", _xlpm.typeResult)
)</f>
        <v>Historic</v>
      </c>
      <c r="F592" s="15" t="str">
        <f>IFERROR(MID(Tasks[[#This Row],[Page]], FIND("Level", Tasks[[#This Row],[Page]]), 7), IF(ISNUMBER(FIND("Roof", Tasks[[#This Row],[Page]])), "Roof",  IF(ISNUMBER(FIND("S590", Tasks[[#This Row],[Page]])), "",  IF(ISNUMBER(FIND("Site", Tasks[[#This Row],[Page]])), "", "ERROR"))))</f>
        <v>Level 3</v>
      </c>
      <c r="G592" s="15" t="str">
        <f>IF(Tasks[[#This Row],[Location]]=0, "", Tasks[[#This Row],[Location]])</f>
        <v>320 - Hallway</v>
      </c>
      <c r="H592" s="15" t="str">
        <f>Tasks[[#This Row],[To Package]]</f>
        <v>Metal Stud / Drywall</v>
      </c>
      <c r="I592" s="15" t="str">
        <f>Tasks[[#This Row],[To Organisation]]</f>
        <v>Pete King Construction</v>
      </c>
    </row>
    <row r="593" spans="1:9" ht="15.5" x14ac:dyDescent="0.35">
      <c r="A593" s="16" t="str">
        <f>HYPERLINK(_xlfn.CONCAT(Edit_URL,Tasks[[#This Row],[Ref]]),Tasks[[#This Row],[Ref]])</f>
        <v>T74290.452</v>
      </c>
      <c r="B593" s="15" t="str" cm="1">
        <f t="array" ref="B593">_xlfn.SWITCH(LEFT(Tasks[[#This Row],[Status]],1),"O","Opened","C","Completed","S","Signed Off", "V", "Signed Off","ERROR")</f>
        <v>Opened</v>
      </c>
      <c r="C593" s="15" t="str" cm="1">
        <f t="array" ref="C593">_xlfn.SWITCH(LEFT(Tasks[[#This Row],[Type]], 3), "Fie", "Field Report", "Con", "Contractor QC", "Gen", "Contractor QC", "Pun", "Contractor QC", "Qua", "Contractor QC", "Fin", "Punch List")</f>
        <v>Contractor QC</v>
      </c>
      <c r="D593" s="15" t="str">
        <f>_xlfn.LET(
_xlpm.leftValue, TRIM(LEFT(Tasks[[#This Row],[Description]], 45)),
IF(LEN(_xlpm.leftValue) &lt; 40, _xlpm.leftValue, _xlfn.CONCAT(_xlpm.leftValue, "…"))
)</f>
        <v>Close in all four can lights</v>
      </c>
      <c r="E593" s="15" t="str" cm="1">
        <f t="array" ref="E593">_xlfn.LET(
_xlpm.inTower, COUNTIF(Tower_Num_Table[Tower Rm Numbers], LEFT(Task_Summary_Table[[#This Row],[Area/Room]], 3)) &gt; 0,
_xlpm.typeResult, _xlfn.SWITCH(LEFT(Tasks[[#This Row],[Page]], 2), "Hi", "Historic", "An", "Annex", "Si", "Site", "S5", "Project Task", "SWITCH ERROR"),
IF(_xlpm.inTower, "West Tower", _xlpm.typeResult)
)</f>
        <v>Historic</v>
      </c>
      <c r="F593" s="15" t="str">
        <f>IFERROR(MID(Tasks[[#This Row],[Page]], FIND("Level", Tasks[[#This Row],[Page]]), 7), IF(ISNUMBER(FIND("Roof", Tasks[[#This Row],[Page]])), "Roof",  IF(ISNUMBER(FIND("S590", Tasks[[#This Row],[Page]])), "",  IF(ISNUMBER(FIND("Site", Tasks[[#This Row],[Page]])), "", "ERROR"))))</f>
        <v>Level 3</v>
      </c>
      <c r="G593" s="15" t="str">
        <f>IF(Tasks[[#This Row],[Location]]=0, "", Tasks[[#This Row],[Location]])</f>
        <v>327 - Instruction Men</v>
      </c>
      <c r="H593" s="15" t="str">
        <f>Tasks[[#This Row],[To Package]]</f>
        <v>Metal Stud / Drywall</v>
      </c>
      <c r="I593" s="15" t="str">
        <f>Tasks[[#This Row],[To Organisation]]</f>
        <v>Pete King Construction</v>
      </c>
    </row>
    <row r="594" spans="1:9" ht="15.5" x14ac:dyDescent="0.35">
      <c r="A594" s="16" t="str">
        <f>HYPERLINK(_xlfn.CONCAT(Edit_URL,Tasks[[#This Row],[Ref]]),Tasks[[#This Row],[Ref]])</f>
        <v>T74290.453</v>
      </c>
      <c r="B594" s="15" t="str" cm="1">
        <f t="array" ref="B594">_xlfn.SWITCH(LEFT(Tasks[[#This Row],[Status]],1),"O","Opened","C","Completed","S","Signed Off", "V", "Signed Off","ERROR")</f>
        <v>Opened</v>
      </c>
      <c r="C594" s="15" t="str" cm="1">
        <f t="array" ref="C594">_xlfn.SWITCH(LEFT(Tasks[[#This Row],[Type]], 3), "Fie", "Field Report", "Con", "Contractor QC", "Gen", "Contractor QC", "Pun", "Contractor QC", "Qua", "Contractor QC", "Fin", "Punch List")</f>
        <v>Contractor QC</v>
      </c>
      <c r="D594" s="15" t="str">
        <f>_xlfn.LET(
_xlpm.leftValue, TRIM(LEFT(Tasks[[#This Row],[Description]], 45)),
IF(LEN(_xlpm.leftValue) &lt; 40, _xlpm.leftValue, _xlfn.CONCAT(_xlpm.leftValue, "…"))
)</f>
        <v>Repaint around air register</v>
      </c>
      <c r="E594" s="15" t="str" cm="1">
        <f t="array" ref="E594">_xlfn.LET(
_xlpm.inTower, COUNTIF(Tower_Num_Table[Tower Rm Numbers], LEFT(Task_Summary_Table[[#This Row],[Area/Room]], 3)) &gt; 0,
_xlpm.typeResult, _xlfn.SWITCH(LEFT(Tasks[[#This Row],[Page]], 2), "Hi", "Historic", "An", "Annex", "Si", "Site", "S5", "Project Task", "SWITCH ERROR"),
IF(_xlpm.inTower, "West Tower", _xlpm.typeResult)
)</f>
        <v>Historic</v>
      </c>
      <c r="F594" s="15" t="str">
        <f>IFERROR(MID(Tasks[[#This Row],[Page]], FIND("Level", Tasks[[#This Row],[Page]]), 7), IF(ISNUMBER(FIND("Roof", Tasks[[#This Row],[Page]])), "Roof",  IF(ISNUMBER(FIND("S590", Tasks[[#This Row],[Page]])), "",  IF(ISNUMBER(FIND("Site", Tasks[[#This Row],[Page]])), "", "ERROR"))))</f>
        <v>Level 3</v>
      </c>
      <c r="G594" s="15" t="str">
        <f>IF(Tasks[[#This Row],[Location]]=0, "", Tasks[[#This Row],[Location]])</f>
        <v>327 - Instruction Men</v>
      </c>
      <c r="H594" s="15" t="str">
        <f>Tasks[[#This Row],[To Package]]</f>
        <v>Paint</v>
      </c>
      <c r="I594" s="15" t="str">
        <f>Tasks[[#This Row],[To Organisation]]</f>
        <v>Accent Painting and Special Coatings, LLC</v>
      </c>
    </row>
    <row r="595" spans="1:9" ht="15.5" x14ac:dyDescent="0.35">
      <c r="A595" s="16" t="str">
        <f>HYPERLINK(_xlfn.CONCAT(Edit_URL,Tasks[[#This Row],[Ref]]),Tasks[[#This Row],[Ref]])</f>
        <v>T74290.436</v>
      </c>
      <c r="B595" s="15" t="str" cm="1">
        <f t="array" ref="B595">_xlfn.SWITCH(LEFT(Tasks[[#This Row],[Status]],1),"O","Opened","C","Completed","S","Signed Off", "V", "Signed Off","ERROR")</f>
        <v>Opened</v>
      </c>
      <c r="C595" s="15" t="str" cm="1">
        <f t="array" ref="C595">_xlfn.SWITCH(LEFT(Tasks[[#This Row],[Type]], 3), "Fie", "Field Report", "Con", "Contractor QC", "Gen", "Contractor QC", "Pun", "Contractor QC", "Qua", "Contractor QC", "Fin", "Punch List")</f>
        <v>Contractor QC</v>
      </c>
      <c r="D595" s="15" t="str">
        <f>_xlfn.LET(
_xlpm.leftValue, TRIM(LEFT(Tasks[[#This Row],[Description]], 45)),
IF(LEN(_xlpm.leftValue) &lt; 40, _xlpm.leftValue, _xlfn.CONCAT(_xlpm.leftValue, "…"))
)</f>
        <v>Close in can light</v>
      </c>
      <c r="E595" s="15" t="str" cm="1">
        <f t="array" ref="E595">_xlfn.LET(
_xlpm.inTower, COUNTIF(Tower_Num_Table[Tower Rm Numbers], LEFT(Task_Summary_Table[[#This Row],[Area/Room]], 3)) &gt; 0,
_xlpm.typeResult, _xlfn.SWITCH(LEFT(Tasks[[#This Row],[Page]], 2), "Hi", "Historic", "An", "Annex", "Si", "Site", "S5", "Project Task", "SWITCH ERROR"),
IF(_xlpm.inTower, "West Tower", _xlpm.typeResult)
)</f>
        <v>Historic</v>
      </c>
      <c r="F595" s="15" t="str">
        <f>IFERROR(MID(Tasks[[#This Row],[Page]], FIND("Level", Tasks[[#This Row],[Page]]), 7), IF(ISNUMBER(FIND("Roof", Tasks[[#This Row],[Page]])), "Roof",  IF(ISNUMBER(FIND("S590", Tasks[[#This Row],[Page]])), "",  IF(ISNUMBER(FIND("Site", Tasks[[#This Row],[Page]])), "", "ERROR"))))</f>
        <v>Level 3</v>
      </c>
      <c r="G595" s="15" t="str">
        <f>IF(Tasks[[#This Row],[Location]]=0, "", Tasks[[#This Row],[Location]])</f>
        <v>316 - Hallway</v>
      </c>
      <c r="H595" s="15" t="str">
        <f>Tasks[[#This Row],[To Package]]</f>
        <v>Metal Stud / Drywall</v>
      </c>
      <c r="I595" s="15" t="str">
        <f>Tasks[[#This Row],[To Organisation]]</f>
        <v>Pete King Construction</v>
      </c>
    </row>
    <row r="596" spans="1:9" ht="15.5" x14ac:dyDescent="0.35">
      <c r="A596" s="16" t="str">
        <f>HYPERLINK(_xlfn.CONCAT(Edit_URL,Tasks[[#This Row],[Ref]]),Tasks[[#This Row],[Ref]])</f>
        <v>T74290.437</v>
      </c>
      <c r="B596" s="15" t="str" cm="1">
        <f t="array" ref="B596">_xlfn.SWITCH(LEFT(Tasks[[#This Row],[Status]],1),"O","Opened","C","Completed","S","Signed Off", "V", "Signed Off","ERROR")</f>
        <v>Opened</v>
      </c>
      <c r="C596" s="15" t="str" cm="1">
        <f t="array" ref="C596">_xlfn.SWITCH(LEFT(Tasks[[#This Row],[Type]], 3), "Fie", "Field Report", "Con", "Contractor QC", "Gen", "Contractor QC", "Pun", "Contractor QC", "Qua", "Contractor QC", "Fin", "Punch List")</f>
        <v>Contractor QC</v>
      </c>
      <c r="D596" s="15" t="str">
        <f>_xlfn.LET(
_xlpm.leftValue, TRIM(LEFT(Tasks[[#This Row],[Description]], 45)),
IF(LEN(_xlpm.leftValue) &lt; 40, _xlpm.leftValue, _xlfn.CONCAT(_xlpm.leftValue, "…"))
)</f>
        <v>Fill in exit sign hole</v>
      </c>
      <c r="E596" s="15" t="str" cm="1">
        <f t="array" ref="E596">_xlfn.LET(
_xlpm.inTower, COUNTIF(Tower_Num_Table[Tower Rm Numbers], LEFT(Task_Summary_Table[[#This Row],[Area/Room]], 3)) &gt; 0,
_xlpm.typeResult, _xlfn.SWITCH(LEFT(Tasks[[#This Row],[Page]], 2), "Hi", "Historic", "An", "Annex", "Si", "Site", "S5", "Project Task", "SWITCH ERROR"),
IF(_xlpm.inTower, "West Tower", _xlpm.typeResult)
)</f>
        <v>Historic</v>
      </c>
      <c r="F596" s="15" t="str">
        <f>IFERROR(MID(Tasks[[#This Row],[Page]], FIND("Level", Tasks[[#This Row],[Page]]), 7), IF(ISNUMBER(FIND("Roof", Tasks[[#This Row],[Page]])), "Roof",  IF(ISNUMBER(FIND("S590", Tasks[[#This Row],[Page]])), "",  IF(ISNUMBER(FIND("Site", Tasks[[#This Row],[Page]])), "", "ERROR"))))</f>
        <v>Level 3</v>
      </c>
      <c r="G596" s="15" t="str">
        <f>IF(Tasks[[#This Row],[Location]]=0, "", Tasks[[#This Row],[Location]])</f>
        <v>316 - Hallway</v>
      </c>
      <c r="H596" s="15" t="str">
        <f>Tasks[[#This Row],[To Package]]</f>
        <v>Metal Stud / Drywall</v>
      </c>
      <c r="I596" s="15" t="str">
        <f>Tasks[[#This Row],[To Organisation]]</f>
        <v>Pete King Construction</v>
      </c>
    </row>
    <row r="597" spans="1:9" ht="15.5" x14ac:dyDescent="0.35">
      <c r="A597" s="16" t="str">
        <f>HYPERLINK(_xlfn.CONCAT(Edit_URL,Tasks[[#This Row],[Ref]]),Tasks[[#This Row],[Ref]])</f>
        <v>T74290.438</v>
      </c>
      <c r="B597" s="15" t="str" cm="1">
        <f t="array" ref="B597">_xlfn.SWITCH(LEFT(Tasks[[#This Row],[Status]],1),"O","Opened","C","Completed","S","Signed Off", "V", "Signed Off","ERROR")</f>
        <v>Opened</v>
      </c>
      <c r="C597" s="15" t="str" cm="1">
        <f t="array" ref="C597">_xlfn.SWITCH(LEFT(Tasks[[#This Row],[Type]], 3), "Fie", "Field Report", "Con", "Contractor QC", "Gen", "Contractor QC", "Pun", "Contractor QC", "Qua", "Contractor QC", "Fin", "Punch List")</f>
        <v>Contractor QC</v>
      </c>
      <c r="D597" s="15" t="str">
        <f>_xlfn.LET(
_xlpm.leftValue, TRIM(LEFT(Tasks[[#This Row],[Description]], 45)),
IF(LEN(_xlpm.leftValue) &lt; 40, _xlpm.leftValue, _xlfn.CONCAT(_xlpm.leftValue, "…"))
)</f>
        <v>Install sprinkler head covers</v>
      </c>
      <c r="E597" s="15" t="str" cm="1">
        <f t="array" ref="E597">_xlfn.LET(
_xlpm.inTower, COUNTIF(Tower_Num_Table[Tower Rm Numbers], LEFT(Task_Summary_Table[[#This Row],[Area/Room]], 3)) &gt; 0,
_xlpm.typeResult, _xlfn.SWITCH(LEFT(Tasks[[#This Row],[Page]], 2), "Hi", "Historic", "An", "Annex", "Si", "Site", "S5", "Project Task", "SWITCH ERROR"),
IF(_xlpm.inTower, "West Tower", _xlpm.typeResult)
)</f>
        <v>Historic</v>
      </c>
      <c r="F597" s="15" t="str">
        <f>IFERROR(MID(Tasks[[#This Row],[Page]], FIND("Level", Tasks[[#This Row],[Page]]), 7), IF(ISNUMBER(FIND("Roof", Tasks[[#This Row],[Page]])), "Roof",  IF(ISNUMBER(FIND("S590", Tasks[[#This Row],[Page]])), "",  IF(ISNUMBER(FIND("Site", Tasks[[#This Row],[Page]])), "", "ERROR"))))</f>
        <v>Level 3</v>
      </c>
      <c r="G597" s="15" t="str">
        <f>IF(Tasks[[#This Row],[Location]]=0, "", Tasks[[#This Row],[Location]])</f>
        <v>316 - Hallway</v>
      </c>
      <c r="H597" s="15" t="str">
        <f>Tasks[[#This Row],[To Package]]</f>
        <v>Fire Suppression</v>
      </c>
      <c r="I597" s="15" t="str">
        <f>Tasks[[#This Row],[To Organisation]]</f>
        <v>Broken Arrow Construction Corporation</v>
      </c>
    </row>
    <row r="598" spans="1:9" ht="15.5" x14ac:dyDescent="0.35">
      <c r="A598" s="16" t="str">
        <f>HYPERLINK(_xlfn.CONCAT(Edit_URL,Tasks[[#This Row],[Ref]]),Tasks[[#This Row],[Ref]])</f>
        <v>T74290.439</v>
      </c>
      <c r="B598" s="15" t="str" cm="1">
        <f t="array" ref="B598">_xlfn.SWITCH(LEFT(Tasks[[#This Row],[Status]],1),"O","Opened","C","Completed","S","Signed Off", "V", "Signed Off","ERROR")</f>
        <v>Opened</v>
      </c>
      <c r="C598" s="15" t="str" cm="1">
        <f t="array" ref="C598">_xlfn.SWITCH(LEFT(Tasks[[#This Row],[Type]], 3), "Fie", "Field Report", "Con", "Contractor QC", "Gen", "Contractor QC", "Pun", "Contractor QC", "Qua", "Contractor QC", "Fin", "Punch List")</f>
        <v>Contractor QC</v>
      </c>
      <c r="D598" s="15" t="str">
        <f>_xlfn.LET(
_xlpm.leftValue, TRIM(LEFT(Tasks[[#This Row],[Description]], 45)),
IF(LEN(_xlpm.leftValue) &lt; 40, _xlpm.leftValue, _xlfn.CONCAT(_xlpm.leftValue, "…"))
)</f>
        <v>Close in around can light</v>
      </c>
      <c r="E598" s="15" t="str" cm="1">
        <f t="array" ref="E598">_xlfn.LET(
_xlpm.inTower, COUNTIF(Tower_Num_Table[Tower Rm Numbers], LEFT(Task_Summary_Table[[#This Row],[Area/Room]], 3)) &gt; 0,
_xlpm.typeResult, _xlfn.SWITCH(LEFT(Tasks[[#This Row],[Page]], 2), "Hi", "Historic", "An", "Annex", "Si", "Site", "S5", "Project Task", "SWITCH ERROR"),
IF(_xlpm.inTower, "West Tower", _xlpm.typeResult)
)</f>
        <v>Historic</v>
      </c>
      <c r="F598" s="15" t="str">
        <f>IFERROR(MID(Tasks[[#This Row],[Page]], FIND("Level", Tasks[[#This Row],[Page]]), 7), IF(ISNUMBER(FIND("Roof", Tasks[[#This Row],[Page]])), "Roof",  IF(ISNUMBER(FIND("S590", Tasks[[#This Row],[Page]])), "",  IF(ISNUMBER(FIND("Site", Tasks[[#This Row],[Page]])), "", "ERROR"))))</f>
        <v>Level 3</v>
      </c>
      <c r="G598" s="15" t="str">
        <f>IF(Tasks[[#This Row],[Location]]=0, "", Tasks[[#This Row],[Location]])</f>
        <v>316 - Hallway</v>
      </c>
      <c r="H598" s="15" t="str">
        <f>Tasks[[#This Row],[To Package]]</f>
        <v>Fire Suppression</v>
      </c>
      <c r="I598" s="15" t="str">
        <f>Tasks[[#This Row],[To Organisation]]</f>
        <v>Broken Arrow Construction Corporation</v>
      </c>
    </row>
    <row r="599" spans="1:9" ht="15.5" x14ac:dyDescent="0.35">
      <c r="A599" s="16" t="str">
        <f>HYPERLINK(_xlfn.CONCAT(Edit_URL,Tasks[[#This Row],[Ref]]),Tasks[[#This Row],[Ref]])</f>
        <v>T74290.440</v>
      </c>
      <c r="B599" s="15" t="str" cm="1">
        <f t="array" ref="B599">_xlfn.SWITCH(LEFT(Tasks[[#This Row],[Status]],1),"O","Opened","C","Completed","S","Signed Off", "V", "Signed Off","ERROR")</f>
        <v>Opened</v>
      </c>
      <c r="C599" s="15" t="str" cm="1">
        <f t="array" ref="C599">_xlfn.SWITCH(LEFT(Tasks[[#This Row],[Type]], 3), "Fie", "Field Report", "Con", "Contractor QC", "Gen", "Contractor QC", "Pun", "Contractor QC", "Qua", "Contractor QC", "Fin", "Punch List")</f>
        <v>Contractor QC</v>
      </c>
      <c r="D599" s="15" t="str">
        <f>_xlfn.LET(
_xlpm.leftValue, TRIM(LEFT(Tasks[[#This Row],[Description]], 45)),
IF(LEN(_xlpm.leftValue) &lt; 40, _xlpm.leftValue, _xlfn.CONCAT(_xlpm.leftValue, "…"))
)</f>
        <v>Repair around sprinkler head</v>
      </c>
      <c r="E599" s="15" t="str" cm="1">
        <f t="array" ref="E599">_xlfn.LET(
_xlpm.inTower, COUNTIF(Tower_Num_Table[Tower Rm Numbers], LEFT(Task_Summary_Table[[#This Row],[Area/Room]], 3)) &gt; 0,
_xlpm.typeResult, _xlfn.SWITCH(LEFT(Tasks[[#This Row],[Page]], 2), "Hi", "Historic", "An", "Annex", "Si", "Site", "S5", "Project Task", "SWITCH ERROR"),
IF(_xlpm.inTower, "West Tower", _xlpm.typeResult)
)</f>
        <v>Historic</v>
      </c>
      <c r="F599" s="15" t="str">
        <f>IFERROR(MID(Tasks[[#This Row],[Page]], FIND("Level", Tasks[[#This Row],[Page]]), 7), IF(ISNUMBER(FIND("Roof", Tasks[[#This Row],[Page]])), "Roof",  IF(ISNUMBER(FIND("S590", Tasks[[#This Row],[Page]])), "",  IF(ISNUMBER(FIND("Site", Tasks[[#This Row],[Page]])), "", "ERROR"))))</f>
        <v>Level 3</v>
      </c>
      <c r="G599" s="15" t="str">
        <f>IF(Tasks[[#This Row],[Location]]=0, "", Tasks[[#This Row],[Location]])</f>
        <v>316 - Hallway</v>
      </c>
      <c r="H599" s="15" t="str">
        <f>Tasks[[#This Row],[To Package]]</f>
        <v>Metal Stud / Drywall</v>
      </c>
      <c r="I599" s="15" t="str">
        <f>Tasks[[#This Row],[To Organisation]]</f>
        <v>Pete King Construction</v>
      </c>
    </row>
    <row r="600" spans="1:9" ht="15.5" x14ac:dyDescent="0.35">
      <c r="A600" s="16" t="str">
        <f>HYPERLINK(_xlfn.CONCAT(Edit_URL,Tasks[[#This Row],[Ref]]),Tasks[[#This Row],[Ref]])</f>
        <v>T74290.441</v>
      </c>
      <c r="B600" s="15" t="str" cm="1">
        <f t="array" ref="B600">_xlfn.SWITCH(LEFT(Tasks[[#This Row],[Status]],1),"O","Opened","C","Completed","S","Signed Off", "V", "Signed Off","ERROR")</f>
        <v>Opened</v>
      </c>
      <c r="C600" s="15" t="str" cm="1">
        <f t="array" ref="C600">_xlfn.SWITCH(LEFT(Tasks[[#This Row],[Type]], 3), "Fie", "Field Report", "Con", "Contractor QC", "Gen", "Contractor QC", "Pun", "Contractor QC", "Qua", "Contractor QC", "Fin", "Punch List")</f>
        <v>Contractor QC</v>
      </c>
      <c r="D600" s="15" t="str">
        <f>_xlfn.LET(
_xlpm.leftValue, TRIM(LEFT(Tasks[[#This Row],[Description]], 45)),
IF(LEN(_xlpm.leftValue) &lt; 40, _xlpm.leftValue, _xlfn.CONCAT(_xlpm.leftValue, "…"))
)</f>
        <v>Close in around can light</v>
      </c>
      <c r="E600" s="15" t="str" cm="1">
        <f t="array" ref="E600">_xlfn.LET(
_xlpm.inTower, COUNTIF(Tower_Num_Table[Tower Rm Numbers], LEFT(Task_Summary_Table[[#This Row],[Area/Room]], 3)) &gt; 0,
_xlpm.typeResult, _xlfn.SWITCH(LEFT(Tasks[[#This Row],[Page]], 2), "Hi", "Historic", "An", "Annex", "Si", "Site", "S5", "Project Task", "SWITCH ERROR"),
IF(_xlpm.inTower, "West Tower", _xlpm.typeResult)
)</f>
        <v>Historic</v>
      </c>
      <c r="F600" s="15" t="str">
        <f>IFERROR(MID(Tasks[[#This Row],[Page]], FIND("Level", Tasks[[#This Row],[Page]]), 7), IF(ISNUMBER(FIND("Roof", Tasks[[#This Row],[Page]])), "Roof",  IF(ISNUMBER(FIND("S590", Tasks[[#This Row],[Page]])), "",  IF(ISNUMBER(FIND("Site", Tasks[[#This Row],[Page]])), "", "ERROR"))))</f>
        <v>Level 3</v>
      </c>
      <c r="G600" s="15" t="str">
        <f>IF(Tasks[[#This Row],[Location]]=0, "", Tasks[[#This Row],[Location]])</f>
        <v>316 - Hallway</v>
      </c>
      <c r="H600" s="15" t="str">
        <f>Tasks[[#This Row],[To Package]]</f>
        <v>Metal Stud / Drywall</v>
      </c>
      <c r="I600" s="15" t="str">
        <f>Tasks[[#This Row],[To Organisation]]</f>
        <v>Pete King Construction</v>
      </c>
    </row>
    <row r="601" spans="1:9" ht="15.5" x14ac:dyDescent="0.35">
      <c r="A601" s="16" t="str">
        <f>HYPERLINK(_xlfn.CONCAT(Edit_URL,Tasks[[#This Row],[Ref]]),Tasks[[#This Row],[Ref]])</f>
        <v>T74290.442</v>
      </c>
      <c r="B601" s="15" t="str" cm="1">
        <f t="array" ref="B601">_xlfn.SWITCH(LEFT(Tasks[[#This Row],[Status]],1),"O","Opened","C","Completed","S","Signed Off", "V", "Signed Off","ERROR")</f>
        <v>Opened</v>
      </c>
      <c r="C601" s="15" t="str" cm="1">
        <f t="array" ref="C601">_xlfn.SWITCH(LEFT(Tasks[[#This Row],[Type]], 3), "Fie", "Field Report", "Con", "Contractor QC", "Gen", "Contractor QC", "Pun", "Contractor QC", "Qua", "Contractor QC", "Fin", "Punch List")</f>
        <v>Contractor QC</v>
      </c>
      <c r="D601" s="15" t="str">
        <f>_xlfn.LET(
_xlpm.leftValue, TRIM(LEFT(Tasks[[#This Row],[Description]], 45)),
IF(LEN(_xlpm.leftValue) &lt; 40, _xlpm.leftValue, _xlfn.CONCAT(_xlpm.leftValue, "…"))
)</f>
        <v>Close in around exit sign</v>
      </c>
      <c r="E601" s="15" t="str" cm="1">
        <f t="array" ref="E601">_xlfn.LET(
_xlpm.inTower, COUNTIF(Tower_Num_Table[Tower Rm Numbers], LEFT(Task_Summary_Table[[#This Row],[Area/Room]], 3)) &gt; 0,
_xlpm.typeResult, _xlfn.SWITCH(LEFT(Tasks[[#This Row],[Page]], 2), "Hi", "Historic", "An", "Annex", "Si", "Site", "S5", "Project Task", "SWITCH ERROR"),
IF(_xlpm.inTower, "West Tower", _xlpm.typeResult)
)</f>
        <v>Historic</v>
      </c>
      <c r="F601" s="15" t="str">
        <f>IFERROR(MID(Tasks[[#This Row],[Page]], FIND("Level", Tasks[[#This Row],[Page]]), 7), IF(ISNUMBER(FIND("Roof", Tasks[[#This Row],[Page]])), "Roof",  IF(ISNUMBER(FIND("S590", Tasks[[#This Row],[Page]])), "",  IF(ISNUMBER(FIND("Site", Tasks[[#This Row],[Page]])), "", "ERROR"))))</f>
        <v>Level 3</v>
      </c>
      <c r="G601" s="15" t="str">
        <f>IF(Tasks[[#This Row],[Location]]=0, "", Tasks[[#This Row],[Location]])</f>
        <v>317 - Study</v>
      </c>
      <c r="H601" s="15" t="str">
        <f>Tasks[[#This Row],[To Package]]</f>
        <v>Metal Stud / Drywall</v>
      </c>
      <c r="I601" s="15" t="str">
        <f>Tasks[[#This Row],[To Organisation]]</f>
        <v>Pete King Construction</v>
      </c>
    </row>
    <row r="602" spans="1:9" ht="15.5" x14ac:dyDescent="0.35">
      <c r="A602" s="16" t="str">
        <f>HYPERLINK(_xlfn.CONCAT(Edit_URL,Tasks[[#This Row],[Ref]]),Tasks[[#This Row],[Ref]])</f>
        <v>T74290.443</v>
      </c>
      <c r="B602" s="15" t="str" cm="1">
        <f t="array" ref="B602">_xlfn.SWITCH(LEFT(Tasks[[#This Row],[Status]],1),"O","Opened","C","Completed","S","Signed Off", "V", "Signed Off","ERROR")</f>
        <v>Opened</v>
      </c>
      <c r="C602" s="15" t="str" cm="1">
        <f t="array" ref="C602">_xlfn.SWITCH(LEFT(Tasks[[#This Row],[Type]], 3), "Fie", "Field Report", "Con", "Contractor QC", "Gen", "Contractor QC", "Pun", "Contractor QC", "Qua", "Contractor QC", "Fin", "Punch List")</f>
        <v>Contractor QC</v>
      </c>
      <c r="D602" s="15" t="str">
        <f>_xlfn.LET(
_xlpm.leftValue, TRIM(LEFT(Tasks[[#This Row],[Description]], 45)),
IF(LEN(_xlpm.leftValue) &lt; 40, _xlpm.leftValue, _xlfn.CONCAT(_xlpm.leftValue, "…"))
)</f>
        <v>Close in can light</v>
      </c>
      <c r="E602" s="15" t="str" cm="1">
        <f t="array" ref="E602">_xlfn.LET(
_xlpm.inTower, COUNTIF(Tower_Num_Table[Tower Rm Numbers], LEFT(Task_Summary_Table[[#This Row],[Area/Room]], 3)) &gt; 0,
_xlpm.typeResult, _xlfn.SWITCH(LEFT(Tasks[[#This Row],[Page]], 2), "Hi", "Historic", "An", "Annex", "Si", "Site", "S5", "Project Task", "SWITCH ERROR"),
IF(_xlpm.inTower, "West Tower", _xlpm.typeResult)
)</f>
        <v>Historic</v>
      </c>
      <c r="F602" s="15" t="str">
        <f>IFERROR(MID(Tasks[[#This Row],[Page]], FIND("Level", Tasks[[#This Row],[Page]]), 7), IF(ISNUMBER(FIND("Roof", Tasks[[#This Row],[Page]])), "Roof",  IF(ISNUMBER(FIND("S590", Tasks[[#This Row],[Page]])), "",  IF(ISNUMBER(FIND("Site", Tasks[[#This Row],[Page]])), "", "ERROR"))))</f>
        <v>Level 3</v>
      </c>
      <c r="G602" s="15" t="str">
        <f>IF(Tasks[[#This Row],[Location]]=0, "", Tasks[[#This Row],[Location]])</f>
        <v>318 - Instruction 4</v>
      </c>
      <c r="H602" s="15" t="str">
        <f>Tasks[[#This Row],[To Package]]</f>
        <v>Metal Stud / Drywall</v>
      </c>
      <c r="I602" s="15" t="str">
        <f>Tasks[[#This Row],[To Organisation]]</f>
        <v>Pete King Construction</v>
      </c>
    </row>
    <row r="603" spans="1:9" ht="15.5" x14ac:dyDescent="0.35">
      <c r="A603" s="16" t="str">
        <f>HYPERLINK(_xlfn.CONCAT(Edit_URL,Tasks[[#This Row],[Ref]]),Tasks[[#This Row],[Ref]])</f>
        <v>T74290.444</v>
      </c>
      <c r="B603" s="15" t="str" cm="1">
        <f t="array" ref="B603">_xlfn.SWITCH(LEFT(Tasks[[#This Row],[Status]],1),"O","Opened","C","Completed","S","Signed Off", "V", "Signed Off","ERROR")</f>
        <v>Opened</v>
      </c>
      <c r="C603" s="15" t="str" cm="1">
        <f t="array" ref="C603">_xlfn.SWITCH(LEFT(Tasks[[#This Row],[Type]], 3), "Fie", "Field Report", "Con", "Contractor QC", "Gen", "Contractor QC", "Pun", "Contractor QC", "Qua", "Contractor QC", "Fin", "Punch List")</f>
        <v>Contractor QC</v>
      </c>
      <c r="D603" s="15" t="str">
        <f>_xlfn.LET(
_xlpm.leftValue, TRIM(LEFT(Tasks[[#This Row],[Description]], 45)),
IF(LEN(_xlpm.leftValue) &lt; 40, _xlpm.leftValue, _xlfn.CONCAT(_xlpm.leftValue, "…"))
)</f>
        <v>Close in around exit sign</v>
      </c>
      <c r="E603" s="15" t="str" cm="1">
        <f t="array" ref="E603">_xlfn.LET(
_xlpm.inTower, COUNTIF(Tower_Num_Table[Tower Rm Numbers], LEFT(Task_Summary_Table[[#This Row],[Area/Room]], 3)) &gt; 0,
_xlpm.typeResult, _xlfn.SWITCH(LEFT(Tasks[[#This Row],[Page]], 2), "Hi", "Historic", "An", "Annex", "Si", "Site", "S5", "Project Task", "SWITCH ERROR"),
IF(_xlpm.inTower, "West Tower", _xlpm.typeResult)
)</f>
        <v>Historic</v>
      </c>
      <c r="F603" s="15" t="str">
        <f>IFERROR(MID(Tasks[[#This Row],[Page]], FIND("Level", Tasks[[#This Row],[Page]]), 7), IF(ISNUMBER(FIND("Roof", Tasks[[#This Row],[Page]])), "Roof",  IF(ISNUMBER(FIND("S590", Tasks[[#This Row],[Page]])), "",  IF(ISNUMBER(FIND("Site", Tasks[[#This Row],[Page]])), "", "ERROR"))))</f>
        <v>Level 3</v>
      </c>
      <c r="G603" s="15" t="str">
        <f>IF(Tasks[[#This Row],[Location]]=0, "", Tasks[[#This Row],[Location]])</f>
        <v>319 - Study</v>
      </c>
      <c r="H603" s="15" t="str">
        <f>Tasks[[#This Row],[To Package]]</f>
        <v>Metal Stud / Drywall</v>
      </c>
      <c r="I603" s="15" t="str">
        <f>Tasks[[#This Row],[To Organisation]]</f>
        <v>Pete King Construction</v>
      </c>
    </row>
    <row r="604" spans="1:9" ht="15.5" x14ac:dyDescent="0.35">
      <c r="A604" s="16" t="str">
        <f>HYPERLINK(_xlfn.CONCAT(Edit_URL,Tasks[[#This Row],[Ref]]),Tasks[[#This Row],[Ref]])</f>
        <v>T74290.445</v>
      </c>
      <c r="B604" s="15" t="str" cm="1">
        <f t="array" ref="B604">_xlfn.SWITCH(LEFT(Tasks[[#This Row],[Status]],1),"O","Opened","C","Completed","S","Signed Off", "V", "Signed Off","ERROR")</f>
        <v>Opened</v>
      </c>
      <c r="C604" s="15" t="str" cm="1">
        <f t="array" ref="C604">_xlfn.SWITCH(LEFT(Tasks[[#This Row],[Type]], 3), "Fie", "Field Report", "Con", "Contractor QC", "Gen", "Contractor QC", "Pun", "Contractor QC", "Qua", "Contractor QC", "Fin", "Punch List")</f>
        <v>Contractor QC</v>
      </c>
      <c r="D604" s="15" t="str">
        <f>_xlfn.LET(
_xlpm.leftValue, TRIM(LEFT(Tasks[[#This Row],[Description]], 45)),
IF(LEN(_xlpm.leftValue) &lt; 40, _xlpm.leftValue, _xlfn.CONCAT(_xlpm.leftValue, "…"))
)</f>
        <v>Paint tops of arched doors</v>
      </c>
      <c r="E604" s="15" t="str" cm="1">
        <f t="array" ref="E604">_xlfn.LET(
_xlpm.inTower, COUNTIF(Tower_Num_Table[Tower Rm Numbers], LEFT(Task_Summary_Table[[#This Row],[Area/Room]], 3)) &gt; 0,
_xlpm.typeResult, _xlfn.SWITCH(LEFT(Tasks[[#This Row],[Page]], 2), "Hi", "Historic", "An", "Annex", "Si", "Site", "S5", "Project Task", "SWITCH ERROR"),
IF(_xlpm.inTower, "West Tower", _xlpm.typeResult)
)</f>
        <v>Historic</v>
      </c>
      <c r="F604" s="15" t="str">
        <f>IFERROR(MID(Tasks[[#This Row],[Page]], FIND("Level", Tasks[[#This Row],[Page]]), 7), IF(ISNUMBER(FIND("Roof", Tasks[[#This Row],[Page]])), "Roof",  IF(ISNUMBER(FIND("S590", Tasks[[#This Row],[Page]])), "",  IF(ISNUMBER(FIND("Site", Tasks[[#This Row],[Page]])), "", "ERROR"))))</f>
        <v>Level 3</v>
      </c>
      <c r="G604" s="15" t="str">
        <f>IF(Tasks[[#This Row],[Location]]=0, "", Tasks[[#This Row],[Location]])</f>
        <v>319 - Study</v>
      </c>
      <c r="H604" s="15" t="str">
        <f>Tasks[[#This Row],[To Package]]</f>
        <v>Paint</v>
      </c>
      <c r="I604" s="15" t="str">
        <f>Tasks[[#This Row],[To Organisation]]</f>
        <v>Accent Painting and Special Coatings, LLC</v>
      </c>
    </row>
    <row r="605" spans="1:9" ht="15.5" x14ac:dyDescent="0.35">
      <c r="A605" s="16" t="str">
        <f>HYPERLINK(_xlfn.CONCAT(Edit_URL,Tasks[[#This Row],[Ref]]),Tasks[[#This Row],[Ref]])</f>
        <v>T74290.312</v>
      </c>
      <c r="B605" s="15" t="str" cm="1">
        <f t="array" ref="B605">_xlfn.SWITCH(LEFT(Tasks[[#This Row],[Status]],1),"O","Opened","C","Completed","S","Signed Off", "V", "Signed Off","ERROR")</f>
        <v>Opened</v>
      </c>
      <c r="C605" s="15" t="str" cm="1">
        <f t="array" ref="C605">_xlfn.SWITCH(LEFT(Tasks[[#This Row],[Type]], 3), "Fie", "Field Report", "Con", "Contractor QC", "Gen", "Contractor QC", "Pun", "Contractor QC", "Qua", "Contractor QC", "Fin", "Punch List")</f>
        <v>Contractor QC</v>
      </c>
      <c r="D605" s="15" t="str">
        <f>_xlfn.LET(
_xlpm.leftValue, TRIM(LEFT(Tasks[[#This Row],[Description]], 45)),
IF(LEN(_xlpm.leftValue) &lt; 40, _xlpm.leftValue, _xlfn.CONCAT(_xlpm.leftValue, "…"))
)</f>
        <v>Fix ceiling tile in south west corner of ceil…</v>
      </c>
      <c r="E605" s="15" t="str" cm="1">
        <f t="array" ref="E605">_xlfn.LET(
_xlpm.inTower, COUNTIF(Tower_Num_Table[Tower Rm Numbers], LEFT(Task_Summary_Table[[#This Row],[Area/Room]], 3)) &gt; 0,
_xlpm.typeResult, _xlfn.SWITCH(LEFT(Tasks[[#This Row],[Page]], 2), "Hi", "Historic", "An", "Annex", "Si", "Site", "S5", "Project Task", "SWITCH ERROR"),
IF(_xlpm.inTower, "West Tower", _xlpm.typeResult)
)</f>
        <v>Annex</v>
      </c>
      <c r="F605" s="15" t="str">
        <f>IFERROR(MID(Tasks[[#This Row],[Page]], FIND("Level", Tasks[[#This Row],[Page]]), 7), IF(ISNUMBER(FIND("Roof", Tasks[[#This Row],[Page]])), "Roof",  IF(ISNUMBER(FIND("S590", Tasks[[#This Row],[Page]])), "",  IF(ISNUMBER(FIND("Site", Tasks[[#This Row],[Page]])), "", "ERROR"))))</f>
        <v>Level 0</v>
      </c>
      <c r="G605" s="15" t="str">
        <f>IF(Tasks[[#This Row],[Location]]=0, "", Tasks[[#This Row],[Location]])</f>
        <v>011 - GRAB-N-GO</v>
      </c>
      <c r="H605" s="15" t="str">
        <f>Tasks[[#This Row],[To Package]]</f>
        <v>Acoustical Ceilings</v>
      </c>
      <c r="I605" s="15" t="str">
        <f>Tasks[[#This Row],[To Organisation]]</f>
        <v>Design West Acoustics</v>
      </c>
    </row>
    <row r="606" spans="1:9" ht="15.5" x14ac:dyDescent="0.35">
      <c r="A606" s="16" t="str">
        <f>HYPERLINK(_xlfn.CONCAT(Edit_URL,Tasks[[#This Row],[Ref]]),Tasks[[#This Row],[Ref]])</f>
        <v>T74290.313</v>
      </c>
      <c r="B606" s="15" t="str" cm="1">
        <f t="array" ref="B606">_xlfn.SWITCH(LEFT(Tasks[[#This Row],[Status]],1),"O","Opened","C","Completed","S","Signed Off", "V", "Signed Off","ERROR")</f>
        <v>Opened</v>
      </c>
      <c r="C606" s="15" t="str" cm="1">
        <f t="array" ref="C606">_xlfn.SWITCH(LEFT(Tasks[[#This Row],[Type]], 3), "Fie", "Field Report", "Con", "Contractor QC", "Gen", "Contractor QC", "Pun", "Contractor QC", "Qua", "Contractor QC", "Fin", "Punch List")</f>
        <v>Contractor QC</v>
      </c>
      <c r="D606" s="15" t="str">
        <f>_xlfn.LET(
_xlpm.leftValue, TRIM(LEFT(Tasks[[#This Row],[Description]], 45)),
IF(LEN(_xlpm.leftValue) &lt; 40, _xlpm.leftValue, _xlfn.CONCAT(_xlpm.leftValue, "…"))
)</f>
        <v>Touch up plinth blocks and casing</v>
      </c>
      <c r="E606" s="15" t="str" cm="1">
        <f t="array" ref="E606">_xlfn.LET(
_xlpm.inTower, COUNTIF(Tower_Num_Table[Tower Rm Numbers], LEFT(Task_Summary_Table[[#This Row],[Area/Room]], 3)) &gt; 0,
_xlpm.typeResult, _xlfn.SWITCH(LEFT(Tasks[[#This Row],[Page]], 2), "Hi", "Historic", "An", "Annex", "Si", "Site", "S5", "Project Task", "SWITCH ERROR"),
IF(_xlpm.inTower, "West Tower", _xlpm.typeResult)
)</f>
        <v>Annex</v>
      </c>
      <c r="F606" s="15" t="str">
        <f>IFERROR(MID(Tasks[[#This Row],[Page]], FIND("Level", Tasks[[#This Row],[Page]]), 7), IF(ISNUMBER(FIND("Roof", Tasks[[#This Row],[Page]])), "Roof",  IF(ISNUMBER(FIND("S590", Tasks[[#This Row],[Page]])), "",  IF(ISNUMBER(FIND("Site", Tasks[[#This Row],[Page]])), "", "ERROR"))))</f>
        <v>Level 0</v>
      </c>
      <c r="G606" s="15" t="str">
        <f>IF(Tasks[[#This Row],[Location]]=0, "", Tasks[[#This Row],[Location]])</f>
        <v>011 - GRAB-N-GO</v>
      </c>
      <c r="H606" s="15" t="str">
        <f>Tasks[[#This Row],[To Package]]</f>
        <v>Paint</v>
      </c>
      <c r="I606" s="15" t="str">
        <f>Tasks[[#This Row],[To Organisation]]</f>
        <v>Accent Painting and Special Coatings, LLC</v>
      </c>
    </row>
    <row r="607" spans="1:9" ht="15.5" x14ac:dyDescent="0.35">
      <c r="A607" s="16" t="str">
        <f>HYPERLINK(_xlfn.CONCAT(Edit_URL,Tasks[[#This Row],[Ref]]),Tasks[[#This Row],[Ref]])</f>
        <v>T74290.314</v>
      </c>
      <c r="B607" s="15" t="str" cm="1">
        <f t="array" ref="B607">_xlfn.SWITCH(LEFT(Tasks[[#This Row],[Status]],1),"O","Opened","C","Completed","S","Signed Off", "V", "Signed Off","ERROR")</f>
        <v>Opened</v>
      </c>
      <c r="C607" s="15" t="str" cm="1">
        <f t="array" ref="C607">_xlfn.SWITCH(LEFT(Tasks[[#This Row],[Type]], 3), "Fie", "Field Report", "Con", "Contractor QC", "Gen", "Contractor QC", "Pun", "Contractor QC", "Qua", "Contractor QC", "Fin", "Punch List")</f>
        <v>Contractor QC</v>
      </c>
      <c r="D607" s="15" t="str">
        <f>_xlfn.LET(
_xlpm.leftValue, TRIM(LEFT(Tasks[[#This Row],[Description]], 45)),
IF(LEN(_xlpm.leftValue) &lt; 40, _xlpm.leftValue, _xlfn.CONCAT(_xlpm.leftValue, "…"))
)</f>
        <v>Cabinet touch up on both base cabinets and w…</v>
      </c>
      <c r="E607" s="15" t="str" cm="1">
        <f t="array" ref="E607">_xlfn.LET(
_xlpm.inTower, COUNTIF(Tower_Num_Table[Tower Rm Numbers], LEFT(Task_Summary_Table[[#This Row],[Area/Room]], 3)) &gt; 0,
_xlpm.typeResult, _xlfn.SWITCH(LEFT(Tasks[[#This Row],[Page]], 2), "Hi", "Historic", "An", "Annex", "Si", "Site", "S5", "Project Task", "SWITCH ERROR"),
IF(_xlpm.inTower, "West Tower", _xlpm.typeResult)
)</f>
        <v>Annex</v>
      </c>
      <c r="F607" s="15" t="str">
        <f>IFERROR(MID(Tasks[[#This Row],[Page]], FIND("Level", Tasks[[#This Row],[Page]]), 7), IF(ISNUMBER(FIND("Roof", Tasks[[#This Row],[Page]])), "Roof",  IF(ISNUMBER(FIND("S590", Tasks[[#This Row],[Page]])), "",  IF(ISNUMBER(FIND("Site", Tasks[[#This Row],[Page]])), "", "ERROR"))))</f>
        <v>Level 0</v>
      </c>
      <c r="G607" s="15" t="str">
        <f>IF(Tasks[[#This Row],[Location]]=0, "", Tasks[[#This Row],[Location]])</f>
        <v>010 - BREAK ROOM</v>
      </c>
      <c r="H607" s="15" t="str">
        <f>Tasks[[#This Row],[To Package]]</f>
        <v xml:space="preserve">Finish Carpentry </v>
      </c>
      <c r="I607" s="15" t="str">
        <f>Tasks[[#This Row],[To Organisation]]</f>
        <v>Fetzers' Inc.</v>
      </c>
    </row>
    <row r="608" spans="1:9" ht="15.5" x14ac:dyDescent="0.35">
      <c r="A608" s="16" t="str">
        <f>HYPERLINK(_xlfn.CONCAT(Edit_URL,Tasks[[#This Row],[Ref]]),Tasks[[#This Row],[Ref]])</f>
        <v>T74290.315</v>
      </c>
      <c r="B608" s="15" t="str" cm="1">
        <f t="array" ref="B608">_xlfn.SWITCH(LEFT(Tasks[[#This Row],[Status]],1),"O","Opened","C","Completed","S","Signed Off", "V", "Signed Off","ERROR")</f>
        <v>Opened</v>
      </c>
      <c r="C608" s="15" t="str" cm="1">
        <f t="array" ref="C608">_xlfn.SWITCH(LEFT(Tasks[[#This Row],[Type]], 3), "Fie", "Field Report", "Con", "Contractor QC", "Gen", "Contractor QC", "Pun", "Contractor QC", "Qua", "Contractor QC", "Fin", "Punch List")</f>
        <v>Contractor QC</v>
      </c>
      <c r="D608" s="15" t="str">
        <f>_xlfn.LET(
_xlpm.leftValue, TRIM(LEFT(Tasks[[#This Row],[Description]], 45)),
IF(LEN(_xlpm.leftValue) &lt; 40, _xlpm.leftValue, _xlfn.CONCAT(_xlpm.leftValue, "…"))
)</f>
        <v>Smooth cove base</v>
      </c>
      <c r="E608" s="15" t="str" cm="1">
        <f t="array" ref="E608">_xlfn.LET(
_xlpm.inTower, COUNTIF(Tower_Num_Table[Tower Rm Numbers], LEFT(Task_Summary_Table[[#This Row],[Area/Room]], 3)) &gt; 0,
_xlpm.typeResult, _xlfn.SWITCH(LEFT(Tasks[[#This Row],[Page]], 2), "Hi", "Historic", "An", "Annex", "Si", "Site", "S5", "Project Task", "SWITCH ERROR"),
IF(_xlpm.inTower, "West Tower", _xlpm.typeResult)
)</f>
        <v>Annex</v>
      </c>
      <c r="F608" s="15" t="str">
        <f>IFERROR(MID(Tasks[[#This Row],[Page]], FIND("Level", Tasks[[#This Row],[Page]]), 7), IF(ISNUMBER(FIND("Roof", Tasks[[#This Row],[Page]])), "Roof",  IF(ISNUMBER(FIND("S590", Tasks[[#This Row],[Page]])), "",  IF(ISNUMBER(FIND("Site", Tasks[[#This Row],[Page]])), "", "ERROR"))))</f>
        <v>Level 0</v>
      </c>
      <c r="G608" s="15" t="str">
        <f>IF(Tasks[[#This Row],[Location]]=0, "", Tasks[[#This Row],[Location]])</f>
        <v>010 - BREAK ROOM</v>
      </c>
      <c r="H608" s="15" t="str">
        <f>Tasks[[#This Row],[To Package]]</f>
        <v>Westland -- Annex</v>
      </c>
      <c r="I608" s="15" t="str">
        <f>Tasks[[#This Row],[To Organisation]]</f>
        <v>Westland Construction, Inc.</v>
      </c>
    </row>
    <row r="609" spans="1:9" ht="15.5" x14ac:dyDescent="0.35">
      <c r="A609" s="16" t="str">
        <f>HYPERLINK(_xlfn.CONCAT(Edit_URL,Tasks[[#This Row],[Ref]]),Tasks[[#This Row],[Ref]])</f>
        <v>T74290.382</v>
      </c>
      <c r="B609" s="15" t="str" cm="1">
        <f t="array" ref="B609">_xlfn.SWITCH(LEFT(Tasks[[#This Row],[Status]],1),"O","Opened","C","Completed","S","Signed Off", "V", "Signed Off","ERROR")</f>
        <v>Opened</v>
      </c>
      <c r="C609" s="15" t="str" cm="1">
        <f t="array" ref="C609">_xlfn.SWITCH(LEFT(Tasks[[#This Row],[Type]], 3), "Fie", "Field Report", "Con", "Contractor QC", "Gen", "Contractor QC", "Pun", "Contractor QC", "Qua", "Contractor QC", "Fin", "Punch List")</f>
        <v>Contractor QC</v>
      </c>
      <c r="D609" s="15" t="str">
        <f>_xlfn.LET(
_xlpm.leftValue, TRIM(LEFT(Tasks[[#This Row],[Description]], 45)),
IF(LEN(_xlpm.leftValue) &lt; 40, _xlpm.leftValue, _xlfn.CONCAT(_xlpm.leftValue, "…"))
)</f>
        <v>Paint door jamb</v>
      </c>
      <c r="E609" s="15" t="str" cm="1">
        <f t="array" ref="E609">_xlfn.LET(
_xlpm.inTower, COUNTIF(Tower_Num_Table[Tower Rm Numbers], LEFT(Task_Summary_Table[[#This Row],[Area/Room]], 3)) &gt; 0,
_xlpm.typeResult, _xlfn.SWITCH(LEFT(Tasks[[#This Row],[Page]], 2), "Hi", "Historic", "An", "Annex", "Si", "Site", "S5", "Project Task", "SWITCH ERROR"),
IF(_xlpm.inTower, "West Tower", _xlpm.typeResult)
)</f>
        <v>Annex</v>
      </c>
      <c r="F609" s="15" t="str">
        <f>IFERROR(MID(Tasks[[#This Row],[Page]], FIND("Level", Tasks[[#This Row],[Page]]), 7), IF(ISNUMBER(FIND("Roof", Tasks[[#This Row],[Page]])), "Roof",  IF(ISNUMBER(FIND("S590", Tasks[[#This Row],[Page]])), "",  IF(ISNUMBER(FIND("Site", Tasks[[#This Row],[Page]])), "", "ERROR"))))</f>
        <v>Level 1</v>
      </c>
      <c r="G609" s="15" t="str">
        <f>IF(Tasks[[#This Row],[Location]]=0, "", Tasks[[#This Row],[Location]])</f>
        <v/>
      </c>
      <c r="H609" s="15" t="str">
        <f>Tasks[[#This Row],[To Package]]</f>
        <v>Paint</v>
      </c>
      <c r="I609" s="15" t="str">
        <f>Tasks[[#This Row],[To Organisation]]</f>
        <v>Accent Painting and Special Coatings, LLC</v>
      </c>
    </row>
    <row r="610" spans="1:9" ht="15.5" x14ac:dyDescent="0.35">
      <c r="A610" s="16" t="str">
        <f>HYPERLINK(_xlfn.CONCAT(Edit_URL,Tasks[[#This Row],[Ref]]),Tasks[[#This Row],[Ref]])</f>
        <v>T74290.285</v>
      </c>
      <c r="B610" s="15" t="str" cm="1">
        <f t="array" ref="B610">_xlfn.SWITCH(LEFT(Tasks[[#This Row],[Status]],1),"O","Opened","C","Completed","S","Signed Off", "V", "Signed Off","ERROR")</f>
        <v>Opened</v>
      </c>
      <c r="C610" s="15" t="str" cm="1">
        <f t="array" ref="C610">_xlfn.SWITCH(LEFT(Tasks[[#This Row],[Type]], 3), "Fie", "Field Report", "Con", "Contractor QC", "Gen", "Contractor QC", "Pun", "Contractor QC", "Qua", "Contractor QC", "Fin", "Punch List")</f>
        <v>Contractor QC</v>
      </c>
      <c r="D610" s="15" t="str">
        <f>_xlfn.LET(
_xlpm.leftValue, TRIM(LEFT(Tasks[[#This Row],[Description]], 45)),
IF(LEN(_xlpm.leftValue) &lt; 40, _xlpm.leftValue, _xlfn.CONCAT(_xlpm.leftValue, "…"))
)</f>
        <v>Touch up transom - fill nail holes</v>
      </c>
      <c r="E610" s="15" t="str" cm="1">
        <f t="array" ref="E610">_xlfn.LET(
_xlpm.inTower, COUNTIF(Tower_Num_Table[Tower Rm Numbers], LEFT(Task_Summary_Table[[#This Row],[Area/Room]], 3)) &gt; 0,
_xlpm.typeResult, _xlfn.SWITCH(LEFT(Tasks[[#This Row],[Page]], 2), "Hi", "Historic", "An", "Annex", "Si", "Site", "S5", "Project Task", "SWITCH ERROR"),
IF(_xlpm.inTower, "West Tower", _xlpm.typeResult)
)</f>
        <v>Historic</v>
      </c>
      <c r="F610" s="15" t="str">
        <f>IFERROR(MID(Tasks[[#This Row],[Page]], FIND("Level", Tasks[[#This Row],[Page]]), 7), IF(ISNUMBER(FIND("Roof", Tasks[[#This Row],[Page]])), "Roof",  IF(ISNUMBER(FIND("S590", Tasks[[#This Row],[Page]])), "",  IF(ISNUMBER(FIND("Site", Tasks[[#This Row],[Page]])), "", "ERROR"))))</f>
        <v>Level 5</v>
      </c>
      <c r="G610" s="15" t="str">
        <f>IF(Tasks[[#This Row],[Location]]=0, "", Tasks[[#This Row],[Location]])</f>
        <v/>
      </c>
      <c r="H610" s="15" t="str">
        <f>Tasks[[#This Row],[To Package]]</f>
        <v>Paint</v>
      </c>
      <c r="I610" s="15" t="str">
        <f>Tasks[[#This Row],[To Organisation]]</f>
        <v>Accent Painting and Special Coatings, LLC</v>
      </c>
    </row>
    <row r="611" spans="1:9" ht="15.5" x14ac:dyDescent="0.35">
      <c r="A611" s="16" t="str">
        <f>HYPERLINK(_xlfn.CONCAT(Edit_URL,Tasks[[#This Row],[Ref]]),Tasks[[#This Row],[Ref]])</f>
        <v>T74290.286</v>
      </c>
      <c r="B611" s="15" t="str" cm="1">
        <f t="array" ref="B611">_xlfn.SWITCH(LEFT(Tasks[[#This Row],[Status]],1),"O","Opened","C","Completed","S","Signed Off", "V", "Signed Off","ERROR")</f>
        <v>Opened</v>
      </c>
      <c r="C611" s="15" t="str" cm="1">
        <f t="array" ref="C611">_xlfn.SWITCH(LEFT(Tasks[[#This Row],[Type]], 3), "Fie", "Field Report", "Con", "Contractor QC", "Gen", "Contractor QC", "Pun", "Contractor QC", "Qua", "Contractor QC", "Fin", "Punch List")</f>
        <v>Contractor QC</v>
      </c>
      <c r="D611" s="15" t="str">
        <f>_xlfn.LET(
_xlpm.leftValue, TRIM(LEFT(Tasks[[#This Row],[Description]], 45)),
IF(LEN(_xlpm.leftValue) &lt; 40, _xlpm.leftValue, _xlfn.CONCAT(_xlpm.leftValue, "…"))
)</f>
        <v>Touch up casing around deco paint</v>
      </c>
      <c r="E611" s="15" t="str" cm="1">
        <f t="array" ref="E611">_xlfn.LET(
_xlpm.inTower, COUNTIF(Tower_Num_Table[Tower Rm Numbers], LEFT(Task_Summary_Table[[#This Row],[Area/Room]], 3)) &gt; 0,
_xlpm.typeResult, _xlfn.SWITCH(LEFT(Tasks[[#This Row],[Page]], 2), "Hi", "Historic", "An", "Annex", "Si", "Site", "S5", "Project Task", "SWITCH ERROR"),
IF(_xlpm.inTower, "West Tower", _xlpm.typeResult)
)</f>
        <v>Historic</v>
      </c>
      <c r="F611" s="15" t="str">
        <f>IFERROR(MID(Tasks[[#This Row],[Page]], FIND("Level", Tasks[[#This Row],[Page]]), 7), IF(ISNUMBER(FIND("Roof", Tasks[[#This Row],[Page]])), "Roof",  IF(ISNUMBER(FIND("S590", Tasks[[#This Row],[Page]])), "",  IF(ISNUMBER(FIND("Site", Tasks[[#This Row],[Page]])), "", "ERROR"))))</f>
        <v>Level 5</v>
      </c>
      <c r="G611" s="15" t="str">
        <f>IF(Tasks[[#This Row],[Location]]=0, "", Tasks[[#This Row],[Location]])</f>
        <v/>
      </c>
      <c r="H611" s="15" t="str">
        <f>Tasks[[#This Row],[To Package]]</f>
        <v>Paint</v>
      </c>
      <c r="I611" s="15" t="str">
        <f>Tasks[[#This Row],[To Organisation]]</f>
        <v>Accent Painting and Special Coatings, LLC</v>
      </c>
    </row>
    <row r="612" spans="1:9" ht="15.5" x14ac:dyDescent="0.35">
      <c r="A612" s="16" t="str">
        <f>HYPERLINK(_xlfn.CONCAT(Edit_URL,Tasks[[#This Row],[Ref]]),Tasks[[#This Row],[Ref]])</f>
        <v>T74290.408</v>
      </c>
      <c r="B612" s="15" t="str" cm="1">
        <f t="array" ref="B612">_xlfn.SWITCH(LEFT(Tasks[[#This Row],[Status]],1),"O","Opened","C","Completed","S","Signed Off", "V", "Signed Off","ERROR")</f>
        <v>Opened</v>
      </c>
      <c r="C612" s="15" t="str" cm="1">
        <f t="array" ref="C612">_xlfn.SWITCH(LEFT(Tasks[[#This Row],[Type]], 3), "Fie", "Field Report", "Con", "Contractor QC", "Gen", "Contractor QC", "Pun", "Contractor QC", "Qua", "Contractor QC", "Fin", "Punch List")</f>
        <v>Contractor QC</v>
      </c>
      <c r="D612" s="15" t="str">
        <f>_xlfn.LET(
_xlpm.leftValue, TRIM(LEFT(Tasks[[#This Row],[Description]], 45)),
IF(LEN(_xlpm.leftValue) &lt; 40, _xlpm.leftValue, _xlfn.CONCAT(_xlpm.leftValue, "…"))
)</f>
        <v>Caulk and paint baseboard</v>
      </c>
      <c r="E612" s="15" t="str" cm="1">
        <f t="array" ref="E612">_xlfn.LET(
_xlpm.inTower, COUNTIF(Tower_Num_Table[Tower Rm Numbers], LEFT(Task_Summary_Table[[#This Row],[Area/Room]], 3)) &gt; 0,
_xlpm.typeResult, _xlfn.SWITCH(LEFT(Tasks[[#This Row],[Page]], 2), "Hi", "Historic", "An", "Annex", "Si", "Site", "S5", "Project Task", "SWITCH ERROR"),
IF(_xlpm.inTower, "West Tower", _xlpm.typeResult)
)</f>
        <v>Historic</v>
      </c>
      <c r="F612" s="15" t="str">
        <f>IFERROR(MID(Tasks[[#This Row],[Page]], FIND("Level", Tasks[[#This Row],[Page]]), 7), IF(ISNUMBER(FIND("Roof", Tasks[[#This Row],[Page]])), "Roof",  IF(ISNUMBER(FIND("S590", Tasks[[#This Row],[Page]])), "",  IF(ISNUMBER(FIND("Site", Tasks[[#This Row],[Page]])), "", "ERROR"))))</f>
        <v>Level 5</v>
      </c>
      <c r="G612" s="15" t="str">
        <f>IF(Tasks[[#This Row],[Location]]=0, "", Tasks[[#This Row],[Location]])</f>
        <v/>
      </c>
      <c r="H612" s="15" t="str">
        <f>Tasks[[#This Row],[To Package]]</f>
        <v>Paint</v>
      </c>
      <c r="I612" s="15" t="str">
        <f>Tasks[[#This Row],[To Organisation]]</f>
        <v>Accent Painting and Special Coatings, LLC</v>
      </c>
    </row>
    <row r="613" spans="1:9" ht="15.5" x14ac:dyDescent="0.35">
      <c r="A613" s="16" t="str">
        <f>HYPERLINK(_xlfn.CONCAT(Edit_URL,Tasks[[#This Row],[Ref]]),Tasks[[#This Row],[Ref]])</f>
        <v>T74290.298</v>
      </c>
      <c r="B613" s="15" t="str" cm="1">
        <f t="array" ref="B613">_xlfn.SWITCH(LEFT(Tasks[[#This Row],[Status]],1),"O","Opened","C","Completed","S","Signed Off", "V", "Signed Off","ERROR")</f>
        <v>Opened</v>
      </c>
      <c r="C613" s="15" t="str" cm="1">
        <f t="array" ref="C613">_xlfn.SWITCH(LEFT(Tasks[[#This Row],[Type]], 3), "Fie", "Field Report", "Con", "Contractor QC", "Gen", "Contractor QC", "Pun", "Contractor QC", "Qua", "Contractor QC", "Fin", "Punch List")</f>
        <v>Contractor QC</v>
      </c>
      <c r="D613" s="15" t="str">
        <f>_xlfn.LET(
_xlpm.leftValue, TRIM(LEFT(Tasks[[#This Row],[Description]], 45)),
IF(LEN(_xlpm.leftValue) &lt; 40, _xlpm.leftValue, _xlfn.CONCAT(_xlpm.leftValue, "…"))
)</f>
        <v>Fill nail hole in transom</v>
      </c>
      <c r="E613" s="15" t="str" cm="1">
        <f t="array" ref="E613">_xlfn.LET(
_xlpm.inTower, COUNTIF(Tower_Num_Table[Tower Rm Numbers], LEFT(Task_Summary_Table[[#This Row],[Area/Room]], 3)) &gt; 0,
_xlpm.typeResult, _xlfn.SWITCH(LEFT(Tasks[[#This Row],[Page]], 2), "Hi", "Historic", "An", "Annex", "Si", "Site", "S5", "Project Task", "SWITCH ERROR"),
IF(_xlpm.inTower, "West Tower", _xlpm.typeResult)
)</f>
        <v>Historic</v>
      </c>
      <c r="F613" s="15" t="str">
        <f>IFERROR(MID(Tasks[[#This Row],[Page]], FIND("Level", Tasks[[#This Row],[Page]]), 7), IF(ISNUMBER(FIND("Roof", Tasks[[#This Row],[Page]])), "Roof",  IF(ISNUMBER(FIND("S590", Tasks[[#This Row],[Page]])), "",  IF(ISNUMBER(FIND("Site", Tasks[[#This Row],[Page]])), "", "ERROR"))))</f>
        <v>Level 5</v>
      </c>
      <c r="G613" s="15" t="str">
        <f>IF(Tasks[[#This Row],[Location]]=0, "", Tasks[[#This Row],[Location]])</f>
        <v/>
      </c>
      <c r="H613" s="15" t="str">
        <f>Tasks[[#This Row],[To Package]]</f>
        <v>Paint</v>
      </c>
      <c r="I613" s="15" t="str">
        <f>Tasks[[#This Row],[To Organisation]]</f>
        <v>Accent Painting and Special Coatings, LLC</v>
      </c>
    </row>
    <row r="614" spans="1:9" ht="15.5" x14ac:dyDescent="0.35">
      <c r="A614" s="16" t="str">
        <f>HYPERLINK(_xlfn.CONCAT(Edit_URL,Tasks[[#This Row],[Ref]]),Tasks[[#This Row],[Ref]])</f>
        <v>T74290.299</v>
      </c>
      <c r="B614" s="15" t="str" cm="1">
        <f t="array" ref="B614">_xlfn.SWITCH(LEFT(Tasks[[#This Row],[Status]],1),"O","Opened","C","Completed","S","Signed Off", "V", "Signed Off","ERROR")</f>
        <v>Opened</v>
      </c>
      <c r="C614" s="15" t="str" cm="1">
        <f t="array" ref="C614">_xlfn.SWITCH(LEFT(Tasks[[#This Row],[Type]], 3), "Fie", "Field Report", "Con", "Contractor QC", "Gen", "Contractor QC", "Pun", "Contractor QC", "Qua", "Contractor QC", "Fin", "Punch List")</f>
        <v>Contractor QC</v>
      </c>
      <c r="D614" s="15" t="str">
        <f>_xlfn.LET(
_xlpm.leftValue, TRIM(LEFT(Tasks[[#This Row],[Description]], 45)),
IF(LEN(_xlpm.leftValue) &lt; 40, _xlpm.leftValue, _xlfn.CONCAT(_xlpm.leftValue, "…"))
)</f>
        <v>Touch up door jamb</v>
      </c>
      <c r="E614" s="15" t="str" cm="1">
        <f t="array" ref="E614">_xlfn.LET(
_xlpm.inTower, COUNTIF(Tower_Num_Table[Tower Rm Numbers], LEFT(Task_Summary_Table[[#This Row],[Area/Room]], 3)) &gt; 0,
_xlpm.typeResult, _xlfn.SWITCH(LEFT(Tasks[[#This Row],[Page]], 2), "Hi", "Historic", "An", "Annex", "Si", "Site", "S5", "Project Task", "SWITCH ERROR"),
IF(_xlpm.inTower, "West Tower", _xlpm.typeResult)
)</f>
        <v>Historic</v>
      </c>
      <c r="F614" s="15" t="str">
        <f>IFERROR(MID(Tasks[[#This Row],[Page]], FIND("Level", Tasks[[#This Row],[Page]]), 7), IF(ISNUMBER(FIND("Roof", Tasks[[#This Row],[Page]])), "Roof",  IF(ISNUMBER(FIND("S590", Tasks[[#This Row],[Page]])), "",  IF(ISNUMBER(FIND("Site", Tasks[[#This Row],[Page]])), "", "ERROR"))))</f>
        <v>Level 5</v>
      </c>
      <c r="G614" s="15" t="str">
        <f>IF(Tasks[[#This Row],[Location]]=0, "", Tasks[[#This Row],[Location]])</f>
        <v/>
      </c>
      <c r="H614" s="15" t="str">
        <f>Tasks[[#This Row],[To Package]]</f>
        <v>Paint</v>
      </c>
      <c r="I614" s="15" t="str">
        <f>Tasks[[#This Row],[To Organisation]]</f>
        <v>Accent Painting and Special Coatings, LLC</v>
      </c>
    </row>
    <row r="615" spans="1:9" ht="15.5" x14ac:dyDescent="0.35">
      <c r="A615" s="16" t="str">
        <f>HYPERLINK(_xlfn.CONCAT(Edit_URL,Tasks[[#This Row],[Ref]]),Tasks[[#This Row],[Ref]])</f>
        <v>T74290.301</v>
      </c>
      <c r="B615" s="15" t="str" cm="1">
        <f t="array" ref="B615">_xlfn.SWITCH(LEFT(Tasks[[#This Row],[Status]],1),"O","Opened","C","Completed","S","Signed Off", "V", "Signed Off","ERROR")</f>
        <v>Opened</v>
      </c>
      <c r="C615" s="15" t="str" cm="1">
        <f t="array" ref="C615">_xlfn.SWITCH(LEFT(Tasks[[#This Row],[Type]], 3), "Fie", "Field Report", "Con", "Contractor QC", "Gen", "Contractor QC", "Pun", "Contractor QC", "Qua", "Contractor QC", "Fin", "Punch List")</f>
        <v>Contractor QC</v>
      </c>
      <c r="D615" s="15" t="str">
        <f>_xlfn.LET(
_xlpm.leftValue, TRIM(LEFT(Tasks[[#This Row],[Description]], 45)),
IF(LEN(_xlpm.leftValue) &lt; 40, _xlpm.leftValue, _xlfn.CONCAT(_xlpm.leftValue, "…"))
)</f>
        <v>Fill nail holes in transom</v>
      </c>
      <c r="E615" s="15" t="str" cm="1">
        <f t="array" ref="E615">_xlfn.LET(
_xlpm.inTower, COUNTIF(Tower_Num_Table[Tower Rm Numbers], LEFT(Task_Summary_Table[[#This Row],[Area/Room]], 3)) &gt; 0,
_xlpm.typeResult, _xlfn.SWITCH(LEFT(Tasks[[#This Row],[Page]], 2), "Hi", "Historic", "An", "Annex", "Si", "Site", "S5", "Project Task", "SWITCH ERROR"),
IF(_xlpm.inTower, "West Tower", _xlpm.typeResult)
)</f>
        <v>Historic</v>
      </c>
      <c r="F615" s="15" t="str">
        <f>IFERROR(MID(Tasks[[#This Row],[Page]], FIND("Level", Tasks[[#This Row],[Page]]), 7), IF(ISNUMBER(FIND("Roof", Tasks[[#This Row],[Page]])), "Roof",  IF(ISNUMBER(FIND("S590", Tasks[[#This Row],[Page]])), "",  IF(ISNUMBER(FIND("Site", Tasks[[#This Row],[Page]])), "", "ERROR"))))</f>
        <v>Level 5</v>
      </c>
      <c r="G615" s="15" t="str">
        <f>IF(Tasks[[#This Row],[Location]]=0, "", Tasks[[#This Row],[Location]])</f>
        <v/>
      </c>
      <c r="H615" s="15" t="str">
        <f>Tasks[[#This Row],[To Package]]</f>
        <v>Paint</v>
      </c>
      <c r="I615" s="15" t="str">
        <f>Tasks[[#This Row],[To Organisation]]</f>
        <v>Accent Painting and Special Coatings, LLC</v>
      </c>
    </row>
    <row r="616" spans="1:9" ht="15.5" x14ac:dyDescent="0.35">
      <c r="A616" s="16" t="str">
        <f>HYPERLINK(_xlfn.CONCAT(Edit_URL,Tasks[[#This Row],[Ref]]),Tasks[[#This Row],[Ref]])</f>
        <v>T74290.302</v>
      </c>
      <c r="B616" s="15" t="str" cm="1">
        <f t="array" ref="B616">_xlfn.SWITCH(LEFT(Tasks[[#This Row],[Status]],1),"O","Opened","C","Completed","S","Signed Off", "V", "Signed Off","ERROR")</f>
        <v>Opened</v>
      </c>
      <c r="C616" s="15" t="str" cm="1">
        <f t="array" ref="C616">_xlfn.SWITCH(LEFT(Tasks[[#This Row],[Type]], 3), "Fie", "Field Report", "Con", "Contractor QC", "Gen", "Contractor QC", "Pun", "Contractor QC", "Qua", "Contractor QC", "Fin", "Punch List")</f>
        <v>Contractor QC</v>
      </c>
      <c r="D616" s="15" t="str">
        <f>_xlfn.LET(
_xlpm.leftValue, TRIM(LEFT(Tasks[[#This Row],[Description]], 45)),
IF(LEN(_xlpm.leftValue) &lt; 40, _xlpm.leftValue, _xlfn.CONCAT(_xlpm.leftValue, "…"))
)</f>
        <v>Caulk around window</v>
      </c>
      <c r="E616" s="15" t="str" cm="1">
        <f t="array" ref="E616">_xlfn.LET(
_xlpm.inTower, COUNTIF(Tower_Num_Table[Tower Rm Numbers], LEFT(Task_Summary_Table[[#This Row],[Area/Room]], 3)) &gt; 0,
_xlpm.typeResult, _xlfn.SWITCH(LEFT(Tasks[[#This Row],[Page]], 2), "Hi", "Historic", "An", "Annex", "Si", "Site", "S5", "Project Task", "SWITCH ERROR"),
IF(_xlpm.inTower, "West Tower", _xlpm.typeResult)
)</f>
        <v>Historic</v>
      </c>
      <c r="F616" s="15" t="str">
        <f>IFERROR(MID(Tasks[[#This Row],[Page]], FIND("Level", Tasks[[#This Row],[Page]]), 7), IF(ISNUMBER(FIND("Roof", Tasks[[#This Row],[Page]])), "Roof",  IF(ISNUMBER(FIND("S590", Tasks[[#This Row],[Page]])), "",  IF(ISNUMBER(FIND("Site", Tasks[[#This Row],[Page]])), "", "ERROR"))))</f>
        <v>Level 5</v>
      </c>
      <c r="G616" s="15" t="str">
        <f>IF(Tasks[[#This Row],[Location]]=0, "", Tasks[[#This Row],[Location]])</f>
        <v/>
      </c>
      <c r="H616" s="15" t="str">
        <f>Tasks[[#This Row],[To Package]]</f>
        <v>Paint</v>
      </c>
      <c r="I616" s="15" t="str">
        <f>Tasks[[#This Row],[To Organisation]]</f>
        <v>Accent Painting and Special Coatings, LLC</v>
      </c>
    </row>
    <row r="617" spans="1:9" ht="15.5" x14ac:dyDescent="0.35">
      <c r="A617" s="16" t="str">
        <f>HYPERLINK(_xlfn.CONCAT(Edit_URL,Tasks[[#This Row],[Ref]]),Tasks[[#This Row],[Ref]])</f>
        <v>T74290.305</v>
      </c>
      <c r="B617" s="15" t="str" cm="1">
        <f t="array" ref="B617">_xlfn.SWITCH(LEFT(Tasks[[#This Row],[Status]],1),"O","Opened","C","Completed","S","Signed Off", "V", "Signed Off","ERROR")</f>
        <v>Opened</v>
      </c>
      <c r="C617" s="15" t="str" cm="1">
        <f t="array" ref="C617">_xlfn.SWITCH(LEFT(Tasks[[#This Row],[Type]], 3), "Fie", "Field Report", "Con", "Contractor QC", "Gen", "Contractor QC", "Pun", "Contractor QC", "Qua", "Contractor QC", "Fin", "Punch List")</f>
        <v>Contractor QC</v>
      </c>
      <c r="D617" s="15" t="str">
        <f>_xlfn.LET(
_xlpm.leftValue, TRIM(LEFT(Tasks[[#This Row],[Description]], 45)),
IF(LEN(_xlpm.leftValue) &lt; 40, _xlpm.leftValue, _xlfn.CONCAT(_xlpm.leftValue, "…"))
)</f>
        <v>Fill nail holes in transom</v>
      </c>
      <c r="E617" s="15" t="str" cm="1">
        <f t="array" ref="E617">_xlfn.LET(
_xlpm.inTower, COUNTIF(Tower_Num_Table[Tower Rm Numbers], LEFT(Task_Summary_Table[[#This Row],[Area/Room]], 3)) &gt; 0,
_xlpm.typeResult, _xlfn.SWITCH(LEFT(Tasks[[#This Row],[Page]], 2), "Hi", "Historic", "An", "Annex", "Si", "Site", "S5", "Project Task", "SWITCH ERROR"),
IF(_xlpm.inTower, "West Tower", _xlpm.typeResult)
)</f>
        <v>Historic</v>
      </c>
      <c r="F617" s="15" t="str">
        <f>IFERROR(MID(Tasks[[#This Row],[Page]], FIND("Level", Tasks[[#This Row],[Page]]), 7), IF(ISNUMBER(FIND("Roof", Tasks[[#This Row],[Page]])), "Roof",  IF(ISNUMBER(FIND("S590", Tasks[[#This Row],[Page]])), "",  IF(ISNUMBER(FIND("Site", Tasks[[#This Row],[Page]])), "", "ERROR"))))</f>
        <v>Level 5</v>
      </c>
      <c r="G617" s="15" t="str">
        <f>IF(Tasks[[#This Row],[Location]]=0, "", Tasks[[#This Row],[Location]])</f>
        <v/>
      </c>
      <c r="H617" s="15" t="str">
        <f>Tasks[[#This Row],[To Package]]</f>
        <v>Paint</v>
      </c>
      <c r="I617" s="15" t="str">
        <f>Tasks[[#This Row],[To Organisation]]</f>
        <v>Accent Painting and Special Coatings, LLC</v>
      </c>
    </row>
    <row r="618" spans="1:9" ht="15.5" x14ac:dyDescent="0.35">
      <c r="A618" s="16" t="str">
        <f>HYPERLINK(_xlfn.CONCAT(Edit_URL,Tasks[[#This Row],[Ref]]),Tasks[[#This Row],[Ref]])</f>
        <v>T74290.319</v>
      </c>
      <c r="B618" s="15" t="str" cm="1">
        <f t="array" ref="B618">_xlfn.SWITCH(LEFT(Tasks[[#This Row],[Status]],1),"O","Opened","C","Completed","S","Signed Off", "V", "Signed Off","ERROR")</f>
        <v>Opened</v>
      </c>
      <c r="C618" s="15" t="str" cm="1">
        <f t="array" ref="C618">_xlfn.SWITCH(LEFT(Tasks[[#This Row],[Type]], 3), "Fie", "Field Report", "Con", "Contractor QC", "Gen", "Contractor QC", "Pun", "Contractor QC", "Qua", "Contractor QC", "Fin", "Punch List")</f>
        <v>Contractor QC</v>
      </c>
      <c r="D618" s="15" t="str">
        <f>_xlfn.LET(
_xlpm.leftValue, TRIM(LEFT(Tasks[[#This Row],[Description]], 45)),
IF(LEN(_xlpm.leftValue) &lt; 40, _xlpm.leftValue, _xlfn.CONCAT(_xlpm.leftValue, "…"))
)</f>
        <v>Fill nail holes on transom</v>
      </c>
      <c r="E618" s="15" t="str" cm="1">
        <f t="array" ref="E618">_xlfn.LET(
_xlpm.inTower, COUNTIF(Tower_Num_Table[Tower Rm Numbers], LEFT(Task_Summary_Table[[#This Row],[Area/Room]], 3)) &gt; 0,
_xlpm.typeResult, _xlfn.SWITCH(LEFT(Tasks[[#This Row],[Page]], 2), "Hi", "Historic", "An", "Annex", "Si", "Site", "S5", "Project Task", "SWITCH ERROR"),
IF(_xlpm.inTower, "West Tower", _xlpm.typeResult)
)</f>
        <v>Historic</v>
      </c>
      <c r="F618" s="15" t="str">
        <f>IFERROR(MID(Tasks[[#This Row],[Page]], FIND("Level", Tasks[[#This Row],[Page]]), 7), IF(ISNUMBER(FIND("Roof", Tasks[[#This Row],[Page]])), "Roof",  IF(ISNUMBER(FIND("S590", Tasks[[#This Row],[Page]])), "",  IF(ISNUMBER(FIND("Site", Tasks[[#This Row],[Page]])), "", "ERROR"))))</f>
        <v>Level 5</v>
      </c>
      <c r="G618" s="15" t="str">
        <f>IF(Tasks[[#This Row],[Location]]=0, "", Tasks[[#This Row],[Location]])</f>
        <v/>
      </c>
      <c r="H618" s="15" t="str">
        <f>Tasks[[#This Row],[To Package]]</f>
        <v>Paint</v>
      </c>
      <c r="I618" s="15" t="str">
        <f>Tasks[[#This Row],[To Organisation]]</f>
        <v>Accent Painting and Special Coatings, LLC</v>
      </c>
    </row>
    <row r="619" spans="1:9" ht="15.5" x14ac:dyDescent="0.35">
      <c r="A619" s="16" t="str">
        <f>HYPERLINK(_xlfn.CONCAT(Edit_URL,Tasks[[#This Row],[Ref]]),Tasks[[#This Row],[Ref]])</f>
        <v>T74290.323</v>
      </c>
      <c r="B619" s="15" t="str" cm="1">
        <f t="array" ref="B619">_xlfn.SWITCH(LEFT(Tasks[[#This Row],[Status]],1),"O","Opened","C","Completed","S","Signed Off", "V", "Signed Off","ERROR")</f>
        <v>Opened</v>
      </c>
      <c r="C619" s="15" t="str" cm="1">
        <f t="array" ref="C619">_xlfn.SWITCH(LEFT(Tasks[[#This Row],[Type]], 3), "Fie", "Field Report", "Con", "Contractor QC", "Gen", "Contractor QC", "Pun", "Contractor QC", "Qua", "Contractor QC", "Fin", "Punch List")</f>
        <v>Contractor QC</v>
      </c>
      <c r="D619" s="15" t="str">
        <f>_xlfn.LET(
_xlpm.leftValue, TRIM(LEFT(Tasks[[#This Row],[Description]], 45)),
IF(LEN(_xlpm.leftValue) &lt; 40, _xlpm.leftValue, _xlfn.CONCAT(_xlpm.leftValue, "…"))
)</f>
        <v>Touch up east wall</v>
      </c>
      <c r="E619" s="15" t="str" cm="1">
        <f t="array" ref="E619">_xlfn.LET(
_xlpm.inTower, COUNTIF(Tower_Num_Table[Tower Rm Numbers], LEFT(Task_Summary_Table[[#This Row],[Area/Room]], 3)) &gt; 0,
_xlpm.typeResult, _xlfn.SWITCH(LEFT(Tasks[[#This Row],[Page]], 2), "Hi", "Historic", "An", "Annex", "Si", "Site", "S5", "Project Task", "SWITCH ERROR"),
IF(_xlpm.inTower, "West Tower", _xlpm.typeResult)
)</f>
        <v>Historic</v>
      </c>
      <c r="F619" s="15" t="str">
        <f>IFERROR(MID(Tasks[[#This Row],[Page]], FIND("Level", Tasks[[#This Row],[Page]]), 7), IF(ISNUMBER(FIND("Roof", Tasks[[#This Row],[Page]])), "Roof",  IF(ISNUMBER(FIND("S590", Tasks[[#This Row],[Page]])), "",  IF(ISNUMBER(FIND("Site", Tasks[[#This Row],[Page]])), "", "ERROR"))))</f>
        <v>Level 5</v>
      </c>
      <c r="G619" s="15" t="str">
        <f>IF(Tasks[[#This Row],[Location]]=0, "", Tasks[[#This Row],[Location]])</f>
        <v/>
      </c>
      <c r="H619" s="15" t="str">
        <f>Tasks[[#This Row],[To Package]]</f>
        <v>Paint</v>
      </c>
      <c r="I619" s="15" t="str">
        <f>Tasks[[#This Row],[To Organisation]]</f>
        <v>Accent Painting and Special Coatings, LLC</v>
      </c>
    </row>
    <row r="620" spans="1:9" ht="15.5" x14ac:dyDescent="0.35">
      <c r="A620" s="16" t="str">
        <f>HYPERLINK(_xlfn.CONCAT(Edit_URL,Tasks[[#This Row],[Ref]]),Tasks[[#This Row],[Ref]])</f>
        <v>T74290.324</v>
      </c>
      <c r="B620" s="15" t="str" cm="1">
        <f t="array" ref="B620">_xlfn.SWITCH(LEFT(Tasks[[#This Row],[Status]],1),"O","Opened","C","Completed","S","Signed Off", "V", "Signed Off","ERROR")</f>
        <v>Opened</v>
      </c>
      <c r="C620" s="15" t="str" cm="1">
        <f t="array" ref="C620">_xlfn.SWITCH(LEFT(Tasks[[#This Row],[Type]], 3), "Fie", "Field Report", "Con", "Contractor QC", "Gen", "Contractor QC", "Pun", "Contractor QC", "Qua", "Contractor QC", "Fin", "Punch List")</f>
        <v>Contractor QC</v>
      </c>
      <c r="D620" s="15" t="str">
        <f>_xlfn.LET(
_xlpm.leftValue, TRIM(LEFT(Tasks[[#This Row],[Description]], 45)),
IF(LEN(_xlpm.leftValue) &lt; 40, _xlpm.leftValue, _xlfn.CONCAT(_xlpm.leftValue, "…"))
)</f>
        <v>Fill nail holes in transom</v>
      </c>
      <c r="E620" s="15" t="str" cm="1">
        <f t="array" ref="E620">_xlfn.LET(
_xlpm.inTower, COUNTIF(Tower_Num_Table[Tower Rm Numbers], LEFT(Task_Summary_Table[[#This Row],[Area/Room]], 3)) &gt; 0,
_xlpm.typeResult, _xlfn.SWITCH(LEFT(Tasks[[#This Row],[Page]], 2), "Hi", "Historic", "An", "Annex", "Si", "Site", "S5", "Project Task", "SWITCH ERROR"),
IF(_xlpm.inTower, "West Tower", _xlpm.typeResult)
)</f>
        <v>Historic</v>
      </c>
      <c r="F620" s="15" t="str">
        <f>IFERROR(MID(Tasks[[#This Row],[Page]], FIND("Level", Tasks[[#This Row],[Page]]), 7), IF(ISNUMBER(FIND("Roof", Tasks[[#This Row],[Page]])), "Roof",  IF(ISNUMBER(FIND("S590", Tasks[[#This Row],[Page]])), "",  IF(ISNUMBER(FIND("Site", Tasks[[#This Row],[Page]])), "", "ERROR"))))</f>
        <v>Level 5</v>
      </c>
      <c r="G620" s="15" t="str">
        <f>IF(Tasks[[#This Row],[Location]]=0, "", Tasks[[#This Row],[Location]])</f>
        <v/>
      </c>
      <c r="H620" s="15" t="str">
        <f>Tasks[[#This Row],[To Package]]</f>
        <v>Paint</v>
      </c>
      <c r="I620" s="15" t="str">
        <f>Tasks[[#This Row],[To Organisation]]</f>
        <v>Accent Painting and Special Coatings, LLC</v>
      </c>
    </row>
    <row r="621" spans="1:9" ht="15.5" x14ac:dyDescent="0.35">
      <c r="A621" s="16" t="str">
        <f>HYPERLINK(_xlfn.CONCAT(Edit_URL,Tasks[[#This Row],[Ref]]),Tasks[[#This Row],[Ref]])</f>
        <v>T74290.327</v>
      </c>
      <c r="B621" s="15" t="str" cm="1">
        <f t="array" ref="B621">_xlfn.SWITCH(LEFT(Tasks[[#This Row],[Status]],1),"O","Opened","C","Completed","S","Signed Off", "V", "Signed Off","ERROR")</f>
        <v>Opened</v>
      </c>
      <c r="C621" s="15" t="str" cm="1">
        <f t="array" ref="C621">_xlfn.SWITCH(LEFT(Tasks[[#This Row],[Type]], 3), "Fie", "Field Report", "Con", "Contractor QC", "Gen", "Contractor QC", "Pun", "Contractor QC", "Qua", "Contractor QC", "Fin", "Punch List")</f>
        <v>Contractor QC</v>
      </c>
      <c r="D621" s="15" t="str">
        <f>_xlfn.LET(
_xlpm.leftValue, TRIM(LEFT(Tasks[[#This Row],[Description]], 45)),
IF(LEN(_xlpm.leftValue) &lt; 40, _xlpm.leftValue, _xlfn.CONCAT(_xlpm.leftValue, "…"))
)</f>
        <v>Fill holes in transom</v>
      </c>
      <c r="E621" s="15" t="str" cm="1">
        <f t="array" ref="E621">_xlfn.LET(
_xlpm.inTower, COUNTIF(Tower_Num_Table[Tower Rm Numbers], LEFT(Task_Summary_Table[[#This Row],[Area/Room]], 3)) &gt; 0,
_xlpm.typeResult, _xlfn.SWITCH(LEFT(Tasks[[#This Row],[Page]], 2), "Hi", "Historic", "An", "Annex", "Si", "Site", "S5", "Project Task", "SWITCH ERROR"),
IF(_xlpm.inTower, "West Tower", _xlpm.typeResult)
)</f>
        <v>Historic</v>
      </c>
      <c r="F621" s="15" t="str">
        <f>IFERROR(MID(Tasks[[#This Row],[Page]], FIND("Level", Tasks[[#This Row],[Page]]), 7), IF(ISNUMBER(FIND("Roof", Tasks[[#This Row],[Page]])), "Roof",  IF(ISNUMBER(FIND("S590", Tasks[[#This Row],[Page]])), "",  IF(ISNUMBER(FIND("Site", Tasks[[#This Row],[Page]])), "", "ERROR"))))</f>
        <v>Level 5</v>
      </c>
      <c r="G621" s="15" t="str">
        <f>IF(Tasks[[#This Row],[Location]]=0, "", Tasks[[#This Row],[Location]])</f>
        <v/>
      </c>
      <c r="H621" s="15" t="str">
        <f>Tasks[[#This Row],[To Package]]</f>
        <v>Paint</v>
      </c>
      <c r="I621" s="15" t="str">
        <f>Tasks[[#This Row],[To Organisation]]</f>
        <v>Accent Painting and Special Coatings, LLC</v>
      </c>
    </row>
    <row r="622" spans="1:9" ht="15.5" x14ac:dyDescent="0.35">
      <c r="A622" s="16" t="str">
        <f>HYPERLINK(_xlfn.CONCAT(Edit_URL,Tasks[[#This Row],[Ref]]),Tasks[[#This Row],[Ref]])</f>
        <v>T74290.332</v>
      </c>
      <c r="B622" s="15" t="str" cm="1">
        <f t="array" ref="B622">_xlfn.SWITCH(LEFT(Tasks[[#This Row],[Status]],1),"O","Opened","C","Completed","S","Signed Off", "V", "Signed Off","ERROR")</f>
        <v>Opened</v>
      </c>
      <c r="C622" s="15" t="str" cm="1">
        <f t="array" ref="C622">_xlfn.SWITCH(LEFT(Tasks[[#This Row],[Type]], 3), "Fie", "Field Report", "Con", "Contractor QC", "Gen", "Contractor QC", "Pun", "Contractor QC", "Qua", "Contractor QC", "Fin", "Punch List")</f>
        <v>Contractor QC</v>
      </c>
      <c r="D622" s="15" t="str">
        <f>_xlfn.LET(
_xlpm.leftValue, TRIM(LEFT(Tasks[[#This Row],[Description]], 45)),
IF(LEN(_xlpm.leftValue) &lt; 40, _xlpm.leftValue, _xlfn.CONCAT(_xlpm.leftValue, "…"))
)</f>
        <v>Touch up wall and baseboard on west wall…</v>
      </c>
      <c r="E622" s="15" t="str" cm="1">
        <f t="array" ref="E622">_xlfn.LET(
_xlpm.inTower, COUNTIF(Tower_Num_Table[Tower Rm Numbers], LEFT(Task_Summary_Table[[#This Row],[Area/Room]], 3)) &gt; 0,
_xlpm.typeResult, _xlfn.SWITCH(LEFT(Tasks[[#This Row],[Page]], 2), "Hi", "Historic", "An", "Annex", "Si", "Site", "S5", "Project Task", "SWITCH ERROR"),
IF(_xlpm.inTower, "West Tower", _xlpm.typeResult)
)</f>
        <v>Historic</v>
      </c>
      <c r="F622" s="15" t="str">
        <f>IFERROR(MID(Tasks[[#This Row],[Page]], FIND("Level", Tasks[[#This Row],[Page]]), 7), IF(ISNUMBER(FIND("Roof", Tasks[[#This Row],[Page]])), "Roof",  IF(ISNUMBER(FIND("S590", Tasks[[#This Row],[Page]])), "",  IF(ISNUMBER(FIND("Site", Tasks[[#This Row],[Page]])), "", "ERROR"))))</f>
        <v>Level 5</v>
      </c>
      <c r="G622" s="15" t="str">
        <f>IF(Tasks[[#This Row],[Location]]=0, "", Tasks[[#This Row],[Location]])</f>
        <v/>
      </c>
      <c r="H622" s="15" t="str">
        <f>Tasks[[#This Row],[To Package]]</f>
        <v>Paint</v>
      </c>
      <c r="I622" s="15" t="str">
        <f>Tasks[[#This Row],[To Organisation]]</f>
        <v>Accent Painting and Special Coatings, LLC</v>
      </c>
    </row>
    <row r="623" spans="1:9" ht="15.5" x14ac:dyDescent="0.35">
      <c r="A623" s="16" t="str">
        <f>HYPERLINK(_xlfn.CONCAT(Edit_URL,Tasks[[#This Row],[Ref]]),Tasks[[#This Row],[Ref]])</f>
        <v>T74290.343</v>
      </c>
      <c r="B623" s="15" t="str" cm="1">
        <f t="array" ref="B623">_xlfn.SWITCH(LEFT(Tasks[[#This Row],[Status]],1),"O","Opened","C","Completed","S","Signed Off", "V", "Signed Off","ERROR")</f>
        <v>Opened</v>
      </c>
      <c r="C623" s="15" t="str" cm="1">
        <f t="array" ref="C623">_xlfn.SWITCH(LEFT(Tasks[[#This Row],[Type]], 3), "Fie", "Field Report", "Con", "Contractor QC", "Gen", "Contractor QC", "Pun", "Contractor QC", "Qua", "Contractor QC", "Fin", "Punch List")</f>
        <v>Contractor QC</v>
      </c>
      <c r="D623" s="15" t="str">
        <f>_xlfn.LET(
_xlpm.leftValue, TRIM(LEFT(Tasks[[#This Row],[Description]], 45)),
IF(LEN(_xlpm.leftValue) &lt; 40, _xlpm.leftValue, _xlfn.CONCAT(_xlpm.leftValue, "…"))
)</f>
        <v>Fill in nail holes on transom￼</v>
      </c>
      <c r="E623" s="15" t="str" cm="1">
        <f t="array" ref="E623">_xlfn.LET(
_xlpm.inTower, COUNTIF(Tower_Num_Table[Tower Rm Numbers], LEFT(Task_Summary_Table[[#This Row],[Area/Room]], 3)) &gt; 0,
_xlpm.typeResult, _xlfn.SWITCH(LEFT(Tasks[[#This Row],[Page]], 2), "Hi", "Historic", "An", "Annex", "Si", "Site", "S5", "Project Task", "SWITCH ERROR"),
IF(_xlpm.inTower, "West Tower", _xlpm.typeResult)
)</f>
        <v>Historic</v>
      </c>
      <c r="F623" s="15" t="str">
        <f>IFERROR(MID(Tasks[[#This Row],[Page]], FIND("Level", Tasks[[#This Row],[Page]]), 7), IF(ISNUMBER(FIND("Roof", Tasks[[#This Row],[Page]])), "Roof",  IF(ISNUMBER(FIND("S590", Tasks[[#This Row],[Page]])), "",  IF(ISNUMBER(FIND("Site", Tasks[[#This Row],[Page]])), "", "ERROR"))))</f>
        <v>Level 5</v>
      </c>
      <c r="G623" s="15" t="str">
        <f>IF(Tasks[[#This Row],[Location]]=0, "", Tasks[[#This Row],[Location]])</f>
        <v/>
      </c>
      <c r="H623" s="15" t="str">
        <f>Tasks[[#This Row],[To Package]]</f>
        <v>Paint</v>
      </c>
      <c r="I623" s="15" t="str">
        <f>Tasks[[#This Row],[To Organisation]]</f>
        <v>Accent Painting and Special Coatings, LLC</v>
      </c>
    </row>
    <row r="624" spans="1:9" ht="15.5" x14ac:dyDescent="0.35">
      <c r="A624" s="16" t="str">
        <f>HYPERLINK(_xlfn.CONCAT(Edit_URL,Tasks[[#This Row],[Ref]]),Tasks[[#This Row],[Ref]])</f>
        <v>T74290.344</v>
      </c>
      <c r="B624" s="15" t="str" cm="1">
        <f t="array" ref="B624">_xlfn.SWITCH(LEFT(Tasks[[#This Row],[Status]],1),"O","Opened","C","Completed","S","Signed Off", "V", "Signed Off","ERROR")</f>
        <v>Opened</v>
      </c>
      <c r="C624" s="15" t="str" cm="1">
        <f t="array" ref="C624">_xlfn.SWITCH(LEFT(Tasks[[#This Row],[Type]], 3), "Fie", "Field Report", "Con", "Contractor QC", "Gen", "Contractor QC", "Pun", "Contractor QC", "Qua", "Contractor QC", "Fin", "Punch List")</f>
        <v>Contractor QC</v>
      </c>
      <c r="D624" s="15" t="str">
        <f>_xlfn.LET(
_xlpm.leftValue, TRIM(LEFT(Tasks[[#This Row],[Description]], 45)),
IF(LEN(_xlpm.leftValue) &lt; 40, _xlpm.leftValue, _xlfn.CONCAT(_xlpm.leftValue, "…"))
)</f>
        <v>Touch up baseboard￼</v>
      </c>
      <c r="E624" s="15" t="str" cm="1">
        <f t="array" ref="E624">_xlfn.LET(
_xlpm.inTower, COUNTIF(Tower_Num_Table[Tower Rm Numbers], LEFT(Task_Summary_Table[[#This Row],[Area/Room]], 3)) &gt; 0,
_xlpm.typeResult, _xlfn.SWITCH(LEFT(Tasks[[#This Row],[Page]], 2), "Hi", "Historic", "An", "Annex", "Si", "Site", "S5", "Project Task", "SWITCH ERROR"),
IF(_xlpm.inTower, "West Tower", _xlpm.typeResult)
)</f>
        <v>Historic</v>
      </c>
      <c r="F624" s="15" t="str">
        <f>IFERROR(MID(Tasks[[#This Row],[Page]], FIND("Level", Tasks[[#This Row],[Page]]), 7), IF(ISNUMBER(FIND("Roof", Tasks[[#This Row],[Page]])), "Roof",  IF(ISNUMBER(FIND("S590", Tasks[[#This Row],[Page]])), "",  IF(ISNUMBER(FIND("Site", Tasks[[#This Row],[Page]])), "", "ERROR"))))</f>
        <v>Level 5</v>
      </c>
      <c r="G624" s="15" t="str">
        <f>IF(Tasks[[#This Row],[Location]]=0, "", Tasks[[#This Row],[Location]])</f>
        <v/>
      </c>
      <c r="H624" s="15" t="str">
        <f>Tasks[[#This Row],[To Package]]</f>
        <v>Paint</v>
      </c>
      <c r="I624" s="15" t="str">
        <f>Tasks[[#This Row],[To Organisation]]</f>
        <v>Accent Painting and Special Coatings, LLC</v>
      </c>
    </row>
    <row r="625" spans="1:9" ht="15.5" x14ac:dyDescent="0.35">
      <c r="A625" s="16" t="str">
        <f>HYPERLINK(_xlfn.CONCAT(Edit_URL,Tasks[[#This Row],[Ref]]),Tasks[[#This Row],[Ref]])</f>
        <v>T74290.338</v>
      </c>
      <c r="B625" s="15" t="str" cm="1">
        <f t="array" ref="B625">_xlfn.SWITCH(LEFT(Tasks[[#This Row],[Status]],1),"O","Opened","C","Completed","S","Signed Off", "V", "Signed Off","ERROR")</f>
        <v>Opened</v>
      </c>
      <c r="C625" s="15" t="str" cm="1">
        <f t="array" ref="C625">_xlfn.SWITCH(LEFT(Tasks[[#This Row],[Type]], 3), "Fie", "Field Report", "Con", "Contractor QC", "Gen", "Contractor QC", "Pun", "Contractor QC", "Qua", "Contractor QC", "Fin", "Punch List")</f>
        <v>Contractor QC</v>
      </c>
      <c r="D625" s="15" t="str">
        <f>_xlfn.LET(
_xlpm.leftValue, TRIM(LEFT(Tasks[[#This Row],[Description]], 45)),
IF(LEN(_xlpm.leftValue) &lt; 40, _xlpm.leftValue, _xlfn.CONCAT(_xlpm.leftValue, "…"))
)</f>
        <v>Touch up baseboard on west wall￼</v>
      </c>
      <c r="E625" s="15" t="str" cm="1">
        <f t="array" ref="E625">_xlfn.LET(
_xlpm.inTower, COUNTIF(Tower_Num_Table[Tower Rm Numbers], LEFT(Task_Summary_Table[[#This Row],[Area/Room]], 3)) &gt; 0,
_xlpm.typeResult, _xlfn.SWITCH(LEFT(Tasks[[#This Row],[Page]], 2), "Hi", "Historic", "An", "Annex", "Si", "Site", "S5", "Project Task", "SWITCH ERROR"),
IF(_xlpm.inTower, "West Tower", _xlpm.typeResult)
)</f>
        <v>Historic</v>
      </c>
      <c r="F625" s="15" t="str">
        <f>IFERROR(MID(Tasks[[#This Row],[Page]], FIND("Level", Tasks[[#This Row],[Page]]), 7), IF(ISNUMBER(FIND("Roof", Tasks[[#This Row],[Page]])), "Roof",  IF(ISNUMBER(FIND("S590", Tasks[[#This Row],[Page]])), "",  IF(ISNUMBER(FIND("Site", Tasks[[#This Row],[Page]])), "", "ERROR"))))</f>
        <v>Level 5</v>
      </c>
      <c r="G625" s="15" t="str">
        <f>IF(Tasks[[#This Row],[Location]]=0, "", Tasks[[#This Row],[Location]])</f>
        <v/>
      </c>
      <c r="H625" s="15" t="str">
        <f>Tasks[[#This Row],[To Package]]</f>
        <v>Paint</v>
      </c>
      <c r="I625" s="15" t="str">
        <f>Tasks[[#This Row],[To Organisation]]</f>
        <v>Accent Painting and Special Coatings, LLC</v>
      </c>
    </row>
    <row r="626" spans="1:9" ht="15.5" x14ac:dyDescent="0.35">
      <c r="A626" s="16" t="str">
        <f>HYPERLINK(_xlfn.CONCAT(Edit_URL,Tasks[[#This Row],[Ref]]),Tasks[[#This Row],[Ref]])</f>
        <v>T74290.170</v>
      </c>
      <c r="B626" s="15" t="str" cm="1">
        <f t="array" ref="B626">_xlfn.SWITCH(LEFT(Tasks[[#This Row],[Status]],1),"O","Opened","C","Completed","S","Signed Off", "V", "Signed Off","ERROR")</f>
        <v>Signed Off</v>
      </c>
      <c r="C626" s="15" t="str" cm="1">
        <f t="array" ref="C626">_xlfn.SWITCH(LEFT(Tasks[[#This Row],[Type]], 3), "Fie", "Field Report", "Con", "Contractor QC", "Gen", "Contractor QC", "Pun", "Contractor QC", "Qua", "Contractor QC", "Fin", "Punch List")</f>
        <v>Contractor QC</v>
      </c>
      <c r="D626" s="15" t="str">
        <f>_xlfn.LET(
_xlpm.leftValue, TRIM(LEFT(Tasks[[#This Row],[Description]], 45)),
IF(LEN(_xlpm.leftValue) &lt; 40, _xlpm.leftValue, _xlfn.CONCAT(_xlpm.leftValue, "…"))
)</f>
        <v>Grind north edge of concrete to allow grate t…</v>
      </c>
      <c r="E626" s="15" t="str" cm="1">
        <f t="array" ref="E626">_xlfn.LET(
_xlpm.inTower, COUNTIF(Tower_Num_Table[Tower Rm Numbers], LEFT(Task_Summary_Table[[#This Row],[Area/Room]], 3)) &gt; 0,
_xlpm.typeResult, _xlfn.SWITCH(LEFT(Tasks[[#This Row],[Page]], 2), "Hi", "Historic", "An", "Annex", "Si", "Site", "S5", "Project Task", "SWITCH ERROR"),
IF(_xlpm.inTower, "West Tower", _xlpm.typeResult)
)</f>
        <v>Historic</v>
      </c>
      <c r="F626" s="15" t="str">
        <f>IFERROR(MID(Tasks[[#This Row],[Page]], FIND("Level", Tasks[[#This Row],[Page]]), 7), IF(ISNUMBER(FIND("Roof", Tasks[[#This Row],[Page]])), "Roof",  IF(ISNUMBER(FIND("S590", Tasks[[#This Row],[Page]])), "",  IF(ISNUMBER(FIND("Site", Tasks[[#This Row],[Page]])), "", "ERROR"))))</f>
        <v>Level 0</v>
      </c>
      <c r="G626" s="15" t="str">
        <f>IF(Tasks[[#This Row],[Location]]=0, "", Tasks[[#This Row],[Location]])</f>
        <v/>
      </c>
      <c r="H626" s="15" t="str">
        <f>Tasks[[#This Row],[To Package]]</f>
        <v>Concrete</v>
      </c>
      <c r="I626" s="15" t="str">
        <f>Tasks[[#This Row],[To Organisation]]</f>
        <v>Innovative Concrete, LLC</v>
      </c>
    </row>
    <row r="627" spans="1:9" ht="15.5" x14ac:dyDescent="0.35">
      <c r="A627" s="16" t="str">
        <f>HYPERLINK(_xlfn.CONCAT(Edit_URL,Tasks[[#This Row],[Ref]]),Tasks[[#This Row],[Ref]])</f>
        <v>T74290.201</v>
      </c>
      <c r="B627" s="15" t="str" cm="1">
        <f t="array" ref="B627">_xlfn.SWITCH(LEFT(Tasks[[#This Row],[Status]],1),"O","Opened","C","Completed","S","Signed Off", "V", "Signed Off","ERROR")</f>
        <v>Signed Off</v>
      </c>
      <c r="C627" s="15" t="str" cm="1">
        <f t="array" ref="C627">_xlfn.SWITCH(LEFT(Tasks[[#This Row],[Type]], 3), "Fie", "Field Report", "Con", "Contractor QC", "Gen", "Contractor QC", "Pun", "Contractor QC", "Qua", "Contractor QC", "Fin", "Punch List")</f>
        <v>Contractor QC</v>
      </c>
      <c r="D627" s="15" t="str">
        <f>_xlfn.LET(
_xlpm.leftValue, TRIM(LEFT(Tasks[[#This Row],[Description]], 45)),
IF(LEN(_xlpm.leftValue) &lt; 40, _xlpm.leftValue, _xlfn.CONCAT(_xlpm.leftValue, "…"))
)</f>
        <v>Close in around exit sign</v>
      </c>
      <c r="E627" s="15" t="str" cm="1">
        <f t="array" ref="E627">_xlfn.LET(
_xlpm.inTower, COUNTIF(Tower_Num_Table[Tower Rm Numbers], LEFT(Task_Summary_Table[[#This Row],[Area/Room]], 3)) &gt; 0,
_xlpm.typeResult, _xlfn.SWITCH(LEFT(Tasks[[#This Row],[Page]], 2), "Hi", "Historic", "An", "Annex", "Si", "Site", "S5", "Project Task", "SWITCH ERROR"),
IF(_xlpm.inTower, "West Tower", _xlpm.typeResult)
)</f>
        <v>Historic</v>
      </c>
      <c r="F627" s="15" t="str">
        <f>IFERROR(MID(Tasks[[#This Row],[Page]], FIND("Level", Tasks[[#This Row],[Page]]), 7), IF(ISNUMBER(FIND("Roof", Tasks[[#This Row],[Page]])), "Roof",  IF(ISNUMBER(FIND("S590", Tasks[[#This Row],[Page]])), "",  IF(ISNUMBER(FIND("Site", Tasks[[#This Row],[Page]])), "", "ERROR"))))</f>
        <v>Level 0</v>
      </c>
      <c r="G627" s="15" t="str">
        <f>IF(Tasks[[#This Row],[Location]]=0, "", Tasks[[#This Row],[Location]])</f>
        <v>077 - Dressing - Boys</v>
      </c>
      <c r="H627" s="15" t="str">
        <f>Tasks[[#This Row],[To Package]]</f>
        <v>Metal Stud / Drywall</v>
      </c>
      <c r="I627" s="15" t="str">
        <f>Tasks[[#This Row],[To Organisation]]</f>
        <v>Pete King Construction</v>
      </c>
    </row>
    <row r="628" spans="1:9" ht="15.5" x14ac:dyDescent="0.35">
      <c r="A628" s="16" t="str">
        <f>HYPERLINK(_xlfn.CONCAT(Edit_URL,Tasks[[#This Row],[Ref]]),Tasks[[#This Row],[Ref]])</f>
        <v>T74290.211</v>
      </c>
      <c r="B628" s="15" t="str" cm="1">
        <f t="array" ref="B628">_xlfn.SWITCH(LEFT(Tasks[[#This Row],[Status]],1),"O","Opened","C","Completed","S","Signed Off", "V", "Signed Off","ERROR")</f>
        <v>Opened</v>
      </c>
      <c r="C628" s="15" t="str" cm="1">
        <f t="array" ref="C628">_xlfn.SWITCH(LEFT(Tasks[[#This Row],[Type]], 3), "Fie", "Field Report", "Con", "Contractor QC", "Gen", "Contractor QC", "Pun", "Contractor QC", "Qua", "Contractor QC", "Fin", "Punch List")</f>
        <v>Contractor QC</v>
      </c>
      <c r="D628" s="15" t="str">
        <f>_xlfn.LET(
_xlpm.leftValue, TRIM(LEFT(Tasks[[#This Row],[Description]], 45)),
IF(LEN(_xlpm.leftValue) &lt; 40, _xlpm.leftValue, _xlfn.CONCAT(_xlpm.leftValue, "…"))
)</f>
        <v>Remove glue on arm rest</v>
      </c>
      <c r="E628" s="15" t="str" cm="1">
        <f t="array" ref="E628">_xlfn.LET(
_xlpm.inTower, COUNTIF(Tower_Num_Table[Tower Rm Numbers], LEFT(Task_Summary_Table[[#This Row],[Area/Room]], 3)) &gt; 0,
_xlpm.typeResult, _xlfn.SWITCH(LEFT(Tasks[[#This Row],[Page]], 2), "Hi", "Historic", "An", "Annex", "Si", "Site", "S5", "Project Task", "SWITCH ERROR"),
IF(_xlpm.inTower, "West Tower", _xlpm.typeResult)
)</f>
        <v>Annex</v>
      </c>
      <c r="F628" s="15" t="str">
        <f>IFERROR(MID(Tasks[[#This Row],[Page]], FIND("Level", Tasks[[#This Row],[Page]]), 7), IF(ISNUMBER(FIND("Roof", Tasks[[#This Row],[Page]])), "Roof",  IF(ISNUMBER(FIND("S590", Tasks[[#This Row],[Page]])), "",  IF(ISNUMBER(FIND("Site", Tasks[[#This Row],[Page]])), "", "ERROR"))))</f>
        <v>Level 1</v>
      </c>
      <c r="G628" s="15" t="str">
        <f>IF(Tasks[[#This Row],[Location]]=0, "", Tasks[[#This Row],[Location]])</f>
        <v>110 - Chapel</v>
      </c>
      <c r="H628" s="15" t="str">
        <f>Tasks[[#This Row],[To Package]]</f>
        <v>Audience Seating -- New Holland</v>
      </c>
      <c r="I628" s="15" t="str">
        <f>Tasks[[#This Row],[To Organisation]]</f>
        <v>New Holland Church Furniture</v>
      </c>
    </row>
    <row r="629" spans="1:9" ht="15.5" x14ac:dyDescent="0.35">
      <c r="A629" s="16" t="str">
        <f>HYPERLINK(_xlfn.CONCAT(Edit_URL,Tasks[[#This Row],[Ref]]),Tasks[[#This Row],[Ref]])</f>
        <v>T74290.212</v>
      </c>
      <c r="B629" s="15" t="str" cm="1">
        <f t="array" ref="B629">_xlfn.SWITCH(LEFT(Tasks[[#This Row],[Status]],1),"O","Opened","C","Completed","S","Signed Off", "V", "Signed Off","ERROR")</f>
        <v>Opened</v>
      </c>
      <c r="C629" s="15" t="str" cm="1">
        <f t="array" ref="C629">_xlfn.SWITCH(LEFT(Tasks[[#This Row],[Type]], 3), "Fie", "Field Report", "Con", "Contractor QC", "Gen", "Contractor QC", "Pun", "Contractor QC", "Qua", "Contractor QC", "Fin", "Punch List")</f>
        <v>Contractor QC</v>
      </c>
      <c r="D629" s="15" t="str">
        <f>_xlfn.LET(
_xlpm.leftValue, TRIM(LEFT(Tasks[[#This Row],[Description]], 45)),
IF(LEN(_xlpm.leftValue) &lt; 40, _xlpm.leftValue, _xlfn.CONCAT(_xlpm.leftValue, "…"))
)</f>
        <v>Repair and touch up dent along top of back pa…</v>
      </c>
      <c r="E629" s="15" t="str" cm="1">
        <f t="array" ref="E629">_xlfn.LET(
_xlpm.inTower, COUNTIF(Tower_Num_Table[Tower Rm Numbers], LEFT(Task_Summary_Table[[#This Row],[Area/Room]], 3)) &gt; 0,
_xlpm.typeResult, _xlfn.SWITCH(LEFT(Tasks[[#This Row],[Page]], 2), "Hi", "Historic", "An", "Annex", "Si", "Site", "S5", "Project Task", "SWITCH ERROR"),
IF(_xlpm.inTower, "West Tower", _xlpm.typeResult)
)</f>
        <v>Annex</v>
      </c>
      <c r="F629" s="15" t="str">
        <f>IFERROR(MID(Tasks[[#This Row],[Page]], FIND("Level", Tasks[[#This Row],[Page]]), 7), IF(ISNUMBER(FIND("Roof", Tasks[[#This Row],[Page]])), "Roof",  IF(ISNUMBER(FIND("S590", Tasks[[#This Row],[Page]])), "",  IF(ISNUMBER(FIND("Site", Tasks[[#This Row],[Page]])), "", "ERROR"))))</f>
        <v>Level 1</v>
      </c>
      <c r="G629" s="15" t="str">
        <f>IF(Tasks[[#This Row],[Location]]=0, "", Tasks[[#This Row],[Location]])</f>
        <v>110 - Chapel</v>
      </c>
      <c r="H629" s="15" t="str">
        <f>Tasks[[#This Row],[To Package]]</f>
        <v>Audience Seating -- New Holland</v>
      </c>
      <c r="I629" s="15" t="str">
        <f>Tasks[[#This Row],[To Organisation]]</f>
        <v>New Holland Church Furniture</v>
      </c>
    </row>
    <row r="630" spans="1:9" ht="15.5" x14ac:dyDescent="0.35">
      <c r="A630" s="16" t="str">
        <f>HYPERLINK(_xlfn.CONCAT(Edit_URL,Tasks[[#This Row],[Ref]]),Tasks[[#This Row],[Ref]])</f>
        <v>T74290.213</v>
      </c>
      <c r="B630" s="15" t="str" cm="1">
        <f t="array" ref="B630">_xlfn.SWITCH(LEFT(Tasks[[#This Row],[Status]],1),"O","Opened","C","Completed","S","Signed Off", "V", "Signed Off","ERROR")</f>
        <v>Opened</v>
      </c>
      <c r="C630" s="15" t="str" cm="1">
        <f t="array" ref="C630">_xlfn.SWITCH(LEFT(Tasks[[#This Row],[Type]], 3), "Fie", "Field Report", "Con", "Contractor QC", "Gen", "Contractor QC", "Pun", "Contractor QC", "Qua", "Contractor QC", "Fin", "Punch List")</f>
        <v>Contractor QC</v>
      </c>
      <c r="D630" s="15" t="str">
        <f>_xlfn.LET(
_xlpm.leftValue, TRIM(LEFT(Tasks[[#This Row],[Description]], 45)),
IF(LEN(_xlpm.leftValue) &lt; 40, _xlpm.leftValue, _xlfn.CONCAT(_xlpm.leftValue, "…"))
)</f>
        <v>Repair scratch on back of bench - middle…</v>
      </c>
      <c r="E630" s="15" t="str" cm="1">
        <f t="array" ref="E630">_xlfn.LET(
_xlpm.inTower, COUNTIF(Tower_Num_Table[Tower Rm Numbers], LEFT(Task_Summary_Table[[#This Row],[Area/Room]], 3)) &gt; 0,
_xlpm.typeResult, _xlfn.SWITCH(LEFT(Tasks[[#This Row],[Page]], 2), "Hi", "Historic", "An", "Annex", "Si", "Site", "S5", "Project Task", "SWITCH ERROR"),
IF(_xlpm.inTower, "West Tower", _xlpm.typeResult)
)</f>
        <v>Annex</v>
      </c>
      <c r="F630" s="15" t="str">
        <f>IFERROR(MID(Tasks[[#This Row],[Page]], FIND("Level", Tasks[[#This Row],[Page]]), 7), IF(ISNUMBER(FIND("Roof", Tasks[[#This Row],[Page]])), "Roof",  IF(ISNUMBER(FIND("S590", Tasks[[#This Row],[Page]])), "",  IF(ISNUMBER(FIND("Site", Tasks[[#This Row],[Page]])), "", "ERROR"))))</f>
        <v>Level 1</v>
      </c>
      <c r="G630" s="15" t="str">
        <f>IF(Tasks[[#This Row],[Location]]=0, "", Tasks[[#This Row],[Location]])</f>
        <v>110 - Chapel</v>
      </c>
      <c r="H630" s="15" t="str">
        <f>Tasks[[#This Row],[To Package]]</f>
        <v>Audience Seating -- New Holland</v>
      </c>
      <c r="I630" s="15" t="str">
        <f>Tasks[[#This Row],[To Organisation]]</f>
        <v>New Holland Church Furniture</v>
      </c>
    </row>
    <row r="631" spans="1:9" ht="15.5" x14ac:dyDescent="0.35">
      <c r="A631" s="16" t="str">
        <f>HYPERLINK(_xlfn.CONCAT(Edit_URL,Tasks[[#This Row],[Ref]]),Tasks[[#This Row],[Ref]])</f>
        <v>T74290.214</v>
      </c>
      <c r="B631" s="15" t="str" cm="1">
        <f t="array" ref="B631">_xlfn.SWITCH(LEFT(Tasks[[#This Row],[Status]],1),"O","Opened","C","Completed","S","Signed Off", "V", "Signed Off","ERROR")</f>
        <v>Opened</v>
      </c>
      <c r="C631" s="15" t="str" cm="1">
        <f t="array" ref="C631">_xlfn.SWITCH(LEFT(Tasks[[#This Row],[Type]], 3), "Fie", "Field Report", "Con", "Contractor QC", "Gen", "Contractor QC", "Pun", "Contractor QC", "Qua", "Contractor QC", "Fin", "Punch List")</f>
        <v>Contractor QC</v>
      </c>
      <c r="D631" s="15" t="str">
        <f>_xlfn.LET(
_xlpm.leftValue, TRIM(LEFT(Tasks[[#This Row],[Description]], 45)),
IF(LEN(_xlpm.leftValue) &lt; 40, _xlpm.leftValue, _xlfn.CONCAT(_xlpm.leftValue, "…"))
)</f>
        <v>Touch up on back of bench</v>
      </c>
      <c r="E631" s="15" t="str" cm="1">
        <f t="array" ref="E631">_xlfn.LET(
_xlpm.inTower, COUNTIF(Tower_Num_Table[Tower Rm Numbers], LEFT(Task_Summary_Table[[#This Row],[Area/Room]], 3)) &gt; 0,
_xlpm.typeResult, _xlfn.SWITCH(LEFT(Tasks[[#This Row],[Page]], 2), "Hi", "Historic", "An", "Annex", "Si", "Site", "S5", "Project Task", "SWITCH ERROR"),
IF(_xlpm.inTower, "West Tower", _xlpm.typeResult)
)</f>
        <v>Annex</v>
      </c>
      <c r="F631" s="15" t="str">
        <f>IFERROR(MID(Tasks[[#This Row],[Page]], FIND("Level", Tasks[[#This Row],[Page]]), 7), IF(ISNUMBER(FIND("Roof", Tasks[[#This Row],[Page]])), "Roof",  IF(ISNUMBER(FIND("S590", Tasks[[#This Row],[Page]])), "",  IF(ISNUMBER(FIND("Site", Tasks[[#This Row],[Page]])), "", "ERROR"))))</f>
        <v>Level 1</v>
      </c>
      <c r="G631" s="15" t="str">
        <f>IF(Tasks[[#This Row],[Location]]=0, "", Tasks[[#This Row],[Location]])</f>
        <v>110 - Chapel</v>
      </c>
      <c r="H631" s="15" t="str">
        <f>Tasks[[#This Row],[To Package]]</f>
        <v>Audience Seating -- New Holland</v>
      </c>
      <c r="I631" s="15" t="str">
        <f>Tasks[[#This Row],[To Organisation]]</f>
        <v>New Holland Church Furniture</v>
      </c>
    </row>
    <row r="632" spans="1:9" ht="15.5" x14ac:dyDescent="0.35">
      <c r="A632" s="16" t="str">
        <f>HYPERLINK(_xlfn.CONCAT(Edit_URL,Tasks[[#This Row],[Ref]]),Tasks[[#This Row],[Ref]])</f>
        <v>T74290.215</v>
      </c>
      <c r="B632" s="15" t="str" cm="1">
        <f t="array" ref="B632">_xlfn.SWITCH(LEFT(Tasks[[#This Row],[Status]],1),"O","Opened","C","Completed","S","Signed Off", "V", "Signed Off","ERROR")</f>
        <v>Opened</v>
      </c>
      <c r="C632" s="15" t="str" cm="1">
        <f t="array" ref="C632">_xlfn.SWITCH(LEFT(Tasks[[#This Row],[Type]], 3), "Fie", "Field Report", "Con", "Contractor QC", "Gen", "Contractor QC", "Pun", "Contractor QC", "Qua", "Contractor QC", "Fin", "Punch List")</f>
        <v>Contractor QC</v>
      </c>
      <c r="D632" s="15" t="str">
        <f>_xlfn.LET(
_xlpm.leftValue, TRIM(LEFT(Tasks[[#This Row],[Description]], 45)),
IF(LEN(_xlpm.leftValue) &lt; 40, _xlpm.leftValue, _xlfn.CONCAT(_xlpm.leftValue, "…"))
)</f>
        <v>Fill and touch up end of top rail - right sid…</v>
      </c>
      <c r="E632" s="15" t="str" cm="1">
        <f t="array" ref="E632">_xlfn.LET(
_xlpm.inTower, COUNTIF(Tower_Num_Table[Tower Rm Numbers], LEFT(Task_Summary_Table[[#This Row],[Area/Room]], 3)) &gt; 0,
_xlpm.typeResult, _xlfn.SWITCH(LEFT(Tasks[[#This Row],[Page]], 2), "Hi", "Historic", "An", "Annex", "Si", "Site", "S5", "Project Task", "SWITCH ERROR"),
IF(_xlpm.inTower, "West Tower", _xlpm.typeResult)
)</f>
        <v>Annex</v>
      </c>
      <c r="F632" s="15" t="str">
        <f>IFERROR(MID(Tasks[[#This Row],[Page]], FIND("Level", Tasks[[#This Row],[Page]]), 7), IF(ISNUMBER(FIND("Roof", Tasks[[#This Row],[Page]])), "Roof",  IF(ISNUMBER(FIND("S590", Tasks[[#This Row],[Page]])), "",  IF(ISNUMBER(FIND("Site", Tasks[[#This Row],[Page]])), "", "ERROR"))))</f>
        <v>Level 1</v>
      </c>
      <c r="G632" s="15" t="str">
        <f>IF(Tasks[[#This Row],[Location]]=0, "", Tasks[[#This Row],[Location]])</f>
        <v>110 - Chapel</v>
      </c>
      <c r="H632" s="15" t="str">
        <f>Tasks[[#This Row],[To Package]]</f>
        <v>Audience Seating -- New Holland</v>
      </c>
      <c r="I632" s="15" t="str">
        <f>Tasks[[#This Row],[To Organisation]]</f>
        <v>New Holland Church Furniture</v>
      </c>
    </row>
    <row r="633" spans="1:9" ht="15.5" x14ac:dyDescent="0.35">
      <c r="A633" s="16" t="str">
        <f>HYPERLINK(_xlfn.CONCAT(Edit_URL,Tasks[[#This Row],[Ref]]),Tasks[[#This Row],[Ref]])</f>
        <v>T74290.216</v>
      </c>
      <c r="B633" s="15" t="str" cm="1">
        <f t="array" ref="B633">_xlfn.SWITCH(LEFT(Tasks[[#This Row],[Status]],1),"O","Opened","C","Completed","S","Signed Off", "V", "Signed Off","ERROR")</f>
        <v>Opened</v>
      </c>
      <c r="C633" s="15" t="str" cm="1">
        <f t="array" ref="C633">_xlfn.SWITCH(LEFT(Tasks[[#This Row],[Type]], 3), "Fie", "Field Report", "Con", "Contractor QC", "Gen", "Contractor QC", "Pun", "Contractor QC", "Qua", "Contractor QC", "Fin", "Punch List")</f>
        <v>Contractor QC</v>
      </c>
      <c r="D633" s="15" t="str">
        <f>_xlfn.LET(
_xlpm.leftValue, TRIM(LEFT(Tasks[[#This Row],[Description]], 45)),
IF(LEN(_xlpm.leftValue) &lt; 40, _xlpm.leftValue, _xlfn.CONCAT(_xlpm.leftValue, "…"))
)</f>
        <v>Remove glue on arm rest - right side</v>
      </c>
      <c r="E633" s="15" t="str" cm="1">
        <f t="array" ref="E633">_xlfn.LET(
_xlpm.inTower, COUNTIF(Tower_Num_Table[Tower Rm Numbers], LEFT(Task_Summary_Table[[#This Row],[Area/Room]], 3)) &gt; 0,
_xlpm.typeResult, _xlfn.SWITCH(LEFT(Tasks[[#This Row],[Page]], 2), "Hi", "Historic", "An", "Annex", "Si", "Site", "S5", "Project Task", "SWITCH ERROR"),
IF(_xlpm.inTower, "West Tower", _xlpm.typeResult)
)</f>
        <v>Annex</v>
      </c>
      <c r="F633" s="15" t="str">
        <f>IFERROR(MID(Tasks[[#This Row],[Page]], FIND("Level", Tasks[[#This Row],[Page]]), 7), IF(ISNUMBER(FIND("Roof", Tasks[[#This Row],[Page]])), "Roof",  IF(ISNUMBER(FIND("S590", Tasks[[#This Row],[Page]])), "",  IF(ISNUMBER(FIND("Site", Tasks[[#This Row],[Page]])), "", "ERROR"))))</f>
        <v>Level 1</v>
      </c>
      <c r="G633" s="15" t="str">
        <f>IF(Tasks[[#This Row],[Location]]=0, "", Tasks[[#This Row],[Location]])</f>
        <v>110 - Chapel</v>
      </c>
      <c r="H633" s="15" t="str">
        <f>Tasks[[#This Row],[To Package]]</f>
        <v>Audience Seating -- New Holland</v>
      </c>
      <c r="I633" s="15" t="str">
        <f>Tasks[[#This Row],[To Organisation]]</f>
        <v>New Holland Church Furniture</v>
      </c>
    </row>
    <row r="634" spans="1:9" ht="15.5" x14ac:dyDescent="0.35">
      <c r="A634" s="16" t="str">
        <f>HYPERLINK(_xlfn.CONCAT(Edit_URL,Tasks[[#This Row],[Ref]]),Tasks[[#This Row],[Ref]])</f>
        <v>T74290.217</v>
      </c>
      <c r="B634" s="15" t="str" cm="1">
        <f t="array" ref="B634">_xlfn.SWITCH(LEFT(Tasks[[#This Row],[Status]],1),"O","Opened","C","Completed","S","Signed Off", "V", "Signed Off","ERROR")</f>
        <v>Opened</v>
      </c>
      <c r="C634" s="15" t="str" cm="1">
        <f t="array" ref="C634">_xlfn.SWITCH(LEFT(Tasks[[#This Row],[Type]], 3), "Fie", "Field Report", "Con", "Contractor QC", "Gen", "Contractor QC", "Pun", "Contractor QC", "Qua", "Contractor QC", "Fin", "Punch List")</f>
        <v>Contractor QC</v>
      </c>
      <c r="D634" s="15" t="str">
        <f>_xlfn.LET(
_xlpm.leftValue, TRIM(LEFT(Tasks[[#This Row],[Description]], 45)),
IF(LEN(_xlpm.leftValue) &lt; 40, _xlpm.leftValue, _xlfn.CONCAT(_xlpm.leftValue, "…"))
)</f>
        <v>Repair dent on back left of dent</v>
      </c>
      <c r="E634" s="15" t="str" cm="1">
        <f t="array" ref="E634">_xlfn.LET(
_xlpm.inTower, COUNTIF(Tower_Num_Table[Tower Rm Numbers], LEFT(Task_Summary_Table[[#This Row],[Area/Room]], 3)) &gt; 0,
_xlpm.typeResult, _xlfn.SWITCH(LEFT(Tasks[[#This Row],[Page]], 2), "Hi", "Historic", "An", "Annex", "Si", "Site", "S5", "Project Task", "SWITCH ERROR"),
IF(_xlpm.inTower, "West Tower", _xlpm.typeResult)
)</f>
        <v>Annex</v>
      </c>
      <c r="F634" s="15" t="str">
        <f>IFERROR(MID(Tasks[[#This Row],[Page]], FIND("Level", Tasks[[#This Row],[Page]]), 7), IF(ISNUMBER(FIND("Roof", Tasks[[#This Row],[Page]])), "Roof",  IF(ISNUMBER(FIND("S590", Tasks[[#This Row],[Page]])), "",  IF(ISNUMBER(FIND("Site", Tasks[[#This Row],[Page]])), "", "ERROR"))))</f>
        <v>Level 1</v>
      </c>
      <c r="G634" s="15" t="str">
        <f>IF(Tasks[[#This Row],[Location]]=0, "", Tasks[[#This Row],[Location]])</f>
        <v>110 - Chapel</v>
      </c>
      <c r="H634" s="15" t="str">
        <f>Tasks[[#This Row],[To Package]]</f>
        <v>Audience Seating -- New Holland</v>
      </c>
      <c r="I634" s="15" t="str">
        <f>Tasks[[#This Row],[To Organisation]]</f>
        <v>New Holland Church Furniture</v>
      </c>
    </row>
    <row r="635" spans="1:9" ht="15.5" x14ac:dyDescent="0.35">
      <c r="A635" s="16" t="str">
        <f>HYPERLINK(_xlfn.CONCAT(Edit_URL,Tasks[[#This Row],[Ref]]),Tasks[[#This Row],[Ref]])</f>
        <v>T74290.218</v>
      </c>
      <c r="B635" s="15" t="str" cm="1">
        <f t="array" ref="B635">_xlfn.SWITCH(LEFT(Tasks[[#This Row],[Status]],1),"O","Opened","C","Completed","S","Signed Off", "V", "Signed Off","ERROR")</f>
        <v>Opened</v>
      </c>
      <c r="C635" s="15" t="str" cm="1">
        <f t="array" ref="C635">_xlfn.SWITCH(LEFT(Tasks[[#This Row],[Type]], 3), "Fie", "Field Report", "Con", "Contractor QC", "Gen", "Contractor QC", "Pun", "Contractor QC", "Qua", "Contractor QC", "Fin", "Punch List")</f>
        <v>Contractor QC</v>
      </c>
      <c r="D635" s="15" t="str">
        <f>_xlfn.LET(
_xlpm.leftValue, TRIM(LEFT(Tasks[[#This Row],[Description]], 45)),
IF(LEN(_xlpm.leftValue) &lt; 40, _xlpm.leftValue, _xlfn.CONCAT(_xlpm.leftValue, "…"))
)</f>
        <v>Touch up plug on the back of bench</v>
      </c>
      <c r="E635" s="15" t="str" cm="1">
        <f t="array" ref="E635">_xlfn.LET(
_xlpm.inTower, COUNTIF(Tower_Num_Table[Tower Rm Numbers], LEFT(Task_Summary_Table[[#This Row],[Area/Room]], 3)) &gt; 0,
_xlpm.typeResult, _xlfn.SWITCH(LEFT(Tasks[[#This Row],[Page]], 2), "Hi", "Historic", "An", "Annex", "Si", "Site", "S5", "Project Task", "SWITCH ERROR"),
IF(_xlpm.inTower, "West Tower", _xlpm.typeResult)
)</f>
        <v>Annex</v>
      </c>
      <c r="F635" s="15" t="str">
        <f>IFERROR(MID(Tasks[[#This Row],[Page]], FIND("Level", Tasks[[#This Row],[Page]]), 7), IF(ISNUMBER(FIND("Roof", Tasks[[#This Row],[Page]])), "Roof",  IF(ISNUMBER(FIND("S590", Tasks[[#This Row],[Page]])), "",  IF(ISNUMBER(FIND("Site", Tasks[[#This Row],[Page]])), "", "ERROR"))))</f>
        <v>Level 1</v>
      </c>
      <c r="G635" s="15" t="str">
        <f>IF(Tasks[[#This Row],[Location]]=0, "", Tasks[[#This Row],[Location]])</f>
        <v>110 - Chapel</v>
      </c>
      <c r="H635" s="15" t="str">
        <f>Tasks[[#This Row],[To Package]]</f>
        <v>Audience Seating -- New Holland</v>
      </c>
      <c r="I635" s="15" t="str">
        <f>Tasks[[#This Row],[To Organisation]]</f>
        <v>New Holland Church Furniture</v>
      </c>
    </row>
    <row r="636" spans="1:9" ht="15.5" x14ac:dyDescent="0.35">
      <c r="A636" s="16" t="str">
        <f>HYPERLINK(_xlfn.CONCAT(Edit_URL,Tasks[[#This Row],[Ref]]),Tasks[[#This Row],[Ref]])</f>
        <v>T74290.219</v>
      </c>
      <c r="B636" s="15" t="str" cm="1">
        <f t="array" ref="B636">_xlfn.SWITCH(LEFT(Tasks[[#This Row],[Status]],1),"O","Opened","C","Completed","S","Signed Off", "V", "Signed Off","ERROR")</f>
        <v>Opened</v>
      </c>
      <c r="C636" s="15" t="str" cm="1">
        <f t="array" ref="C636">_xlfn.SWITCH(LEFT(Tasks[[#This Row],[Type]], 3), "Fie", "Field Report", "Con", "Contractor QC", "Gen", "Contractor QC", "Pun", "Contractor QC", "Qua", "Contractor QC", "Fin", "Punch List")</f>
        <v>Contractor QC</v>
      </c>
      <c r="D636" s="15" t="str">
        <f>_xlfn.LET(
_xlpm.leftValue, TRIM(LEFT(Tasks[[#This Row],[Description]], 45)),
IF(LEN(_xlpm.leftValue) &lt; 40, _xlpm.leftValue, _xlfn.CONCAT(_xlpm.leftValue, "…"))
)</f>
        <v>Touch up back panel - left side</v>
      </c>
      <c r="E636" s="15" t="str" cm="1">
        <f t="array" ref="E636">_xlfn.LET(
_xlpm.inTower, COUNTIF(Tower_Num_Table[Tower Rm Numbers], LEFT(Task_Summary_Table[[#This Row],[Area/Room]], 3)) &gt; 0,
_xlpm.typeResult, _xlfn.SWITCH(LEFT(Tasks[[#This Row],[Page]], 2), "Hi", "Historic", "An", "Annex", "Si", "Site", "S5", "Project Task", "SWITCH ERROR"),
IF(_xlpm.inTower, "West Tower", _xlpm.typeResult)
)</f>
        <v>Annex</v>
      </c>
      <c r="F636" s="15" t="str">
        <f>IFERROR(MID(Tasks[[#This Row],[Page]], FIND("Level", Tasks[[#This Row],[Page]]), 7), IF(ISNUMBER(FIND("Roof", Tasks[[#This Row],[Page]])), "Roof",  IF(ISNUMBER(FIND("S590", Tasks[[#This Row],[Page]])), "",  IF(ISNUMBER(FIND("Site", Tasks[[#This Row],[Page]])), "", "ERROR"))))</f>
        <v>Level 1</v>
      </c>
      <c r="G636" s="15" t="str">
        <f>IF(Tasks[[#This Row],[Location]]=0, "", Tasks[[#This Row],[Location]])</f>
        <v>110 - Chapel</v>
      </c>
      <c r="H636" s="15" t="str">
        <f>Tasks[[#This Row],[To Package]]</f>
        <v>Audience Seating -- New Holland</v>
      </c>
      <c r="I636" s="15" t="str">
        <f>Tasks[[#This Row],[To Organisation]]</f>
        <v>New Holland Church Furniture</v>
      </c>
    </row>
    <row r="637" spans="1:9" ht="15.5" x14ac:dyDescent="0.35">
      <c r="A637" s="16" t="str">
        <f>HYPERLINK(_xlfn.CONCAT(Edit_URL,Tasks[[#This Row],[Ref]]),Tasks[[#This Row],[Ref]])</f>
        <v>T74290.220</v>
      </c>
      <c r="B637" s="15" t="str" cm="1">
        <f t="array" ref="B637">_xlfn.SWITCH(LEFT(Tasks[[#This Row],[Status]],1),"O","Opened","C","Completed","S","Signed Off", "V", "Signed Off","ERROR")</f>
        <v>Opened</v>
      </c>
      <c r="C637" s="15" t="str" cm="1">
        <f t="array" ref="C637">_xlfn.SWITCH(LEFT(Tasks[[#This Row],[Type]], 3), "Fie", "Field Report", "Con", "Contractor QC", "Gen", "Contractor QC", "Pun", "Contractor QC", "Qua", "Contractor QC", "Fin", "Punch List")</f>
        <v>Contractor QC</v>
      </c>
      <c r="D637" s="15" t="str">
        <f>_xlfn.LET(
_xlpm.leftValue, TRIM(LEFT(Tasks[[#This Row],[Description]], 45)),
IF(LEN(_xlpm.leftValue) &lt; 40, _xlpm.leftValue, _xlfn.CONCAT(_xlpm.leftValue, "…"))
)</f>
        <v>Touch up plug on back of bench</v>
      </c>
      <c r="E637" s="15" t="str" cm="1">
        <f t="array" ref="E637">_xlfn.LET(
_xlpm.inTower, COUNTIF(Tower_Num_Table[Tower Rm Numbers], LEFT(Task_Summary_Table[[#This Row],[Area/Room]], 3)) &gt; 0,
_xlpm.typeResult, _xlfn.SWITCH(LEFT(Tasks[[#This Row],[Page]], 2), "Hi", "Historic", "An", "Annex", "Si", "Site", "S5", "Project Task", "SWITCH ERROR"),
IF(_xlpm.inTower, "West Tower", _xlpm.typeResult)
)</f>
        <v>Annex</v>
      </c>
      <c r="F637" s="15" t="str">
        <f>IFERROR(MID(Tasks[[#This Row],[Page]], FIND("Level", Tasks[[#This Row],[Page]]), 7), IF(ISNUMBER(FIND("Roof", Tasks[[#This Row],[Page]])), "Roof",  IF(ISNUMBER(FIND("S590", Tasks[[#This Row],[Page]])), "",  IF(ISNUMBER(FIND("Site", Tasks[[#This Row],[Page]])), "", "ERROR"))))</f>
        <v>Level 1</v>
      </c>
      <c r="G637" s="15" t="str">
        <f>IF(Tasks[[#This Row],[Location]]=0, "", Tasks[[#This Row],[Location]])</f>
        <v>110 - Chapel</v>
      </c>
      <c r="H637" s="15" t="str">
        <f>Tasks[[#This Row],[To Package]]</f>
        <v>Audience Seating -- New Holland</v>
      </c>
      <c r="I637" s="15" t="str">
        <f>Tasks[[#This Row],[To Organisation]]</f>
        <v>New Holland Church Furniture</v>
      </c>
    </row>
    <row r="638" spans="1:9" ht="15.5" x14ac:dyDescent="0.35">
      <c r="A638" s="16" t="str">
        <f>HYPERLINK(_xlfn.CONCAT(Edit_URL,Tasks[[#This Row],[Ref]]),Tasks[[#This Row],[Ref]])</f>
        <v>T74290.221</v>
      </c>
      <c r="B638" s="15" t="str" cm="1">
        <f t="array" ref="B638">_xlfn.SWITCH(LEFT(Tasks[[#This Row],[Status]],1),"O","Opened","C","Completed","S","Signed Off", "V", "Signed Off","ERROR")</f>
        <v>Opened</v>
      </c>
      <c r="C638" s="15" t="str" cm="1">
        <f t="array" ref="C638">_xlfn.SWITCH(LEFT(Tasks[[#This Row],[Type]], 3), "Fie", "Field Report", "Con", "Contractor QC", "Gen", "Contractor QC", "Pun", "Contractor QC", "Qua", "Contractor QC", "Fin", "Punch List")</f>
        <v>Contractor QC</v>
      </c>
      <c r="D638" s="15" t="str">
        <f>_xlfn.LET(
_xlpm.leftValue, TRIM(LEFT(Tasks[[#This Row],[Description]], 45)),
IF(LEN(_xlpm.leftValue) &lt; 40, _xlpm.leftValue, _xlfn.CONCAT(_xlpm.leftValue, "…"))
)</f>
        <v>Repair/ touch up on back panel - right side…</v>
      </c>
      <c r="E638" s="15" t="str" cm="1">
        <f t="array" ref="E638">_xlfn.LET(
_xlpm.inTower, COUNTIF(Tower_Num_Table[Tower Rm Numbers], LEFT(Task_Summary_Table[[#This Row],[Area/Room]], 3)) &gt; 0,
_xlpm.typeResult, _xlfn.SWITCH(LEFT(Tasks[[#This Row],[Page]], 2), "Hi", "Historic", "An", "Annex", "Si", "Site", "S5", "Project Task", "SWITCH ERROR"),
IF(_xlpm.inTower, "West Tower", _xlpm.typeResult)
)</f>
        <v>Annex</v>
      </c>
      <c r="F638" s="15" t="str">
        <f>IFERROR(MID(Tasks[[#This Row],[Page]], FIND("Level", Tasks[[#This Row],[Page]]), 7), IF(ISNUMBER(FIND("Roof", Tasks[[#This Row],[Page]])), "Roof",  IF(ISNUMBER(FIND("S590", Tasks[[#This Row],[Page]])), "",  IF(ISNUMBER(FIND("Site", Tasks[[#This Row],[Page]])), "", "ERROR"))))</f>
        <v>Level 1</v>
      </c>
      <c r="G638" s="15" t="str">
        <f>IF(Tasks[[#This Row],[Location]]=0, "", Tasks[[#This Row],[Location]])</f>
        <v>110 - Chapel</v>
      </c>
      <c r="H638" s="15" t="str">
        <f>Tasks[[#This Row],[To Package]]</f>
        <v>Audience Seating -- New Holland</v>
      </c>
      <c r="I638" s="15" t="str">
        <f>Tasks[[#This Row],[To Organisation]]</f>
        <v>New Holland Church Furniture</v>
      </c>
    </row>
    <row r="639" spans="1:9" ht="15.5" x14ac:dyDescent="0.35">
      <c r="A639" s="16" t="str">
        <f>HYPERLINK(_xlfn.CONCAT(Edit_URL,Tasks[[#This Row],[Ref]]),Tasks[[#This Row],[Ref]])</f>
        <v>T74290.222</v>
      </c>
      <c r="B639" s="15" t="str" cm="1">
        <f t="array" ref="B639">_xlfn.SWITCH(LEFT(Tasks[[#This Row],[Status]],1),"O","Opened","C","Completed","S","Signed Off", "V", "Signed Off","ERROR")</f>
        <v>Opened</v>
      </c>
      <c r="C639" s="15" t="str" cm="1">
        <f t="array" ref="C639">_xlfn.SWITCH(LEFT(Tasks[[#This Row],[Type]], 3), "Fie", "Field Report", "Con", "Contractor QC", "Gen", "Contractor QC", "Pun", "Contractor QC", "Qua", "Contractor QC", "Fin", "Punch List")</f>
        <v>Contractor QC</v>
      </c>
      <c r="D639" s="15" t="str">
        <f>_xlfn.LET(
_xlpm.leftValue, TRIM(LEFT(Tasks[[#This Row],[Description]], 45)),
IF(LEN(_xlpm.leftValue) &lt; 40, _xlpm.leftValue, _xlfn.CONCAT(_xlpm.leftValue, "…"))
)</f>
        <v>Touch up plug on back of bench</v>
      </c>
      <c r="E639" s="15" t="str" cm="1">
        <f t="array" ref="E639">_xlfn.LET(
_xlpm.inTower, COUNTIF(Tower_Num_Table[Tower Rm Numbers], LEFT(Task_Summary_Table[[#This Row],[Area/Room]], 3)) &gt; 0,
_xlpm.typeResult, _xlfn.SWITCH(LEFT(Tasks[[#This Row],[Page]], 2), "Hi", "Historic", "An", "Annex", "Si", "Site", "S5", "Project Task", "SWITCH ERROR"),
IF(_xlpm.inTower, "West Tower", _xlpm.typeResult)
)</f>
        <v>Annex</v>
      </c>
      <c r="F639" s="15" t="str">
        <f>IFERROR(MID(Tasks[[#This Row],[Page]], FIND("Level", Tasks[[#This Row],[Page]]), 7), IF(ISNUMBER(FIND("Roof", Tasks[[#This Row],[Page]])), "Roof",  IF(ISNUMBER(FIND("S590", Tasks[[#This Row],[Page]])), "",  IF(ISNUMBER(FIND("Site", Tasks[[#This Row],[Page]])), "", "ERROR"))))</f>
        <v>Level 1</v>
      </c>
      <c r="G639" s="15" t="str">
        <f>IF(Tasks[[#This Row],[Location]]=0, "", Tasks[[#This Row],[Location]])</f>
        <v>110 - Chapel</v>
      </c>
      <c r="H639" s="15" t="str">
        <f>Tasks[[#This Row],[To Package]]</f>
        <v>Audience Seating -- New Holland</v>
      </c>
      <c r="I639" s="15" t="str">
        <f>Tasks[[#This Row],[To Organisation]]</f>
        <v>New Holland Church Furniture</v>
      </c>
    </row>
    <row r="640" spans="1:9" ht="15.5" x14ac:dyDescent="0.35">
      <c r="A640" s="16" t="str">
        <f>HYPERLINK(_xlfn.CONCAT(Edit_URL,Tasks[[#This Row],[Ref]]),Tasks[[#This Row],[Ref]])</f>
        <v>T74290.223</v>
      </c>
      <c r="B640" s="15" t="str" cm="1">
        <f t="array" ref="B640">_xlfn.SWITCH(LEFT(Tasks[[#This Row],[Status]],1),"O","Opened","C","Completed","S","Signed Off", "V", "Signed Off","ERROR")</f>
        <v>Opened</v>
      </c>
      <c r="C640" s="15" t="str" cm="1">
        <f t="array" ref="C640">_xlfn.SWITCH(LEFT(Tasks[[#This Row],[Type]], 3), "Fie", "Field Report", "Con", "Contractor QC", "Gen", "Contractor QC", "Pun", "Contractor QC", "Qua", "Contractor QC", "Fin", "Punch List")</f>
        <v>Contractor QC</v>
      </c>
      <c r="D640" s="15" t="str">
        <f>_xlfn.LET(
_xlpm.leftValue, TRIM(LEFT(Tasks[[#This Row],[Description]], 45)),
IF(LEN(_xlpm.leftValue) &lt; 40, _xlpm.leftValue, _xlfn.CONCAT(_xlpm.leftValue, "…"))
)</f>
        <v>Repair / touch up dent in back panel</v>
      </c>
      <c r="E640" s="15" t="str" cm="1">
        <f t="array" ref="E640">_xlfn.LET(
_xlpm.inTower, COUNTIF(Tower_Num_Table[Tower Rm Numbers], LEFT(Task_Summary_Table[[#This Row],[Area/Room]], 3)) &gt; 0,
_xlpm.typeResult, _xlfn.SWITCH(LEFT(Tasks[[#This Row],[Page]], 2), "Hi", "Historic", "An", "Annex", "Si", "Site", "S5", "Project Task", "SWITCH ERROR"),
IF(_xlpm.inTower, "West Tower", _xlpm.typeResult)
)</f>
        <v>Annex</v>
      </c>
      <c r="F640" s="15" t="str">
        <f>IFERROR(MID(Tasks[[#This Row],[Page]], FIND("Level", Tasks[[#This Row],[Page]]), 7), IF(ISNUMBER(FIND("Roof", Tasks[[#This Row],[Page]])), "Roof",  IF(ISNUMBER(FIND("S590", Tasks[[#This Row],[Page]])), "",  IF(ISNUMBER(FIND("Site", Tasks[[#This Row],[Page]])), "", "ERROR"))))</f>
        <v>Level 1</v>
      </c>
      <c r="G640" s="15" t="str">
        <f>IF(Tasks[[#This Row],[Location]]=0, "", Tasks[[#This Row],[Location]])</f>
        <v>110 - Chapel</v>
      </c>
      <c r="H640" s="15" t="str">
        <f>Tasks[[#This Row],[To Package]]</f>
        <v>Audience Seating -- New Holland</v>
      </c>
      <c r="I640" s="15" t="str">
        <f>Tasks[[#This Row],[To Organisation]]</f>
        <v>New Holland Church Furniture</v>
      </c>
    </row>
    <row r="641" spans="1:9" ht="15.5" x14ac:dyDescent="0.35">
      <c r="A641" s="16" t="str">
        <f>HYPERLINK(_xlfn.CONCAT(Edit_URL,Tasks[[#This Row],[Ref]]),Tasks[[#This Row],[Ref]])</f>
        <v>T74290.224</v>
      </c>
      <c r="B641" s="15" t="str" cm="1">
        <f t="array" ref="B641">_xlfn.SWITCH(LEFT(Tasks[[#This Row],[Status]],1),"O","Opened","C","Completed","S","Signed Off", "V", "Signed Off","ERROR")</f>
        <v>Opened</v>
      </c>
      <c r="C641" s="15" t="str" cm="1">
        <f t="array" ref="C641">_xlfn.SWITCH(LEFT(Tasks[[#This Row],[Type]], 3), "Fie", "Field Report", "Con", "Contractor QC", "Gen", "Contractor QC", "Pun", "Contractor QC", "Qua", "Contractor QC", "Fin", "Punch List")</f>
        <v>Contractor QC</v>
      </c>
      <c r="D641" s="15" t="str">
        <f>_xlfn.LET(
_xlpm.leftValue, TRIM(LEFT(Tasks[[#This Row],[Description]], 45)),
IF(LEN(_xlpm.leftValue) &lt; 40, _xlpm.leftValue, _xlfn.CONCAT(_xlpm.leftValue, "…"))
)</f>
        <v>Touch up scratches on back right</v>
      </c>
      <c r="E641" s="15" t="str" cm="1">
        <f t="array" ref="E641">_xlfn.LET(
_xlpm.inTower, COUNTIF(Tower_Num_Table[Tower Rm Numbers], LEFT(Task_Summary_Table[[#This Row],[Area/Room]], 3)) &gt; 0,
_xlpm.typeResult, _xlfn.SWITCH(LEFT(Tasks[[#This Row],[Page]], 2), "Hi", "Historic", "An", "Annex", "Si", "Site", "S5", "Project Task", "SWITCH ERROR"),
IF(_xlpm.inTower, "West Tower", _xlpm.typeResult)
)</f>
        <v>Annex</v>
      </c>
      <c r="F641" s="15" t="str">
        <f>IFERROR(MID(Tasks[[#This Row],[Page]], FIND("Level", Tasks[[#This Row],[Page]]), 7), IF(ISNUMBER(FIND("Roof", Tasks[[#This Row],[Page]])), "Roof",  IF(ISNUMBER(FIND("S590", Tasks[[#This Row],[Page]])), "",  IF(ISNUMBER(FIND("Site", Tasks[[#This Row],[Page]])), "", "ERROR"))))</f>
        <v>Level 1</v>
      </c>
      <c r="G641" s="15" t="str">
        <f>IF(Tasks[[#This Row],[Location]]=0, "", Tasks[[#This Row],[Location]])</f>
        <v>110 - Chapel</v>
      </c>
      <c r="H641" s="15" t="str">
        <f>Tasks[[#This Row],[To Package]]</f>
        <v>Audience Seating -- New Holland</v>
      </c>
      <c r="I641" s="15" t="str">
        <f>Tasks[[#This Row],[To Organisation]]</f>
        <v>New Holland Church Furniture</v>
      </c>
    </row>
    <row r="642" spans="1:9" ht="15.5" x14ac:dyDescent="0.35">
      <c r="A642" s="16" t="str">
        <f>HYPERLINK(_xlfn.CONCAT(Edit_URL,Tasks[[#This Row],[Ref]]),Tasks[[#This Row],[Ref]])</f>
        <v>T74290.225</v>
      </c>
      <c r="B642" s="15" t="str" cm="1">
        <f t="array" ref="B642">_xlfn.SWITCH(LEFT(Tasks[[#This Row],[Status]],1),"O","Opened","C","Completed","S","Signed Off", "V", "Signed Off","ERROR")</f>
        <v>Opened</v>
      </c>
      <c r="C642" s="15" t="str" cm="1">
        <f t="array" ref="C642">_xlfn.SWITCH(LEFT(Tasks[[#This Row],[Type]], 3), "Fie", "Field Report", "Con", "Contractor QC", "Gen", "Contractor QC", "Pun", "Contractor QC", "Qua", "Contractor QC", "Fin", "Punch List")</f>
        <v>Contractor QC</v>
      </c>
      <c r="D642" s="15" t="str">
        <f>_xlfn.LET(
_xlpm.leftValue, TRIM(LEFT(Tasks[[#This Row],[Description]], 45)),
IF(LEN(_xlpm.leftValue) &lt; 40, _xlpm.leftValue, _xlfn.CONCAT(_xlpm.leftValue, "…"))
)</f>
        <v>Remove glue and touch up dent on left arm res…</v>
      </c>
      <c r="E642" s="15" t="str" cm="1">
        <f t="array" ref="E642">_xlfn.LET(
_xlpm.inTower, COUNTIF(Tower_Num_Table[Tower Rm Numbers], LEFT(Task_Summary_Table[[#This Row],[Area/Room]], 3)) &gt; 0,
_xlpm.typeResult, _xlfn.SWITCH(LEFT(Tasks[[#This Row],[Page]], 2), "Hi", "Historic", "An", "Annex", "Si", "Site", "S5", "Project Task", "SWITCH ERROR"),
IF(_xlpm.inTower, "West Tower", _xlpm.typeResult)
)</f>
        <v>Annex</v>
      </c>
      <c r="F642" s="15" t="str">
        <f>IFERROR(MID(Tasks[[#This Row],[Page]], FIND("Level", Tasks[[#This Row],[Page]]), 7), IF(ISNUMBER(FIND("Roof", Tasks[[#This Row],[Page]])), "Roof",  IF(ISNUMBER(FIND("S590", Tasks[[#This Row],[Page]])), "",  IF(ISNUMBER(FIND("Site", Tasks[[#This Row],[Page]])), "", "ERROR"))))</f>
        <v>Level 1</v>
      </c>
      <c r="G642" s="15" t="str">
        <f>IF(Tasks[[#This Row],[Location]]=0, "", Tasks[[#This Row],[Location]])</f>
        <v>110 - Chapel</v>
      </c>
      <c r="H642" s="15" t="str">
        <f>Tasks[[#This Row],[To Package]]</f>
        <v>Audience Seating -- New Holland</v>
      </c>
      <c r="I642" s="15" t="str">
        <f>Tasks[[#This Row],[To Organisation]]</f>
        <v>New Holland Church Furniture</v>
      </c>
    </row>
    <row r="643" spans="1:9" ht="15.5" x14ac:dyDescent="0.35">
      <c r="A643" s="16" t="str">
        <f>HYPERLINK(_xlfn.CONCAT(Edit_URL,Tasks[[#This Row],[Ref]]),Tasks[[#This Row],[Ref]])</f>
        <v>T74290.226</v>
      </c>
      <c r="B643" s="15" t="str" cm="1">
        <f t="array" ref="B643">_xlfn.SWITCH(LEFT(Tasks[[#This Row],[Status]],1),"O","Opened","C","Completed","S","Signed Off", "V", "Signed Off","ERROR")</f>
        <v>Opened</v>
      </c>
      <c r="C643" s="15" t="str" cm="1">
        <f t="array" ref="C643">_xlfn.SWITCH(LEFT(Tasks[[#This Row],[Type]], 3), "Fie", "Field Report", "Con", "Contractor QC", "Gen", "Contractor QC", "Pun", "Contractor QC", "Qua", "Contractor QC", "Fin", "Punch List")</f>
        <v>Contractor QC</v>
      </c>
      <c r="D643" s="15" t="str">
        <f>_xlfn.LET(
_xlpm.leftValue, TRIM(LEFT(Tasks[[#This Row],[Description]], 45)),
IF(LEN(_xlpm.leftValue) &lt; 40, _xlpm.leftValue, _xlfn.CONCAT(_xlpm.leftValue, "…"))
)</f>
        <v>Touch up on right arm rest</v>
      </c>
      <c r="E643" s="15" t="str" cm="1">
        <f t="array" ref="E643">_xlfn.LET(
_xlpm.inTower, COUNTIF(Tower_Num_Table[Tower Rm Numbers], LEFT(Task_Summary_Table[[#This Row],[Area/Room]], 3)) &gt; 0,
_xlpm.typeResult, _xlfn.SWITCH(LEFT(Tasks[[#This Row],[Page]], 2), "Hi", "Historic", "An", "Annex", "Si", "Site", "S5", "Project Task", "SWITCH ERROR"),
IF(_xlpm.inTower, "West Tower", _xlpm.typeResult)
)</f>
        <v>Annex</v>
      </c>
      <c r="F643" s="15" t="str">
        <f>IFERROR(MID(Tasks[[#This Row],[Page]], FIND("Level", Tasks[[#This Row],[Page]]), 7), IF(ISNUMBER(FIND("Roof", Tasks[[#This Row],[Page]])), "Roof",  IF(ISNUMBER(FIND("S590", Tasks[[#This Row],[Page]])), "",  IF(ISNUMBER(FIND("Site", Tasks[[#This Row],[Page]])), "", "ERROR"))))</f>
        <v>Level 1</v>
      </c>
      <c r="G643" s="15" t="str">
        <f>IF(Tasks[[#This Row],[Location]]=0, "", Tasks[[#This Row],[Location]])</f>
        <v>110 - Chapel</v>
      </c>
      <c r="H643" s="15" t="str">
        <f>Tasks[[#This Row],[To Package]]</f>
        <v>Audience Seating -- New Holland</v>
      </c>
      <c r="I643" s="15" t="str">
        <f>Tasks[[#This Row],[To Organisation]]</f>
        <v>New Holland Church Furniture</v>
      </c>
    </row>
    <row r="644" spans="1:9" ht="15.5" x14ac:dyDescent="0.35">
      <c r="A644" s="16" t="str">
        <f>HYPERLINK(_xlfn.CONCAT(Edit_URL,Tasks[[#This Row],[Ref]]),Tasks[[#This Row],[Ref]])</f>
        <v>T74290.227</v>
      </c>
      <c r="B644" s="15" t="str" cm="1">
        <f t="array" ref="B644">_xlfn.SWITCH(LEFT(Tasks[[#This Row],[Status]],1),"O","Opened","C","Completed","S","Signed Off", "V", "Signed Off","ERROR")</f>
        <v>Opened</v>
      </c>
      <c r="C644" s="15" t="str" cm="1">
        <f t="array" ref="C644">_xlfn.SWITCH(LEFT(Tasks[[#This Row],[Type]], 3), "Fie", "Field Report", "Con", "Contractor QC", "Gen", "Contractor QC", "Pun", "Contractor QC", "Qua", "Contractor QC", "Fin", "Punch List")</f>
        <v>Contractor QC</v>
      </c>
      <c r="D644" s="15" t="str">
        <f>_xlfn.LET(
_xlpm.leftValue, TRIM(LEFT(Tasks[[#This Row],[Description]], 45)),
IF(LEN(_xlpm.leftValue) &lt; 40, _xlpm.leftValue, _xlfn.CONCAT(_xlpm.leftValue, "…"))
)</f>
        <v>Touch up plug on back of bench</v>
      </c>
      <c r="E644" s="15" t="str" cm="1">
        <f t="array" ref="E644">_xlfn.LET(
_xlpm.inTower, COUNTIF(Tower_Num_Table[Tower Rm Numbers], LEFT(Task_Summary_Table[[#This Row],[Area/Room]], 3)) &gt; 0,
_xlpm.typeResult, _xlfn.SWITCH(LEFT(Tasks[[#This Row],[Page]], 2), "Hi", "Historic", "An", "Annex", "Si", "Site", "S5", "Project Task", "SWITCH ERROR"),
IF(_xlpm.inTower, "West Tower", _xlpm.typeResult)
)</f>
        <v>Annex</v>
      </c>
      <c r="F644" s="15" t="str">
        <f>IFERROR(MID(Tasks[[#This Row],[Page]], FIND("Level", Tasks[[#This Row],[Page]]), 7), IF(ISNUMBER(FIND("Roof", Tasks[[#This Row],[Page]])), "Roof",  IF(ISNUMBER(FIND("S590", Tasks[[#This Row],[Page]])), "",  IF(ISNUMBER(FIND("Site", Tasks[[#This Row],[Page]])), "", "ERROR"))))</f>
        <v>Level 1</v>
      </c>
      <c r="G644" s="15" t="str">
        <f>IF(Tasks[[#This Row],[Location]]=0, "", Tasks[[#This Row],[Location]])</f>
        <v>110 - Chapel</v>
      </c>
      <c r="H644" s="15" t="str">
        <f>Tasks[[#This Row],[To Package]]</f>
        <v>Audience Seating -- New Holland</v>
      </c>
      <c r="I644" s="15" t="str">
        <f>Tasks[[#This Row],[To Organisation]]</f>
        <v>New Holland Church Furniture</v>
      </c>
    </row>
    <row r="645" spans="1:9" ht="15.5" x14ac:dyDescent="0.35">
      <c r="A645" s="16" t="str">
        <f>HYPERLINK(_xlfn.CONCAT(Edit_URL,Tasks[[#This Row],[Ref]]),Tasks[[#This Row],[Ref]])</f>
        <v>T74290.228</v>
      </c>
      <c r="B645" s="15" t="str" cm="1">
        <f t="array" ref="B645">_xlfn.SWITCH(LEFT(Tasks[[#This Row],[Status]],1),"O","Opened","C","Completed","S","Signed Off", "V", "Signed Off","ERROR")</f>
        <v>Opened</v>
      </c>
      <c r="C645" s="15" t="str" cm="1">
        <f t="array" ref="C645">_xlfn.SWITCH(LEFT(Tasks[[#This Row],[Type]], 3), "Fie", "Field Report", "Con", "Contractor QC", "Gen", "Contractor QC", "Pun", "Contractor QC", "Qua", "Contractor QC", "Fin", "Punch List")</f>
        <v>Contractor QC</v>
      </c>
      <c r="D645" s="15" t="str">
        <f>_xlfn.LET(
_xlpm.leftValue, TRIM(LEFT(Tasks[[#This Row],[Description]], 45)),
IF(LEN(_xlpm.leftValue) &lt; 40, _xlpm.leftValue, _xlfn.CONCAT(_xlpm.leftValue, "…"))
)</f>
        <v>Repair scratch on outside of left panel</v>
      </c>
      <c r="E645" s="15" t="str" cm="1">
        <f t="array" ref="E645">_xlfn.LET(
_xlpm.inTower, COUNTIF(Tower_Num_Table[Tower Rm Numbers], LEFT(Task_Summary_Table[[#This Row],[Area/Room]], 3)) &gt; 0,
_xlpm.typeResult, _xlfn.SWITCH(LEFT(Tasks[[#This Row],[Page]], 2), "Hi", "Historic", "An", "Annex", "Si", "Site", "S5", "Project Task", "SWITCH ERROR"),
IF(_xlpm.inTower, "West Tower", _xlpm.typeResult)
)</f>
        <v>Annex</v>
      </c>
      <c r="F645" s="15" t="str">
        <f>IFERROR(MID(Tasks[[#This Row],[Page]], FIND("Level", Tasks[[#This Row],[Page]]), 7), IF(ISNUMBER(FIND("Roof", Tasks[[#This Row],[Page]])), "Roof",  IF(ISNUMBER(FIND("S590", Tasks[[#This Row],[Page]])), "",  IF(ISNUMBER(FIND("Site", Tasks[[#This Row],[Page]])), "", "ERROR"))))</f>
        <v>Level 1</v>
      </c>
      <c r="G645" s="15" t="str">
        <f>IF(Tasks[[#This Row],[Location]]=0, "", Tasks[[#This Row],[Location]])</f>
        <v>110 - Chapel</v>
      </c>
      <c r="H645" s="15" t="str">
        <f>Tasks[[#This Row],[To Package]]</f>
        <v>Audience Seating -- New Holland</v>
      </c>
      <c r="I645" s="15" t="str">
        <f>Tasks[[#This Row],[To Organisation]]</f>
        <v>New Holland Church Furniture</v>
      </c>
    </row>
    <row r="646" spans="1:9" ht="15.5" x14ac:dyDescent="0.35">
      <c r="A646" s="16" t="str">
        <f>HYPERLINK(_xlfn.CONCAT(Edit_URL,Tasks[[#This Row],[Ref]]),Tasks[[#This Row],[Ref]])</f>
        <v>T74290.229</v>
      </c>
      <c r="B646" s="15" t="str" cm="1">
        <f t="array" ref="B646">_xlfn.SWITCH(LEFT(Tasks[[#This Row],[Status]],1),"O","Opened","C","Completed","S","Signed Off", "V", "Signed Off","ERROR")</f>
        <v>Opened</v>
      </c>
      <c r="C646" s="15" t="str" cm="1">
        <f t="array" ref="C646">_xlfn.SWITCH(LEFT(Tasks[[#This Row],[Type]], 3), "Fie", "Field Report", "Con", "Contractor QC", "Gen", "Contractor QC", "Pun", "Contractor QC", "Qua", "Contractor QC", "Fin", "Punch List")</f>
        <v>Contractor QC</v>
      </c>
      <c r="D646" s="15" t="str">
        <f>_xlfn.LET(
_xlpm.leftValue, TRIM(LEFT(Tasks[[#This Row],[Description]], 45)),
IF(LEN(_xlpm.leftValue) &lt; 40, _xlpm.leftValue, _xlfn.CONCAT(_xlpm.leftValue, "…"))
)</f>
        <v>Remove glue on left arm rest</v>
      </c>
      <c r="E646" s="15" t="str" cm="1">
        <f t="array" ref="E646">_xlfn.LET(
_xlpm.inTower, COUNTIF(Tower_Num_Table[Tower Rm Numbers], LEFT(Task_Summary_Table[[#This Row],[Area/Room]], 3)) &gt; 0,
_xlpm.typeResult, _xlfn.SWITCH(LEFT(Tasks[[#This Row],[Page]], 2), "Hi", "Historic", "An", "Annex", "Si", "Site", "S5", "Project Task", "SWITCH ERROR"),
IF(_xlpm.inTower, "West Tower", _xlpm.typeResult)
)</f>
        <v>Annex</v>
      </c>
      <c r="F646" s="15" t="str">
        <f>IFERROR(MID(Tasks[[#This Row],[Page]], FIND("Level", Tasks[[#This Row],[Page]]), 7), IF(ISNUMBER(FIND("Roof", Tasks[[#This Row],[Page]])), "Roof",  IF(ISNUMBER(FIND("S590", Tasks[[#This Row],[Page]])), "",  IF(ISNUMBER(FIND("Site", Tasks[[#This Row],[Page]])), "", "ERROR"))))</f>
        <v>Level 1</v>
      </c>
      <c r="G646" s="15" t="str">
        <f>IF(Tasks[[#This Row],[Location]]=0, "", Tasks[[#This Row],[Location]])</f>
        <v>110 - Chapel</v>
      </c>
      <c r="H646" s="15" t="str">
        <f>Tasks[[#This Row],[To Package]]</f>
        <v>Audience Seating -- New Holland</v>
      </c>
      <c r="I646" s="15" t="str">
        <f>Tasks[[#This Row],[To Organisation]]</f>
        <v>New Holland Church Furniture</v>
      </c>
    </row>
    <row r="647" spans="1:9" ht="15.5" x14ac:dyDescent="0.35">
      <c r="A647" s="16" t="str">
        <f>HYPERLINK(_xlfn.CONCAT(Edit_URL,Tasks[[#This Row],[Ref]]),Tasks[[#This Row],[Ref]])</f>
        <v>T74290.230</v>
      </c>
      <c r="B647" s="15" t="str" cm="1">
        <f t="array" ref="B647">_xlfn.SWITCH(LEFT(Tasks[[#This Row],[Status]],1),"O","Opened","C","Completed","S","Signed Off", "V", "Signed Off","ERROR")</f>
        <v>Opened</v>
      </c>
      <c r="C647" s="15" t="str" cm="1">
        <f t="array" ref="C647">_xlfn.SWITCH(LEFT(Tasks[[#This Row],[Type]], 3), "Fie", "Field Report", "Con", "Contractor QC", "Gen", "Contractor QC", "Pun", "Contractor QC", "Qua", "Contractor QC", "Fin", "Punch List")</f>
        <v>Contractor QC</v>
      </c>
      <c r="D647" s="15" t="str">
        <f>_xlfn.LET(
_xlpm.leftValue, TRIM(LEFT(Tasks[[#This Row],[Description]], 45)),
IF(LEN(_xlpm.leftValue) &lt; 40, _xlpm.leftValue, _xlfn.CONCAT(_xlpm.leftValue, "…"))
)</f>
        <v>Touch up nail holes in back left</v>
      </c>
      <c r="E647" s="15" t="str" cm="1">
        <f t="array" ref="E647">_xlfn.LET(
_xlpm.inTower, COUNTIF(Tower_Num_Table[Tower Rm Numbers], LEFT(Task_Summary_Table[[#This Row],[Area/Room]], 3)) &gt; 0,
_xlpm.typeResult, _xlfn.SWITCH(LEFT(Tasks[[#This Row],[Page]], 2), "Hi", "Historic", "An", "Annex", "Si", "Site", "S5", "Project Task", "SWITCH ERROR"),
IF(_xlpm.inTower, "West Tower", _xlpm.typeResult)
)</f>
        <v>Annex</v>
      </c>
      <c r="F647" s="15" t="str">
        <f>IFERROR(MID(Tasks[[#This Row],[Page]], FIND("Level", Tasks[[#This Row],[Page]]), 7), IF(ISNUMBER(FIND("Roof", Tasks[[#This Row],[Page]])), "Roof",  IF(ISNUMBER(FIND("S590", Tasks[[#This Row],[Page]])), "",  IF(ISNUMBER(FIND("Site", Tasks[[#This Row],[Page]])), "", "ERROR"))))</f>
        <v>Level 1</v>
      </c>
      <c r="G647" s="15" t="str">
        <f>IF(Tasks[[#This Row],[Location]]=0, "", Tasks[[#This Row],[Location]])</f>
        <v>110 - Chapel</v>
      </c>
      <c r="H647" s="15" t="str">
        <f>Tasks[[#This Row],[To Package]]</f>
        <v>Audience Seating -- New Holland</v>
      </c>
      <c r="I647" s="15" t="str">
        <f>Tasks[[#This Row],[To Organisation]]</f>
        <v>New Holland Church Furniture</v>
      </c>
    </row>
    <row r="648" spans="1:9" ht="15.5" x14ac:dyDescent="0.35">
      <c r="A648" s="16" t="str">
        <f>HYPERLINK(_xlfn.CONCAT(Edit_URL,Tasks[[#This Row],[Ref]]),Tasks[[#This Row],[Ref]])</f>
        <v>T74290.231</v>
      </c>
      <c r="B648" s="15" t="str" cm="1">
        <f t="array" ref="B648">_xlfn.SWITCH(LEFT(Tasks[[#This Row],[Status]],1),"O","Opened","C","Completed","S","Signed Off", "V", "Signed Off","ERROR")</f>
        <v>Opened</v>
      </c>
      <c r="C648" s="15" t="str" cm="1">
        <f t="array" ref="C648">_xlfn.SWITCH(LEFT(Tasks[[#This Row],[Type]], 3), "Fie", "Field Report", "Con", "Contractor QC", "Gen", "Contractor QC", "Pun", "Contractor QC", "Qua", "Contractor QC", "Fin", "Punch List")</f>
        <v>Contractor QC</v>
      </c>
      <c r="D648" s="15" t="str">
        <f>_xlfn.LET(
_xlpm.leftValue, TRIM(LEFT(Tasks[[#This Row],[Description]], 45)),
IF(LEN(_xlpm.leftValue) &lt; 40, _xlpm.leftValue, _xlfn.CONCAT(_xlpm.leftValue, "…"))
)</f>
        <v>Touch up nail holes back right</v>
      </c>
      <c r="E648" s="15" t="str" cm="1">
        <f t="array" ref="E648">_xlfn.LET(
_xlpm.inTower, COUNTIF(Tower_Num_Table[Tower Rm Numbers], LEFT(Task_Summary_Table[[#This Row],[Area/Room]], 3)) &gt; 0,
_xlpm.typeResult, _xlfn.SWITCH(LEFT(Tasks[[#This Row],[Page]], 2), "Hi", "Historic", "An", "Annex", "Si", "Site", "S5", "Project Task", "SWITCH ERROR"),
IF(_xlpm.inTower, "West Tower", _xlpm.typeResult)
)</f>
        <v>Annex</v>
      </c>
      <c r="F648" s="15" t="str">
        <f>IFERROR(MID(Tasks[[#This Row],[Page]], FIND("Level", Tasks[[#This Row],[Page]]), 7), IF(ISNUMBER(FIND("Roof", Tasks[[#This Row],[Page]])), "Roof",  IF(ISNUMBER(FIND("S590", Tasks[[#This Row],[Page]])), "",  IF(ISNUMBER(FIND("Site", Tasks[[#This Row],[Page]])), "", "ERROR"))))</f>
        <v>Level 1</v>
      </c>
      <c r="G648" s="15" t="str">
        <f>IF(Tasks[[#This Row],[Location]]=0, "", Tasks[[#This Row],[Location]])</f>
        <v>110 - Chapel</v>
      </c>
      <c r="H648" s="15" t="str">
        <f>Tasks[[#This Row],[To Package]]</f>
        <v>Audience Seating -- New Holland</v>
      </c>
      <c r="I648" s="15" t="str">
        <f>Tasks[[#This Row],[To Organisation]]</f>
        <v>New Holland Church Furniture</v>
      </c>
    </row>
    <row r="649" spans="1:9" ht="15.5" x14ac:dyDescent="0.35">
      <c r="A649" s="16" t="str">
        <f>HYPERLINK(_xlfn.CONCAT(Edit_URL,Tasks[[#This Row],[Ref]]),Tasks[[#This Row],[Ref]])</f>
        <v>T74290.232</v>
      </c>
      <c r="B649" s="15" t="str" cm="1">
        <f t="array" ref="B649">_xlfn.SWITCH(LEFT(Tasks[[#This Row],[Status]],1),"O","Opened","C","Completed","S","Signed Off", "V", "Signed Off","ERROR")</f>
        <v>Opened</v>
      </c>
      <c r="C649" s="15" t="str" cm="1">
        <f t="array" ref="C649">_xlfn.SWITCH(LEFT(Tasks[[#This Row],[Type]], 3), "Fie", "Field Report", "Con", "Contractor QC", "Gen", "Contractor QC", "Pun", "Contractor QC", "Qua", "Contractor QC", "Fin", "Punch List")</f>
        <v>Contractor QC</v>
      </c>
      <c r="D649" s="15" t="str">
        <f>_xlfn.LET(
_xlpm.leftValue, TRIM(LEFT(Tasks[[#This Row],[Description]], 45)),
IF(LEN(_xlpm.leftValue) &lt; 40, _xlpm.leftValue, _xlfn.CONCAT(_xlpm.leftValue, "…"))
)</f>
        <v>Remove glue on arm rest - right side</v>
      </c>
      <c r="E649" s="15" t="str" cm="1">
        <f t="array" ref="E649">_xlfn.LET(
_xlpm.inTower, COUNTIF(Tower_Num_Table[Tower Rm Numbers], LEFT(Task_Summary_Table[[#This Row],[Area/Room]], 3)) &gt; 0,
_xlpm.typeResult, _xlfn.SWITCH(LEFT(Tasks[[#This Row],[Page]], 2), "Hi", "Historic", "An", "Annex", "Si", "Site", "S5", "Project Task", "SWITCH ERROR"),
IF(_xlpm.inTower, "West Tower", _xlpm.typeResult)
)</f>
        <v>Annex</v>
      </c>
      <c r="F649" s="15" t="str">
        <f>IFERROR(MID(Tasks[[#This Row],[Page]], FIND("Level", Tasks[[#This Row],[Page]]), 7), IF(ISNUMBER(FIND("Roof", Tasks[[#This Row],[Page]])), "Roof",  IF(ISNUMBER(FIND("S590", Tasks[[#This Row],[Page]])), "",  IF(ISNUMBER(FIND("Site", Tasks[[#This Row],[Page]])), "", "ERROR"))))</f>
        <v>Level 1</v>
      </c>
      <c r="G649" s="15" t="str">
        <f>IF(Tasks[[#This Row],[Location]]=0, "", Tasks[[#This Row],[Location]])</f>
        <v>110 - Chapel</v>
      </c>
      <c r="H649" s="15" t="str">
        <f>Tasks[[#This Row],[To Package]]</f>
        <v>Audience Seating -- New Holland</v>
      </c>
      <c r="I649" s="15" t="str">
        <f>Tasks[[#This Row],[To Organisation]]</f>
        <v>New Holland Church Furniture</v>
      </c>
    </row>
    <row r="650" spans="1:9" ht="15.5" x14ac:dyDescent="0.35">
      <c r="A650" s="16" t="str">
        <f>HYPERLINK(_xlfn.CONCAT(Edit_URL,Tasks[[#This Row],[Ref]]),Tasks[[#This Row],[Ref]])</f>
        <v>T74290.233</v>
      </c>
      <c r="B650" s="15" t="str" cm="1">
        <f t="array" ref="B650">_xlfn.SWITCH(LEFT(Tasks[[#This Row],[Status]],1),"O","Opened","C","Completed","S","Signed Off", "V", "Signed Off","ERROR")</f>
        <v>Opened</v>
      </c>
      <c r="C650" s="15" t="str" cm="1">
        <f t="array" ref="C650">_xlfn.SWITCH(LEFT(Tasks[[#This Row],[Type]], 3), "Fie", "Field Report", "Con", "Contractor QC", "Gen", "Contractor QC", "Pun", "Contractor QC", "Qua", "Contractor QC", "Fin", "Punch List")</f>
        <v>Contractor QC</v>
      </c>
      <c r="D650" s="15" t="str">
        <f>_xlfn.LET(
_xlpm.leftValue, TRIM(LEFT(Tasks[[#This Row],[Description]], 45)),
IF(LEN(_xlpm.leftValue) &lt; 40, _xlpm.leftValue, _xlfn.CONCAT(_xlpm.leftValue, "…"))
)</f>
        <v>Bench is not fastened securely</v>
      </c>
      <c r="E650" s="15" t="str" cm="1">
        <f t="array" ref="E650">_xlfn.LET(
_xlpm.inTower, COUNTIF(Tower_Num_Table[Tower Rm Numbers], LEFT(Task_Summary_Table[[#This Row],[Area/Room]], 3)) &gt; 0,
_xlpm.typeResult, _xlfn.SWITCH(LEFT(Tasks[[#This Row],[Page]], 2), "Hi", "Historic", "An", "Annex", "Si", "Site", "S5", "Project Task", "SWITCH ERROR"),
IF(_xlpm.inTower, "West Tower", _xlpm.typeResult)
)</f>
        <v>Annex</v>
      </c>
      <c r="F650" s="15" t="str">
        <f>IFERROR(MID(Tasks[[#This Row],[Page]], FIND("Level", Tasks[[#This Row],[Page]]), 7), IF(ISNUMBER(FIND("Roof", Tasks[[#This Row],[Page]])), "Roof",  IF(ISNUMBER(FIND("S590", Tasks[[#This Row],[Page]])), "",  IF(ISNUMBER(FIND("Site", Tasks[[#This Row],[Page]])), "", "ERROR"))))</f>
        <v>Level 1</v>
      </c>
      <c r="G650" s="15" t="str">
        <f>IF(Tasks[[#This Row],[Location]]=0, "", Tasks[[#This Row],[Location]])</f>
        <v>110 - Chapel</v>
      </c>
      <c r="H650" s="15" t="str">
        <f>Tasks[[#This Row],[To Package]]</f>
        <v>Audience Seating -- New Holland</v>
      </c>
      <c r="I650" s="15" t="str">
        <f>Tasks[[#This Row],[To Organisation]]</f>
        <v>New Holland Church Furniture</v>
      </c>
    </row>
    <row r="651" spans="1:9" ht="15.5" x14ac:dyDescent="0.35">
      <c r="A651" s="16" t="str">
        <f>HYPERLINK(_xlfn.CONCAT(Edit_URL,Tasks[[#This Row],[Ref]]),Tasks[[#This Row],[Ref]])</f>
        <v>T74290.234</v>
      </c>
      <c r="B651" s="15" t="str" cm="1">
        <f t="array" ref="B651">_xlfn.SWITCH(LEFT(Tasks[[#This Row],[Status]],1),"O","Opened","C","Completed","S","Signed Off", "V", "Signed Off","ERROR")</f>
        <v>Opened</v>
      </c>
      <c r="C651" s="15" t="str" cm="1">
        <f t="array" ref="C651">_xlfn.SWITCH(LEFT(Tasks[[#This Row],[Type]], 3), "Fie", "Field Report", "Con", "Contractor QC", "Gen", "Contractor QC", "Pun", "Contractor QC", "Qua", "Contractor QC", "Fin", "Punch List")</f>
        <v>Contractor QC</v>
      </c>
      <c r="D651" s="15" t="str">
        <f>_xlfn.LET(
_xlpm.leftValue, TRIM(LEFT(Tasks[[#This Row],[Description]], 45)),
IF(LEN(_xlpm.leftValue) &lt; 40, _xlpm.leftValue, _xlfn.CONCAT(_xlpm.leftValue, "…"))
)</f>
        <v>Remove glue on arm rest - right side</v>
      </c>
      <c r="E651" s="15" t="str" cm="1">
        <f t="array" ref="E651">_xlfn.LET(
_xlpm.inTower, COUNTIF(Tower_Num_Table[Tower Rm Numbers], LEFT(Task_Summary_Table[[#This Row],[Area/Room]], 3)) &gt; 0,
_xlpm.typeResult, _xlfn.SWITCH(LEFT(Tasks[[#This Row],[Page]], 2), "Hi", "Historic", "An", "Annex", "Si", "Site", "S5", "Project Task", "SWITCH ERROR"),
IF(_xlpm.inTower, "West Tower", _xlpm.typeResult)
)</f>
        <v>Annex</v>
      </c>
      <c r="F651" s="15" t="str">
        <f>IFERROR(MID(Tasks[[#This Row],[Page]], FIND("Level", Tasks[[#This Row],[Page]]), 7), IF(ISNUMBER(FIND("Roof", Tasks[[#This Row],[Page]])), "Roof",  IF(ISNUMBER(FIND("S590", Tasks[[#This Row],[Page]])), "",  IF(ISNUMBER(FIND("Site", Tasks[[#This Row],[Page]])), "", "ERROR"))))</f>
        <v>Level 1</v>
      </c>
      <c r="G651" s="15" t="str">
        <f>IF(Tasks[[#This Row],[Location]]=0, "", Tasks[[#This Row],[Location]])</f>
        <v>110 - Chapel</v>
      </c>
      <c r="H651" s="15" t="str">
        <f>Tasks[[#This Row],[To Package]]</f>
        <v>Audience Seating -- New Holland</v>
      </c>
      <c r="I651" s="15" t="str">
        <f>Tasks[[#This Row],[To Organisation]]</f>
        <v>New Holland Church Furniture</v>
      </c>
    </row>
    <row r="652" spans="1:9" ht="15.5" x14ac:dyDescent="0.35">
      <c r="A652" s="16" t="str">
        <f>HYPERLINK(_xlfn.CONCAT(Edit_URL,Tasks[[#This Row],[Ref]]),Tasks[[#This Row],[Ref]])</f>
        <v>T74290.235</v>
      </c>
      <c r="B652" s="15" t="str" cm="1">
        <f t="array" ref="B652">_xlfn.SWITCH(LEFT(Tasks[[#This Row],[Status]],1),"O","Opened","C","Completed","S","Signed Off", "V", "Signed Off","ERROR")</f>
        <v>Opened</v>
      </c>
      <c r="C652" s="15" t="str" cm="1">
        <f t="array" ref="C652">_xlfn.SWITCH(LEFT(Tasks[[#This Row],[Type]], 3), "Fie", "Field Report", "Con", "Contractor QC", "Gen", "Contractor QC", "Pun", "Contractor QC", "Qua", "Contractor QC", "Fin", "Punch List")</f>
        <v>Contractor QC</v>
      </c>
      <c r="D652" s="15" t="str">
        <f>_xlfn.LET(
_xlpm.leftValue, TRIM(LEFT(Tasks[[#This Row],[Description]], 45)),
IF(LEN(_xlpm.leftValue) &lt; 40, _xlpm.leftValue, _xlfn.CONCAT(_xlpm.leftValue, "…"))
)</f>
        <v>Repair scratch on top rail</v>
      </c>
      <c r="E652" s="15" t="str" cm="1">
        <f t="array" ref="E652">_xlfn.LET(
_xlpm.inTower, COUNTIF(Tower_Num_Table[Tower Rm Numbers], LEFT(Task_Summary_Table[[#This Row],[Area/Room]], 3)) &gt; 0,
_xlpm.typeResult, _xlfn.SWITCH(LEFT(Tasks[[#This Row],[Page]], 2), "Hi", "Historic", "An", "Annex", "Si", "Site", "S5", "Project Task", "SWITCH ERROR"),
IF(_xlpm.inTower, "West Tower", _xlpm.typeResult)
)</f>
        <v>Annex</v>
      </c>
      <c r="F652" s="15" t="str">
        <f>IFERROR(MID(Tasks[[#This Row],[Page]], FIND("Level", Tasks[[#This Row],[Page]]), 7), IF(ISNUMBER(FIND("Roof", Tasks[[#This Row],[Page]])), "Roof",  IF(ISNUMBER(FIND("S590", Tasks[[#This Row],[Page]])), "",  IF(ISNUMBER(FIND("Site", Tasks[[#This Row],[Page]])), "", "ERROR"))))</f>
        <v>Level 1</v>
      </c>
      <c r="G652" s="15" t="str">
        <f>IF(Tasks[[#This Row],[Location]]=0, "", Tasks[[#This Row],[Location]])</f>
        <v>110 - Chapel</v>
      </c>
      <c r="H652" s="15" t="str">
        <f>Tasks[[#This Row],[To Package]]</f>
        <v>Audience Seating -- New Holland</v>
      </c>
      <c r="I652" s="15" t="str">
        <f>Tasks[[#This Row],[To Organisation]]</f>
        <v>New Holland Church Furniture</v>
      </c>
    </row>
    <row r="653" spans="1:9" ht="15.5" x14ac:dyDescent="0.35">
      <c r="A653" s="16" t="str">
        <f>HYPERLINK(_xlfn.CONCAT(Edit_URL,Tasks[[#This Row],[Ref]]),Tasks[[#This Row],[Ref]])</f>
        <v>T74290.236</v>
      </c>
      <c r="B653" s="15" t="str" cm="1">
        <f t="array" ref="B653">_xlfn.SWITCH(LEFT(Tasks[[#This Row],[Status]],1),"O","Opened","C","Completed","S","Signed Off", "V", "Signed Off","ERROR")</f>
        <v>Opened</v>
      </c>
      <c r="C653" s="15" t="str" cm="1">
        <f t="array" ref="C653">_xlfn.SWITCH(LEFT(Tasks[[#This Row],[Type]], 3), "Fie", "Field Report", "Con", "Contractor QC", "Gen", "Contractor QC", "Pun", "Contractor QC", "Qua", "Contractor QC", "Fin", "Punch List")</f>
        <v>Contractor QC</v>
      </c>
      <c r="D653" s="15" t="str">
        <f>_xlfn.LET(
_xlpm.leftValue, TRIM(LEFT(Tasks[[#This Row],[Description]], 45)),
IF(LEN(_xlpm.leftValue) &lt; 40, _xlpm.leftValue, _xlfn.CONCAT(_xlpm.leftValue, "…"))
)</f>
        <v>Repair top rail joint in middle of bench…</v>
      </c>
      <c r="E653" s="15" t="str" cm="1">
        <f t="array" ref="E653">_xlfn.LET(
_xlpm.inTower, COUNTIF(Tower_Num_Table[Tower Rm Numbers], LEFT(Task_Summary_Table[[#This Row],[Area/Room]], 3)) &gt; 0,
_xlpm.typeResult, _xlfn.SWITCH(LEFT(Tasks[[#This Row],[Page]], 2), "Hi", "Historic", "An", "Annex", "Si", "Site", "S5", "Project Task", "SWITCH ERROR"),
IF(_xlpm.inTower, "West Tower", _xlpm.typeResult)
)</f>
        <v>Annex</v>
      </c>
      <c r="F653" s="15" t="str">
        <f>IFERROR(MID(Tasks[[#This Row],[Page]], FIND("Level", Tasks[[#This Row],[Page]]), 7), IF(ISNUMBER(FIND("Roof", Tasks[[#This Row],[Page]])), "Roof",  IF(ISNUMBER(FIND("S590", Tasks[[#This Row],[Page]])), "",  IF(ISNUMBER(FIND("Site", Tasks[[#This Row],[Page]])), "", "ERROR"))))</f>
        <v>Level 1</v>
      </c>
      <c r="G653" s="15" t="str">
        <f>IF(Tasks[[#This Row],[Location]]=0, "", Tasks[[#This Row],[Location]])</f>
        <v>110 - Chapel</v>
      </c>
      <c r="H653" s="15" t="str">
        <f>Tasks[[#This Row],[To Package]]</f>
        <v>Audience Seating -- New Holland</v>
      </c>
      <c r="I653" s="15" t="str">
        <f>Tasks[[#This Row],[To Organisation]]</f>
        <v>New Holland Church Furniture</v>
      </c>
    </row>
    <row r="654" spans="1:9" ht="15.5" x14ac:dyDescent="0.35">
      <c r="A654" s="16" t="str">
        <f>HYPERLINK(_xlfn.CONCAT(Edit_URL,Tasks[[#This Row],[Ref]]),Tasks[[#This Row],[Ref]])</f>
        <v>T74290.237</v>
      </c>
      <c r="B654" s="15" t="str" cm="1">
        <f t="array" ref="B654">_xlfn.SWITCH(LEFT(Tasks[[#This Row],[Status]],1),"O","Opened","C","Completed","S","Signed Off", "V", "Signed Off","ERROR")</f>
        <v>Opened</v>
      </c>
      <c r="C654" s="15" t="str" cm="1">
        <f t="array" ref="C654">_xlfn.SWITCH(LEFT(Tasks[[#This Row],[Type]], 3), "Fie", "Field Report", "Con", "Contractor QC", "Gen", "Contractor QC", "Pun", "Contractor QC", "Qua", "Contractor QC", "Fin", "Punch List")</f>
        <v>Contractor QC</v>
      </c>
      <c r="D654" s="15" t="str">
        <f>_xlfn.LET(
_xlpm.leftValue, TRIM(LEFT(Tasks[[#This Row],[Description]], 45)),
IF(LEN(_xlpm.leftValue) &lt; 40, _xlpm.leftValue, _xlfn.CONCAT(_xlpm.leftValue, "…"))
)</f>
        <v>Touch up dents on panel above back rest</v>
      </c>
      <c r="E654" s="15" t="str" cm="1">
        <f t="array" ref="E654">_xlfn.LET(
_xlpm.inTower, COUNTIF(Tower_Num_Table[Tower Rm Numbers], LEFT(Task_Summary_Table[[#This Row],[Area/Room]], 3)) &gt; 0,
_xlpm.typeResult, _xlfn.SWITCH(LEFT(Tasks[[#This Row],[Page]], 2), "Hi", "Historic", "An", "Annex", "Si", "Site", "S5", "Project Task", "SWITCH ERROR"),
IF(_xlpm.inTower, "West Tower", _xlpm.typeResult)
)</f>
        <v>Annex</v>
      </c>
      <c r="F654" s="15" t="str">
        <f>IFERROR(MID(Tasks[[#This Row],[Page]], FIND("Level", Tasks[[#This Row],[Page]]), 7), IF(ISNUMBER(FIND("Roof", Tasks[[#This Row],[Page]])), "Roof",  IF(ISNUMBER(FIND("S590", Tasks[[#This Row],[Page]])), "",  IF(ISNUMBER(FIND("Site", Tasks[[#This Row],[Page]])), "", "ERROR"))))</f>
        <v>Level 1</v>
      </c>
      <c r="G654" s="15" t="str">
        <f>IF(Tasks[[#This Row],[Location]]=0, "", Tasks[[#This Row],[Location]])</f>
        <v>110 - Chapel</v>
      </c>
      <c r="H654" s="15" t="str">
        <f>Tasks[[#This Row],[To Package]]</f>
        <v>Audience Seating -- New Holland</v>
      </c>
      <c r="I654" s="15" t="str">
        <f>Tasks[[#This Row],[To Organisation]]</f>
        <v>New Holland Church Furniture</v>
      </c>
    </row>
    <row r="655" spans="1:9" ht="15.5" x14ac:dyDescent="0.35">
      <c r="A655" s="16" t="str">
        <f>HYPERLINK(_xlfn.CONCAT(Edit_URL,Tasks[[#This Row],[Ref]]),Tasks[[#This Row],[Ref]])</f>
        <v>T74290.238</v>
      </c>
      <c r="B655" s="15" t="str" cm="1">
        <f t="array" ref="B655">_xlfn.SWITCH(LEFT(Tasks[[#This Row],[Status]],1),"O","Opened","C","Completed","S","Signed Off", "V", "Signed Off","ERROR")</f>
        <v>Opened</v>
      </c>
      <c r="C655" s="15" t="str" cm="1">
        <f t="array" ref="C655">_xlfn.SWITCH(LEFT(Tasks[[#This Row],[Type]], 3), "Fie", "Field Report", "Con", "Contractor QC", "Gen", "Contractor QC", "Pun", "Contractor QC", "Qua", "Contractor QC", "Fin", "Punch List")</f>
        <v>Contractor QC</v>
      </c>
      <c r="D655" s="15" t="str">
        <f>_xlfn.LET(
_xlpm.leftValue, TRIM(LEFT(Tasks[[#This Row],[Description]], 45)),
IF(LEN(_xlpm.leftValue) &lt; 40, _xlpm.leftValue, _xlfn.CONCAT(_xlpm.leftValue, "…"))
)</f>
        <v>Touch up dent on left back panel</v>
      </c>
      <c r="E655" s="15" t="str" cm="1">
        <f t="array" ref="E655">_xlfn.LET(
_xlpm.inTower, COUNTIF(Tower_Num_Table[Tower Rm Numbers], LEFT(Task_Summary_Table[[#This Row],[Area/Room]], 3)) &gt; 0,
_xlpm.typeResult, _xlfn.SWITCH(LEFT(Tasks[[#This Row],[Page]], 2), "Hi", "Historic", "An", "Annex", "Si", "Site", "S5", "Project Task", "SWITCH ERROR"),
IF(_xlpm.inTower, "West Tower", _xlpm.typeResult)
)</f>
        <v>Annex</v>
      </c>
      <c r="F655" s="15" t="str">
        <f>IFERROR(MID(Tasks[[#This Row],[Page]], FIND("Level", Tasks[[#This Row],[Page]]), 7), IF(ISNUMBER(FIND("Roof", Tasks[[#This Row],[Page]])), "Roof",  IF(ISNUMBER(FIND("S590", Tasks[[#This Row],[Page]])), "",  IF(ISNUMBER(FIND("Site", Tasks[[#This Row],[Page]])), "", "ERROR"))))</f>
        <v>Level 1</v>
      </c>
      <c r="G655" s="15" t="str">
        <f>IF(Tasks[[#This Row],[Location]]=0, "", Tasks[[#This Row],[Location]])</f>
        <v>110 - Chapel</v>
      </c>
      <c r="H655" s="15" t="str">
        <f>Tasks[[#This Row],[To Package]]</f>
        <v>Audience Seating -- New Holland</v>
      </c>
      <c r="I655" s="15" t="str">
        <f>Tasks[[#This Row],[To Organisation]]</f>
        <v>New Holland Church Furniture</v>
      </c>
    </row>
    <row r="656" spans="1:9" ht="15.5" x14ac:dyDescent="0.35">
      <c r="A656" s="16" t="str">
        <f>HYPERLINK(_xlfn.CONCAT(Edit_URL,Tasks[[#This Row],[Ref]]),Tasks[[#This Row],[Ref]])</f>
        <v>T74290.239</v>
      </c>
      <c r="B656" s="15" t="str" cm="1">
        <f t="array" ref="B656">_xlfn.SWITCH(LEFT(Tasks[[#This Row],[Status]],1),"O","Opened","C","Completed","S","Signed Off", "V", "Signed Off","ERROR")</f>
        <v>Opened</v>
      </c>
      <c r="C656" s="15" t="str" cm="1">
        <f t="array" ref="C656">_xlfn.SWITCH(LEFT(Tasks[[#This Row],[Type]], 3), "Fie", "Field Report", "Con", "Contractor QC", "Gen", "Contractor QC", "Pun", "Contractor QC", "Qua", "Contractor QC", "Fin", "Punch List")</f>
        <v>Contractor QC</v>
      </c>
      <c r="D656" s="15" t="str">
        <f>_xlfn.LET(
_xlpm.leftValue, TRIM(LEFT(Tasks[[#This Row],[Description]], 45)),
IF(LEN(_xlpm.leftValue) &lt; 40, _xlpm.leftValue, _xlfn.CONCAT(_xlpm.leftValue, "…"))
)</f>
        <v>Touch up plug on back of bench</v>
      </c>
      <c r="E656" s="15" t="str" cm="1">
        <f t="array" ref="E656">_xlfn.LET(
_xlpm.inTower, COUNTIF(Tower_Num_Table[Tower Rm Numbers], LEFT(Task_Summary_Table[[#This Row],[Area/Room]], 3)) &gt; 0,
_xlpm.typeResult, _xlfn.SWITCH(LEFT(Tasks[[#This Row],[Page]], 2), "Hi", "Historic", "An", "Annex", "Si", "Site", "S5", "Project Task", "SWITCH ERROR"),
IF(_xlpm.inTower, "West Tower", _xlpm.typeResult)
)</f>
        <v>Annex</v>
      </c>
      <c r="F656" s="15" t="str">
        <f>IFERROR(MID(Tasks[[#This Row],[Page]], FIND("Level", Tasks[[#This Row],[Page]]), 7), IF(ISNUMBER(FIND("Roof", Tasks[[#This Row],[Page]])), "Roof",  IF(ISNUMBER(FIND("S590", Tasks[[#This Row],[Page]])), "",  IF(ISNUMBER(FIND("Site", Tasks[[#This Row],[Page]])), "", "ERROR"))))</f>
        <v>Level 1</v>
      </c>
      <c r="G656" s="15" t="str">
        <f>IF(Tasks[[#This Row],[Location]]=0, "", Tasks[[#This Row],[Location]])</f>
        <v>110 - Chapel</v>
      </c>
      <c r="H656" s="15" t="str">
        <f>Tasks[[#This Row],[To Package]]</f>
        <v>Audience Seating -- New Holland</v>
      </c>
      <c r="I656" s="15" t="str">
        <f>Tasks[[#This Row],[To Organisation]]</f>
        <v>New Holland Church Furniture</v>
      </c>
    </row>
    <row r="657" spans="1:9" ht="15.5" x14ac:dyDescent="0.35">
      <c r="A657" s="16" t="str">
        <f>HYPERLINK(_xlfn.CONCAT(Edit_URL,Tasks[[#This Row],[Ref]]),Tasks[[#This Row],[Ref]])</f>
        <v>T74290.240</v>
      </c>
      <c r="B657" s="15" t="str" cm="1">
        <f t="array" ref="B657">_xlfn.SWITCH(LEFT(Tasks[[#This Row],[Status]],1),"O","Opened","C","Completed","S","Signed Off", "V", "Signed Off","ERROR")</f>
        <v>Opened</v>
      </c>
      <c r="C657" s="15" t="str" cm="1">
        <f t="array" ref="C657">_xlfn.SWITCH(LEFT(Tasks[[#This Row],[Type]], 3), "Fie", "Field Report", "Con", "Contractor QC", "Gen", "Contractor QC", "Pun", "Contractor QC", "Qua", "Contractor QC", "Fin", "Punch List")</f>
        <v>Contractor QC</v>
      </c>
      <c r="D657" s="15" t="str">
        <f>_xlfn.LET(
_xlpm.leftValue, TRIM(LEFT(Tasks[[#This Row],[Description]], 45)),
IF(LEN(_xlpm.leftValue) &lt; 40, _xlpm.leftValue, _xlfn.CONCAT(_xlpm.leftValue, "…"))
)</f>
        <v>Touch up on back of bench - middle support…</v>
      </c>
      <c r="E657" s="15" t="str" cm="1">
        <f t="array" ref="E657">_xlfn.LET(
_xlpm.inTower, COUNTIF(Tower_Num_Table[Tower Rm Numbers], LEFT(Task_Summary_Table[[#This Row],[Area/Room]], 3)) &gt; 0,
_xlpm.typeResult, _xlfn.SWITCH(LEFT(Tasks[[#This Row],[Page]], 2), "Hi", "Historic", "An", "Annex", "Si", "Site", "S5", "Project Task", "SWITCH ERROR"),
IF(_xlpm.inTower, "West Tower", _xlpm.typeResult)
)</f>
        <v>Annex</v>
      </c>
      <c r="F657" s="15" t="str">
        <f>IFERROR(MID(Tasks[[#This Row],[Page]], FIND("Level", Tasks[[#This Row],[Page]]), 7), IF(ISNUMBER(FIND("Roof", Tasks[[#This Row],[Page]])), "Roof",  IF(ISNUMBER(FIND("S590", Tasks[[#This Row],[Page]])), "",  IF(ISNUMBER(FIND("Site", Tasks[[#This Row],[Page]])), "", "ERROR"))))</f>
        <v>Level 1</v>
      </c>
      <c r="G657" s="15" t="str">
        <f>IF(Tasks[[#This Row],[Location]]=0, "", Tasks[[#This Row],[Location]])</f>
        <v>110 - Chapel</v>
      </c>
      <c r="H657" s="15" t="str">
        <f>Tasks[[#This Row],[To Package]]</f>
        <v>Audience Seating -- New Holland</v>
      </c>
      <c r="I657" s="15" t="str">
        <f>Tasks[[#This Row],[To Organisation]]</f>
        <v>New Holland Church Furniture</v>
      </c>
    </row>
    <row r="658" spans="1:9" ht="15.5" x14ac:dyDescent="0.35">
      <c r="A658" s="16" t="str">
        <f>HYPERLINK(_xlfn.CONCAT(Edit_URL,Tasks[[#This Row],[Ref]]),Tasks[[#This Row],[Ref]])</f>
        <v>T74290.241</v>
      </c>
      <c r="B658" s="15" t="str" cm="1">
        <f t="array" ref="B658">_xlfn.SWITCH(LEFT(Tasks[[#This Row],[Status]],1),"O","Opened","C","Completed","S","Signed Off", "V", "Signed Off","ERROR")</f>
        <v>Opened</v>
      </c>
      <c r="C658" s="15" t="str" cm="1">
        <f t="array" ref="C658">_xlfn.SWITCH(LEFT(Tasks[[#This Row],[Type]], 3), "Fie", "Field Report", "Con", "Contractor QC", "Gen", "Contractor QC", "Pun", "Contractor QC", "Qua", "Contractor QC", "Fin", "Punch List")</f>
        <v>Contractor QC</v>
      </c>
      <c r="D658" s="15" t="str">
        <f>_xlfn.LET(
_xlpm.leftValue, TRIM(LEFT(Tasks[[#This Row],[Description]], 45)),
IF(LEN(_xlpm.leftValue) &lt; 40, _xlpm.leftValue, _xlfn.CONCAT(_xlpm.leftValue, "…"))
)</f>
        <v>Touch up scratch on top rail - middle</v>
      </c>
      <c r="E658" s="15" t="str" cm="1">
        <f t="array" ref="E658">_xlfn.LET(
_xlpm.inTower, COUNTIF(Tower_Num_Table[Tower Rm Numbers], LEFT(Task_Summary_Table[[#This Row],[Area/Room]], 3)) &gt; 0,
_xlpm.typeResult, _xlfn.SWITCH(LEFT(Tasks[[#This Row],[Page]], 2), "Hi", "Historic", "An", "Annex", "Si", "Site", "S5", "Project Task", "SWITCH ERROR"),
IF(_xlpm.inTower, "West Tower", _xlpm.typeResult)
)</f>
        <v>Annex</v>
      </c>
      <c r="F658" s="15" t="str">
        <f>IFERROR(MID(Tasks[[#This Row],[Page]], FIND("Level", Tasks[[#This Row],[Page]]), 7), IF(ISNUMBER(FIND("Roof", Tasks[[#This Row],[Page]])), "Roof",  IF(ISNUMBER(FIND("S590", Tasks[[#This Row],[Page]])), "",  IF(ISNUMBER(FIND("Site", Tasks[[#This Row],[Page]])), "", "ERROR"))))</f>
        <v>Level 1</v>
      </c>
      <c r="G658" s="15" t="str">
        <f>IF(Tasks[[#This Row],[Location]]=0, "", Tasks[[#This Row],[Location]])</f>
        <v>110 - Chapel</v>
      </c>
      <c r="H658" s="15" t="str">
        <f>Tasks[[#This Row],[To Package]]</f>
        <v>Audience Seating -- New Holland</v>
      </c>
      <c r="I658" s="15" t="str">
        <f>Tasks[[#This Row],[To Organisation]]</f>
        <v>New Holland Church Furniture</v>
      </c>
    </row>
    <row r="659" spans="1:9" ht="15.5" x14ac:dyDescent="0.35">
      <c r="A659" s="16" t="str">
        <f>HYPERLINK(_xlfn.CONCAT(Edit_URL,Tasks[[#This Row],[Ref]]),Tasks[[#This Row],[Ref]])</f>
        <v>T74290.242</v>
      </c>
      <c r="B659" s="15" t="str" cm="1">
        <f t="array" ref="B659">_xlfn.SWITCH(LEFT(Tasks[[#This Row],[Status]],1),"O","Opened","C","Completed","S","Signed Off", "V", "Signed Off","ERROR")</f>
        <v>Opened</v>
      </c>
      <c r="C659" s="15" t="str" cm="1">
        <f t="array" ref="C659">_xlfn.SWITCH(LEFT(Tasks[[#This Row],[Type]], 3), "Fie", "Field Report", "Con", "Contractor QC", "Gen", "Contractor QC", "Pun", "Contractor QC", "Qua", "Contractor QC", "Fin", "Punch List")</f>
        <v>Contractor QC</v>
      </c>
      <c r="D659" s="15" t="str">
        <f>_xlfn.LET(
_xlpm.leftValue, TRIM(LEFT(Tasks[[#This Row],[Description]], 45)),
IF(LEN(_xlpm.leftValue) &lt; 40, _xlpm.leftValue, _xlfn.CONCAT(_xlpm.leftValue, "…"))
)</f>
        <v>Repair dents in panel above back cushion - ri…</v>
      </c>
      <c r="E659" s="15" t="str" cm="1">
        <f t="array" ref="E659">_xlfn.LET(
_xlpm.inTower, COUNTIF(Tower_Num_Table[Tower Rm Numbers], LEFT(Task_Summary_Table[[#This Row],[Area/Room]], 3)) &gt; 0,
_xlpm.typeResult, _xlfn.SWITCH(LEFT(Tasks[[#This Row],[Page]], 2), "Hi", "Historic", "An", "Annex", "Si", "Site", "S5", "Project Task", "SWITCH ERROR"),
IF(_xlpm.inTower, "West Tower", _xlpm.typeResult)
)</f>
        <v>Annex</v>
      </c>
      <c r="F659" s="15" t="str">
        <f>IFERROR(MID(Tasks[[#This Row],[Page]], FIND("Level", Tasks[[#This Row],[Page]]), 7), IF(ISNUMBER(FIND("Roof", Tasks[[#This Row],[Page]])), "Roof",  IF(ISNUMBER(FIND("S590", Tasks[[#This Row],[Page]])), "",  IF(ISNUMBER(FIND("Site", Tasks[[#This Row],[Page]])), "", "ERROR"))))</f>
        <v>Level 1</v>
      </c>
      <c r="G659" s="15" t="str">
        <f>IF(Tasks[[#This Row],[Location]]=0, "", Tasks[[#This Row],[Location]])</f>
        <v>110 - Chapel</v>
      </c>
      <c r="H659" s="15" t="str">
        <f>Tasks[[#This Row],[To Package]]</f>
        <v>Audience Seating -- New Holland</v>
      </c>
      <c r="I659" s="15" t="str">
        <f>Tasks[[#This Row],[To Organisation]]</f>
        <v>New Holland Church Furniture</v>
      </c>
    </row>
    <row r="660" spans="1:9" ht="15.5" x14ac:dyDescent="0.35">
      <c r="A660" s="16" t="str">
        <f>HYPERLINK(_xlfn.CONCAT(Edit_URL,Tasks[[#This Row],[Ref]]),Tasks[[#This Row],[Ref]])</f>
        <v>T74290.243</v>
      </c>
      <c r="B660" s="15" t="str" cm="1">
        <f t="array" ref="B660">_xlfn.SWITCH(LEFT(Tasks[[#This Row],[Status]],1),"O","Opened","C","Completed","S","Signed Off", "V", "Signed Off","ERROR")</f>
        <v>Opened</v>
      </c>
      <c r="C660" s="15" t="str" cm="1">
        <f t="array" ref="C660">_xlfn.SWITCH(LEFT(Tasks[[#This Row],[Type]], 3), "Fie", "Field Report", "Con", "Contractor QC", "Gen", "Contractor QC", "Pun", "Contractor QC", "Qua", "Contractor QC", "Fin", "Punch List")</f>
        <v>Contractor QC</v>
      </c>
      <c r="D660" s="15" t="str">
        <f>_xlfn.LET(
_xlpm.leftValue, TRIM(LEFT(Tasks[[#This Row],[Description]], 45)),
IF(LEN(_xlpm.leftValue) &lt; 40, _xlpm.leftValue, _xlfn.CONCAT(_xlpm.leftValue, "…"))
)</f>
        <v>Tighten top rail to arm rest - left side…</v>
      </c>
      <c r="E660" s="15" t="str" cm="1">
        <f t="array" ref="E660">_xlfn.LET(
_xlpm.inTower, COUNTIF(Tower_Num_Table[Tower Rm Numbers], LEFT(Task_Summary_Table[[#This Row],[Area/Room]], 3)) &gt; 0,
_xlpm.typeResult, _xlfn.SWITCH(LEFT(Tasks[[#This Row],[Page]], 2), "Hi", "Historic", "An", "Annex", "Si", "Site", "S5", "Project Task", "SWITCH ERROR"),
IF(_xlpm.inTower, "West Tower", _xlpm.typeResult)
)</f>
        <v>Annex</v>
      </c>
      <c r="F660" s="15" t="str">
        <f>IFERROR(MID(Tasks[[#This Row],[Page]], FIND("Level", Tasks[[#This Row],[Page]]), 7), IF(ISNUMBER(FIND("Roof", Tasks[[#This Row],[Page]])), "Roof",  IF(ISNUMBER(FIND("S590", Tasks[[#This Row],[Page]])), "",  IF(ISNUMBER(FIND("Site", Tasks[[#This Row],[Page]])), "", "ERROR"))))</f>
        <v>Level 1</v>
      </c>
      <c r="G660" s="15" t="str">
        <f>IF(Tasks[[#This Row],[Location]]=0, "", Tasks[[#This Row],[Location]])</f>
        <v>110 - Chapel</v>
      </c>
      <c r="H660" s="15" t="str">
        <f>Tasks[[#This Row],[To Package]]</f>
        <v>Audience Seating -- New Holland</v>
      </c>
      <c r="I660" s="15" t="str">
        <f>Tasks[[#This Row],[To Organisation]]</f>
        <v>New Holland Church Furniture</v>
      </c>
    </row>
    <row r="661" spans="1:9" ht="15.5" x14ac:dyDescent="0.35">
      <c r="A661" s="16" t="str">
        <f>HYPERLINK(_xlfn.CONCAT(Edit_URL,Tasks[[#This Row],[Ref]]),Tasks[[#This Row],[Ref]])</f>
        <v>T74290.244</v>
      </c>
      <c r="B661" s="15" t="str" cm="1">
        <f t="array" ref="B661">_xlfn.SWITCH(LEFT(Tasks[[#This Row],[Status]],1),"O","Opened","C","Completed","S","Signed Off", "V", "Signed Off","ERROR")</f>
        <v>Opened</v>
      </c>
      <c r="C661" s="15" t="str" cm="1">
        <f t="array" ref="C661">_xlfn.SWITCH(LEFT(Tasks[[#This Row],[Type]], 3), "Fie", "Field Report", "Con", "Contractor QC", "Gen", "Contractor QC", "Pun", "Contractor QC", "Qua", "Contractor QC", "Fin", "Punch List")</f>
        <v>Contractor QC</v>
      </c>
      <c r="D661" s="15" t="str">
        <f>_xlfn.LET(
_xlpm.leftValue, TRIM(LEFT(Tasks[[#This Row],[Description]], 45)),
IF(LEN(_xlpm.leftValue) &lt; 40, _xlpm.leftValue, _xlfn.CONCAT(_xlpm.leftValue, "…"))
)</f>
        <v>Touch up top of left arm rest</v>
      </c>
      <c r="E661" s="15" t="str" cm="1">
        <f t="array" ref="E661">_xlfn.LET(
_xlpm.inTower, COUNTIF(Tower_Num_Table[Tower Rm Numbers], LEFT(Task_Summary_Table[[#This Row],[Area/Room]], 3)) &gt; 0,
_xlpm.typeResult, _xlfn.SWITCH(LEFT(Tasks[[#This Row],[Page]], 2), "Hi", "Historic", "An", "Annex", "Si", "Site", "S5", "Project Task", "SWITCH ERROR"),
IF(_xlpm.inTower, "West Tower", _xlpm.typeResult)
)</f>
        <v>Annex</v>
      </c>
      <c r="F661" s="15" t="str">
        <f>IFERROR(MID(Tasks[[#This Row],[Page]], FIND("Level", Tasks[[#This Row],[Page]]), 7), IF(ISNUMBER(FIND("Roof", Tasks[[#This Row],[Page]])), "Roof",  IF(ISNUMBER(FIND("S590", Tasks[[#This Row],[Page]])), "",  IF(ISNUMBER(FIND("Site", Tasks[[#This Row],[Page]])), "", "ERROR"))))</f>
        <v>Level 1</v>
      </c>
      <c r="G661" s="15" t="str">
        <f>IF(Tasks[[#This Row],[Location]]=0, "", Tasks[[#This Row],[Location]])</f>
        <v>110 - Chapel</v>
      </c>
      <c r="H661" s="15" t="str">
        <f>Tasks[[#This Row],[To Package]]</f>
        <v>Audience Seating -- New Holland</v>
      </c>
      <c r="I661" s="15" t="str">
        <f>Tasks[[#This Row],[To Organisation]]</f>
        <v>New Holland Church Furniture</v>
      </c>
    </row>
    <row r="662" spans="1:9" ht="15.5" x14ac:dyDescent="0.35">
      <c r="A662" s="16" t="str">
        <f>HYPERLINK(_xlfn.CONCAT(Edit_URL,Tasks[[#This Row],[Ref]]),Tasks[[#This Row],[Ref]])</f>
        <v>T74290.245</v>
      </c>
      <c r="B662" s="15" t="str" cm="1">
        <f t="array" ref="B662">_xlfn.SWITCH(LEFT(Tasks[[#This Row],[Status]],1),"O","Opened","C","Completed","S","Signed Off", "V", "Signed Off","ERROR")</f>
        <v>Opened</v>
      </c>
      <c r="C662" s="15" t="str" cm="1">
        <f t="array" ref="C662">_xlfn.SWITCH(LEFT(Tasks[[#This Row],[Type]], 3), "Fie", "Field Report", "Con", "Contractor QC", "Gen", "Contractor QC", "Pun", "Contractor QC", "Qua", "Contractor QC", "Fin", "Punch List")</f>
        <v>Contractor QC</v>
      </c>
      <c r="D662" s="15" t="str">
        <f>_xlfn.LET(
_xlpm.leftValue, TRIM(LEFT(Tasks[[#This Row],[Description]], 45)),
IF(LEN(_xlpm.leftValue) &lt; 40, _xlpm.leftValue, _xlfn.CONCAT(_xlpm.leftValue, "…"))
)</f>
        <v>Bench is not fastened securely</v>
      </c>
      <c r="E662" s="15" t="str" cm="1">
        <f t="array" ref="E662">_xlfn.LET(
_xlpm.inTower, COUNTIF(Tower_Num_Table[Tower Rm Numbers], LEFT(Task_Summary_Table[[#This Row],[Area/Room]], 3)) &gt; 0,
_xlpm.typeResult, _xlfn.SWITCH(LEFT(Tasks[[#This Row],[Page]], 2), "Hi", "Historic", "An", "Annex", "Si", "Site", "S5", "Project Task", "SWITCH ERROR"),
IF(_xlpm.inTower, "West Tower", _xlpm.typeResult)
)</f>
        <v>Annex</v>
      </c>
      <c r="F662" s="15" t="str">
        <f>IFERROR(MID(Tasks[[#This Row],[Page]], FIND("Level", Tasks[[#This Row],[Page]]), 7), IF(ISNUMBER(FIND("Roof", Tasks[[#This Row],[Page]])), "Roof",  IF(ISNUMBER(FIND("S590", Tasks[[#This Row],[Page]])), "",  IF(ISNUMBER(FIND("Site", Tasks[[#This Row],[Page]])), "", "ERROR"))))</f>
        <v>Level 1</v>
      </c>
      <c r="G662" s="15" t="str">
        <f>IF(Tasks[[#This Row],[Location]]=0, "", Tasks[[#This Row],[Location]])</f>
        <v>110 - Chapel</v>
      </c>
      <c r="H662" s="15" t="str">
        <f>Tasks[[#This Row],[To Package]]</f>
        <v>Audience Seating -- New Holland</v>
      </c>
      <c r="I662" s="15" t="str">
        <f>Tasks[[#This Row],[To Organisation]]</f>
        <v>New Holland Church Furniture</v>
      </c>
    </row>
    <row r="663" spans="1:9" ht="15.5" x14ac:dyDescent="0.35">
      <c r="A663" s="16" t="str">
        <f>HYPERLINK(_xlfn.CONCAT(Edit_URL,Tasks[[#This Row],[Ref]]),Tasks[[#This Row],[Ref]])</f>
        <v>T74290.246</v>
      </c>
      <c r="B663" s="15" t="str" cm="1">
        <f t="array" ref="B663">_xlfn.SWITCH(LEFT(Tasks[[#This Row],[Status]],1),"O","Opened","C","Completed","S","Signed Off", "V", "Signed Off","ERROR")</f>
        <v>Opened</v>
      </c>
      <c r="C663" s="15" t="str" cm="1">
        <f t="array" ref="C663">_xlfn.SWITCH(LEFT(Tasks[[#This Row],[Type]], 3), "Fie", "Field Report", "Con", "Contractor QC", "Gen", "Contractor QC", "Pun", "Contractor QC", "Qua", "Contractor QC", "Fin", "Punch List")</f>
        <v>Contractor QC</v>
      </c>
      <c r="D663" s="15" t="str">
        <f>_xlfn.LET(
_xlpm.leftValue, TRIM(LEFT(Tasks[[#This Row],[Description]], 45)),
IF(LEN(_xlpm.leftValue) &lt; 40, _xlpm.leftValue, _xlfn.CONCAT(_xlpm.leftValue, "…"))
)</f>
        <v>Bench is not securely fastened</v>
      </c>
      <c r="E663" s="15" t="str" cm="1">
        <f t="array" ref="E663">_xlfn.LET(
_xlpm.inTower, COUNTIF(Tower_Num_Table[Tower Rm Numbers], LEFT(Task_Summary_Table[[#This Row],[Area/Room]], 3)) &gt; 0,
_xlpm.typeResult, _xlfn.SWITCH(LEFT(Tasks[[#This Row],[Page]], 2), "Hi", "Historic", "An", "Annex", "Si", "Site", "S5", "Project Task", "SWITCH ERROR"),
IF(_xlpm.inTower, "West Tower", _xlpm.typeResult)
)</f>
        <v>Annex</v>
      </c>
      <c r="F663" s="15" t="str">
        <f>IFERROR(MID(Tasks[[#This Row],[Page]], FIND("Level", Tasks[[#This Row],[Page]]), 7), IF(ISNUMBER(FIND("Roof", Tasks[[#This Row],[Page]])), "Roof",  IF(ISNUMBER(FIND("S590", Tasks[[#This Row],[Page]])), "",  IF(ISNUMBER(FIND("Site", Tasks[[#This Row],[Page]])), "", "ERROR"))))</f>
        <v>Level 1</v>
      </c>
      <c r="G663" s="15" t="str">
        <f>IF(Tasks[[#This Row],[Location]]=0, "", Tasks[[#This Row],[Location]])</f>
        <v>110 - Chapel</v>
      </c>
      <c r="H663" s="15" t="str">
        <f>Tasks[[#This Row],[To Package]]</f>
        <v>Audience Seating -- New Holland</v>
      </c>
      <c r="I663" s="15" t="str">
        <f>Tasks[[#This Row],[To Organisation]]</f>
        <v>New Holland Church Furniture</v>
      </c>
    </row>
    <row r="664" spans="1:9" ht="15.5" x14ac:dyDescent="0.35">
      <c r="A664" s="16" t="str">
        <f>HYPERLINK(_xlfn.CONCAT(Edit_URL,Tasks[[#This Row],[Ref]]),Tasks[[#This Row],[Ref]])</f>
        <v>T74290.247</v>
      </c>
      <c r="B664" s="15" t="str" cm="1">
        <f t="array" ref="B664">_xlfn.SWITCH(LEFT(Tasks[[#This Row],[Status]],1),"O","Opened","C","Completed","S","Signed Off", "V", "Signed Off","ERROR")</f>
        <v>Opened</v>
      </c>
      <c r="C664" s="15" t="str" cm="1">
        <f t="array" ref="C664">_xlfn.SWITCH(LEFT(Tasks[[#This Row],[Type]], 3), "Fie", "Field Report", "Con", "Contractor QC", "Gen", "Contractor QC", "Pun", "Contractor QC", "Qua", "Contractor QC", "Fin", "Punch List")</f>
        <v>Contractor QC</v>
      </c>
      <c r="D664" s="15" t="str">
        <f>_xlfn.LET(
_xlpm.leftValue, TRIM(LEFT(Tasks[[#This Row],[Description]], 45)),
IF(LEN(_xlpm.leftValue) &lt; 40, _xlpm.leftValue, _xlfn.CONCAT(_xlpm.leftValue, "…"))
)</f>
        <v>Repair scratch on right side of back panel…</v>
      </c>
      <c r="E664" s="15" t="str" cm="1">
        <f t="array" ref="E664">_xlfn.LET(
_xlpm.inTower, COUNTIF(Tower_Num_Table[Tower Rm Numbers], LEFT(Task_Summary_Table[[#This Row],[Area/Room]], 3)) &gt; 0,
_xlpm.typeResult, _xlfn.SWITCH(LEFT(Tasks[[#This Row],[Page]], 2), "Hi", "Historic", "An", "Annex", "Si", "Site", "S5", "Project Task", "SWITCH ERROR"),
IF(_xlpm.inTower, "West Tower", _xlpm.typeResult)
)</f>
        <v>Annex</v>
      </c>
      <c r="F664" s="15" t="str">
        <f>IFERROR(MID(Tasks[[#This Row],[Page]], FIND("Level", Tasks[[#This Row],[Page]]), 7), IF(ISNUMBER(FIND("Roof", Tasks[[#This Row],[Page]])), "Roof",  IF(ISNUMBER(FIND("S590", Tasks[[#This Row],[Page]])), "",  IF(ISNUMBER(FIND("Site", Tasks[[#This Row],[Page]])), "", "ERROR"))))</f>
        <v>Level 1</v>
      </c>
      <c r="G664" s="15" t="str">
        <f>IF(Tasks[[#This Row],[Location]]=0, "", Tasks[[#This Row],[Location]])</f>
        <v>110 - Chapel</v>
      </c>
      <c r="H664" s="15" t="str">
        <f>Tasks[[#This Row],[To Package]]</f>
        <v>Audience Seating -- New Holland</v>
      </c>
      <c r="I664" s="15" t="str">
        <f>Tasks[[#This Row],[To Organisation]]</f>
        <v>New Holland Church Furniture</v>
      </c>
    </row>
    <row r="665" spans="1:9" ht="15.5" x14ac:dyDescent="0.35">
      <c r="A665" s="16" t="str">
        <f>HYPERLINK(_xlfn.CONCAT(Edit_URL,Tasks[[#This Row],[Ref]]),Tasks[[#This Row],[Ref]])</f>
        <v>T74290.248</v>
      </c>
      <c r="B665" s="15" t="str" cm="1">
        <f t="array" ref="B665">_xlfn.SWITCH(LEFT(Tasks[[#This Row],[Status]],1),"O","Opened","C","Completed","S","Signed Off", "V", "Signed Off","ERROR")</f>
        <v>Opened</v>
      </c>
      <c r="C665" s="15" t="str" cm="1">
        <f t="array" ref="C665">_xlfn.SWITCH(LEFT(Tasks[[#This Row],[Type]], 3), "Fie", "Field Report", "Con", "Contractor QC", "Gen", "Contractor QC", "Pun", "Contractor QC", "Qua", "Contractor QC", "Fin", "Punch List")</f>
        <v>Contractor QC</v>
      </c>
      <c r="D665" s="15" t="str">
        <f>_xlfn.LET(
_xlpm.leftValue, TRIM(LEFT(Tasks[[#This Row],[Description]], 45)),
IF(LEN(_xlpm.leftValue) &lt; 40, _xlpm.leftValue, _xlfn.CONCAT(_xlpm.leftValue, "…"))
)</f>
        <v>Tighten top rail to left arm rest</v>
      </c>
      <c r="E665" s="15" t="str" cm="1">
        <f t="array" ref="E665">_xlfn.LET(
_xlpm.inTower, COUNTIF(Tower_Num_Table[Tower Rm Numbers], LEFT(Task_Summary_Table[[#This Row],[Area/Room]], 3)) &gt; 0,
_xlpm.typeResult, _xlfn.SWITCH(LEFT(Tasks[[#This Row],[Page]], 2), "Hi", "Historic", "An", "Annex", "Si", "Site", "S5", "Project Task", "SWITCH ERROR"),
IF(_xlpm.inTower, "West Tower", _xlpm.typeResult)
)</f>
        <v>Annex</v>
      </c>
      <c r="F665" s="15" t="str">
        <f>IFERROR(MID(Tasks[[#This Row],[Page]], FIND("Level", Tasks[[#This Row],[Page]]), 7), IF(ISNUMBER(FIND("Roof", Tasks[[#This Row],[Page]])), "Roof",  IF(ISNUMBER(FIND("S590", Tasks[[#This Row],[Page]])), "",  IF(ISNUMBER(FIND("Site", Tasks[[#This Row],[Page]])), "", "ERROR"))))</f>
        <v>Level 1</v>
      </c>
      <c r="G665" s="15" t="str">
        <f>IF(Tasks[[#This Row],[Location]]=0, "", Tasks[[#This Row],[Location]])</f>
        <v>110 - Chapel</v>
      </c>
      <c r="H665" s="15" t="str">
        <f>Tasks[[#This Row],[To Package]]</f>
        <v>Audience Seating -- New Holland</v>
      </c>
      <c r="I665" s="15" t="str">
        <f>Tasks[[#This Row],[To Organisation]]</f>
        <v>New Holland Church Furniture</v>
      </c>
    </row>
    <row r="666" spans="1:9" ht="15.5" x14ac:dyDescent="0.35">
      <c r="A666" s="16" t="str">
        <f>HYPERLINK(_xlfn.CONCAT(Edit_URL,Tasks[[#This Row],[Ref]]),Tasks[[#This Row],[Ref]])</f>
        <v>T74290.249</v>
      </c>
      <c r="B666" s="15" t="str" cm="1">
        <f t="array" ref="B666">_xlfn.SWITCH(LEFT(Tasks[[#This Row],[Status]],1),"O","Opened","C","Completed","S","Signed Off", "V", "Signed Off","ERROR")</f>
        <v>Opened</v>
      </c>
      <c r="C666" s="15" t="str" cm="1">
        <f t="array" ref="C666">_xlfn.SWITCH(LEFT(Tasks[[#This Row],[Type]], 3), "Fie", "Field Report", "Con", "Contractor QC", "Gen", "Contractor QC", "Pun", "Contractor QC", "Qua", "Contractor QC", "Fin", "Punch List")</f>
        <v>Contractor QC</v>
      </c>
      <c r="D666" s="15" t="str">
        <f>_xlfn.LET(
_xlpm.leftValue, TRIM(LEFT(Tasks[[#This Row],[Description]], 45)),
IF(LEN(_xlpm.leftValue) &lt; 40, _xlpm.leftValue, _xlfn.CONCAT(_xlpm.leftValue, "…"))
)</f>
        <v>Remove glue on back of arm rest - left side…</v>
      </c>
      <c r="E666" s="15" t="str" cm="1">
        <f t="array" ref="E666">_xlfn.LET(
_xlpm.inTower, COUNTIF(Tower_Num_Table[Tower Rm Numbers], LEFT(Task_Summary_Table[[#This Row],[Area/Room]], 3)) &gt; 0,
_xlpm.typeResult, _xlfn.SWITCH(LEFT(Tasks[[#This Row],[Page]], 2), "Hi", "Historic", "An", "Annex", "Si", "Site", "S5", "Project Task", "SWITCH ERROR"),
IF(_xlpm.inTower, "West Tower", _xlpm.typeResult)
)</f>
        <v>Annex</v>
      </c>
      <c r="F666" s="15" t="str">
        <f>IFERROR(MID(Tasks[[#This Row],[Page]], FIND("Level", Tasks[[#This Row],[Page]]), 7), IF(ISNUMBER(FIND("Roof", Tasks[[#This Row],[Page]])), "Roof",  IF(ISNUMBER(FIND("S590", Tasks[[#This Row],[Page]])), "",  IF(ISNUMBER(FIND("Site", Tasks[[#This Row],[Page]])), "", "ERROR"))))</f>
        <v>Level 1</v>
      </c>
      <c r="G666" s="15" t="str">
        <f>IF(Tasks[[#This Row],[Location]]=0, "", Tasks[[#This Row],[Location]])</f>
        <v>110 - Chapel</v>
      </c>
      <c r="H666" s="15" t="str">
        <f>Tasks[[#This Row],[To Package]]</f>
        <v>Audience Seating -- New Holland</v>
      </c>
      <c r="I666" s="15" t="str">
        <f>Tasks[[#This Row],[To Organisation]]</f>
        <v>New Holland Church Furniture</v>
      </c>
    </row>
    <row r="667" spans="1:9" ht="15.5" x14ac:dyDescent="0.35">
      <c r="A667" s="16" t="str">
        <f>HYPERLINK(_xlfn.CONCAT(Edit_URL,Tasks[[#This Row],[Ref]]),Tasks[[#This Row],[Ref]])</f>
        <v>T74290.250</v>
      </c>
      <c r="B667" s="15" t="str" cm="1">
        <f t="array" ref="B667">_xlfn.SWITCH(LEFT(Tasks[[#This Row],[Status]],1),"O","Opened","C","Completed","S","Signed Off", "V", "Signed Off","ERROR")</f>
        <v>Opened</v>
      </c>
      <c r="C667" s="15" t="str" cm="1">
        <f t="array" ref="C667">_xlfn.SWITCH(LEFT(Tasks[[#This Row],[Type]], 3), "Fie", "Field Report", "Con", "Contractor QC", "Gen", "Contractor QC", "Pun", "Contractor QC", "Qua", "Contractor QC", "Fin", "Punch List")</f>
        <v>Contractor QC</v>
      </c>
      <c r="D667" s="15" t="str">
        <f>_xlfn.LET(
_xlpm.leftValue, TRIM(LEFT(Tasks[[#This Row],[Description]], 45)),
IF(LEN(_xlpm.leftValue) &lt; 40, _xlpm.leftValue, _xlfn.CONCAT(_xlpm.leftValue, "…"))
)</f>
        <v>Touch up plug on back of bench</v>
      </c>
      <c r="E667" s="15" t="str" cm="1">
        <f t="array" ref="E667">_xlfn.LET(
_xlpm.inTower, COUNTIF(Tower_Num_Table[Tower Rm Numbers], LEFT(Task_Summary_Table[[#This Row],[Area/Room]], 3)) &gt; 0,
_xlpm.typeResult, _xlfn.SWITCH(LEFT(Tasks[[#This Row],[Page]], 2), "Hi", "Historic", "An", "Annex", "Si", "Site", "S5", "Project Task", "SWITCH ERROR"),
IF(_xlpm.inTower, "West Tower", _xlpm.typeResult)
)</f>
        <v>Annex</v>
      </c>
      <c r="F667" s="15" t="str">
        <f>IFERROR(MID(Tasks[[#This Row],[Page]], FIND("Level", Tasks[[#This Row],[Page]]), 7), IF(ISNUMBER(FIND("Roof", Tasks[[#This Row],[Page]])), "Roof",  IF(ISNUMBER(FIND("S590", Tasks[[#This Row],[Page]])), "",  IF(ISNUMBER(FIND("Site", Tasks[[#This Row],[Page]])), "", "ERROR"))))</f>
        <v>Level 1</v>
      </c>
      <c r="G667" s="15" t="str">
        <f>IF(Tasks[[#This Row],[Location]]=0, "", Tasks[[#This Row],[Location]])</f>
        <v>110 - Chapel</v>
      </c>
      <c r="H667" s="15" t="str">
        <f>Tasks[[#This Row],[To Package]]</f>
        <v>Audience Seating -- New Holland</v>
      </c>
      <c r="I667" s="15" t="str">
        <f>Tasks[[#This Row],[To Organisation]]</f>
        <v>New Holland Church Furniture</v>
      </c>
    </row>
    <row r="668" spans="1:9" ht="15.5" x14ac:dyDescent="0.35">
      <c r="A668" s="16" t="str">
        <f>HYPERLINK(_xlfn.CONCAT(Edit_URL,Tasks[[#This Row],[Ref]]),Tasks[[#This Row],[Ref]])</f>
        <v>T74290.251</v>
      </c>
      <c r="B668" s="15" t="str" cm="1">
        <f t="array" ref="B668">_xlfn.SWITCH(LEFT(Tasks[[#This Row],[Status]],1),"O","Opened","C","Completed","S","Signed Off", "V", "Signed Off","ERROR")</f>
        <v>Opened</v>
      </c>
      <c r="C668" s="15" t="str" cm="1">
        <f t="array" ref="C668">_xlfn.SWITCH(LEFT(Tasks[[#This Row],[Type]], 3), "Fie", "Field Report", "Con", "Contractor QC", "Gen", "Contractor QC", "Pun", "Contractor QC", "Qua", "Contractor QC", "Fin", "Punch List")</f>
        <v>Contractor QC</v>
      </c>
      <c r="D668" s="15" t="str">
        <f>_xlfn.LET(
_xlpm.leftValue, TRIM(LEFT(Tasks[[#This Row],[Description]], 45)),
IF(LEN(_xlpm.leftValue) &lt; 40, _xlpm.leftValue, _xlfn.CONCAT(_xlpm.leftValue, "…"))
)</f>
        <v>Repair scratch on right side of back panel…</v>
      </c>
      <c r="E668" s="15" t="str" cm="1">
        <f t="array" ref="E668">_xlfn.LET(
_xlpm.inTower, COUNTIF(Tower_Num_Table[Tower Rm Numbers], LEFT(Task_Summary_Table[[#This Row],[Area/Room]], 3)) &gt; 0,
_xlpm.typeResult, _xlfn.SWITCH(LEFT(Tasks[[#This Row],[Page]], 2), "Hi", "Historic", "An", "Annex", "Si", "Site", "S5", "Project Task", "SWITCH ERROR"),
IF(_xlpm.inTower, "West Tower", _xlpm.typeResult)
)</f>
        <v>Annex</v>
      </c>
      <c r="F668" s="15" t="str">
        <f>IFERROR(MID(Tasks[[#This Row],[Page]], FIND("Level", Tasks[[#This Row],[Page]]), 7), IF(ISNUMBER(FIND("Roof", Tasks[[#This Row],[Page]])), "Roof",  IF(ISNUMBER(FIND("S590", Tasks[[#This Row],[Page]])), "",  IF(ISNUMBER(FIND("Site", Tasks[[#This Row],[Page]])), "", "ERROR"))))</f>
        <v>Level 1</v>
      </c>
      <c r="G668" s="15" t="str">
        <f>IF(Tasks[[#This Row],[Location]]=0, "", Tasks[[#This Row],[Location]])</f>
        <v>110 - Chapel</v>
      </c>
      <c r="H668" s="15" t="str">
        <f>Tasks[[#This Row],[To Package]]</f>
        <v>Audience Seating -- New Holland</v>
      </c>
      <c r="I668" s="15" t="str">
        <f>Tasks[[#This Row],[To Organisation]]</f>
        <v>New Holland Church Furniture</v>
      </c>
    </row>
    <row r="669" spans="1:9" ht="15.5" x14ac:dyDescent="0.35">
      <c r="A669" s="16" t="str">
        <f>HYPERLINK(_xlfn.CONCAT(Edit_URL,Tasks[[#This Row],[Ref]]),Tasks[[#This Row],[Ref]])</f>
        <v>T74290.253</v>
      </c>
      <c r="B669" s="15" t="str" cm="1">
        <f t="array" ref="B669">_xlfn.SWITCH(LEFT(Tasks[[#This Row],[Status]],1),"O","Opened","C","Completed","S","Signed Off", "V", "Signed Off","ERROR")</f>
        <v>Opened</v>
      </c>
      <c r="C669" s="15" t="str" cm="1">
        <f t="array" ref="C669">_xlfn.SWITCH(LEFT(Tasks[[#This Row],[Type]], 3), "Fie", "Field Report", "Con", "Contractor QC", "Gen", "Contractor QC", "Pun", "Contractor QC", "Qua", "Contractor QC", "Fin", "Punch List")</f>
        <v>Contractor QC</v>
      </c>
      <c r="D669" s="15" t="str">
        <f>_xlfn.LET(
_xlpm.leftValue, TRIM(LEFT(Tasks[[#This Row],[Description]], 45)),
IF(LEN(_xlpm.leftValue) &lt; 40, _xlpm.leftValue, _xlfn.CONCAT(_xlpm.leftValue, "…"))
)</f>
        <v>Repair and touch scratch on right side above…</v>
      </c>
      <c r="E669" s="15" t="str" cm="1">
        <f t="array" ref="E669">_xlfn.LET(
_xlpm.inTower, COUNTIF(Tower_Num_Table[Tower Rm Numbers], LEFT(Task_Summary_Table[[#This Row],[Area/Room]], 3)) &gt; 0,
_xlpm.typeResult, _xlfn.SWITCH(LEFT(Tasks[[#This Row],[Page]], 2), "Hi", "Historic", "An", "Annex", "Si", "Site", "S5", "Project Task", "SWITCH ERROR"),
IF(_xlpm.inTower, "West Tower", _xlpm.typeResult)
)</f>
        <v>Annex</v>
      </c>
      <c r="F669" s="15" t="str">
        <f>IFERROR(MID(Tasks[[#This Row],[Page]], FIND("Level", Tasks[[#This Row],[Page]]), 7), IF(ISNUMBER(FIND("Roof", Tasks[[#This Row],[Page]])), "Roof",  IF(ISNUMBER(FIND("S590", Tasks[[#This Row],[Page]])), "",  IF(ISNUMBER(FIND("Site", Tasks[[#This Row],[Page]])), "", "ERROR"))))</f>
        <v>Level 1</v>
      </c>
      <c r="G669" s="15" t="str">
        <f>IF(Tasks[[#This Row],[Location]]=0, "", Tasks[[#This Row],[Location]])</f>
        <v>110 - Chapel</v>
      </c>
      <c r="H669" s="15" t="str">
        <f>Tasks[[#This Row],[To Package]]</f>
        <v>Audience Seating -- New Holland</v>
      </c>
      <c r="I669" s="15" t="str">
        <f>Tasks[[#This Row],[To Organisation]]</f>
        <v>New Holland Church Furniture</v>
      </c>
    </row>
    <row r="670" spans="1:9" ht="15.5" x14ac:dyDescent="0.35">
      <c r="A670" s="16" t="str">
        <f>HYPERLINK(_xlfn.CONCAT(Edit_URL,Tasks[[#This Row],[Ref]]),Tasks[[#This Row],[Ref]])</f>
        <v>T74290.254</v>
      </c>
      <c r="B670" s="15" t="str" cm="1">
        <f t="array" ref="B670">_xlfn.SWITCH(LEFT(Tasks[[#This Row],[Status]],1),"O","Opened","C","Completed","S","Signed Off", "V", "Signed Off","ERROR")</f>
        <v>Opened</v>
      </c>
      <c r="C670" s="15" t="str" cm="1">
        <f t="array" ref="C670">_xlfn.SWITCH(LEFT(Tasks[[#This Row],[Type]], 3), "Fie", "Field Report", "Con", "Contractor QC", "Gen", "Contractor QC", "Pun", "Contractor QC", "Qua", "Contractor QC", "Fin", "Punch List")</f>
        <v>Contractor QC</v>
      </c>
      <c r="D670" s="15" t="str">
        <f>_xlfn.LET(
_xlpm.leftValue, TRIM(LEFT(Tasks[[#This Row],[Description]], 45)),
IF(LEN(_xlpm.leftValue) &lt; 40, _xlpm.leftValue, _xlfn.CONCAT(_xlpm.leftValue, "…"))
)</f>
        <v>Repair scratch on outside panel - left side…</v>
      </c>
      <c r="E670" s="15" t="str" cm="1">
        <f t="array" ref="E670">_xlfn.LET(
_xlpm.inTower, COUNTIF(Tower_Num_Table[Tower Rm Numbers], LEFT(Task_Summary_Table[[#This Row],[Area/Room]], 3)) &gt; 0,
_xlpm.typeResult, _xlfn.SWITCH(LEFT(Tasks[[#This Row],[Page]], 2), "Hi", "Historic", "An", "Annex", "Si", "Site", "S5", "Project Task", "SWITCH ERROR"),
IF(_xlpm.inTower, "West Tower", _xlpm.typeResult)
)</f>
        <v>Annex</v>
      </c>
      <c r="F670" s="15" t="str">
        <f>IFERROR(MID(Tasks[[#This Row],[Page]], FIND("Level", Tasks[[#This Row],[Page]]), 7), IF(ISNUMBER(FIND("Roof", Tasks[[#This Row],[Page]])), "Roof",  IF(ISNUMBER(FIND("S590", Tasks[[#This Row],[Page]])), "",  IF(ISNUMBER(FIND("Site", Tasks[[#This Row],[Page]])), "", "ERROR"))))</f>
        <v>Level 1</v>
      </c>
      <c r="G670" s="15" t="str">
        <f>IF(Tasks[[#This Row],[Location]]=0, "", Tasks[[#This Row],[Location]])</f>
        <v>110 - Chapel</v>
      </c>
      <c r="H670" s="15" t="str">
        <f>Tasks[[#This Row],[To Package]]</f>
        <v>Audience Seating -- New Holland</v>
      </c>
      <c r="I670" s="15" t="str">
        <f>Tasks[[#This Row],[To Organisation]]</f>
        <v>New Holland Church Furniture</v>
      </c>
    </row>
    <row r="671" spans="1:9" ht="15.5" x14ac:dyDescent="0.35">
      <c r="A671" s="16" t="str">
        <f>HYPERLINK(_xlfn.CONCAT(Edit_URL,Tasks[[#This Row],[Ref]]),Tasks[[#This Row],[Ref]])</f>
        <v>T1.9695204</v>
      </c>
      <c r="B671" s="15" t="str" cm="1">
        <f t="array" ref="B671">_xlfn.SWITCH(LEFT(Tasks[[#This Row],[Status]],1),"O","Opened","C","Completed","S","Signed Off", "V", "Signed Off","ERROR")</f>
        <v>Opened</v>
      </c>
      <c r="C671" s="15" t="str" cm="1">
        <f t="array" ref="C671">_xlfn.SWITCH(LEFT(Tasks[[#This Row],[Type]], 3), "Fie", "Field Report", "Con", "Contractor QC", "Gen", "Contractor QC", "Pun", "Contractor QC", "Qua", "Contractor QC", "Fin", "Punch List")</f>
        <v>Contractor QC</v>
      </c>
      <c r="D671" s="15" t="str">
        <f>_xlfn.LET(
_xlpm.leftValue, TRIM(LEFT(Tasks[[#This Row],[Description]], 45)),
IF(LEN(_xlpm.leftValue) &lt; 40, _xlpm.leftValue, _xlfn.CONCAT(_xlpm.leftValue, "…"))
)</f>
        <v>scratch on top rail</v>
      </c>
      <c r="E671" s="15" t="str" cm="1">
        <f t="array" ref="E671">_xlfn.LET(
_xlpm.inTower, COUNTIF(Tower_Num_Table[Tower Rm Numbers], LEFT(Task_Summary_Table[[#This Row],[Area/Room]], 3)) &gt; 0,
_xlpm.typeResult, _xlfn.SWITCH(LEFT(Tasks[[#This Row],[Page]], 2), "Hi", "Historic", "An", "Annex", "Si", "Site", "S5", "Project Task", "SWITCH ERROR"),
IF(_xlpm.inTower, "West Tower", _xlpm.typeResult)
)</f>
        <v>Annex</v>
      </c>
      <c r="F671" s="15" t="str">
        <f>IFERROR(MID(Tasks[[#This Row],[Page]], FIND("Level", Tasks[[#This Row],[Page]]), 7), IF(ISNUMBER(FIND("Roof", Tasks[[#This Row],[Page]])), "Roof",  IF(ISNUMBER(FIND("S590", Tasks[[#This Row],[Page]])), "",  IF(ISNUMBER(FIND("Site", Tasks[[#This Row],[Page]])), "", "ERROR"))))</f>
        <v>Level 1</v>
      </c>
      <c r="G671" s="15" t="str">
        <f>IF(Tasks[[#This Row],[Location]]=0, "", Tasks[[#This Row],[Location]])</f>
        <v>110 - Chapel</v>
      </c>
      <c r="H671" s="15" t="str">
        <f>Tasks[[#This Row],[To Package]]</f>
        <v>Audience Seating -- New Holland</v>
      </c>
      <c r="I671" s="15" t="str">
        <f>Tasks[[#This Row],[To Organisation]]</f>
        <v>New Holland Church Furniture</v>
      </c>
    </row>
    <row r="672" spans="1:9" ht="15.5" x14ac:dyDescent="0.35">
      <c r="A672" s="16" t="str">
        <f>HYPERLINK(_xlfn.CONCAT(Edit_URL,Tasks[[#This Row],[Ref]]),Tasks[[#This Row],[Ref]])</f>
        <v>T1.9695205</v>
      </c>
      <c r="B672" s="15" t="str" cm="1">
        <f t="array" ref="B672">_xlfn.SWITCH(LEFT(Tasks[[#This Row],[Status]],1),"O","Opened","C","Completed","S","Signed Off", "V", "Signed Off","ERROR")</f>
        <v>Opened</v>
      </c>
      <c r="C672" s="15" t="str" cm="1">
        <f t="array" ref="C672">_xlfn.SWITCH(LEFT(Tasks[[#This Row],[Type]], 3), "Fie", "Field Report", "Con", "Contractor QC", "Gen", "Contractor QC", "Pun", "Contractor QC", "Qua", "Contractor QC", "Fin", "Punch List")</f>
        <v>Contractor QC</v>
      </c>
      <c r="D672" s="15" t="str">
        <f>_xlfn.LET(
_xlpm.leftValue, TRIM(LEFT(Tasks[[#This Row],[Description]], 45)),
IF(LEN(_xlpm.leftValue) &lt; 40, _xlpm.leftValue, _xlfn.CONCAT(_xlpm.leftValue, "…"))
)</f>
        <v>Touch up plug on back of bench</v>
      </c>
      <c r="E672" s="15" t="str" cm="1">
        <f t="array" ref="E672">_xlfn.LET(
_xlpm.inTower, COUNTIF(Tower_Num_Table[Tower Rm Numbers], LEFT(Task_Summary_Table[[#This Row],[Area/Room]], 3)) &gt; 0,
_xlpm.typeResult, _xlfn.SWITCH(LEFT(Tasks[[#This Row],[Page]], 2), "Hi", "Historic", "An", "Annex", "Si", "Site", "S5", "Project Task", "SWITCH ERROR"),
IF(_xlpm.inTower, "West Tower", _xlpm.typeResult)
)</f>
        <v>Annex</v>
      </c>
      <c r="F672" s="15" t="str">
        <f>IFERROR(MID(Tasks[[#This Row],[Page]], FIND("Level", Tasks[[#This Row],[Page]]), 7), IF(ISNUMBER(FIND("Roof", Tasks[[#This Row],[Page]])), "Roof",  IF(ISNUMBER(FIND("S590", Tasks[[#This Row],[Page]])), "",  IF(ISNUMBER(FIND("Site", Tasks[[#This Row],[Page]])), "", "ERROR"))))</f>
        <v>Level 1</v>
      </c>
      <c r="G672" s="15" t="str">
        <f>IF(Tasks[[#This Row],[Location]]=0, "", Tasks[[#This Row],[Location]])</f>
        <v>110 - Chapel</v>
      </c>
      <c r="H672" s="15" t="str">
        <f>Tasks[[#This Row],[To Package]]</f>
        <v>Audience Seating -- New Holland</v>
      </c>
      <c r="I672" s="15" t="str">
        <f>Tasks[[#This Row],[To Organisation]]</f>
        <v>New Holland Church Furniture</v>
      </c>
    </row>
    <row r="673" spans="1:9" ht="15.5" x14ac:dyDescent="0.35">
      <c r="A673" s="16" t="str">
        <f>HYPERLINK(_xlfn.CONCAT(Edit_URL,Tasks[[#This Row],[Ref]]),Tasks[[#This Row],[Ref]])</f>
        <v>T74290.181</v>
      </c>
      <c r="B673" s="15" t="str" cm="1">
        <f t="array" ref="B673">_xlfn.SWITCH(LEFT(Tasks[[#This Row],[Status]],1),"O","Opened","C","Completed","S","Signed Off", "V", "Signed Off","ERROR")</f>
        <v>Opened</v>
      </c>
      <c r="C673" s="15" t="str" cm="1">
        <f t="array" ref="C673">_xlfn.SWITCH(LEFT(Tasks[[#This Row],[Type]], 3), "Fie", "Field Report", "Con", "Contractor QC", "Gen", "Contractor QC", "Pun", "Contractor QC", "Qua", "Contractor QC", "Fin", "Punch List")</f>
        <v>Contractor QC</v>
      </c>
      <c r="D673" s="15" t="str">
        <f>_xlfn.LET(
_xlpm.leftValue, TRIM(LEFT(Tasks[[#This Row],[Description]], 45)),
IF(LEN(_xlpm.leftValue) &lt; 40, _xlpm.leftValue, _xlfn.CONCAT(_xlpm.leftValue, "…"))
)</f>
        <v>Trim out can lights</v>
      </c>
      <c r="E673" s="15" t="str" cm="1">
        <f t="array" ref="E673">_xlfn.LET(
_xlpm.inTower, COUNTIF(Tower_Num_Table[Tower Rm Numbers], LEFT(Task_Summary_Table[[#This Row],[Area/Room]], 3)) &gt; 0,
_xlpm.typeResult, _xlfn.SWITCH(LEFT(Tasks[[#This Row],[Page]], 2), "Hi", "Historic", "An", "Annex", "Si", "Site", "S5", "Project Task", "SWITCH ERROR"),
IF(_xlpm.inTower, "West Tower", _xlpm.typeResult)
)</f>
        <v>Historic</v>
      </c>
      <c r="F673" s="15" t="str">
        <f>IFERROR(MID(Tasks[[#This Row],[Page]], FIND("Level", Tasks[[#This Row],[Page]]), 7), IF(ISNUMBER(FIND("Roof", Tasks[[#This Row],[Page]])), "Roof",  IF(ISNUMBER(FIND("S590", Tasks[[#This Row],[Page]])), "",  IF(ISNUMBER(FIND("Site", Tasks[[#This Row],[Page]])), "", "ERROR"))))</f>
        <v>Level 0</v>
      </c>
      <c r="G673" s="15" t="str">
        <f>IF(Tasks[[#This Row],[Location]]=0, "", Tasks[[#This Row],[Location]])</f>
        <v>060 - Vestibule</v>
      </c>
      <c r="H673" s="15" t="str">
        <f>Tasks[[#This Row],[To Package]]</f>
        <v>Electrical</v>
      </c>
      <c r="I673" s="15" t="str">
        <f>Tasks[[#This Row],[To Organisation]]</f>
        <v>Wilkinson Electric Inc</v>
      </c>
    </row>
    <row r="674" spans="1:9" ht="15.5" x14ac:dyDescent="0.35">
      <c r="A674" s="16" t="str">
        <f>HYPERLINK(_xlfn.CONCAT(Edit_URL,Tasks[[#This Row],[Ref]]),Tasks[[#This Row],[Ref]])</f>
        <v>T74290.173</v>
      </c>
      <c r="B674" s="15" t="str" cm="1">
        <f t="array" ref="B674">_xlfn.SWITCH(LEFT(Tasks[[#This Row],[Status]],1),"O","Opened","C","Completed","S","Signed Off", "V", "Signed Off","ERROR")</f>
        <v>Signed Off</v>
      </c>
      <c r="C674" s="15" t="str" cm="1">
        <f t="array" ref="C674">_xlfn.SWITCH(LEFT(Tasks[[#This Row],[Type]], 3), "Fie", "Field Report", "Con", "Contractor QC", "Gen", "Contractor QC", "Pun", "Contractor QC", "Qua", "Contractor QC", "Fin", "Punch List")</f>
        <v>Contractor QC</v>
      </c>
      <c r="D674" s="15" t="str">
        <f>_xlfn.LET(
_xlpm.leftValue, TRIM(LEFT(Tasks[[#This Row],[Description]], 45)),
IF(LEN(_xlpm.leftValue) &lt; 40, _xlpm.leftValue, _xlfn.CONCAT(_xlpm.leftValue, "…"))
)</f>
        <v>Drywall repair</v>
      </c>
      <c r="E674" s="15" t="str" cm="1">
        <f t="array" ref="E674">_xlfn.LET(
_xlpm.inTower, COUNTIF(Tower_Num_Table[Tower Rm Numbers], LEFT(Task_Summary_Table[[#This Row],[Area/Room]], 3)) &gt; 0,
_xlpm.typeResult, _xlfn.SWITCH(LEFT(Tasks[[#This Row],[Page]], 2), "Hi", "Historic", "An", "Annex", "Si", "Site", "S5", "Project Task", "SWITCH ERROR"),
IF(_xlpm.inTower, "West Tower", _xlpm.typeResult)
)</f>
        <v>Historic</v>
      </c>
      <c r="F674" s="15" t="str">
        <f>IFERROR(MID(Tasks[[#This Row],[Page]], FIND("Level", Tasks[[#This Row],[Page]]), 7), IF(ISNUMBER(FIND("Roof", Tasks[[#This Row],[Page]])), "Roof",  IF(ISNUMBER(FIND("S590", Tasks[[#This Row],[Page]])), "",  IF(ISNUMBER(FIND("Site", Tasks[[#This Row],[Page]])), "", "ERROR"))))</f>
        <v>Level 0</v>
      </c>
      <c r="G674" s="15" t="str">
        <f>IF(Tasks[[#This Row],[Location]]=0, "", Tasks[[#This Row],[Location]])</f>
        <v>067 - Font</v>
      </c>
      <c r="H674" s="15" t="str">
        <f>Tasks[[#This Row],[To Package]]</f>
        <v>Metal Stud / Drywall</v>
      </c>
      <c r="I674" s="15" t="str">
        <f>Tasks[[#This Row],[To Organisation]]</f>
        <v>Pete King Construction</v>
      </c>
    </row>
    <row r="675" spans="1:9" ht="15.5" x14ac:dyDescent="0.35">
      <c r="A675" s="16" t="str">
        <f>HYPERLINK(_xlfn.CONCAT(Edit_URL,Tasks[[#This Row],[Ref]]),Tasks[[#This Row],[Ref]])</f>
        <v>T74290.172</v>
      </c>
      <c r="B675" s="15" t="str" cm="1">
        <f t="array" ref="B675">_xlfn.SWITCH(LEFT(Tasks[[#This Row],[Status]],1),"O","Opened","C","Completed","S","Signed Off", "V", "Signed Off","ERROR")</f>
        <v>Signed Off</v>
      </c>
      <c r="C675" s="15" t="str" cm="1">
        <f t="array" ref="C675">_xlfn.SWITCH(LEFT(Tasks[[#This Row],[Type]], 3), "Fie", "Field Report", "Con", "Contractor QC", "Gen", "Contractor QC", "Pun", "Contractor QC", "Qua", "Contractor QC", "Fin", "Punch List")</f>
        <v>Contractor QC</v>
      </c>
      <c r="D675" s="15" t="str">
        <f>_xlfn.LET(
_xlpm.leftValue, TRIM(LEFT(Tasks[[#This Row],[Description]], 45)),
IF(LEN(_xlpm.leftValue) &lt; 40, _xlpm.leftValue, _xlfn.CONCAT(_xlpm.leftValue, "…"))
)</f>
        <v>Complete window splay around each door for ba…</v>
      </c>
      <c r="E675" s="15" t="str" cm="1">
        <f t="array" ref="E675">_xlfn.LET(
_xlpm.inTower, COUNTIF(Tower_Num_Table[Tower Rm Numbers], LEFT(Task_Summary_Table[[#This Row],[Area/Room]], 3)) &gt; 0,
_xlpm.typeResult, _xlfn.SWITCH(LEFT(Tasks[[#This Row],[Page]], 2), "Hi", "Historic", "An", "Annex", "Si", "Site", "S5", "Project Task", "SWITCH ERROR"),
IF(_xlpm.inTower, "West Tower", _xlpm.typeResult)
)</f>
        <v>Historic</v>
      </c>
      <c r="F675" s="15" t="str">
        <f>IFERROR(MID(Tasks[[#This Row],[Page]], FIND("Level", Tasks[[#This Row],[Page]]), 7), IF(ISNUMBER(FIND("Roof", Tasks[[#This Row],[Page]])), "Roof",  IF(ISNUMBER(FIND("S590", Tasks[[#This Row],[Page]])), "",  IF(ISNUMBER(FIND("Site", Tasks[[#This Row],[Page]])), "", "ERROR"))))</f>
        <v>Level 0</v>
      </c>
      <c r="G675" s="15" t="str">
        <f>IF(Tasks[[#This Row],[Location]]=0, "", Tasks[[#This Row],[Location]])</f>
        <v>060 - Vestibule</v>
      </c>
      <c r="H675" s="15" t="str">
        <f>Tasks[[#This Row],[To Package]]</f>
        <v>Metal Stud / Drywall</v>
      </c>
      <c r="I675" s="15" t="str">
        <f>Tasks[[#This Row],[To Organisation]]</f>
        <v>Pete King Construction</v>
      </c>
    </row>
    <row r="676" spans="1:9" ht="15.5" x14ac:dyDescent="0.35">
      <c r="A676" s="16" t="str">
        <f>HYPERLINK(_xlfn.CONCAT(Edit_URL,Tasks[[#This Row],[Ref]]),Tasks[[#This Row],[Ref]])</f>
        <v>T74290.168</v>
      </c>
      <c r="B676" s="15" t="str" cm="1">
        <f t="array" ref="B676">_xlfn.SWITCH(LEFT(Tasks[[#This Row],[Status]],1),"O","Opened","C","Completed","S","Signed Off", "V", "Signed Off","ERROR")</f>
        <v>Signed Off</v>
      </c>
      <c r="C676" s="15" t="str" cm="1">
        <f t="array" ref="C676">_xlfn.SWITCH(LEFT(Tasks[[#This Row],[Type]], 3), "Fie", "Field Report", "Con", "Contractor QC", "Gen", "Contractor QC", "Pun", "Contractor QC", "Qua", "Contractor QC", "Fin", "Punch List")</f>
        <v>Contractor QC</v>
      </c>
      <c r="D676" s="15" t="str">
        <f>_xlfn.LET(
_xlpm.leftValue, TRIM(LEFT(Tasks[[#This Row],[Description]], 45)),
IF(LEN(_xlpm.leftValue) &lt; 40, _xlpm.leftValue, _xlfn.CONCAT(_xlpm.leftValue, "…"))
)</f>
        <v>Install metal grill</v>
      </c>
      <c r="E676" s="15" t="str" cm="1">
        <f t="array" ref="E676">_xlfn.LET(
_xlpm.inTower, COUNTIF(Tower_Num_Table[Tower Rm Numbers], LEFT(Task_Summary_Table[[#This Row],[Area/Room]], 3)) &gt; 0,
_xlpm.typeResult, _xlfn.SWITCH(LEFT(Tasks[[#This Row],[Page]], 2), "Hi", "Historic", "An", "Annex", "Si", "Site", "S5", "Project Task", "SWITCH ERROR"),
IF(_xlpm.inTower, "West Tower", _xlpm.typeResult)
)</f>
        <v>Historic</v>
      </c>
      <c r="F676" s="15" t="str">
        <f>IFERROR(MID(Tasks[[#This Row],[Page]], FIND("Level", Tasks[[#This Row],[Page]]), 7), IF(ISNUMBER(FIND("Roof", Tasks[[#This Row],[Page]])), "Roof",  IF(ISNUMBER(FIND("S590", Tasks[[#This Row],[Page]])), "",  IF(ISNUMBER(FIND("Site", Tasks[[#This Row],[Page]])), "", "ERROR"))))</f>
        <v>Level 0</v>
      </c>
      <c r="G676" s="15" t="str">
        <f>IF(Tasks[[#This Row],[Location]]=0, "", Tasks[[#This Row],[Location]])</f>
        <v/>
      </c>
      <c r="H676" s="15" t="str">
        <f>Tasks[[#This Row],[To Package]]</f>
        <v>Structural Steel</v>
      </c>
      <c r="I676" s="15" t="str">
        <f>Tasks[[#This Row],[To Organisation]]</f>
        <v>Glassey Steel Works</v>
      </c>
    </row>
    <row r="677" spans="1:9" ht="15.5" x14ac:dyDescent="0.35">
      <c r="A677" s="16" t="str">
        <f>HYPERLINK(_xlfn.CONCAT(Edit_URL,Tasks[[#This Row],[Ref]]),Tasks[[#This Row],[Ref]])</f>
        <v>T74290.169</v>
      </c>
      <c r="B677" s="15" t="str" cm="1">
        <f t="array" ref="B677">_xlfn.SWITCH(LEFT(Tasks[[#This Row],[Status]],1),"O","Opened","C","Completed","S","Signed Off", "V", "Signed Off","ERROR")</f>
        <v>Signed Off</v>
      </c>
      <c r="C677" s="15" t="str" cm="1">
        <f t="array" ref="C677">_xlfn.SWITCH(LEFT(Tasks[[#This Row],[Type]], 3), "Fie", "Field Report", "Con", "Contractor QC", "Gen", "Contractor QC", "Pun", "Contractor QC", "Qua", "Contractor QC", "Fin", "Punch List")</f>
        <v>Contractor QC</v>
      </c>
      <c r="D677" s="15" t="str">
        <f>_xlfn.LET(
_xlpm.leftValue, TRIM(LEFT(Tasks[[#This Row],[Description]], 45)),
IF(LEN(_xlpm.leftValue) &lt; 40, _xlpm.leftValue, _xlfn.CONCAT(_xlpm.leftValue, "…"))
)</f>
        <v>Install metal grill</v>
      </c>
      <c r="E677" s="15" t="str" cm="1">
        <f t="array" ref="E677">_xlfn.LET(
_xlpm.inTower, COUNTIF(Tower_Num_Table[Tower Rm Numbers], LEFT(Task_Summary_Table[[#This Row],[Area/Room]], 3)) &gt; 0,
_xlpm.typeResult, _xlfn.SWITCH(LEFT(Tasks[[#This Row],[Page]], 2), "Hi", "Historic", "An", "Annex", "Si", "Site", "S5", "Project Task", "SWITCH ERROR"),
IF(_xlpm.inTower, "West Tower", _xlpm.typeResult)
)</f>
        <v>Historic</v>
      </c>
      <c r="F677" s="15" t="str">
        <f>IFERROR(MID(Tasks[[#This Row],[Page]], FIND("Level", Tasks[[#This Row],[Page]]), 7), IF(ISNUMBER(FIND("Roof", Tasks[[#This Row],[Page]])), "Roof",  IF(ISNUMBER(FIND("S590", Tasks[[#This Row],[Page]])), "",  IF(ISNUMBER(FIND("Site", Tasks[[#This Row],[Page]])), "", "ERROR"))))</f>
        <v>Level 0</v>
      </c>
      <c r="G677" s="15" t="str">
        <f>IF(Tasks[[#This Row],[Location]]=0, "", Tasks[[#This Row],[Location]])</f>
        <v/>
      </c>
      <c r="H677" s="15" t="str">
        <f>Tasks[[#This Row],[To Package]]</f>
        <v>Structural Steel</v>
      </c>
      <c r="I677" s="15" t="str">
        <f>Tasks[[#This Row],[To Organisation]]</f>
        <v>Glassey Steel Works</v>
      </c>
    </row>
    <row r="678" spans="1:9" ht="15.5" x14ac:dyDescent="0.35">
      <c r="A678" s="16" t="str">
        <f>HYPERLINK(_xlfn.CONCAT(Edit_URL,Tasks[[#This Row],[Ref]]),Tasks[[#This Row],[Ref]])</f>
        <v>T74290.185</v>
      </c>
      <c r="B678" s="15" t="str" cm="1">
        <f t="array" ref="B678">_xlfn.SWITCH(LEFT(Tasks[[#This Row],[Status]],1),"O","Opened","C","Completed","S","Signed Off", "V", "Signed Off","ERROR")</f>
        <v>Opened</v>
      </c>
      <c r="C678" s="15" t="str" cm="1">
        <f t="array" ref="C678">_xlfn.SWITCH(LEFT(Tasks[[#This Row],[Type]], 3), "Fie", "Field Report", "Con", "Contractor QC", "Gen", "Contractor QC", "Pun", "Contractor QC", "Qua", "Contractor QC", "Fin", "Punch List")</f>
        <v>Contractor QC</v>
      </c>
      <c r="D678" s="15" t="str">
        <f>_xlfn.LET(
_xlpm.leftValue, TRIM(LEFT(Tasks[[#This Row],[Description]], 45)),
IF(LEN(_xlpm.leftValue) &lt; 40, _xlpm.leftValue, _xlfn.CONCAT(_xlpm.leftValue, "…"))
)</f>
        <v>Door handle is operable only on one side…</v>
      </c>
      <c r="E678" s="15" t="str" cm="1">
        <f t="array" ref="E678">_xlfn.LET(
_xlpm.inTower, COUNTIF(Tower_Num_Table[Tower Rm Numbers], LEFT(Task_Summary_Table[[#This Row],[Area/Room]], 3)) &gt; 0,
_xlpm.typeResult, _xlfn.SWITCH(LEFT(Tasks[[#This Row],[Page]], 2), "Hi", "Historic", "An", "Annex", "Si", "Site", "S5", "Project Task", "SWITCH ERROR"),
IF(_xlpm.inTower, "West Tower", _xlpm.typeResult)
)</f>
        <v>Annex</v>
      </c>
      <c r="F678" s="15" t="str">
        <f>IFERROR(MID(Tasks[[#This Row],[Page]], FIND("Level", Tasks[[#This Row],[Page]]), 7), IF(ISNUMBER(FIND("Roof", Tasks[[#This Row],[Page]])), "Roof",  IF(ISNUMBER(FIND("S590", Tasks[[#This Row],[Page]])), "",  IF(ISNUMBER(FIND("Site", Tasks[[#This Row],[Page]])), "", "ERROR"))))</f>
        <v>Level 0</v>
      </c>
      <c r="G678" s="15" t="str">
        <f>IF(Tasks[[#This Row],[Location]]=0, "", Tasks[[#This Row],[Location]])</f>
        <v>033 - Vest</v>
      </c>
      <c r="H678" s="15" t="str">
        <f>Tasks[[#This Row],[To Package]]</f>
        <v xml:space="preserve">Finish Carpentry </v>
      </c>
      <c r="I678" s="15" t="str">
        <f>Tasks[[#This Row],[To Organisation]]</f>
        <v>Fetzers' Inc.</v>
      </c>
    </row>
    <row r="679" spans="1:9" ht="15.5" x14ac:dyDescent="0.35">
      <c r="A679" s="16" t="str">
        <f>HYPERLINK(_xlfn.CONCAT(Edit_URL,Tasks[[#This Row],[Ref]]),Tasks[[#This Row],[Ref]])</f>
        <v>T74290.186</v>
      </c>
      <c r="B679" s="15" t="str" cm="1">
        <f t="array" ref="B679">_xlfn.SWITCH(LEFT(Tasks[[#This Row],[Status]],1),"O","Opened","C","Completed","S","Signed Off", "V", "Signed Off","ERROR")</f>
        <v>Opened</v>
      </c>
      <c r="C679" s="15" t="str" cm="1">
        <f t="array" ref="C679">_xlfn.SWITCH(LEFT(Tasks[[#This Row],[Type]], 3), "Fie", "Field Report", "Con", "Contractor QC", "Gen", "Contractor QC", "Pun", "Contractor QC", "Qua", "Contractor QC", "Fin", "Punch List")</f>
        <v>Contractor QC</v>
      </c>
      <c r="D679" s="15" t="str">
        <f>_xlfn.LET(
_xlpm.leftValue, TRIM(LEFT(Tasks[[#This Row],[Description]], 45)),
IF(LEN(_xlpm.leftValue) &lt; 40, _xlpm.leftValue, _xlfn.CONCAT(_xlpm.leftValue, "…"))
)</f>
        <v>Leaking and condensation from pipes</v>
      </c>
      <c r="E679" s="15" t="str" cm="1">
        <f t="array" ref="E679">_xlfn.LET(
_xlpm.inTower, COUNTIF(Tower_Num_Table[Tower Rm Numbers], LEFT(Task_Summary_Table[[#This Row],[Area/Room]], 3)) &gt; 0,
_xlpm.typeResult, _xlfn.SWITCH(LEFT(Tasks[[#This Row],[Page]], 2), "Hi", "Historic", "An", "Annex", "Si", "Site", "S5", "Project Task", "SWITCH ERROR"),
IF(_xlpm.inTower, "West Tower", _xlpm.typeResult)
)</f>
        <v>Annex</v>
      </c>
      <c r="F679" s="15" t="str">
        <f>IFERROR(MID(Tasks[[#This Row],[Page]], FIND("Level", Tasks[[#This Row],[Page]]), 7), IF(ISNUMBER(FIND("Roof", Tasks[[#This Row],[Page]])), "Roof",  IF(ISNUMBER(FIND("S590", Tasks[[#This Row],[Page]])), "",  IF(ISNUMBER(FIND("Site", Tasks[[#This Row],[Page]])), "", "ERROR"))))</f>
        <v>Level 0</v>
      </c>
      <c r="G679" s="15" t="str">
        <f>IF(Tasks[[#This Row],[Location]]=0, "", Tasks[[#This Row],[Location]])</f>
        <v>041 - Shop Storage</v>
      </c>
      <c r="H679" s="15" t="str">
        <f>Tasks[[#This Row],[To Package]]</f>
        <v>Plumbing</v>
      </c>
      <c r="I679" s="15" t="str">
        <f>Tasks[[#This Row],[To Organisation]]</f>
        <v>US Mechanical</v>
      </c>
    </row>
    <row r="680" spans="1:9" ht="15.5" x14ac:dyDescent="0.35">
      <c r="A680" s="16" t="str">
        <f>HYPERLINK(_xlfn.CONCAT(Edit_URL,Tasks[[#This Row],[Ref]]),Tasks[[#This Row],[Ref]])</f>
        <v>T74290.183</v>
      </c>
      <c r="B680" s="15" t="str" cm="1">
        <f t="array" ref="B680">_xlfn.SWITCH(LEFT(Tasks[[#This Row],[Status]],1),"O","Opened","C","Completed","S","Signed Off", "V", "Signed Off","ERROR")</f>
        <v>Opened</v>
      </c>
      <c r="C680" s="15" t="str" cm="1">
        <f t="array" ref="C680">_xlfn.SWITCH(LEFT(Tasks[[#This Row],[Type]], 3), "Fie", "Field Report", "Con", "Contractor QC", "Gen", "Contractor QC", "Pun", "Contractor QC", "Qua", "Contractor QC", "Fin", "Punch List")</f>
        <v>Contractor QC</v>
      </c>
      <c r="D680" s="15" t="str">
        <f>_xlfn.LET(
_xlpm.leftValue, TRIM(LEFT(Tasks[[#This Row],[Description]], 45)),
IF(LEN(_xlpm.leftValue) &lt; 40, _xlpm.leftValue, _xlfn.CONCAT(_xlpm.leftValue, "…"))
)</f>
        <v>Install finish trim for fire sprinkler heads…</v>
      </c>
      <c r="E680" s="15" t="str" cm="1">
        <f t="array" ref="E680">_xlfn.LET(
_xlpm.inTower, COUNTIF(Tower_Num_Table[Tower Rm Numbers], LEFT(Task_Summary_Table[[#This Row],[Area/Room]], 3)) &gt; 0,
_xlpm.typeResult, _xlfn.SWITCH(LEFT(Tasks[[#This Row],[Page]], 2), "Hi", "Historic", "An", "Annex", "Si", "Site", "S5", "Project Task", "SWITCH ERROR"),
IF(_xlpm.inTower, "West Tower", _xlpm.typeResult)
)</f>
        <v>Annex</v>
      </c>
      <c r="F680" s="15" t="str">
        <f>IFERROR(MID(Tasks[[#This Row],[Page]], FIND("Level", Tasks[[#This Row],[Page]]), 7), IF(ISNUMBER(FIND("Roof", Tasks[[#This Row],[Page]])), "Roof",  IF(ISNUMBER(FIND("S590", Tasks[[#This Row],[Page]])), "",  IF(ISNUMBER(FIND("Site", Tasks[[#This Row],[Page]])), "", "ERROR"))))</f>
        <v>Level 1</v>
      </c>
      <c r="G680" s="15" t="str">
        <f>IF(Tasks[[#This Row],[Location]]=0, "", Tasks[[#This Row],[Location]])</f>
        <v>111 - Instruction 1</v>
      </c>
      <c r="H680" s="15" t="str">
        <f>Tasks[[#This Row],[To Package]]</f>
        <v>Fire Suppression</v>
      </c>
      <c r="I680" s="15" t="str">
        <f>Tasks[[#This Row],[To Organisation]]</f>
        <v>Broken Arrow Construction Corporation</v>
      </c>
    </row>
    <row r="681" spans="1:9" ht="15.5" x14ac:dyDescent="0.35">
      <c r="A681" s="16" t="str">
        <f>HYPERLINK(_xlfn.CONCAT(Edit_URL,Tasks[[#This Row],[Ref]]),Tasks[[#This Row],[Ref]])</f>
        <v>T74290.165</v>
      </c>
      <c r="B681" s="15" t="str" cm="1">
        <f t="array" ref="B681">_xlfn.SWITCH(LEFT(Tasks[[#This Row],[Status]],1),"O","Opened","C","Completed","S","Signed Off", "V", "Signed Off","ERROR")</f>
        <v>Opened</v>
      </c>
      <c r="C681" s="15" t="str" cm="1">
        <f t="array" ref="C681">_xlfn.SWITCH(LEFT(Tasks[[#This Row],[Type]], 3), "Fie", "Field Report", "Con", "Contractor QC", "Gen", "Contractor QC", "Pun", "Contractor QC", "Qua", "Contractor QC", "Fin", "Punch List")</f>
        <v>Contractor QC</v>
      </c>
      <c r="D681" s="15" t="str">
        <f>_xlfn.LET(
_xlpm.leftValue, TRIM(LEFT(Tasks[[#This Row],[Description]], 45)),
IF(LEN(_xlpm.leftValue) &lt; 40, _xlpm.leftValue, _xlfn.CONCAT(_xlpm.leftValue, "…"))
)</f>
        <v>Finish columns</v>
      </c>
      <c r="E681" s="15" t="str" cm="1">
        <f t="array" ref="E681">_xlfn.LET(
_xlpm.inTower, COUNTIF(Tower_Num_Table[Tower Rm Numbers], LEFT(Task_Summary_Table[[#This Row],[Area/Room]], 3)) &gt; 0,
_xlpm.typeResult, _xlfn.SWITCH(LEFT(Tasks[[#This Row],[Page]], 2), "Hi", "Historic", "An", "Annex", "Si", "Site", "S5", "Project Task", "SWITCH ERROR"),
IF(_xlpm.inTower, "West Tower", _xlpm.typeResult)
)</f>
        <v>Annex</v>
      </c>
      <c r="F681" s="15" t="str">
        <f>IFERROR(MID(Tasks[[#This Row],[Page]], FIND("Level", Tasks[[#This Row],[Page]]), 7), IF(ISNUMBER(FIND("Roof", Tasks[[#This Row],[Page]])), "Roof",  IF(ISNUMBER(FIND("S590", Tasks[[#This Row],[Page]])), "",  IF(ISNUMBER(FIND("Site", Tasks[[#This Row],[Page]])), "", "ERROR"))))</f>
        <v>Roof</v>
      </c>
      <c r="G681" s="15" t="str">
        <f>IF(Tasks[[#This Row],[Location]]=0, "", Tasks[[#This Row],[Location]])</f>
        <v>Roof Center</v>
      </c>
      <c r="H681" s="15" t="str">
        <f>Tasks[[#This Row],[To Package]]</f>
        <v>GFRG</v>
      </c>
      <c r="I681" s="15" t="str">
        <f>Tasks[[#This Row],[To Organisation]]</f>
        <v>Pete King Construction</v>
      </c>
    </row>
    <row r="682" spans="1:9" ht="15.5" x14ac:dyDescent="0.35">
      <c r="A682" s="16" t="str">
        <f>HYPERLINK(_xlfn.CONCAT(Edit_URL,Tasks[[#This Row],[Ref]]),Tasks[[#This Row],[Ref]])</f>
        <v>T74290.175</v>
      </c>
      <c r="B682" s="15" t="str" cm="1">
        <f t="array" ref="B682">_xlfn.SWITCH(LEFT(Tasks[[#This Row],[Status]],1),"O","Opened","C","Completed","S","Signed Off", "V", "Signed Off","ERROR")</f>
        <v>Opened</v>
      </c>
      <c r="C682" s="15" t="str" cm="1">
        <f t="array" ref="C682">_xlfn.SWITCH(LEFT(Tasks[[#This Row],[Type]], 3), "Fie", "Field Report", "Con", "Contractor QC", "Gen", "Contractor QC", "Pun", "Contractor QC", "Qua", "Contractor QC", "Fin", "Punch List")</f>
        <v>Contractor QC</v>
      </c>
      <c r="D682" s="15" t="str">
        <f>_xlfn.LET(
_xlpm.leftValue, TRIM(LEFT(Tasks[[#This Row],[Description]], 45)),
IF(LEN(_xlpm.leftValue) &lt; 40, _xlpm.leftValue, _xlfn.CONCAT(_xlpm.leftValue, "…"))
)</f>
        <v>Paint wall under countertop</v>
      </c>
      <c r="E682" s="15" t="str" cm="1">
        <f t="array" ref="E682">_xlfn.LET(
_xlpm.inTower, COUNTIF(Tower_Num_Table[Tower Rm Numbers], LEFT(Task_Summary_Table[[#This Row],[Area/Room]], 3)) &gt; 0,
_xlpm.typeResult, _xlfn.SWITCH(LEFT(Tasks[[#This Row],[Page]], 2), "Hi", "Historic", "An", "Annex", "Si", "Site", "S5", "Project Task", "SWITCH ERROR"),
IF(_xlpm.inTower, "West Tower", _xlpm.typeResult)
)</f>
        <v>Annex</v>
      </c>
      <c r="F682" s="15" t="str">
        <f>IFERROR(MID(Tasks[[#This Row],[Page]], FIND("Level", Tasks[[#This Row],[Page]]), 7), IF(ISNUMBER(FIND("Roof", Tasks[[#This Row],[Page]])), "Roof",  IF(ISNUMBER(FIND("S590", Tasks[[#This Row],[Page]])), "",  IF(ISNUMBER(FIND("Site", Tasks[[#This Row],[Page]])), "", "ERROR"))))</f>
        <v>Level 1</v>
      </c>
      <c r="G682" s="15" t="str">
        <f>IF(Tasks[[#This Row],[Location]]=0, "", Tasks[[#This Row],[Location]])</f>
        <v>113 - Administration</v>
      </c>
      <c r="H682" s="15" t="str">
        <f>Tasks[[#This Row],[To Package]]</f>
        <v>Paint</v>
      </c>
      <c r="I682" s="15" t="str">
        <f>Tasks[[#This Row],[To Organisation]]</f>
        <v>Accent Painting and Special Coatings, LLC</v>
      </c>
    </row>
    <row r="683" spans="1:9" ht="15.5" x14ac:dyDescent="0.35">
      <c r="A683" s="16" t="str">
        <f>HYPERLINK(_xlfn.CONCAT(Edit_URL,Tasks[[#This Row],[Ref]]),Tasks[[#This Row],[Ref]])</f>
        <v>T74290.176</v>
      </c>
      <c r="B683" s="15" t="str" cm="1">
        <f t="array" ref="B683">_xlfn.SWITCH(LEFT(Tasks[[#This Row],[Status]],1),"O","Opened","C","Completed","S","Signed Off", "V", "Signed Off","ERROR")</f>
        <v>Opened</v>
      </c>
      <c r="C683" s="15" t="str" cm="1">
        <f t="array" ref="C683">_xlfn.SWITCH(LEFT(Tasks[[#This Row],[Type]], 3), "Fie", "Field Report", "Con", "Contractor QC", "Gen", "Contractor QC", "Pun", "Contractor QC", "Qua", "Contractor QC", "Fin", "Punch List")</f>
        <v>Contractor QC</v>
      </c>
      <c r="D683" s="15" t="str">
        <f>_xlfn.LET(
_xlpm.leftValue, TRIM(LEFT(Tasks[[#This Row],[Description]], 45)),
IF(LEN(_xlpm.leftValue) &lt; 40, _xlpm.leftValue, _xlfn.CONCAT(_xlpm.leftValue, "…"))
)</f>
        <v>Buff all joints smooth on countertops</v>
      </c>
      <c r="E683" s="15" t="str" cm="1">
        <f t="array" ref="E683">_xlfn.LET(
_xlpm.inTower, COUNTIF(Tower_Num_Table[Tower Rm Numbers], LEFT(Task_Summary_Table[[#This Row],[Area/Room]], 3)) &gt; 0,
_xlpm.typeResult, _xlfn.SWITCH(LEFT(Tasks[[#This Row],[Page]], 2), "Hi", "Historic", "An", "Annex", "Si", "Site", "S5", "Project Task", "SWITCH ERROR"),
IF(_xlpm.inTower, "West Tower", _xlpm.typeResult)
)</f>
        <v>Annex</v>
      </c>
      <c r="F683" s="15" t="str">
        <f>IFERROR(MID(Tasks[[#This Row],[Page]], FIND("Level", Tasks[[#This Row],[Page]]), 7), IF(ISNUMBER(FIND("Roof", Tasks[[#This Row],[Page]])), "Roof",  IF(ISNUMBER(FIND("S590", Tasks[[#This Row],[Page]])), "",  IF(ISNUMBER(FIND("Site", Tasks[[#This Row],[Page]])), "", "ERROR"))))</f>
        <v>Level 1</v>
      </c>
      <c r="G683" s="15" t="str">
        <f>IF(Tasks[[#This Row],[Location]]=0, "", Tasks[[#This Row],[Location]])</f>
        <v>113 - Administration</v>
      </c>
      <c r="H683" s="15" t="str">
        <f>Tasks[[#This Row],[To Package]]</f>
        <v>Tile</v>
      </c>
      <c r="I683" s="15" t="str">
        <f>Tasks[[#This Row],[To Organisation]]</f>
        <v>Global Stone and Tile, LLC</v>
      </c>
    </row>
    <row r="684" spans="1:9" ht="15.5" x14ac:dyDescent="0.35">
      <c r="A684" s="16" t="str">
        <f>HYPERLINK(_xlfn.CONCAT(Edit_URL,Tasks[[#This Row],[Ref]]),Tasks[[#This Row],[Ref]])</f>
        <v>T74290.177</v>
      </c>
      <c r="B684" s="15" t="str" cm="1">
        <f t="array" ref="B684">_xlfn.SWITCH(LEFT(Tasks[[#This Row],[Status]],1),"O","Opened","C","Completed","S","Signed Off", "V", "Signed Off","ERROR")</f>
        <v>Opened</v>
      </c>
      <c r="C684" s="15" t="str" cm="1">
        <f t="array" ref="C684">_xlfn.SWITCH(LEFT(Tasks[[#This Row],[Type]], 3), "Fie", "Field Report", "Con", "Contractor QC", "Gen", "Contractor QC", "Pun", "Contractor QC", "Qua", "Contractor QC", "Fin", "Punch List")</f>
        <v>Contractor QC</v>
      </c>
      <c r="D684" s="15" t="str">
        <f>_xlfn.LET(
_xlpm.leftValue, TRIM(LEFT(Tasks[[#This Row],[Description]], 45)),
IF(LEN(_xlpm.leftValue) &lt; 40, _xlpm.leftValue, _xlfn.CONCAT(_xlpm.leftValue, "…"))
)</f>
        <v>Buff all joints smooth</v>
      </c>
      <c r="E684" s="15" t="str" cm="1">
        <f t="array" ref="E684">_xlfn.LET(
_xlpm.inTower, COUNTIF(Tower_Num_Table[Tower Rm Numbers], LEFT(Task_Summary_Table[[#This Row],[Area/Room]], 3)) &gt; 0,
_xlpm.typeResult, _xlfn.SWITCH(LEFT(Tasks[[#This Row],[Page]], 2), "Hi", "Historic", "An", "Annex", "Si", "Site", "S5", "Project Task", "SWITCH ERROR"),
IF(_xlpm.inTower, "West Tower", _xlpm.typeResult)
)</f>
        <v>Annex</v>
      </c>
      <c r="F684" s="15" t="str">
        <f>IFERROR(MID(Tasks[[#This Row],[Page]], FIND("Level", Tasks[[#This Row],[Page]]), 7), IF(ISNUMBER(FIND("Roof", Tasks[[#This Row],[Page]])), "Roof",  IF(ISNUMBER(FIND("S590", Tasks[[#This Row],[Page]])), "",  IF(ISNUMBER(FIND("Site", Tasks[[#This Row],[Page]])), "", "ERROR"))))</f>
        <v>Level 1</v>
      </c>
      <c r="G684" s="15" t="str">
        <f>IF(Tasks[[#This Row],[Location]]=0, "", Tasks[[#This Row],[Location]])</f>
        <v>113 - Administration</v>
      </c>
      <c r="H684" s="15" t="str">
        <f>Tasks[[#This Row],[To Package]]</f>
        <v>Tile</v>
      </c>
      <c r="I684" s="15" t="str">
        <f>Tasks[[#This Row],[To Organisation]]</f>
        <v>Global Stone and Tile, LLC</v>
      </c>
    </row>
    <row r="685" spans="1:9" ht="15.5" x14ac:dyDescent="0.35">
      <c r="A685" s="16" t="str">
        <f>HYPERLINK(_xlfn.CONCAT(Edit_URL,Tasks[[#This Row],[Ref]]),Tasks[[#This Row],[Ref]])</f>
        <v>T74290.194</v>
      </c>
      <c r="B685" s="15" t="str" cm="1">
        <f t="array" ref="B685">_xlfn.SWITCH(LEFT(Tasks[[#This Row],[Status]],1),"O","Opened","C","Completed","S","Signed Off", "V", "Signed Off","ERROR")</f>
        <v>Opened</v>
      </c>
      <c r="C685" s="15" t="str" cm="1">
        <f t="array" ref="C685">_xlfn.SWITCH(LEFT(Tasks[[#This Row],[Type]], 3), "Fie", "Field Report", "Con", "Contractor QC", "Gen", "Contractor QC", "Pun", "Contractor QC", "Qua", "Contractor QC", "Fin", "Punch List")</f>
        <v>Contractor QC</v>
      </c>
      <c r="D685" s="15" t="str">
        <f>_xlfn.LET(
_xlpm.leftValue, TRIM(LEFT(Tasks[[#This Row],[Description]], 45)),
IF(LEN(_xlpm.leftValue) &lt; 40, _xlpm.leftValue, _xlfn.CONCAT(_xlpm.leftValue, "…"))
)</f>
        <v>Paint all transoms</v>
      </c>
      <c r="E685" s="15" t="str" cm="1">
        <f t="array" ref="E685">_xlfn.LET(
_xlpm.inTower, COUNTIF(Tower_Num_Table[Tower Rm Numbers], LEFT(Task_Summary_Table[[#This Row],[Area/Room]], 3)) &gt; 0,
_xlpm.typeResult, _xlfn.SWITCH(LEFT(Tasks[[#This Row],[Page]], 2), "Hi", "Historic", "An", "Annex", "Si", "Site", "S5", "Project Task", "SWITCH ERROR"),
IF(_xlpm.inTower, "West Tower", _xlpm.typeResult)
)</f>
        <v>Annex</v>
      </c>
      <c r="F685" s="15" t="str">
        <f>IFERROR(MID(Tasks[[#This Row],[Page]], FIND("Level", Tasks[[#This Row],[Page]]), 7), IF(ISNUMBER(FIND("Roof", Tasks[[#This Row],[Page]])), "Roof",  IF(ISNUMBER(FIND("S590", Tasks[[#This Row],[Page]])), "",  IF(ISNUMBER(FIND("Site", Tasks[[#This Row],[Page]])), "", "ERROR"))))</f>
        <v>Level 1</v>
      </c>
      <c r="G685" s="15" t="str">
        <f>IF(Tasks[[#This Row],[Location]]=0, "", Tasks[[#This Row],[Location]])</f>
        <v>148 - Instruction 2</v>
      </c>
      <c r="H685" s="15" t="str">
        <f>Tasks[[#This Row],[To Package]]</f>
        <v>Paint</v>
      </c>
      <c r="I685" s="15" t="str">
        <f>Tasks[[#This Row],[To Organisation]]</f>
        <v>Accent Painting and Special Coatings, LLC</v>
      </c>
    </row>
    <row r="686" spans="1:9" ht="15.5" x14ac:dyDescent="0.35">
      <c r="A686" s="16" t="str">
        <f>HYPERLINK(_xlfn.CONCAT(Edit_URL,Tasks[[#This Row],[Ref]]),Tasks[[#This Row],[Ref]])</f>
        <v>T74290.362</v>
      </c>
      <c r="B686" s="15" t="str" cm="1">
        <f t="array" ref="B686">_xlfn.SWITCH(LEFT(Tasks[[#This Row],[Status]],1),"O","Opened","C","Completed","S","Signed Off", "V", "Signed Off","ERROR")</f>
        <v>Opened</v>
      </c>
      <c r="C686" s="15" t="str" cm="1">
        <f t="array" ref="C686">_xlfn.SWITCH(LEFT(Tasks[[#This Row],[Type]], 3), "Fie", "Field Report", "Con", "Contractor QC", "Gen", "Contractor QC", "Pun", "Contractor QC", "Qua", "Contractor QC", "Fin", "Punch List")</f>
        <v>Contractor QC</v>
      </c>
      <c r="D686" s="15" t="str">
        <f>_xlfn.LET(
_xlpm.leftValue, TRIM(LEFT(Tasks[[#This Row],[Description]], 45)),
IF(LEN(_xlpm.leftValue) &lt; 40, _xlpm.leftValue, _xlfn.CONCAT(_xlpm.leftValue, "…"))
)</f>
        <v>Install door hardware and hinge</v>
      </c>
      <c r="E686" s="15" t="str" cm="1">
        <f t="array" ref="E686">_xlfn.LET(
_xlpm.inTower, COUNTIF(Tower_Num_Table[Tower Rm Numbers], LEFT(Task_Summary_Table[[#This Row],[Area/Room]], 3)) &gt; 0,
_xlpm.typeResult, _xlfn.SWITCH(LEFT(Tasks[[#This Row],[Page]], 2), "Hi", "Historic", "An", "Annex", "Si", "Site", "S5", "Project Task", "SWITCH ERROR"),
IF(_xlpm.inTower, "West Tower", _xlpm.typeResult)
)</f>
        <v>Annex</v>
      </c>
      <c r="F686" s="15" t="str">
        <f>IFERROR(MID(Tasks[[#This Row],[Page]], FIND("Level", Tasks[[#This Row],[Page]]), 7), IF(ISNUMBER(FIND("Roof", Tasks[[#This Row],[Page]])), "Roof",  IF(ISNUMBER(FIND("S590", Tasks[[#This Row],[Page]])), "",  IF(ISNUMBER(FIND("Site", Tasks[[#This Row],[Page]])), "", "ERROR"))))</f>
        <v>Level 0</v>
      </c>
      <c r="G686" s="15" t="str">
        <f>IF(Tasks[[#This Row],[Location]]=0, "", Tasks[[#This Row],[Location]])</f>
        <v>045 - TFM Office</v>
      </c>
      <c r="H686" s="15" t="str">
        <f>Tasks[[#This Row],[To Package]]</f>
        <v xml:space="preserve">Finish Carpentry </v>
      </c>
      <c r="I686" s="15" t="str">
        <f>Tasks[[#This Row],[To Organisation]]</f>
        <v>Fetzers' Inc.</v>
      </c>
    </row>
    <row r="687" spans="1:9" ht="15.5" x14ac:dyDescent="0.35">
      <c r="A687" s="16" t="str">
        <f>HYPERLINK(_xlfn.CONCAT(Edit_URL,Tasks[[#This Row],[Ref]]),Tasks[[#This Row],[Ref]])</f>
        <v>T74290.363</v>
      </c>
      <c r="B687" s="15" t="str" cm="1">
        <f t="array" ref="B687">_xlfn.SWITCH(LEFT(Tasks[[#This Row],[Status]],1),"O","Opened","C","Completed","S","Signed Off", "V", "Signed Off","ERROR")</f>
        <v>Opened</v>
      </c>
      <c r="C687" s="15" t="str" cm="1">
        <f t="array" ref="C687">_xlfn.SWITCH(LEFT(Tasks[[#This Row],[Type]], 3), "Fie", "Field Report", "Con", "Contractor QC", "Gen", "Contractor QC", "Pun", "Contractor QC", "Qua", "Contractor QC", "Fin", "Punch List")</f>
        <v>Contractor QC</v>
      </c>
      <c r="D687" s="15" t="str">
        <f>_xlfn.LET(
_xlpm.leftValue, TRIM(LEFT(Tasks[[#This Row],[Description]], 45)),
IF(LEN(_xlpm.leftValue) &lt; 40, _xlpm.leftValue, _xlfn.CONCAT(_xlpm.leftValue, "…"))
)</f>
        <v>In question what this box is for?</v>
      </c>
      <c r="E687" s="15" t="str" cm="1">
        <f t="array" ref="E687">_xlfn.LET(
_xlpm.inTower, COUNTIF(Tower_Num_Table[Tower Rm Numbers], LEFT(Task_Summary_Table[[#This Row],[Area/Room]], 3)) &gt; 0,
_xlpm.typeResult, _xlfn.SWITCH(LEFT(Tasks[[#This Row],[Page]], 2), "Hi", "Historic", "An", "Annex", "Si", "Site", "S5", "Project Task", "SWITCH ERROR"),
IF(_xlpm.inTower, "West Tower", _xlpm.typeResult)
)</f>
        <v>Annex</v>
      </c>
      <c r="F687" s="15" t="str">
        <f>IFERROR(MID(Tasks[[#This Row],[Page]], FIND("Level", Tasks[[#This Row],[Page]]), 7), IF(ISNUMBER(FIND("Roof", Tasks[[#This Row],[Page]])), "Roof",  IF(ISNUMBER(FIND("S590", Tasks[[#This Row],[Page]])), "",  IF(ISNUMBER(FIND("Site", Tasks[[#This Row],[Page]])), "", "ERROR"))))</f>
        <v>Level 0</v>
      </c>
      <c r="G687" s="15" t="str">
        <f>IF(Tasks[[#This Row],[Location]]=0, "", Tasks[[#This Row],[Location]])</f>
        <v>045 - TFM Office</v>
      </c>
      <c r="H687" s="15" t="str">
        <f>Tasks[[#This Row],[To Package]]</f>
        <v>Electrical</v>
      </c>
      <c r="I687" s="15" t="str">
        <f>Tasks[[#This Row],[To Organisation]]</f>
        <v>Wilkinson Electric Inc</v>
      </c>
    </row>
    <row r="688" spans="1:9" ht="15.5" x14ac:dyDescent="0.35">
      <c r="A688" s="16" t="str">
        <f>HYPERLINK(_xlfn.CONCAT(Edit_URL,Tasks[[#This Row],[Ref]]),Tasks[[#This Row],[Ref]])</f>
        <v>T74290.364</v>
      </c>
      <c r="B688" s="15" t="str" cm="1">
        <f t="array" ref="B688">_xlfn.SWITCH(LEFT(Tasks[[#This Row],[Status]],1),"O","Opened","C","Completed","S","Signed Off", "V", "Signed Off","ERROR")</f>
        <v>Opened</v>
      </c>
      <c r="C688" s="15" t="str" cm="1">
        <f t="array" ref="C688">_xlfn.SWITCH(LEFT(Tasks[[#This Row],[Type]], 3), "Fie", "Field Report", "Con", "Contractor QC", "Gen", "Contractor QC", "Pun", "Contractor QC", "Qua", "Contractor QC", "Fin", "Punch List")</f>
        <v>Contractor QC</v>
      </c>
      <c r="D688" s="15" t="str">
        <f>_xlfn.LET(
_xlpm.leftValue, TRIM(LEFT(Tasks[[#This Row],[Description]], 45)),
IF(LEN(_xlpm.leftValue) &lt; 40, _xlpm.leftValue, _xlfn.CONCAT(_xlpm.leftValue, "…"))
)</f>
        <v>Door doesn’t close. Needs to be adjusted. com…</v>
      </c>
      <c r="E688" s="15" t="str" cm="1">
        <f t="array" ref="E688">_xlfn.LET(
_xlpm.inTower, COUNTIF(Tower_Num_Table[Tower Rm Numbers], LEFT(Task_Summary_Table[[#This Row],[Area/Room]], 3)) &gt; 0,
_xlpm.typeResult, _xlfn.SWITCH(LEFT(Tasks[[#This Row],[Page]], 2), "Hi", "Historic", "An", "Annex", "Si", "Site", "S5", "Project Task", "SWITCH ERROR"),
IF(_xlpm.inTower, "West Tower", _xlpm.typeResult)
)</f>
        <v>Annex</v>
      </c>
      <c r="F688" s="15" t="str">
        <f>IFERROR(MID(Tasks[[#This Row],[Page]], FIND("Level", Tasks[[#This Row],[Page]]), 7), IF(ISNUMBER(FIND("Roof", Tasks[[#This Row],[Page]])), "Roof",  IF(ISNUMBER(FIND("S590", Tasks[[#This Row],[Page]])), "",  IF(ISNUMBER(FIND("Site", Tasks[[#This Row],[Page]])), "", "ERROR"))))</f>
        <v>Level 0</v>
      </c>
      <c r="G688" s="15" t="str">
        <f>IF(Tasks[[#This Row],[Location]]=0, "", Tasks[[#This Row],[Location]])</f>
        <v>031 - Laundry Supervisor</v>
      </c>
      <c r="H688" s="15" t="str">
        <f>Tasks[[#This Row],[To Package]]</f>
        <v xml:space="preserve">Finish Carpentry </v>
      </c>
      <c r="I688" s="15" t="str">
        <f>Tasks[[#This Row],[To Organisation]]</f>
        <v>Fetzers' Inc.</v>
      </c>
    </row>
    <row r="689" spans="1:9" ht="15.5" x14ac:dyDescent="0.35">
      <c r="A689" s="16" t="str">
        <f>HYPERLINK(_xlfn.CONCAT(Edit_URL,Tasks[[#This Row],[Ref]]),Tasks[[#This Row],[Ref]])</f>
        <v>T74290.365</v>
      </c>
      <c r="B689" s="15" t="str" cm="1">
        <f t="array" ref="B689">_xlfn.SWITCH(LEFT(Tasks[[#This Row],[Status]],1),"O","Opened","C","Completed","S","Signed Off", "V", "Signed Off","ERROR")</f>
        <v>Opened</v>
      </c>
      <c r="C689" s="15" t="str" cm="1">
        <f t="array" ref="C689">_xlfn.SWITCH(LEFT(Tasks[[#This Row],[Type]], 3), "Fie", "Field Report", "Con", "Contractor QC", "Gen", "Contractor QC", "Pun", "Contractor QC", "Qua", "Contractor QC", "Fin", "Punch List")</f>
        <v>Contractor QC</v>
      </c>
      <c r="D689" s="15" t="str">
        <f>_xlfn.LET(
_xlpm.leftValue, TRIM(LEFT(Tasks[[#This Row],[Description]], 45)),
IF(LEN(_xlpm.leftValue) &lt; 40, _xlpm.leftValue, _xlfn.CONCAT(_xlpm.leftValue, "…"))
)</f>
        <v>Fix ceiling tile throughout room</v>
      </c>
      <c r="E689" s="15" t="str" cm="1">
        <f t="array" ref="E689">_xlfn.LET(
_xlpm.inTower, COUNTIF(Tower_Num_Table[Tower Rm Numbers], LEFT(Task_Summary_Table[[#This Row],[Area/Room]], 3)) &gt; 0,
_xlpm.typeResult, _xlfn.SWITCH(LEFT(Tasks[[#This Row],[Page]], 2), "Hi", "Historic", "An", "Annex", "Si", "Site", "S5", "Project Task", "SWITCH ERROR"),
IF(_xlpm.inTower, "West Tower", _xlpm.typeResult)
)</f>
        <v>Annex</v>
      </c>
      <c r="F689" s="15" t="str">
        <f>IFERROR(MID(Tasks[[#This Row],[Page]], FIND("Level", Tasks[[#This Row],[Page]]), 7), IF(ISNUMBER(FIND("Roof", Tasks[[#This Row],[Page]])), "Roof",  IF(ISNUMBER(FIND("S590", Tasks[[#This Row],[Page]])), "",  IF(ISNUMBER(FIND("Site", Tasks[[#This Row],[Page]])), "", "ERROR"))))</f>
        <v>Level 0</v>
      </c>
      <c r="G689" s="15" t="str">
        <f>IF(Tasks[[#This Row],[Location]]=0, "", Tasks[[#This Row],[Location]])</f>
        <v>031 - Laundry Supervisor</v>
      </c>
      <c r="H689" s="15" t="str">
        <f>Tasks[[#This Row],[To Package]]</f>
        <v>Acoustical Ceilings</v>
      </c>
      <c r="I689" s="15" t="str">
        <f>Tasks[[#This Row],[To Organisation]]</f>
        <v>Design West Acoustics</v>
      </c>
    </row>
    <row r="690" spans="1:9" ht="15.5" x14ac:dyDescent="0.35">
      <c r="A690" s="16" t="str">
        <f>HYPERLINK(_xlfn.CONCAT(Edit_URL,Tasks[[#This Row],[Ref]]),Tasks[[#This Row],[Ref]])</f>
        <v>T72999.3</v>
      </c>
      <c r="B690" s="15" t="str" cm="1">
        <f t="array" ref="B690">_xlfn.SWITCH(LEFT(Tasks[[#This Row],[Status]],1),"O","Opened","C","Completed","S","Signed Off", "V", "Signed Off","ERROR")</f>
        <v>Opened</v>
      </c>
      <c r="C690" s="15" t="str" cm="1">
        <f t="array" ref="C690">_xlfn.SWITCH(LEFT(Tasks[[#This Row],[Type]], 3), "Fie", "Field Report", "Con", "Contractor QC", "Gen", "Contractor QC", "Pun", "Contractor QC", "Qua", "Contractor QC", "Fin", "Punch List")</f>
        <v>Contractor QC</v>
      </c>
      <c r="D690" s="15" t="str">
        <f>_xlfn.LET(
_xlpm.leftValue, TRIM(LEFT(Tasks[[#This Row],[Description]], 45)),
IF(LEN(_xlpm.leftValue) &lt; 40, _xlpm.leftValue, _xlfn.CONCAT(_xlpm.leftValue, "…"))
)</f>
        <v>precast finishes issues will likely make it s…</v>
      </c>
      <c r="E690" s="15" t="str" cm="1">
        <f t="array" ref="E690">_xlfn.LET(
_xlpm.inTower, COUNTIF(Tower_Num_Table[Tower Rm Numbers], LEFT(Task_Summary_Table[[#This Row],[Area/Room]], 3)) &gt; 0,
_xlpm.typeResult, _xlfn.SWITCH(LEFT(Tasks[[#This Row],[Page]], 2), "Hi", "Historic", "An", "Annex", "Si", "Site", "S5", "Project Task", "SWITCH ERROR"),
IF(_xlpm.inTower, "West Tower", _xlpm.typeResult)
)</f>
        <v>Site</v>
      </c>
      <c r="F690" s="15" t="str">
        <f>IFERROR(MID(Tasks[[#This Row],[Page]], FIND("Level", Tasks[[#This Row],[Page]]), 7), IF(ISNUMBER(FIND("Roof", Tasks[[#This Row],[Page]])), "Roof",  IF(ISNUMBER(FIND("S590", Tasks[[#This Row],[Page]])), "",  IF(ISNUMBER(FIND("Site", Tasks[[#This Row],[Page]])), "", "ERROR"))))</f>
        <v/>
      </c>
      <c r="G690" s="15" t="str">
        <f>IF(Tasks[[#This Row],[Location]]=0, "", Tasks[[#This Row],[Location]])</f>
        <v>Site Area K</v>
      </c>
      <c r="H690" s="15" t="str">
        <f>Tasks[[#This Row],[To Package]]</f>
        <v>Exterior Stone</v>
      </c>
      <c r="I690" s="15" t="str">
        <f>Tasks[[#This Row],[To Organisation]]</f>
        <v>IMS Masonry, Inc.</v>
      </c>
    </row>
    <row r="691" spans="1:9" ht="15.5" x14ac:dyDescent="0.35">
      <c r="A691" s="16" t="str">
        <f>HYPERLINK(_xlfn.CONCAT(Edit_URL,Tasks[[#This Row],[Ref]]),Tasks[[#This Row],[Ref]])</f>
        <v>T74290.171</v>
      </c>
      <c r="B691" s="15" t="str" cm="1">
        <f t="array" ref="B691">_xlfn.SWITCH(LEFT(Tasks[[#This Row],[Status]],1),"O","Opened","C","Completed","S","Signed Off", "V", "Signed Off","ERROR")</f>
        <v>Opened</v>
      </c>
      <c r="C691" s="15" t="str" cm="1">
        <f t="array" ref="C691">_xlfn.SWITCH(LEFT(Tasks[[#This Row],[Type]], 3), "Fie", "Field Report", "Con", "Contractor QC", "Gen", "Contractor QC", "Pun", "Contractor QC", "Qua", "Contractor QC", "Fin", "Punch List")</f>
        <v>Contractor QC</v>
      </c>
      <c r="D691" s="15" t="str">
        <f>_xlfn.LET(
_xlpm.leftValue, TRIM(LEFT(Tasks[[#This Row],[Description]], 45)),
IF(LEN(_xlpm.leftValue) &lt; 40, _xlpm.leftValue, _xlfn.CONCAT(_xlpm.leftValue, "…"))
)</f>
        <v>Complete drywall around sink</v>
      </c>
      <c r="E691" s="15" t="str" cm="1">
        <f t="array" ref="E69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691" s="15" t="str">
        <f>IFERROR(MID(Tasks[[#This Row],[Page]], FIND("Level", Tasks[[#This Row],[Page]]), 7), IF(ISNUMBER(FIND("Roof", Tasks[[#This Row],[Page]])), "Roof",  IF(ISNUMBER(FIND("S590", Tasks[[#This Row],[Page]])), "",  IF(ISNUMBER(FIND("Site", Tasks[[#This Row],[Page]])), "", "ERROR"))))</f>
        <v>Level 2</v>
      </c>
      <c r="G691" s="15" t="str">
        <f>IF(Tasks[[#This Row],[Location]]=0, "", Tasks[[#This Row],[Location]])</f>
        <v>207 - Janitor Storage</v>
      </c>
      <c r="H691" s="15" t="str">
        <f>Tasks[[#This Row],[To Package]]</f>
        <v>Metal Stud / Drywall</v>
      </c>
      <c r="I691" s="15" t="str">
        <f>Tasks[[#This Row],[To Organisation]]</f>
        <v>Pete King Construction</v>
      </c>
    </row>
    <row r="692" spans="1:9" ht="15.5" x14ac:dyDescent="0.35">
      <c r="A692" s="16" t="str">
        <f>HYPERLINK(_xlfn.CONCAT(Edit_URL,Tasks[[#This Row],[Ref]]),Tasks[[#This Row],[Ref]])</f>
        <v>T72999.1</v>
      </c>
      <c r="B692" s="15" t="str" cm="1">
        <f t="array" ref="B692">_xlfn.SWITCH(LEFT(Tasks[[#This Row],[Status]],1),"O","Opened","C","Completed","S","Signed Off", "V", "Signed Off","ERROR")</f>
        <v>Opened</v>
      </c>
      <c r="C692" s="15" t="str" cm="1">
        <f t="array" ref="C692">_xlfn.SWITCH(LEFT(Tasks[[#This Row],[Type]], 3), "Fie", "Field Report", "Con", "Contractor QC", "Gen", "Contractor QC", "Pun", "Contractor QC", "Qua", "Contractor QC", "Fin", "Punch List")</f>
        <v>Contractor QC</v>
      </c>
      <c r="D692" s="15" t="str">
        <f>_xlfn.LET(
_xlpm.leftValue, TRIM(LEFT(Tasks[[#This Row],[Description]], 45)),
IF(LEN(_xlpm.leftValue) &lt; 40, _xlpm.leftValue, _xlfn.CONCAT(_xlpm.leftValue, "…"))
)</f>
        <v>line up pavers with walkway
or a 45</v>
      </c>
      <c r="E692" s="15" t="str" cm="1">
        <f t="array" ref="E692">_xlfn.LET(
_xlpm.inTower, COUNTIF(Tower_Num_Table[Tower Rm Numbers], LEFT(Task_Summary_Table[[#This Row],[Area/Room]], 3)) &gt; 0,
_xlpm.typeResult, _xlfn.SWITCH(LEFT(Tasks[[#This Row],[Page]], 2), "Hi", "Historic", "An", "Annex", "Si", "Site", "S5", "Project Task", "SWITCH ERROR"),
IF(_xlpm.inTower, "West Tower", _xlpm.typeResult)
)</f>
        <v>Site</v>
      </c>
      <c r="F692" s="15" t="str">
        <f>IFERROR(MID(Tasks[[#This Row],[Page]], FIND("Level", Tasks[[#This Row],[Page]]), 7), IF(ISNUMBER(FIND("Roof", Tasks[[#This Row],[Page]])), "Roof",  IF(ISNUMBER(FIND("S590", Tasks[[#This Row],[Page]])), "",  IF(ISNUMBER(FIND("Site", Tasks[[#This Row],[Page]])), "", "ERROR"))))</f>
        <v/>
      </c>
      <c r="G692" s="15" t="str">
        <f>IF(Tasks[[#This Row],[Location]]=0, "", Tasks[[#This Row],[Location]])</f>
        <v>Site Area K</v>
      </c>
      <c r="H692" s="15" t="str">
        <f>Tasks[[#This Row],[To Package]]</f>
        <v>Pavers</v>
      </c>
      <c r="I692" s="15" t="str">
        <f>Tasks[[#This Row],[To Organisation]]</f>
        <v>IMS Masonry, Inc.</v>
      </c>
    </row>
    <row r="693" spans="1:9" ht="15.5" x14ac:dyDescent="0.35">
      <c r="A693" s="16" t="str">
        <f>HYPERLINK(_xlfn.CONCAT(Edit_URL,Tasks[[#This Row],[Ref]]),Tasks[[#This Row],[Ref]])</f>
        <v>T74290.195</v>
      </c>
      <c r="B693" s="15" t="str" cm="1">
        <f t="array" ref="B693">_xlfn.SWITCH(LEFT(Tasks[[#This Row],[Status]],1),"O","Opened","C","Completed","S","Signed Off", "V", "Signed Off","ERROR")</f>
        <v>Opened</v>
      </c>
      <c r="C693" s="15" t="str" cm="1">
        <f t="array" ref="C693">_xlfn.SWITCH(LEFT(Tasks[[#This Row],[Type]], 3), "Fie", "Field Report", "Con", "Contractor QC", "Gen", "Contractor QC", "Pun", "Contractor QC", "Qua", "Contractor QC", "Fin", "Punch List")</f>
        <v>Contractor QC</v>
      </c>
      <c r="D693" s="15" t="str">
        <f>_xlfn.LET(
_xlpm.leftValue, TRIM(LEFT(Tasks[[#This Row],[Description]], 45)),
IF(LEN(_xlpm.leftValue) &lt; 40, _xlpm.leftValue, _xlfn.CONCAT(_xlpm.leftValue, "…"))
)</f>
        <v>Repair paint on ceiling</v>
      </c>
      <c r="E693" s="15" t="str" cm="1">
        <f t="array" ref="E693">_xlfn.LET(
_xlpm.inTower, COUNTIF(Tower_Num_Table[Tower Rm Numbers], LEFT(Task_Summary_Table[[#This Row],[Area/Room]], 3)) &gt; 0,
_xlpm.typeResult, _xlfn.SWITCH(LEFT(Tasks[[#This Row],[Page]], 2), "Hi", "Historic", "An", "Annex", "Si", "Site", "S5", "Project Task", "SWITCH ERROR"),
IF(_xlpm.inTower, "West Tower", _xlpm.typeResult)
)</f>
        <v>Historic</v>
      </c>
      <c r="F693" s="15" t="str">
        <f>IFERROR(MID(Tasks[[#This Row],[Page]], FIND("Level", Tasks[[#This Row],[Page]]), 7), IF(ISNUMBER(FIND("Roof", Tasks[[#This Row],[Page]])), "Roof",  IF(ISNUMBER(FIND("S590", Tasks[[#This Row],[Page]])), "",  IF(ISNUMBER(FIND("Site", Tasks[[#This Row],[Page]])), "", "ERROR"))))</f>
        <v>Level 5</v>
      </c>
      <c r="G693" s="15" t="str">
        <f>IF(Tasks[[#This Row],[Location]]=0, "", Tasks[[#This Row],[Location]])</f>
        <v>525 - Instruction 15</v>
      </c>
      <c r="H693" s="15" t="str">
        <f>Tasks[[#This Row],[To Package]]</f>
        <v>Paint</v>
      </c>
      <c r="I693" s="15" t="str">
        <f>Tasks[[#This Row],[To Organisation]]</f>
        <v>Accent Painting and Special Coatings, LLC</v>
      </c>
    </row>
    <row r="694" spans="1:9" ht="15.5" x14ac:dyDescent="0.35">
      <c r="A694" s="16" t="str">
        <f>HYPERLINK(_xlfn.CONCAT(Edit_URL,Tasks[[#This Row],[Ref]]),Tasks[[#This Row],[Ref]])</f>
        <v>T74290.193</v>
      </c>
      <c r="B694" s="15" t="str" cm="1">
        <f t="array" ref="B694">_xlfn.SWITCH(LEFT(Tasks[[#This Row],[Status]],1),"O","Opened","C","Completed","S","Signed Off", "V", "Signed Off","ERROR")</f>
        <v>Opened</v>
      </c>
      <c r="C694" s="15" t="str" cm="1">
        <f t="array" ref="C694">_xlfn.SWITCH(LEFT(Tasks[[#This Row],[Type]], 3), "Fie", "Field Report", "Con", "Contractor QC", "Gen", "Contractor QC", "Pun", "Contractor QC", "Qua", "Contractor QC", "Fin", "Punch List")</f>
        <v>Contractor QC</v>
      </c>
      <c r="D694" s="15" t="str">
        <f>_xlfn.LET(
_xlpm.leftValue, TRIM(LEFT(Tasks[[#This Row],[Description]], 45)),
IF(LEN(_xlpm.leftValue) &lt; 40, _xlpm.leftValue, _xlfn.CONCAT(_xlpm.leftValue, "…"))
)</f>
        <v>Remove blue tape from medallion</v>
      </c>
      <c r="E694" s="15" t="str" cm="1">
        <f t="array" ref="E694">_xlfn.LET(
_xlpm.inTower, COUNTIF(Tower_Num_Table[Tower Rm Numbers], LEFT(Task_Summary_Table[[#This Row],[Area/Room]], 3)) &gt; 0,
_xlpm.typeResult, _xlfn.SWITCH(LEFT(Tasks[[#This Row],[Page]], 2), "Hi", "Historic", "An", "Annex", "Si", "Site", "S5", "Project Task", "SWITCH ERROR"),
IF(_xlpm.inTower, "West Tower", _xlpm.typeResult)
)</f>
        <v>Annex</v>
      </c>
      <c r="F694" s="15" t="str">
        <f>IFERROR(MID(Tasks[[#This Row],[Page]], FIND("Level", Tasks[[#This Row],[Page]]), 7), IF(ISNUMBER(FIND("Roof", Tasks[[#This Row],[Page]])), "Roof",  IF(ISNUMBER(FIND("S590", Tasks[[#This Row],[Page]])), "",  IF(ISNUMBER(FIND("Site", Tasks[[#This Row],[Page]])), "", "ERROR"))))</f>
        <v>Level 1</v>
      </c>
      <c r="G694" s="15" t="str">
        <f>IF(Tasks[[#This Row],[Location]]=0, "", Tasks[[#This Row],[Location]])</f>
        <v>143B - Hall</v>
      </c>
      <c r="H694" s="15" t="str">
        <f>Tasks[[#This Row],[To Package]]</f>
        <v>Paint</v>
      </c>
      <c r="I694" s="15" t="str">
        <f>Tasks[[#This Row],[To Organisation]]</f>
        <v>Accent Painting and Special Coatings, LLC</v>
      </c>
    </row>
    <row r="695" spans="1:9" ht="15.5" x14ac:dyDescent="0.35">
      <c r="A695" s="16" t="str">
        <f>HYPERLINK(_xlfn.CONCAT(Edit_URL,Tasks[[#This Row],[Ref]]),Tasks[[#This Row],[Ref]])</f>
        <v>T74290.191</v>
      </c>
      <c r="B695" s="15" t="str" cm="1">
        <f t="array" ref="B695">_xlfn.SWITCH(LEFT(Tasks[[#This Row],[Status]],1),"O","Opened","C","Completed","S","Signed Off", "V", "Signed Off","ERROR")</f>
        <v>Opened</v>
      </c>
      <c r="C695" s="15" t="str" cm="1">
        <f t="array" ref="C695">_xlfn.SWITCH(LEFT(Tasks[[#This Row],[Type]], 3), "Fie", "Field Report", "Con", "Contractor QC", "Gen", "Contractor QC", "Pun", "Contractor QC", "Qua", "Contractor QC", "Fin", "Punch List")</f>
        <v>Contractor QC</v>
      </c>
      <c r="D695" s="15" t="str">
        <f>_xlfn.LET(
_xlpm.leftValue, TRIM(LEFT(Tasks[[#This Row],[Description]], 45)),
IF(LEN(_xlpm.leftValue) &lt; 40, _xlpm.leftValue, _xlfn.CONCAT(_xlpm.leftValue, "…"))
)</f>
        <v>Spider box needs replaced or fixed</v>
      </c>
      <c r="E695" s="15" t="str" cm="1">
        <f t="array" ref="E695">_xlfn.LET(
_xlpm.inTower, COUNTIF(Tower_Num_Table[Tower Rm Numbers], LEFT(Task_Summary_Table[[#This Row],[Area/Room]], 3)) &gt; 0,
_xlpm.typeResult, _xlfn.SWITCH(LEFT(Tasks[[#This Row],[Page]], 2), "Hi", "Historic", "An", "Annex", "Si", "Site", "S5", "Project Task", "SWITCH ERROR"),
IF(_xlpm.inTower, "West Tower", _xlpm.typeResult)
)</f>
        <v>Historic</v>
      </c>
      <c r="F695" s="15" t="str">
        <f>IFERROR(MID(Tasks[[#This Row],[Page]], FIND("Level", Tasks[[#This Row],[Page]]), 7), IF(ISNUMBER(FIND("Roof", Tasks[[#This Row],[Page]])), "Roof",  IF(ISNUMBER(FIND("S590", Tasks[[#This Row],[Page]])), "",  IF(ISNUMBER(FIND("Site", Tasks[[#This Row],[Page]])), "", "ERROR"))))</f>
        <v>Level 4</v>
      </c>
      <c r="G695" s="15" t="str">
        <f>IF(Tasks[[#This Row],[Location]]=0, "", Tasks[[#This Row],[Location]])</f>
        <v>Level 4 East Stair Tower</v>
      </c>
      <c r="H695" s="15" t="str">
        <f>Tasks[[#This Row],[To Package]]</f>
        <v>Electrical</v>
      </c>
      <c r="I695" s="15" t="str">
        <f>Tasks[[#This Row],[To Organisation]]</f>
        <v>Wilkinson Electric Inc</v>
      </c>
    </row>
    <row r="696" spans="1:9" ht="15.5" x14ac:dyDescent="0.35">
      <c r="A696" s="16" t="str">
        <f>HYPERLINK(_xlfn.CONCAT(Edit_URL,Tasks[[#This Row],[Ref]]),Tasks[[#This Row],[Ref]])</f>
        <v>T74290.192</v>
      </c>
      <c r="B696" s="15" t="str" cm="1">
        <f t="array" ref="B696">_xlfn.SWITCH(LEFT(Tasks[[#This Row],[Status]],1),"O","Opened","C","Completed","S","Signed Off", "V", "Signed Off","ERROR")</f>
        <v>Opened</v>
      </c>
      <c r="C696" s="15" t="str" cm="1">
        <f t="array" ref="C696">_xlfn.SWITCH(LEFT(Tasks[[#This Row],[Type]], 3), "Fie", "Field Report", "Con", "Contractor QC", "Gen", "Contractor QC", "Pun", "Contractor QC", "Qua", "Contractor QC", "Fin", "Punch List")</f>
        <v>Contractor QC</v>
      </c>
      <c r="D696" s="15" t="str">
        <f>_xlfn.LET(
_xlpm.leftValue, TRIM(LEFT(Tasks[[#This Row],[Description]], 45)),
IF(LEN(_xlpm.leftValue) &lt; 40, _xlpm.leftValue, _xlfn.CONCAT(_xlpm.leftValue, "…"))
)</f>
        <v>Clean up landing on level 4</v>
      </c>
      <c r="E696" s="15" t="str" cm="1">
        <f t="array" ref="E696">_xlfn.LET(
_xlpm.inTower, COUNTIF(Tower_Num_Table[Tower Rm Numbers], LEFT(Task_Summary_Table[[#This Row],[Area/Room]], 3)) &gt; 0,
_xlpm.typeResult, _xlfn.SWITCH(LEFT(Tasks[[#This Row],[Page]], 2), "Hi", "Historic", "An", "Annex", "Si", "Site", "S5", "Project Task", "SWITCH ERROR"),
IF(_xlpm.inTower, "West Tower", _xlpm.typeResult)
)</f>
        <v>Historic</v>
      </c>
      <c r="F696" s="15" t="str">
        <f>IFERROR(MID(Tasks[[#This Row],[Page]], FIND("Level", Tasks[[#This Row],[Page]]), 7), IF(ISNUMBER(FIND("Roof", Tasks[[#This Row],[Page]])), "Roof",  IF(ISNUMBER(FIND("S590", Tasks[[#This Row],[Page]])), "",  IF(ISNUMBER(FIND("Site", Tasks[[#This Row],[Page]])), "", "ERROR"))))</f>
        <v>Level 4</v>
      </c>
      <c r="G696" s="15" t="str">
        <f>IF(Tasks[[#This Row],[Location]]=0, "", Tasks[[#This Row],[Location]])</f>
        <v>Level 4 East Stair Tower</v>
      </c>
      <c r="H696" s="15" t="str">
        <f>Tasks[[#This Row],[To Package]]</f>
        <v>Metal Stud / Drywall</v>
      </c>
      <c r="I696" s="15" t="str">
        <f>Tasks[[#This Row],[To Organisation]]</f>
        <v>Pete King Construction</v>
      </c>
    </row>
    <row r="697" spans="1:9" ht="15.5" x14ac:dyDescent="0.35">
      <c r="A697" s="16" t="str">
        <f>HYPERLINK(_xlfn.CONCAT(Edit_URL,Tasks[[#This Row],[Ref]]),Tasks[[#This Row],[Ref]])</f>
        <v>T74290.180</v>
      </c>
      <c r="B697" s="15" t="str" cm="1">
        <f t="array" ref="B697">_xlfn.SWITCH(LEFT(Tasks[[#This Row],[Status]],1),"O","Opened","C","Completed","S","Signed Off", "V", "Signed Off","ERROR")</f>
        <v>Opened</v>
      </c>
      <c r="C697" s="15" t="str" cm="1">
        <f t="array" ref="C697">_xlfn.SWITCH(LEFT(Tasks[[#This Row],[Type]], 3), "Fie", "Field Report", "Con", "Contractor QC", "Gen", "Contractor QC", "Pun", "Contractor QC", "Qua", "Contractor QC", "Fin", "Punch List")</f>
        <v>Contractor QC</v>
      </c>
      <c r="D697" s="15" t="str">
        <f>_xlfn.LET(
_xlpm.leftValue, TRIM(LEFT(Tasks[[#This Row],[Description]], 45)),
IF(LEN(_xlpm.leftValue) &lt; 40, _xlpm.leftValue, _xlfn.CONCAT(_xlpm.leftValue, "…"))
)</f>
        <v>Repair scratches and repaint south wall above…</v>
      </c>
      <c r="E697" s="15" t="str" cm="1">
        <f t="array" ref="E697">_xlfn.LET(
_xlpm.inTower, COUNTIF(Tower_Num_Table[Tower Rm Numbers], LEFT(Task_Summary_Table[[#This Row],[Area/Room]], 3)) &gt; 0,
_xlpm.typeResult, _xlfn.SWITCH(LEFT(Tasks[[#This Row],[Page]], 2), "Hi", "Historic", "An", "Annex", "Si", "Site", "S5", "Project Task", "SWITCH ERROR"),
IF(_xlpm.inTower, "West Tower", _xlpm.typeResult)
)</f>
        <v>Historic</v>
      </c>
      <c r="F697" s="15" t="str">
        <f>IFERROR(MID(Tasks[[#This Row],[Page]], FIND("Level", Tasks[[#This Row],[Page]]), 7), IF(ISNUMBER(FIND("Roof", Tasks[[#This Row],[Page]])), "Roof",  IF(ISNUMBER(FIND("S590", Tasks[[#This Row],[Page]])), "",  IF(ISNUMBER(FIND("Site", Tasks[[#This Row],[Page]])), "", "ERROR"))))</f>
        <v>Level 0</v>
      </c>
      <c r="G697" s="15" t="str">
        <f>IF(Tasks[[#This Row],[Location]]=0, "", Tasks[[#This Row],[Location]])</f>
        <v>079 - Restroom Vest</v>
      </c>
      <c r="H697" s="15" t="str">
        <f>Tasks[[#This Row],[To Package]]</f>
        <v>Metal Stud / Drywall</v>
      </c>
      <c r="I697" s="15" t="str">
        <f>Tasks[[#This Row],[To Organisation]]</f>
        <v>Pete King Construction</v>
      </c>
    </row>
    <row r="698" spans="1:9" ht="15.5" x14ac:dyDescent="0.35">
      <c r="A698" s="16" t="str">
        <f>HYPERLINK(_xlfn.CONCAT(Edit_URL,Tasks[[#This Row],[Ref]]),Tasks[[#This Row],[Ref]])</f>
        <v>T74290.182</v>
      </c>
      <c r="B698" s="15" t="str" cm="1">
        <f t="array" ref="B698">_xlfn.SWITCH(LEFT(Tasks[[#This Row],[Status]],1),"O","Opened","C","Completed","S","Signed Off", "V", "Signed Off","ERROR")</f>
        <v>Signed Off</v>
      </c>
      <c r="C698" s="15" t="str" cm="1">
        <f t="array" ref="C698">_xlfn.SWITCH(LEFT(Tasks[[#This Row],[Type]], 3), "Fie", "Field Report", "Con", "Contractor QC", "Gen", "Contractor QC", "Pun", "Contractor QC", "Qua", "Contractor QC", "Fin", "Punch List")</f>
        <v>Contractor QC</v>
      </c>
      <c r="D698" s="15" t="str">
        <f>_xlfn.LET(
_xlpm.leftValue, TRIM(LEFT(Tasks[[#This Row],[Description]], 45)),
IF(LEN(_xlpm.leftValue) &lt; 40, _xlpm.leftValue, _xlfn.CONCAT(_xlpm.leftValue, "…"))
)</f>
        <v>Complete Sheetrock</v>
      </c>
      <c r="E698" s="15" t="str" cm="1">
        <f t="array" ref="E698">_xlfn.LET(
_xlpm.inTower, COUNTIF(Tower_Num_Table[Tower Rm Numbers], LEFT(Task_Summary_Table[[#This Row],[Area/Room]], 3)) &gt; 0,
_xlpm.typeResult, _xlfn.SWITCH(LEFT(Tasks[[#This Row],[Page]], 2), "Hi", "Historic", "An", "Annex", "Si", "Site", "S5", "Project Task", "SWITCH ERROR"),
IF(_xlpm.inTower, "West Tower", _xlpm.typeResult)
)</f>
        <v>Historic</v>
      </c>
      <c r="F698" s="15" t="str">
        <f>IFERROR(MID(Tasks[[#This Row],[Page]], FIND("Level", Tasks[[#This Row],[Page]]), 7), IF(ISNUMBER(FIND("Roof", Tasks[[#This Row],[Page]])), "Roof",  IF(ISNUMBER(FIND("S590", Tasks[[#This Row],[Page]])), "",  IF(ISNUMBER(FIND("Site", Tasks[[#This Row],[Page]])), "", "ERROR"))))</f>
        <v>Level 0</v>
      </c>
      <c r="G698" s="15" t="str">
        <f>IF(Tasks[[#This Row],[Location]]=0, "", Tasks[[#This Row],[Location]])</f>
        <v>066 - Records</v>
      </c>
      <c r="H698" s="15" t="str">
        <f>Tasks[[#This Row],[To Package]]</f>
        <v>Metal Stud / Drywall</v>
      </c>
      <c r="I698" s="15" t="str">
        <f>Tasks[[#This Row],[To Organisation]]</f>
        <v>Pete King Construction</v>
      </c>
    </row>
    <row r="699" spans="1:9" ht="15.5" x14ac:dyDescent="0.35">
      <c r="A699" s="16" t="str">
        <f>HYPERLINK(_xlfn.CONCAT(Edit_URL,Tasks[[#This Row],[Ref]]),Tasks[[#This Row],[Ref]])</f>
        <v>T74290.179</v>
      </c>
      <c r="B699" s="15" t="str" cm="1">
        <f t="array" ref="B699">_xlfn.SWITCH(LEFT(Tasks[[#This Row],[Status]],1),"O","Opened","C","Completed","S","Signed Off", "V", "Signed Off","ERROR")</f>
        <v>Signed Off</v>
      </c>
      <c r="C699" s="15" t="str" cm="1">
        <f t="array" ref="C699">_xlfn.SWITCH(LEFT(Tasks[[#This Row],[Type]], 3), "Fie", "Field Report", "Con", "Contractor QC", "Gen", "Contractor QC", "Pun", "Contractor QC", "Qua", "Contractor QC", "Fin", "Punch List")</f>
        <v>Contractor QC</v>
      </c>
      <c r="D699" s="15" t="str">
        <f>_xlfn.LET(
_xlpm.leftValue, TRIM(LEFT(Tasks[[#This Row],[Description]], 45)),
IF(LEN(_xlpm.leftValue) &lt; 40, _xlpm.leftValue, _xlfn.CONCAT(_xlpm.leftValue, "…"))
)</f>
        <v>Close in exit sign over portal 081A</v>
      </c>
      <c r="E699" s="15" t="str" cm="1">
        <f t="array" ref="E699">_xlfn.LET(
_xlpm.inTower, COUNTIF(Tower_Num_Table[Tower Rm Numbers], LEFT(Task_Summary_Table[[#This Row],[Area/Room]], 3)) &gt; 0,
_xlpm.typeResult, _xlfn.SWITCH(LEFT(Tasks[[#This Row],[Page]], 2), "Hi", "Historic", "An", "Annex", "Si", "Site", "S5", "Project Task", "SWITCH ERROR"),
IF(_xlpm.inTower, "West Tower", _xlpm.typeResult)
)</f>
        <v>Historic</v>
      </c>
      <c r="F699" s="15" t="str">
        <f>IFERROR(MID(Tasks[[#This Row],[Page]], FIND("Level", Tasks[[#This Row],[Page]]), 7), IF(ISNUMBER(FIND("Roof", Tasks[[#This Row],[Page]])), "Roof",  IF(ISNUMBER(FIND("S590", Tasks[[#This Row],[Page]])), "",  IF(ISNUMBER(FIND("Site", Tasks[[#This Row],[Page]])), "", "ERROR"))))</f>
        <v>Level 0</v>
      </c>
      <c r="G699" s="15" t="str">
        <f>IF(Tasks[[#This Row],[Location]]=0, "", Tasks[[#This Row],[Location]])</f>
        <v>081 - Hall</v>
      </c>
      <c r="H699" s="15" t="str">
        <f>Tasks[[#This Row],[To Package]]</f>
        <v>Metal Stud / Drywall</v>
      </c>
      <c r="I699" s="15" t="str">
        <f>Tasks[[#This Row],[To Organisation]]</f>
        <v>Pete King Construction</v>
      </c>
    </row>
    <row r="700" spans="1:9" ht="15.5" x14ac:dyDescent="0.35">
      <c r="A700" s="16" t="str">
        <f>HYPERLINK(_xlfn.CONCAT(Edit_URL,Tasks[[#This Row],[Ref]]),Tasks[[#This Row],[Ref]])</f>
        <v>T74290.178</v>
      </c>
      <c r="B700" s="15" t="str" cm="1">
        <f t="array" ref="B700">_xlfn.SWITCH(LEFT(Tasks[[#This Row],[Status]],1),"O","Opened","C","Completed","S","Signed Off", "V", "Signed Off","ERROR")</f>
        <v>Signed Off</v>
      </c>
      <c r="C700" s="15" t="str" cm="1">
        <f t="array" ref="C700">_xlfn.SWITCH(LEFT(Tasks[[#This Row],[Type]], 3), "Fie", "Field Report", "Con", "Contractor QC", "Gen", "Contractor QC", "Pun", "Contractor QC", "Qua", "Contractor QC", "Fin", "Punch List")</f>
        <v>Contractor QC</v>
      </c>
      <c r="D700" s="15" t="str">
        <f>_xlfn.LET(
_xlpm.leftValue, TRIM(LEFT(Tasks[[#This Row],[Description]], 45)),
IF(LEN(_xlpm.leftValue) &lt; 40, _xlpm.leftValue, _xlfn.CONCAT(_xlpm.leftValue, "…"))
)</f>
        <v>Close in exit signs over portal 078</v>
      </c>
      <c r="E700" s="15" t="str" cm="1">
        <f t="array" ref="E700">_xlfn.LET(
_xlpm.inTower, COUNTIF(Tower_Num_Table[Tower Rm Numbers], LEFT(Task_Summary_Table[[#This Row],[Area/Room]], 3)) &gt; 0,
_xlpm.typeResult, _xlfn.SWITCH(LEFT(Tasks[[#This Row],[Page]], 2), "Hi", "Historic", "An", "Annex", "Si", "Site", "S5", "Project Task", "SWITCH ERROR"),
IF(_xlpm.inTower, "West Tower", _xlpm.typeResult)
)</f>
        <v>Historic</v>
      </c>
      <c r="F700" s="15" t="str">
        <f>IFERROR(MID(Tasks[[#This Row],[Page]], FIND("Level", Tasks[[#This Row],[Page]]), 7), IF(ISNUMBER(FIND("Roof", Tasks[[#This Row],[Page]])), "Roof",  IF(ISNUMBER(FIND("S590", Tasks[[#This Row],[Page]])), "",  IF(ISNUMBER(FIND("Site", Tasks[[#This Row],[Page]])), "", "ERROR"))))</f>
        <v>Level 0</v>
      </c>
      <c r="G700" s="15" t="str">
        <f>IF(Tasks[[#This Row],[Location]]=0, "", Tasks[[#This Row],[Location]])</f>
        <v>078 - Lavatory</v>
      </c>
      <c r="H700" s="15" t="str">
        <f>Tasks[[#This Row],[To Package]]</f>
        <v>Metal Stud / Drywall</v>
      </c>
      <c r="I700" s="15" t="str">
        <f>Tasks[[#This Row],[To Organisation]]</f>
        <v>Pete King Construction</v>
      </c>
    </row>
    <row r="701" spans="1:9" ht="15.5" x14ac:dyDescent="0.35">
      <c r="A701" s="16" t="e">
        <f>HYPERLINK(_xlfn.CONCAT(Edit_URL,Tasks[[#This Row],[Ref]]),Tasks[[#This Row],[Ref]])</f>
        <v>#VALUE!</v>
      </c>
      <c r="B701" s="15" t="e" cm="1">
        <f t="array" ref="B701">_xlfn.SWITCH(LEFT(Tasks[[#This Row],[Status]],1),"O","Opened","C","Completed","S","Signed Off", "V", "Signed Off","ERROR")</f>
        <v>#VALUE!</v>
      </c>
      <c r="C701" s="15" t="e" cm="1">
        <f t="array" ref="C701">_xlfn.SWITCH(LEFT(Tasks[[#This Row],[Type]], 3), "Fie", "Field Report", "Con", "Contractor QC", "Gen", "Contractor QC", "Pun", "Contractor QC", "Qua", "Contractor QC", "Fin", "Punch List")</f>
        <v>#VALUE!</v>
      </c>
      <c r="D701" s="15" t="e">
        <f>_xlfn.LET(
_xlpm.leftValue, TRIM(LEFT(Tasks[[#This Row],[Description]], 45)),
IF(LEN(_xlpm.leftValue) &lt; 40, _xlpm.leftValue, _xlfn.CONCAT(_xlpm.leftValue, "…"))
)</f>
        <v>#VALUE!</v>
      </c>
      <c r="E701" s="15" t="e" cm="1">
        <f t="array" ref="E701">_xlfn.LET(
_xlpm.inTower, COUNTIF(Tower_Num_Table[Tower Rm Numbers], LEFT(Task_Summary_Table[[#This Row],[Area/Room]], 3)) &gt; 0,
_xlpm.typeResult, _xlfn.SWITCH(LEFT(Tasks[[#This Row],[Page]], 2), "Hi", "Historic", "An", "Annex", "Si", "Site", "S5", "Project Task", "SWITCH ERROR"),
IF(_xlpm.inTower, "West Tower", _xlpm.typeResult)
)</f>
        <v>#VALUE!</v>
      </c>
      <c r="F701" s="15" t="str">
        <f>IFERROR(MID(Tasks[[#This Row],[Page]], FIND("Level", Tasks[[#This Row],[Page]]), 7), IF(ISNUMBER(FIND("Roof", Tasks[[#This Row],[Page]])), "Roof",  IF(ISNUMBER(FIND("S590", Tasks[[#This Row],[Page]])), "",  IF(ISNUMBER(FIND("Site", Tasks[[#This Row],[Page]])), "", "ERROR"))))</f>
        <v>ERROR</v>
      </c>
      <c r="G701" s="15" t="e">
        <f>IF(Tasks[[#This Row],[Location]]=0, "", Tasks[[#This Row],[Location]])</f>
        <v>#VALUE!</v>
      </c>
      <c r="H701" s="15" t="e">
        <f>Tasks[[#This Row],[To Package]]</f>
        <v>#VALUE!</v>
      </c>
      <c r="I701" s="15" t="e">
        <f>Tasks[[#This Row],[To Organisation]]</f>
        <v>#VALUE!</v>
      </c>
    </row>
    <row r="702" spans="1:9" ht="15.5" x14ac:dyDescent="0.35">
      <c r="A702" s="16" t="e">
        <f>HYPERLINK(_xlfn.CONCAT(Edit_URL,Tasks[[#This Row],[Ref]]),Tasks[[#This Row],[Ref]])</f>
        <v>#VALUE!</v>
      </c>
      <c r="B702" s="15" t="e" cm="1">
        <f t="array" ref="B702">_xlfn.SWITCH(LEFT(Tasks[[#This Row],[Status]],1),"O","Opened","C","Completed","S","Signed Off", "V", "Signed Off","ERROR")</f>
        <v>#VALUE!</v>
      </c>
      <c r="C702" s="15" t="e" cm="1">
        <f t="array" ref="C702">_xlfn.SWITCH(LEFT(Tasks[[#This Row],[Type]], 3), "Fie", "Field Report", "Con", "Contractor QC", "Gen", "Contractor QC", "Pun", "Contractor QC", "Qua", "Contractor QC", "Fin", "Punch List")</f>
        <v>#VALUE!</v>
      </c>
      <c r="D702" s="15" t="e">
        <f>_xlfn.LET(
_xlpm.leftValue, TRIM(LEFT(Tasks[[#This Row],[Description]], 45)),
IF(LEN(_xlpm.leftValue) &lt; 40, _xlpm.leftValue, _xlfn.CONCAT(_xlpm.leftValue, "…"))
)</f>
        <v>#VALUE!</v>
      </c>
      <c r="E702" s="15" t="e" cm="1">
        <f t="array" ref="E702">_xlfn.LET(
_xlpm.inTower, COUNTIF(Tower_Num_Table[Tower Rm Numbers], LEFT(Task_Summary_Table[[#This Row],[Area/Room]], 3)) &gt; 0,
_xlpm.typeResult, _xlfn.SWITCH(LEFT(Tasks[[#This Row],[Page]], 2), "Hi", "Historic", "An", "Annex", "Si", "Site", "S5", "Project Task", "SWITCH ERROR"),
IF(_xlpm.inTower, "West Tower", _xlpm.typeResult)
)</f>
        <v>#VALUE!</v>
      </c>
      <c r="F702" s="15" t="str">
        <f>IFERROR(MID(Tasks[[#This Row],[Page]], FIND("Level", Tasks[[#This Row],[Page]]), 7), IF(ISNUMBER(FIND("Roof", Tasks[[#This Row],[Page]])), "Roof",  IF(ISNUMBER(FIND("S590", Tasks[[#This Row],[Page]])), "",  IF(ISNUMBER(FIND("Site", Tasks[[#This Row],[Page]])), "", "ERROR"))))</f>
        <v>ERROR</v>
      </c>
      <c r="G702" s="15" t="e">
        <f>IF(Tasks[[#This Row],[Location]]=0, "", Tasks[[#This Row],[Location]])</f>
        <v>#VALUE!</v>
      </c>
      <c r="H702" s="15" t="e">
        <f>Tasks[[#This Row],[To Package]]</f>
        <v>#VALUE!</v>
      </c>
      <c r="I702" s="15" t="e">
        <f>Tasks[[#This Row],[To Organisation]]</f>
        <v>#VALUE!</v>
      </c>
    </row>
    <row r="703" spans="1:9" ht="15.5" x14ac:dyDescent="0.35">
      <c r="A703" s="16" t="e">
        <f>HYPERLINK(_xlfn.CONCAT(Edit_URL,Tasks[[#This Row],[Ref]]),Tasks[[#This Row],[Ref]])</f>
        <v>#VALUE!</v>
      </c>
      <c r="B703" s="15" t="e" cm="1">
        <f t="array" ref="B703">_xlfn.SWITCH(LEFT(Tasks[[#This Row],[Status]],1),"O","Opened","C","Completed","S","Signed Off", "V", "Signed Off","ERROR")</f>
        <v>#VALUE!</v>
      </c>
      <c r="C703" s="15" t="e" cm="1">
        <f t="array" ref="C703">_xlfn.SWITCH(LEFT(Tasks[[#This Row],[Type]], 3), "Fie", "Field Report", "Con", "Contractor QC", "Gen", "Contractor QC", "Pun", "Contractor QC", "Qua", "Contractor QC", "Fin", "Punch List")</f>
        <v>#VALUE!</v>
      </c>
      <c r="D703" s="15" t="e">
        <f>_xlfn.LET(
_xlpm.leftValue, TRIM(LEFT(Tasks[[#This Row],[Description]], 45)),
IF(LEN(_xlpm.leftValue) &lt; 40, _xlpm.leftValue, _xlfn.CONCAT(_xlpm.leftValue, "…"))
)</f>
        <v>#VALUE!</v>
      </c>
      <c r="E703" s="15" t="e" cm="1">
        <f t="array" ref="E703">_xlfn.LET(
_xlpm.inTower, COUNTIF(Tower_Num_Table[Tower Rm Numbers], LEFT(Task_Summary_Table[[#This Row],[Area/Room]], 3)) &gt; 0,
_xlpm.typeResult, _xlfn.SWITCH(LEFT(Tasks[[#This Row],[Page]], 2), "Hi", "Historic", "An", "Annex", "Si", "Site", "S5", "Project Task", "SWITCH ERROR"),
IF(_xlpm.inTower, "West Tower", _xlpm.typeResult)
)</f>
        <v>#VALUE!</v>
      </c>
      <c r="F703" s="15" t="str">
        <f>IFERROR(MID(Tasks[[#This Row],[Page]], FIND("Level", Tasks[[#This Row],[Page]]), 7), IF(ISNUMBER(FIND("Roof", Tasks[[#This Row],[Page]])), "Roof",  IF(ISNUMBER(FIND("S590", Tasks[[#This Row],[Page]])), "",  IF(ISNUMBER(FIND("Site", Tasks[[#This Row],[Page]])), "", "ERROR"))))</f>
        <v>ERROR</v>
      </c>
      <c r="G703" s="15" t="e">
        <f>IF(Tasks[[#This Row],[Location]]=0, "", Tasks[[#This Row],[Location]])</f>
        <v>#VALUE!</v>
      </c>
      <c r="H703" s="15" t="e">
        <f>Tasks[[#This Row],[To Package]]</f>
        <v>#VALUE!</v>
      </c>
      <c r="I703" s="15" t="e">
        <f>Tasks[[#This Row],[To Organisation]]</f>
        <v>#VALUE!</v>
      </c>
    </row>
    <row r="704" spans="1:9" ht="15.5" x14ac:dyDescent="0.35">
      <c r="A704" s="16" t="e">
        <f>HYPERLINK(_xlfn.CONCAT(Edit_URL,Tasks[[#This Row],[Ref]]),Tasks[[#This Row],[Ref]])</f>
        <v>#VALUE!</v>
      </c>
      <c r="B704" s="15" t="e" cm="1">
        <f t="array" ref="B704">_xlfn.SWITCH(LEFT(Tasks[[#This Row],[Status]],1),"O","Opened","C","Completed","S","Signed Off", "V", "Signed Off","ERROR")</f>
        <v>#VALUE!</v>
      </c>
      <c r="C704" s="15" t="e" cm="1">
        <f t="array" ref="C704">_xlfn.SWITCH(LEFT(Tasks[[#This Row],[Type]], 3), "Fie", "Field Report", "Con", "Contractor QC", "Gen", "Contractor QC", "Pun", "Contractor QC", "Qua", "Contractor QC", "Fin", "Punch List")</f>
        <v>#VALUE!</v>
      </c>
      <c r="D704" s="15" t="e">
        <f>_xlfn.LET(
_xlpm.leftValue, TRIM(LEFT(Tasks[[#This Row],[Description]], 45)),
IF(LEN(_xlpm.leftValue) &lt; 40, _xlpm.leftValue, _xlfn.CONCAT(_xlpm.leftValue, "…"))
)</f>
        <v>#VALUE!</v>
      </c>
      <c r="E704" s="15" t="e" cm="1">
        <f t="array" ref="E704">_xlfn.LET(
_xlpm.inTower, COUNTIF(Tower_Num_Table[Tower Rm Numbers], LEFT(Task_Summary_Table[[#This Row],[Area/Room]], 3)) &gt; 0,
_xlpm.typeResult, _xlfn.SWITCH(LEFT(Tasks[[#This Row],[Page]], 2), "Hi", "Historic", "An", "Annex", "Si", "Site", "S5", "Project Task", "SWITCH ERROR"),
IF(_xlpm.inTower, "West Tower", _xlpm.typeResult)
)</f>
        <v>#VALUE!</v>
      </c>
      <c r="F704" s="15" t="str">
        <f>IFERROR(MID(Tasks[[#This Row],[Page]], FIND("Level", Tasks[[#This Row],[Page]]), 7), IF(ISNUMBER(FIND("Roof", Tasks[[#This Row],[Page]])), "Roof",  IF(ISNUMBER(FIND("S590", Tasks[[#This Row],[Page]])), "",  IF(ISNUMBER(FIND("Site", Tasks[[#This Row],[Page]])), "", "ERROR"))))</f>
        <v>ERROR</v>
      </c>
      <c r="G704" s="15" t="e">
        <f>IF(Tasks[[#This Row],[Location]]=0, "", Tasks[[#This Row],[Location]])</f>
        <v>#VALUE!</v>
      </c>
      <c r="H704" s="15" t="e">
        <f>Tasks[[#This Row],[To Package]]</f>
        <v>#VALUE!</v>
      </c>
      <c r="I704" s="15" t="e">
        <f>Tasks[[#This Row],[To Organisation]]</f>
        <v>#VALUE!</v>
      </c>
    </row>
    <row r="705" spans="1:9" ht="15.5" x14ac:dyDescent="0.35">
      <c r="A705" s="16" t="e">
        <f>HYPERLINK(_xlfn.CONCAT(Edit_URL,Tasks[[#This Row],[Ref]]),Tasks[[#This Row],[Ref]])</f>
        <v>#VALUE!</v>
      </c>
      <c r="B705" s="15" t="e" cm="1">
        <f t="array" ref="B705">_xlfn.SWITCH(LEFT(Tasks[[#This Row],[Status]],1),"O","Opened","C","Completed","S","Signed Off", "V", "Signed Off","ERROR")</f>
        <v>#VALUE!</v>
      </c>
      <c r="C705" s="15" t="e" cm="1">
        <f t="array" ref="C705">_xlfn.SWITCH(LEFT(Tasks[[#This Row],[Type]], 3), "Fie", "Field Report", "Con", "Contractor QC", "Gen", "Contractor QC", "Pun", "Contractor QC", "Qua", "Contractor QC", "Fin", "Punch List")</f>
        <v>#VALUE!</v>
      </c>
      <c r="D705" s="15" t="e">
        <f>_xlfn.LET(
_xlpm.leftValue, TRIM(LEFT(Tasks[[#This Row],[Description]], 45)),
IF(LEN(_xlpm.leftValue) &lt; 40, _xlpm.leftValue, _xlfn.CONCAT(_xlpm.leftValue, "…"))
)</f>
        <v>#VALUE!</v>
      </c>
      <c r="E705" s="15" t="e" cm="1">
        <f t="array" ref="E705">_xlfn.LET(
_xlpm.inTower, COUNTIF(Tower_Num_Table[Tower Rm Numbers], LEFT(Task_Summary_Table[[#This Row],[Area/Room]], 3)) &gt; 0,
_xlpm.typeResult, _xlfn.SWITCH(LEFT(Tasks[[#This Row],[Page]], 2), "Hi", "Historic", "An", "Annex", "Si", "Site", "S5", "Project Task", "SWITCH ERROR"),
IF(_xlpm.inTower, "West Tower", _xlpm.typeResult)
)</f>
        <v>#VALUE!</v>
      </c>
      <c r="F705" s="15" t="str">
        <f>IFERROR(MID(Tasks[[#This Row],[Page]], FIND("Level", Tasks[[#This Row],[Page]]), 7), IF(ISNUMBER(FIND("Roof", Tasks[[#This Row],[Page]])), "Roof",  IF(ISNUMBER(FIND("S590", Tasks[[#This Row],[Page]])), "",  IF(ISNUMBER(FIND("Site", Tasks[[#This Row],[Page]])), "", "ERROR"))))</f>
        <v>ERROR</v>
      </c>
      <c r="G705" s="15" t="e">
        <f>IF(Tasks[[#This Row],[Location]]=0, "", Tasks[[#This Row],[Location]])</f>
        <v>#VALUE!</v>
      </c>
      <c r="H705" s="15" t="e">
        <f>Tasks[[#This Row],[To Package]]</f>
        <v>#VALUE!</v>
      </c>
      <c r="I705" s="15" t="e">
        <f>Tasks[[#This Row],[To Organisation]]</f>
        <v>#VALUE!</v>
      </c>
    </row>
    <row r="706" spans="1:9" ht="15.5" x14ac:dyDescent="0.35">
      <c r="A706" s="16" t="e">
        <f>HYPERLINK(_xlfn.CONCAT(Edit_URL,Tasks[[#This Row],[Ref]]),Tasks[[#This Row],[Ref]])</f>
        <v>#VALUE!</v>
      </c>
      <c r="B706" s="15" t="e" cm="1">
        <f t="array" ref="B706">_xlfn.SWITCH(LEFT(Tasks[[#This Row],[Status]],1),"O","Opened","C","Completed","S","Signed Off", "V", "Signed Off","ERROR")</f>
        <v>#VALUE!</v>
      </c>
      <c r="C706" s="15" t="e" cm="1">
        <f t="array" ref="C706">_xlfn.SWITCH(LEFT(Tasks[[#This Row],[Type]], 3), "Fie", "Field Report", "Con", "Contractor QC", "Gen", "Contractor QC", "Pun", "Contractor QC", "Qua", "Contractor QC", "Fin", "Punch List")</f>
        <v>#VALUE!</v>
      </c>
      <c r="D706" s="15" t="e">
        <f>_xlfn.LET(
_xlpm.leftValue, TRIM(LEFT(Tasks[[#This Row],[Description]], 45)),
IF(LEN(_xlpm.leftValue) &lt; 40, _xlpm.leftValue, _xlfn.CONCAT(_xlpm.leftValue, "…"))
)</f>
        <v>#VALUE!</v>
      </c>
      <c r="E706" s="15" t="e" cm="1">
        <f t="array" ref="E706">_xlfn.LET(
_xlpm.inTower, COUNTIF(Tower_Num_Table[Tower Rm Numbers], LEFT(Task_Summary_Table[[#This Row],[Area/Room]], 3)) &gt; 0,
_xlpm.typeResult, _xlfn.SWITCH(LEFT(Tasks[[#This Row],[Page]], 2), "Hi", "Historic", "An", "Annex", "Si", "Site", "S5", "Project Task", "SWITCH ERROR"),
IF(_xlpm.inTower, "West Tower", _xlpm.typeResult)
)</f>
        <v>#VALUE!</v>
      </c>
      <c r="F706" s="15" t="str">
        <f>IFERROR(MID(Tasks[[#This Row],[Page]], FIND("Level", Tasks[[#This Row],[Page]]), 7), IF(ISNUMBER(FIND("Roof", Tasks[[#This Row],[Page]])), "Roof",  IF(ISNUMBER(FIND("S590", Tasks[[#This Row],[Page]])), "",  IF(ISNUMBER(FIND("Site", Tasks[[#This Row],[Page]])), "", "ERROR"))))</f>
        <v>ERROR</v>
      </c>
      <c r="G706" s="15" t="e">
        <f>IF(Tasks[[#This Row],[Location]]=0, "", Tasks[[#This Row],[Location]])</f>
        <v>#VALUE!</v>
      </c>
      <c r="H706" s="15" t="e">
        <f>Tasks[[#This Row],[To Package]]</f>
        <v>#VALUE!</v>
      </c>
      <c r="I706" s="15" t="e">
        <f>Tasks[[#This Row],[To Organisation]]</f>
        <v>#VALUE!</v>
      </c>
    </row>
    <row r="707" spans="1:9" ht="15.5" x14ac:dyDescent="0.35">
      <c r="A707" s="16" t="e">
        <f>HYPERLINK(_xlfn.CONCAT(Edit_URL,Tasks[[#This Row],[Ref]]),Tasks[[#This Row],[Ref]])</f>
        <v>#VALUE!</v>
      </c>
      <c r="B707" s="15" t="e" cm="1">
        <f t="array" ref="B707">_xlfn.SWITCH(LEFT(Tasks[[#This Row],[Status]],1),"O","Opened","C","Completed","S","Signed Off", "V", "Signed Off","ERROR")</f>
        <v>#VALUE!</v>
      </c>
      <c r="C707" s="15" t="e" cm="1">
        <f t="array" ref="C707">_xlfn.SWITCH(LEFT(Tasks[[#This Row],[Type]], 3), "Fie", "Field Report", "Con", "Contractor QC", "Gen", "Contractor QC", "Pun", "Contractor QC", "Qua", "Contractor QC", "Fin", "Punch List")</f>
        <v>#VALUE!</v>
      </c>
      <c r="D707" s="15" t="e">
        <f>_xlfn.LET(
_xlpm.leftValue, TRIM(LEFT(Tasks[[#This Row],[Description]], 45)),
IF(LEN(_xlpm.leftValue) &lt; 40, _xlpm.leftValue, _xlfn.CONCAT(_xlpm.leftValue, "…"))
)</f>
        <v>#VALUE!</v>
      </c>
      <c r="E707" s="15" t="e" cm="1">
        <f t="array" ref="E707">_xlfn.LET(
_xlpm.inTower, COUNTIF(Tower_Num_Table[Tower Rm Numbers], LEFT(Task_Summary_Table[[#This Row],[Area/Room]], 3)) &gt; 0,
_xlpm.typeResult, _xlfn.SWITCH(LEFT(Tasks[[#This Row],[Page]], 2), "Hi", "Historic", "An", "Annex", "Si", "Site", "S5", "Project Task", "SWITCH ERROR"),
IF(_xlpm.inTower, "West Tower", _xlpm.typeResult)
)</f>
        <v>#VALUE!</v>
      </c>
      <c r="F707" s="15" t="str">
        <f>IFERROR(MID(Tasks[[#This Row],[Page]], FIND("Level", Tasks[[#This Row],[Page]]), 7), IF(ISNUMBER(FIND("Roof", Tasks[[#This Row],[Page]])), "Roof",  IF(ISNUMBER(FIND("S590", Tasks[[#This Row],[Page]])), "",  IF(ISNUMBER(FIND("Site", Tasks[[#This Row],[Page]])), "", "ERROR"))))</f>
        <v>ERROR</v>
      </c>
      <c r="G707" s="15" t="e">
        <f>IF(Tasks[[#This Row],[Location]]=0, "", Tasks[[#This Row],[Location]])</f>
        <v>#VALUE!</v>
      </c>
      <c r="H707" s="15" t="e">
        <f>Tasks[[#This Row],[To Package]]</f>
        <v>#VALUE!</v>
      </c>
      <c r="I707" s="15" t="e">
        <f>Tasks[[#This Row],[To Organisation]]</f>
        <v>#VALUE!</v>
      </c>
    </row>
    <row r="708" spans="1:9" ht="15.5" x14ac:dyDescent="0.35">
      <c r="A708" s="16" t="e">
        <f>HYPERLINK(_xlfn.CONCAT(Edit_URL,Tasks[[#This Row],[Ref]]),Tasks[[#This Row],[Ref]])</f>
        <v>#VALUE!</v>
      </c>
      <c r="B708" s="15" t="e" cm="1">
        <f t="array" ref="B708">_xlfn.SWITCH(LEFT(Tasks[[#This Row],[Status]],1),"O","Opened","C","Completed","S","Signed Off", "V", "Signed Off","ERROR")</f>
        <v>#VALUE!</v>
      </c>
      <c r="C708" s="15" t="e" cm="1">
        <f t="array" ref="C708">_xlfn.SWITCH(LEFT(Tasks[[#This Row],[Type]], 3), "Fie", "Field Report", "Con", "Contractor QC", "Gen", "Contractor QC", "Pun", "Contractor QC", "Qua", "Contractor QC", "Fin", "Punch List")</f>
        <v>#VALUE!</v>
      </c>
      <c r="D708" s="15" t="e">
        <f>_xlfn.LET(
_xlpm.leftValue, TRIM(LEFT(Tasks[[#This Row],[Description]], 45)),
IF(LEN(_xlpm.leftValue) &lt; 40, _xlpm.leftValue, _xlfn.CONCAT(_xlpm.leftValue, "…"))
)</f>
        <v>#VALUE!</v>
      </c>
      <c r="E708" s="15" t="e" cm="1">
        <f t="array" ref="E708">_xlfn.LET(
_xlpm.inTower, COUNTIF(Tower_Num_Table[Tower Rm Numbers], LEFT(Task_Summary_Table[[#This Row],[Area/Room]], 3)) &gt; 0,
_xlpm.typeResult, _xlfn.SWITCH(LEFT(Tasks[[#This Row],[Page]], 2), "Hi", "Historic", "An", "Annex", "Si", "Site", "S5", "Project Task", "SWITCH ERROR"),
IF(_xlpm.inTower, "West Tower", _xlpm.typeResult)
)</f>
        <v>#VALUE!</v>
      </c>
      <c r="F708" s="15" t="str">
        <f>IFERROR(MID(Tasks[[#This Row],[Page]], FIND("Level", Tasks[[#This Row],[Page]]), 7), IF(ISNUMBER(FIND("Roof", Tasks[[#This Row],[Page]])), "Roof",  IF(ISNUMBER(FIND("S590", Tasks[[#This Row],[Page]])), "",  IF(ISNUMBER(FIND("Site", Tasks[[#This Row],[Page]])), "", "ERROR"))))</f>
        <v>ERROR</v>
      </c>
      <c r="G708" s="15" t="e">
        <f>IF(Tasks[[#This Row],[Location]]=0, "", Tasks[[#This Row],[Location]])</f>
        <v>#VALUE!</v>
      </c>
      <c r="H708" s="15" t="e">
        <f>Tasks[[#This Row],[To Package]]</f>
        <v>#VALUE!</v>
      </c>
      <c r="I708" s="15" t="e">
        <f>Tasks[[#This Row],[To Organisation]]</f>
        <v>#VALUE!</v>
      </c>
    </row>
    <row r="709" spans="1:9" ht="15.5" x14ac:dyDescent="0.35">
      <c r="A709" s="16" t="e">
        <f>HYPERLINK(_xlfn.CONCAT(Edit_URL,Tasks[[#This Row],[Ref]]),Tasks[[#This Row],[Ref]])</f>
        <v>#VALUE!</v>
      </c>
      <c r="B709" s="15" t="e" cm="1">
        <f t="array" ref="B709">_xlfn.SWITCH(LEFT(Tasks[[#This Row],[Status]],1),"O","Opened","C","Completed","S","Signed Off", "V", "Signed Off","ERROR")</f>
        <v>#VALUE!</v>
      </c>
      <c r="C709" s="15" t="e" cm="1">
        <f t="array" ref="C709">_xlfn.SWITCH(LEFT(Tasks[[#This Row],[Type]], 3), "Fie", "Field Report", "Con", "Contractor QC", "Gen", "Contractor QC", "Pun", "Contractor QC", "Qua", "Contractor QC", "Fin", "Punch List")</f>
        <v>#VALUE!</v>
      </c>
      <c r="D709" s="15" t="e">
        <f>_xlfn.LET(
_xlpm.leftValue, TRIM(LEFT(Tasks[[#This Row],[Description]], 45)),
IF(LEN(_xlpm.leftValue) &lt; 40, _xlpm.leftValue, _xlfn.CONCAT(_xlpm.leftValue, "…"))
)</f>
        <v>#VALUE!</v>
      </c>
      <c r="E709" s="15" t="e" cm="1">
        <f t="array" ref="E709">_xlfn.LET(
_xlpm.inTower, COUNTIF(Tower_Num_Table[Tower Rm Numbers], LEFT(Task_Summary_Table[[#This Row],[Area/Room]], 3)) &gt; 0,
_xlpm.typeResult, _xlfn.SWITCH(LEFT(Tasks[[#This Row],[Page]], 2), "Hi", "Historic", "An", "Annex", "Si", "Site", "S5", "Project Task", "SWITCH ERROR"),
IF(_xlpm.inTower, "West Tower", _xlpm.typeResult)
)</f>
        <v>#VALUE!</v>
      </c>
      <c r="F709" s="15" t="str">
        <f>IFERROR(MID(Tasks[[#This Row],[Page]], FIND("Level", Tasks[[#This Row],[Page]]), 7), IF(ISNUMBER(FIND("Roof", Tasks[[#This Row],[Page]])), "Roof",  IF(ISNUMBER(FIND("S590", Tasks[[#This Row],[Page]])), "",  IF(ISNUMBER(FIND("Site", Tasks[[#This Row],[Page]])), "", "ERROR"))))</f>
        <v>ERROR</v>
      </c>
      <c r="G709" s="15" t="e">
        <f>IF(Tasks[[#This Row],[Location]]=0, "", Tasks[[#This Row],[Location]])</f>
        <v>#VALUE!</v>
      </c>
      <c r="H709" s="15" t="e">
        <f>Tasks[[#This Row],[To Package]]</f>
        <v>#VALUE!</v>
      </c>
      <c r="I709" s="15" t="e">
        <f>Tasks[[#This Row],[To Organisation]]</f>
        <v>#VALUE!</v>
      </c>
    </row>
    <row r="710" spans="1:9" ht="15.5" x14ac:dyDescent="0.35">
      <c r="A710" s="16" t="e">
        <f>HYPERLINK(_xlfn.CONCAT(Edit_URL,Tasks[[#This Row],[Ref]]),Tasks[[#This Row],[Ref]])</f>
        <v>#VALUE!</v>
      </c>
      <c r="B710" s="15" t="e" cm="1">
        <f t="array" ref="B710">_xlfn.SWITCH(LEFT(Tasks[[#This Row],[Status]],1),"O","Opened","C","Completed","S","Signed Off", "V", "Signed Off","ERROR")</f>
        <v>#VALUE!</v>
      </c>
      <c r="C710" s="15" t="e" cm="1">
        <f t="array" ref="C710">_xlfn.SWITCH(LEFT(Tasks[[#This Row],[Type]], 3), "Fie", "Field Report", "Con", "Contractor QC", "Gen", "Contractor QC", "Pun", "Contractor QC", "Qua", "Contractor QC", "Fin", "Punch List")</f>
        <v>#VALUE!</v>
      </c>
      <c r="D710" s="15" t="e">
        <f>_xlfn.LET(
_xlpm.leftValue, TRIM(LEFT(Tasks[[#This Row],[Description]], 45)),
IF(LEN(_xlpm.leftValue) &lt; 40, _xlpm.leftValue, _xlfn.CONCAT(_xlpm.leftValue, "…"))
)</f>
        <v>#VALUE!</v>
      </c>
      <c r="E710" s="15" t="e" cm="1">
        <f t="array" ref="E710">_xlfn.LET(
_xlpm.inTower, COUNTIF(Tower_Num_Table[Tower Rm Numbers], LEFT(Task_Summary_Table[[#This Row],[Area/Room]], 3)) &gt; 0,
_xlpm.typeResult, _xlfn.SWITCH(LEFT(Tasks[[#This Row],[Page]], 2), "Hi", "Historic", "An", "Annex", "Si", "Site", "S5", "Project Task", "SWITCH ERROR"),
IF(_xlpm.inTower, "West Tower", _xlpm.typeResult)
)</f>
        <v>#VALUE!</v>
      </c>
      <c r="F710" s="15" t="str">
        <f>IFERROR(MID(Tasks[[#This Row],[Page]], FIND("Level", Tasks[[#This Row],[Page]]), 7), IF(ISNUMBER(FIND("Roof", Tasks[[#This Row],[Page]])), "Roof",  IF(ISNUMBER(FIND("S590", Tasks[[#This Row],[Page]])), "",  IF(ISNUMBER(FIND("Site", Tasks[[#This Row],[Page]])), "", "ERROR"))))</f>
        <v>ERROR</v>
      </c>
      <c r="G710" s="15" t="e">
        <f>IF(Tasks[[#This Row],[Location]]=0, "", Tasks[[#This Row],[Location]])</f>
        <v>#VALUE!</v>
      </c>
      <c r="H710" s="15" t="e">
        <f>Tasks[[#This Row],[To Package]]</f>
        <v>#VALUE!</v>
      </c>
      <c r="I710" s="15" t="e">
        <f>Tasks[[#This Row],[To Organisation]]</f>
        <v>#VALUE!</v>
      </c>
    </row>
    <row r="711" spans="1:9" ht="15.5" x14ac:dyDescent="0.35">
      <c r="A711" s="16" t="e">
        <f>HYPERLINK(_xlfn.CONCAT(Edit_URL,Tasks[[#This Row],[Ref]]),Tasks[[#This Row],[Ref]])</f>
        <v>#VALUE!</v>
      </c>
      <c r="B711" s="15" t="e" cm="1">
        <f t="array" ref="B711">_xlfn.SWITCH(LEFT(Tasks[[#This Row],[Status]],1),"O","Opened","C","Completed","S","Signed Off", "V", "Signed Off","ERROR")</f>
        <v>#VALUE!</v>
      </c>
      <c r="C711" s="15" t="e" cm="1">
        <f t="array" ref="C711">_xlfn.SWITCH(LEFT(Tasks[[#This Row],[Type]], 3), "Fie", "Field Report", "Con", "Contractor QC", "Gen", "Contractor QC", "Pun", "Contractor QC", "Qua", "Contractor QC", "Fin", "Punch List")</f>
        <v>#VALUE!</v>
      </c>
      <c r="D711" s="15" t="e">
        <f>_xlfn.LET(
_xlpm.leftValue, TRIM(LEFT(Tasks[[#This Row],[Description]], 45)),
IF(LEN(_xlpm.leftValue) &lt; 40, _xlpm.leftValue, _xlfn.CONCAT(_xlpm.leftValue, "…"))
)</f>
        <v>#VALUE!</v>
      </c>
      <c r="E711" s="15" t="e" cm="1">
        <f t="array" ref="E711">_xlfn.LET(
_xlpm.inTower, COUNTIF(Tower_Num_Table[Tower Rm Numbers], LEFT(Task_Summary_Table[[#This Row],[Area/Room]], 3)) &gt; 0,
_xlpm.typeResult, _xlfn.SWITCH(LEFT(Tasks[[#This Row],[Page]], 2), "Hi", "Historic", "An", "Annex", "Si", "Site", "S5", "Project Task", "SWITCH ERROR"),
IF(_xlpm.inTower, "West Tower", _xlpm.typeResult)
)</f>
        <v>#VALUE!</v>
      </c>
      <c r="F711" s="15" t="str">
        <f>IFERROR(MID(Tasks[[#This Row],[Page]], FIND("Level", Tasks[[#This Row],[Page]]), 7), IF(ISNUMBER(FIND("Roof", Tasks[[#This Row],[Page]])), "Roof",  IF(ISNUMBER(FIND("S590", Tasks[[#This Row],[Page]])), "",  IF(ISNUMBER(FIND("Site", Tasks[[#This Row],[Page]])), "", "ERROR"))))</f>
        <v>ERROR</v>
      </c>
      <c r="G711" s="15" t="e">
        <f>IF(Tasks[[#This Row],[Location]]=0, "", Tasks[[#This Row],[Location]])</f>
        <v>#VALUE!</v>
      </c>
      <c r="H711" s="15" t="e">
        <f>Tasks[[#This Row],[To Package]]</f>
        <v>#VALUE!</v>
      </c>
      <c r="I711" s="15" t="e">
        <f>Tasks[[#This Row],[To Organisation]]</f>
        <v>#VALUE!</v>
      </c>
    </row>
    <row r="712" spans="1:9" ht="15.5" x14ac:dyDescent="0.35">
      <c r="A712" s="16" t="e">
        <f>HYPERLINK(_xlfn.CONCAT(Edit_URL,Tasks[[#This Row],[Ref]]),Tasks[[#This Row],[Ref]])</f>
        <v>#VALUE!</v>
      </c>
      <c r="B712" s="15" t="e" cm="1">
        <f t="array" ref="B712">_xlfn.SWITCH(LEFT(Tasks[[#This Row],[Status]],1),"O","Opened","C","Completed","S","Signed Off", "V", "Signed Off","ERROR")</f>
        <v>#VALUE!</v>
      </c>
      <c r="C712" s="15" t="e" cm="1">
        <f t="array" ref="C712">_xlfn.SWITCH(LEFT(Tasks[[#This Row],[Type]], 3), "Fie", "Field Report", "Con", "Contractor QC", "Gen", "Contractor QC", "Pun", "Contractor QC", "Qua", "Contractor QC", "Fin", "Punch List")</f>
        <v>#VALUE!</v>
      </c>
      <c r="D712" s="15" t="e">
        <f>_xlfn.LET(
_xlpm.leftValue, TRIM(LEFT(Tasks[[#This Row],[Description]], 45)),
IF(LEN(_xlpm.leftValue) &lt; 40, _xlpm.leftValue, _xlfn.CONCAT(_xlpm.leftValue, "…"))
)</f>
        <v>#VALUE!</v>
      </c>
      <c r="E712" s="15" t="e" cm="1">
        <f t="array" ref="E712">_xlfn.LET(
_xlpm.inTower, COUNTIF(Tower_Num_Table[Tower Rm Numbers], LEFT(Task_Summary_Table[[#This Row],[Area/Room]], 3)) &gt; 0,
_xlpm.typeResult, _xlfn.SWITCH(LEFT(Tasks[[#This Row],[Page]], 2), "Hi", "Historic", "An", "Annex", "Si", "Site", "S5", "Project Task", "SWITCH ERROR"),
IF(_xlpm.inTower, "West Tower", _xlpm.typeResult)
)</f>
        <v>#VALUE!</v>
      </c>
      <c r="F712" s="15" t="str">
        <f>IFERROR(MID(Tasks[[#This Row],[Page]], FIND("Level", Tasks[[#This Row],[Page]]), 7), IF(ISNUMBER(FIND("Roof", Tasks[[#This Row],[Page]])), "Roof",  IF(ISNUMBER(FIND("S590", Tasks[[#This Row],[Page]])), "",  IF(ISNUMBER(FIND("Site", Tasks[[#This Row],[Page]])), "", "ERROR"))))</f>
        <v>ERROR</v>
      </c>
      <c r="G712" s="15" t="e">
        <f>IF(Tasks[[#This Row],[Location]]=0, "", Tasks[[#This Row],[Location]])</f>
        <v>#VALUE!</v>
      </c>
      <c r="H712" s="15" t="e">
        <f>Tasks[[#This Row],[To Package]]</f>
        <v>#VALUE!</v>
      </c>
      <c r="I712" s="15" t="e">
        <f>Tasks[[#This Row],[To Organisation]]</f>
        <v>#VALUE!</v>
      </c>
    </row>
    <row r="713" spans="1:9" ht="15.5" x14ac:dyDescent="0.35">
      <c r="A713" s="16" t="e">
        <f>HYPERLINK(_xlfn.CONCAT(Edit_URL,Tasks[[#This Row],[Ref]]),Tasks[[#This Row],[Ref]])</f>
        <v>#VALUE!</v>
      </c>
      <c r="B713" s="15" t="e" cm="1">
        <f t="array" ref="B713">_xlfn.SWITCH(LEFT(Tasks[[#This Row],[Status]],1),"O","Opened","C","Completed","S","Signed Off", "V", "Signed Off","ERROR")</f>
        <v>#VALUE!</v>
      </c>
      <c r="C713" s="15" t="e" cm="1">
        <f t="array" ref="C713">_xlfn.SWITCH(LEFT(Tasks[[#This Row],[Type]], 3), "Fie", "Field Report", "Con", "Contractor QC", "Gen", "Contractor QC", "Pun", "Contractor QC", "Qua", "Contractor QC", "Fin", "Punch List")</f>
        <v>#VALUE!</v>
      </c>
      <c r="D713" s="15" t="e">
        <f>_xlfn.LET(
_xlpm.leftValue, TRIM(LEFT(Tasks[[#This Row],[Description]], 45)),
IF(LEN(_xlpm.leftValue) &lt; 40, _xlpm.leftValue, _xlfn.CONCAT(_xlpm.leftValue, "…"))
)</f>
        <v>#VALUE!</v>
      </c>
      <c r="E713" s="15" t="e" cm="1">
        <f t="array" ref="E713">_xlfn.LET(
_xlpm.inTower, COUNTIF(Tower_Num_Table[Tower Rm Numbers], LEFT(Task_Summary_Table[[#This Row],[Area/Room]], 3)) &gt; 0,
_xlpm.typeResult, _xlfn.SWITCH(LEFT(Tasks[[#This Row],[Page]], 2), "Hi", "Historic", "An", "Annex", "Si", "Site", "S5", "Project Task", "SWITCH ERROR"),
IF(_xlpm.inTower, "West Tower", _xlpm.typeResult)
)</f>
        <v>#VALUE!</v>
      </c>
      <c r="F713" s="15" t="str">
        <f>IFERROR(MID(Tasks[[#This Row],[Page]], FIND("Level", Tasks[[#This Row],[Page]]), 7), IF(ISNUMBER(FIND("Roof", Tasks[[#This Row],[Page]])), "Roof",  IF(ISNUMBER(FIND("S590", Tasks[[#This Row],[Page]])), "",  IF(ISNUMBER(FIND("Site", Tasks[[#This Row],[Page]])), "", "ERROR"))))</f>
        <v>ERROR</v>
      </c>
      <c r="G713" s="15" t="e">
        <f>IF(Tasks[[#This Row],[Location]]=0, "", Tasks[[#This Row],[Location]])</f>
        <v>#VALUE!</v>
      </c>
      <c r="H713" s="15" t="e">
        <f>Tasks[[#This Row],[To Package]]</f>
        <v>#VALUE!</v>
      </c>
      <c r="I713" s="15" t="e">
        <f>Tasks[[#This Row],[To Organisation]]</f>
        <v>#VALUE!</v>
      </c>
    </row>
    <row r="714" spans="1:9" ht="15.5" x14ac:dyDescent="0.35">
      <c r="A714" s="16" t="e">
        <f>HYPERLINK(_xlfn.CONCAT(Edit_URL,Tasks[[#This Row],[Ref]]),Tasks[[#This Row],[Ref]])</f>
        <v>#VALUE!</v>
      </c>
      <c r="B714" s="15" t="e" cm="1">
        <f t="array" ref="B714">_xlfn.SWITCH(LEFT(Tasks[[#This Row],[Status]],1),"O","Opened","C","Completed","S","Signed Off", "V", "Signed Off","ERROR")</f>
        <v>#VALUE!</v>
      </c>
      <c r="C714" s="15" t="e" cm="1">
        <f t="array" ref="C714">_xlfn.SWITCH(LEFT(Tasks[[#This Row],[Type]], 3), "Fie", "Field Report", "Con", "Contractor QC", "Gen", "Contractor QC", "Pun", "Contractor QC", "Qua", "Contractor QC", "Fin", "Punch List")</f>
        <v>#VALUE!</v>
      </c>
      <c r="D714" s="15" t="e">
        <f>_xlfn.LET(
_xlpm.leftValue, TRIM(LEFT(Tasks[[#This Row],[Description]], 45)),
IF(LEN(_xlpm.leftValue) &lt; 40, _xlpm.leftValue, _xlfn.CONCAT(_xlpm.leftValue, "…"))
)</f>
        <v>#VALUE!</v>
      </c>
      <c r="E714" s="15" t="e" cm="1">
        <f t="array" ref="E714">_xlfn.LET(
_xlpm.inTower, COUNTIF(Tower_Num_Table[Tower Rm Numbers], LEFT(Task_Summary_Table[[#This Row],[Area/Room]], 3)) &gt; 0,
_xlpm.typeResult, _xlfn.SWITCH(LEFT(Tasks[[#This Row],[Page]], 2), "Hi", "Historic", "An", "Annex", "Si", "Site", "S5", "Project Task", "SWITCH ERROR"),
IF(_xlpm.inTower, "West Tower", _xlpm.typeResult)
)</f>
        <v>#VALUE!</v>
      </c>
      <c r="F714" s="15" t="str">
        <f>IFERROR(MID(Tasks[[#This Row],[Page]], FIND("Level", Tasks[[#This Row],[Page]]), 7), IF(ISNUMBER(FIND("Roof", Tasks[[#This Row],[Page]])), "Roof",  IF(ISNUMBER(FIND("S590", Tasks[[#This Row],[Page]])), "",  IF(ISNUMBER(FIND("Site", Tasks[[#This Row],[Page]])), "", "ERROR"))))</f>
        <v>ERROR</v>
      </c>
      <c r="G714" s="15" t="e">
        <f>IF(Tasks[[#This Row],[Location]]=0, "", Tasks[[#This Row],[Location]])</f>
        <v>#VALUE!</v>
      </c>
      <c r="H714" s="15" t="e">
        <f>Tasks[[#This Row],[To Package]]</f>
        <v>#VALUE!</v>
      </c>
      <c r="I714" s="15" t="e">
        <f>Tasks[[#This Row],[To Organisation]]</f>
        <v>#VALUE!</v>
      </c>
    </row>
    <row r="715" spans="1:9" ht="15.5" x14ac:dyDescent="0.35">
      <c r="A715" s="16" t="e">
        <f>HYPERLINK(_xlfn.CONCAT(Edit_URL,Tasks[[#This Row],[Ref]]),Tasks[[#This Row],[Ref]])</f>
        <v>#VALUE!</v>
      </c>
      <c r="B715" s="15" t="e" cm="1">
        <f t="array" ref="B715">_xlfn.SWITCH(LEFT(Tasks[[#This Row],[Status]],1),"O","Opened","C","Completed","S","Signed Off", "V", "Signed Off","ERROR")</f>
        <v>#VALUE!</v>
      </c>
      <c r="C715" s="15" t="e" cm="1">
        <f t="array" ref="C715">_xlfn.SWITCH(LEFT(Tasks[[#This Row],[Type]], 3), "Fie", "Field Report", "Con", "Contractor QC", "Gen", "Contractor QC", "Pun", "Contractor QC", "Qua", "Contractor QC", "Fin", "Punch List")</f>
        <v>#VALUE!</v>
      </c>
      <c r="D715" s="15" t="e">
        <f>_xlfn.LET(
_xlpm.leftValue, TRIM(LEFT(Tasks[[#This Row],[Description]], 45)),
IF(LEN(_xlpm.leftValue) &lt; 40, _xlpm.leftValue, _xlfn.CONCAT(_xlpm.leftValue, "…"))
)</f>
        <v>#VALUE!</v>
      </c>
      <c r="E715" s="15" t="e" cm="1">
        <f t="array" ref="E715">_xlfn.LET(
_xlpm.inTower, COUNTIF(Tower_Num_Table[Tower Rm Numbers], LEFT(Task_Summary_Table[[#This Row],[Area/Room]], 3)) &gt; 0,
_xlpm.typeResult, _xlfn.SWITCH(LEFT(Tasks[[#This Row],[Page]], 2), "Hi", "Historic", "An", "Annex", "Si", "Site", "S5", "Project Task", "SWITCH ERROR"),
IF(_xlpm.inTower, "West Tower", _xlpm.typeResult)
)</f>
        <v>#VALUE!</v>
      </c>
      <c r="F715" s="15" t="str">
        <f>IFERROR(MID(Tasks[[#This Row],[Page]], FIND("Level", Tasks[[#This Row],[Page]]), 7), IF(ISNUMBER(FIND("Roof", Tasks[[#This Row],[Page]])), "Roof",  IF(ISNUMBER(FIND("S590", Tasks[[#This Row],[Page]])), "",  IF(ISNUMBER(FIND("Site", Tasks[[#This Row],[Page]])), "", "ERROR"))))</f>
        <v>ERROR</v>
      </c>
      <c r="G715" s="15" t="e">
        <f>IF(Tasks[[#This Row],[Location]]=0, "", Tasks[[#This Row],[Location]])</f>
        <v>#VALUE!</v>
      </c>
      <c r="H715" s="15" t="e">
        <f>Tasks[[#This Row],[To Package]]</f>
        <v>#VALUE!</v>
      </c>
      <c r="I715" s="15" t="e">
        <f>Tasks[[#This Row],[To Organisation]]</f>
        <v>#VALUE!</v>
      </c>
    </row>
    <row r="716" spans="1:9" ht="15.5" x14ac:dyDescent="0.35">
      <c r="A716" s="16" t="e">
        <f>HYPERLINK(_xlfn.CONCAT(Edit_URL,Tasks[[#This Row],[Ref]]),Tasks[[#This Row],[Ref]])</f>
        <v>#VALUE!</v>
      </c>
      <c r="B716" s="15" t="e" cm="1">
        <f t="array" ref="B716">_xlfn.SWITCH(LEFT(Tasks[[#This Row],[Status]],1),"O","Opened","C","Completed","S","Signed Off", "V", "Signed Off","ERROR")</f>
        <v>#VALUE!</v>
      </c>
      <c r="C716" s="15" t="e" cm="1">
        <f t="array" ref="C716">_xlfn.SWITCH(LEFT(Tasks[[#This Row],[Type]], 3), "Fie", "Field Report", "Con", "Contractor QC", "Gen", "Contractor QC", "Pun", "Contractor QC", "Qua", "Contractor QC", "Fin", "Punch List")</f>
        <v>#VALUE!</v>
      </c>
      <c r="D716" s="15" t="e">
        <f>_xlfn.LET(
_xlpm.leftValue, TRIM(LEFT(Tasks[[#This Row],[Description]], 45)),
IF(LEN(_xlpm.leftValue) &lt; 40, _xlpm.leftValue, _xlfn.CONCAT(_xlpm.leftValue, "…"))
)</f>
        <v>#VALUE!</v>
      </c>
      <c r="E716" s="15" t="e" cm="1">
        <f t="array" ref="E716">_xlfn.LET(
_xlpm.inTower, COUNTIF(Tower_Num_Table[Tower Rm Numbers], LEFT(Task_Summary_Table[[#This Row],[Area/Room]], 3)) &gt; 0,
_xlpm.typeResult, _xlfn.SWITCH(LEFT(Tasks[[#This Row],[Page]], 2), "Hi", "Historic", "An", "Annex", "Si", "Site", "S5", "Project Task", "SWITCH ERROR"),
IF(_xlpm.inTower, "West Tower", _xlpm.typeResult)
)</f>
        <v>#VALUE!</v>
      </c>
      <c r="F716" s="15" t="str">
        <f>IFERROR(MID(Tasks[[#This Row],[Page]], FIND("Level", Tasks[[#This Row],[Page]]), 7), IF(ISNUMBER(FIND("Roof", Tasks[[#This Row],[Page]])), "Roof",  IF(ISNUMBER(FIND("S590", Tasks[[#This Row],[Page]])), "",  IF(ISNUMBER(FIND("Site", Tasks[[#This Row],[Page]])), "", "ERROR"))))</f>
        <v>ERROR</v>
      </c>
      <c r="G716" s="15" t="e">
        <f>IF(Tasks[[#This Row],[Location]]=0, "", Tasks[[#This Row],[Location]])</f>
        <v>#VALUE!</v>
      </c>
      <c r="H716" s="15" t="e">
        <f>Tasks[[#This Row],[To Package]]</f>
        <v>#VALUE!</v>
      </c>
      <c r="I716" s="15" t="e">
        <f>Tasks[[#This Row],[To Organisation]]</f>
        <v>#VALUE!</v>
      </c>
    </row>
    <row r="717" spans="1:9" ht="15.5" x14ac:dyDescent="0.35">
      <c r="A717" s="16" t="e">
        <f>HYPERLINK(_xlfn.CONCAT(Edit_URL,Tasks[[#This Row],[Ref]]),Tasks[[#This Row],[Ref]])</f>
        <v>#VALUE!</v>
      </c>
      <c r="B717" s="15" t="e" cm="1">
        <f t="array" ref="B717">_xlfn.SWITCH(LEFT(Tasks[[#This Row],[Status]],1),"O","Opened","C","Completed","S","Signed Off", "V", "Signed Off","ERROR")</f>
        <v>#VALUE!</v>
      </c>
      <c r="C717" s="15" t="e" cm="1">
        <f t="array" ref="C717">_xlfn.SWITCH(LEFT(Tasks[[#This Row],[Type]], 3), "Fie", "Field Report", "Con", "Contractor QC", "Gen", "Contractor QC", "Pun", "Contractor QC", "Qua", "Contractor QC", "Fin", "Punch List")</f>
        <v>#VALUE!</v>
      </c>
      <c r="D717" s="15" t="e">
        <f>_xlfn.LET(
_xlpm.leftValue, TRIM(LEFT(Tasks[[#This Row],[Description]], 45)),
IF(LEN(_xlpm.leftValue) &lt; 40, _xlpm.leftValue, _xlfn.CONCAT(_xlpm.leftValue, "…"))
)</f>
        <v>#VALUE!</v>
      </c>
      <c r="E717" s="15" t="e" cm="1">
        <f t="array" ref="E717">_xlfn.LET(
_xlpm.inTower, COUNTIF(Tower_Num_Table[Tower Rm Numbers], LEFT(Task_Summary_Table[[#This Row],[Area/Room]], 3)) &gt; 0,
_xlpm.typeResult, _xlfn.SWITCH(LEFT(Tasks[[#This Row],[Page]], 2), "Hi", "Historic", "An", "Annex", "Si", "Site", "S5", "Project Task", "SWITCH ERROR"),
IF(_xlpm.inTower, "West Tower", _xlpm.typeResult)
)</f>
        <v>#VALUE!</v>
      </c>
      <c r="F717" s="15" t="str">
        <f>IFERROR(MID(Tasks[[#This Row],[Page]], FIND("Level", Tasks[[#This Row],[Page]]), 7), IF(ISNUMBER(FIND("Roof", Tasks[[#This Row],[Page]])), "Roof",  IF(ISNUMBER(FIND("S590", Tasks[[#This Row],[Page]])), "",  IF(ISNUMBER(FIND("Site", Tasks[[#This Row],[Page]])), "", "ERROR"))))</f>
        <v>ERROR</v>
      </c>
      <c r="G717" s="15" t="e">
        <f>IF(Tasks[[#This Row],[Location]]=0, "", Tasks[[#This Row],[Location]])</f>
        <v>#VALUE!</v>
      </c>
      <c r="H717" s="15" t="e">
        <f>Tasks[[#This Row],[To Package]]</f>
        <v>#VALUE!</v>
      </c>
      <c r="I717" s="15" t="e">
        <f>Tasks[[#This Row],[To Organisation]]</f>
        <v>#VALUE!</v>
      </c>
    </row>
    <row r="718" spans="1:9" ht="15.5" x14ac:dyDescent="0.35">
      <c r="A718" s="16" t="e">
        <f>HYPERLINK(_xlfn.CONCAT(Edit_URL,Tasks[[#This Row],[Ref]]),Tasks[[#This Row],[Ref]])</f>
        <v>#VALUE!</v>
      </c>
      <c r="B718" s="15" t="e" cm="1">
        <f t="array" ref="B718">_xlfn.SWITCH(LEFT(Tasks[[#This Row],[Status]],1),"O","Opened","C","Completed","S","Signed Off", "V", "Signed Off","ERROR")</f>
        <v>#VALUE!</v>
      </c>
      <c r="C718" s="15" t="e" cm="1">
        <f t="array" ref="C718">_xlfn.SWITCH(LEFT(Tasks[[#This Row],[Type]], 3), "Fie", "Field Report", "Con", "Contractor QC", "Gen", "Contractor QC", "Pun", "Contractor QC", "Qua", "Contractor QC", "Fin", "Punch List")</f>
        <v>#VALUE!</v>
      </c>
      <c r="D718" s="15" t="e">
        <f>_xlfn.LET(
_xlpm.leftValue, TRIM(LEFT(Tasks[[#This Row],[Description]], 45)),
IF(LEN(_xlpm.leftValue) &lt; 40, _xlpm.leftValue, _xlfn.CONCAT(_xlpm.leftValue, "…"))
)</f>
        <v>#VALUE!</v>
      </c>
      <c r="E718" s="15" t="e" cm="1">
        <f t="array" ref="E718">_xlfn.LET(
_xlpm.inTower, COUNTIF(Tower_Num_Table[Tower Rm Numbers], LEFT(Task_Summary_Table[[#This Row],[Area/Room]], 3)) &gt; 0,
_xlpm.typeResult, _xlfn.SWITCH(LEFT(Tasks[[#This Row],[Page]], 2), "Hi", "Historic", "An", "Annex", "Si", "Site", "S5", "Project Task", "SWITCH ERROR"),
IF(_xlpm.inTower, "West Tower", _xlpm.typeResult)
)</f>
        <v>#VALUE!</v>
      </c>
      <c r="F718" s="15" t="str">
        <f>IFERROR(MID(Tasks[[#This Row],[Page]], FIND("Level", Tasks[[#This Row],[Page]]), 7), IF(ISNUMBER(FIND("Roof", Tasks[[#This Row],[Page]])), "Roof",  IF(ISNUMBER(FIND("S590", Tasks[[#This Row],[Page]])), "",  IF(ISNUMBER(FIND("Site", Tasks[[#This Row],[Page]])), "", "ERROR"))))</f>
        <v>ERROR</v>
      </c>
      <c r="G718" s="15" t="e">
        <f>IF(Tasks[[#This Row],[Location]]=0, "", Tasks[[#This Row],[Location]])</f>
        <v>#VALUE!</v>
      </c>
      <c r="H718" s="15" t="e">
        <f>Tasks[[#This Row],[To Package]]</f>
        <v>#VALUE!</v>
      </c>
      <c r="I718" s="15" t="e">
        <f>Tasks[[#This Row],[To Organisation]]</f>
        <v>#VALUE!</v>
      </c>
    </row>
    <row r="719" spans="1:9" ht="15.5" x14ac:dyDescent="0.35">
      <c r="A719" s="16" t="e">
        <f>HYPERLINK(_xlfn.CONCAT(Edit_URL,Tasks[[#This Row],[Ref]]),Tasks[[#This Row],[Ref]])</f>
        <v>#VALUE!</v>
      </c>
      <c r="B719" s="15" t="e" cm="1">
        <f t="array" ref="B719">_xlfn.SWITCH(LEFT(Tasks[[#This Row],[Status]],1),"O","Opened","C","Completed","S","Signed Off", "V", "Signed Off","ERROR")</f>
        <v>#VALUE!</v>
      </c>
      <c r="C719" s="15" t="e" cm="1">
        <f t="array" ref="C719">_xlfn.SWITCH(LEFT(Tasks[[#This Row],[Type]], 3), "Fie", "Field Report", "Con", "Contractor QC", "Gen", "Contractor QC", "Pun", "Contractor QC", "Qua", "Contractor QC", "Fin", "Punch List")</f>
        <v>#VALUE!</v>
      </c>
      <c r="D719" s="15" t="e">
        <f>_xlfn.LET(
_xlpm.leftValue, TRIM(LEFT(Tasks[[#This Row],[Description]], 45)),
IF(LEN(_xlpm.leftValue) &lt; 40, _xlpm.leftValue, _xlfn.CONCAT(_xlpm.leftValue, "…"))
)</f>
        <v>#VALUE!</v>
      </c>
      <c r="E719" s="15" t="e" cm="1">
        <f t="array" ref="E719">_xlfn.LET(
_xlpm.inTower, COUNTIF(Tower_Num_Table[Tower Rm Numbers], LEFT(Task_Summary_Table[[#This Row],[Area/Room]], 3)) &gt; 0,
_xlpm.typeResult, _xlfn.SWITCH(LEFT(Tasks[[#This Row],[Page]], 2), "Hi", "Historic", "An", "Annex", "Si", "Site", "S5", "Project Task", "SWITCH ERROR"),
IF(_xlpm.inTower, "West Tower", _xlpm.typeResult)
)</f>
        <v>#VALUE!</v>
      </c>
      <c r="F719" s="15" t="str">
        <f>IFERROR(MID(Tasks[[#This Row],[Page]], FIND("Level", Tasks[[#This Row],[Page]]), 7), IF(ISNUMBER(FIND("Roof", Tasks[[#This Row],[Page]])), "Roof",  IF(ISNUMBER(FIND("S590", Tasks[[#This Row],[Page]])), "",  IF(ISNUMBER(FIND("Site", Tasks[[#This Row],[Page]])), "", "ERROR"))))</f>
        <v>ERROR</v>
      </c>
      <c r="G719" s="15" t="e">
        <f>IF(Tasks[[#This Row],[Location]]=0, "", Tasks[[#This Row],[Location]])</f>
        <v>#VALUE!</v>
      </c>
      <c r="H719" s="15" t="e">
        <f>Tasks[[#This Row],[To Package]]</f>
        <v>#VALUE!</v>
      </c>
      <c r="I719" s="15" t="e">
        <f>Tasks[[#This Row],[To Organisation]]</f>
        <v>#VALUE!</v>
      </c>
    </row>
    <row r="720" spans="1:9" ht="15.5" x14ac:dyDescent="0.35">
      <c r="A720" s="16" t="e">
        <f>HYPERLINK(_xlfn.CONCAT(Edit_URL,Tasks[[#This Row],[Ref]]),Tasks[[#This Row],[Ref]])</f>
        <v>#VALUE!</v>
      </c>
      <c r="B720" s="15" t="e" cm="1">
        <f t="array" ref="B720">_xlfn.SWITCH(LEFT(Tasks[[#This Row],[Status]],1),"O","Opened","C","Completed","S","Signed Off", "V", "Signed Off","ERROR")</f>
        <v>#VALUE!</v>
      </c>
      <c r="C720" s="15" t="e" cm="1">
        <f t="array" ref="C720">_xlfn.SWITCH(LEFT(Tasks[[#This Row],[Type]], 3), "Fie", "Field Report", "Con", "Contractor QC", "Gen", "Contractor QC", "Pun", "Contractor QC", "Qua", "Contractor QC", "Fin", "Punch List")</f>
        <v>#VALUE!</v>
      </c>
      <c r="D720" s="15" t="e">
        <f>_xlfn.LET(
_xlpm.leftValue, TRIM(LEFT(Tasks[[#This Row],[Description]], 45)),
IF(LEN(_xlpm.leftValue) &lt; 40, _xlpm.leftValue, _xlfn.CONCAT(_xlpm.leftValue, "…"))
)</f>
        <v>#VALUE!</v>
      </c>
      <c r="E720" s="15" t="e" cm="1">
        <f t="array" ref="E720">_xlfn.LET(
_xlpm.inTower, COUNTIF(Tower_Num_Table[Tower Rm Numbers], LEFT(Task_Summary_Table[[#This Row],[Area/Room]], 3)) &gt; 0,
_xlpm.typeResult, _xlfn.SWITCH(LEFT(Tasks[[#This Row],[Page]], 2), "Hi", "Historic", "An", "Annex", "Si", "Site", "S5", "Project Task", "SWITCH ERROR"),
IF(_xlpm.inTower, "West Tower", _xlpm.typeResult)
)</f>
        <v>#VALUE!</v>
      </c>
      <c r="F720" s="15" t="str">
        <f>IFERROR(MID(Tasks[[#This Row],[Page]], FIND("Level", Tasks[[#This Row],[Page]]), 7), IF(ISNUMBER(FIND("Roof", Tasks[[#This Row],[Page]])), "Roof",  IF(ISNUMBER(FIND("S590", Tasks[[#This Row],[Page]])), "",  IF(ISNUMBER(FIND("Site", Tasks[[#This Row],[Page]])), "", "ERROR"))))</f>
        <v>ERROR</v>
      </c>
      <c r="G720" s="15" t="e">
        <f>IF(Tasks[[#This Row],[Location]]=0, "", Tasks[[#This Row],[Location]])</f>
        <v>#VALUE!</v>
      </c>
      <c r="H720" s="15" t="e">
        <f>Tasks[[#This Row],[To Package]]</f>
        <v>#VALUE!</v>
      </c>
      <c r="I720" s="15" t="e">
        <f>Tasks[[#This Row],[To Organisation]]</f>
        <v>#VALUE!</v>
      </c>
    </row>
    <row r="721" spans="1:9" ht="15.5" x14ac:dyDescent="0.35">
      <c r="A721" s="16" t="e">
        <f>HYPERLINK(_xlfn.CONCAT(Edit_URL,Tasks[[#This Row],[Ref]]),Tasks[[#This Row],[Ref]])</f>
        <v>#VALUE!</v>
      </c>
      <c r="B721" s="15" t="e" cm="1">
        <f t="array" ref="B721">_xlfn.SWITCH(LEFT(Tasks[[#This Row],[Status]],1),"O","Opened","C","Completed","S","Signed Off", "V", "Signed Off","ERROR")</f>
        <v>#VALUE!</v>
      </c>
      <c r="C721" s="15" t="e" cm="1">
        <f t="array" ref="C721">_xlfn.SWITCH(LEFT(Tasks[[#This Row],[Type]], 3), "Fie", "Field Report", "Con", "Contractor QC", "Gen", "Contractor QC", "Pun", "Contractor QC", "Qua", "Contractor QC", "Fin", "Punch List")</f>
        <v>#VALUE!</v>
      </c>
      <c r="D721" s="15" t="e">
        <f>_xlfn.LET(
_xlpm.leftValue, TRIM(LEFT(Tasks[[#This Row],[Description]], 45)),
IF(LEN(_xlpm.leftValue) &lt; 40, _xlpm.leftValue, _xlfn.CONCAT(_xlpm.leftValue, "…"))
)</f>
        <v>#VALUE!</v>
      </c>
      <c r="E721" s="15" t="e" cm="1">
        <f t="array" ref="E721">_xlfn.LET(
_xlpm.inTower, COUNTIF(Tower_Num_Table[Tower Rm Numbers], LEFT(Task_Summary_Table[[#This Row],[Area/Room]], 3)) &gt; 0,
_xlpm.typeResult, _xlfn.SWITCH(LEFT(Tasks[[#This Row],[Page]], 2), "Hi", "Historic", "An", "Annex", "Si", "Site", "S5", "Project Task", "SWITCH ERROR"),
IF(_xlpm.inTower, "West Tower", _xlpm.typeResult)
)</f>
        <v>#VALUE!</v>
      </c>
      <c r="F721" s="15" t="str">
        <f>IFERROR(MID(Tasks[[#This Row],[Page]], FIND("Level", Tasks[[#This Row],[Page]]), 7), IF(ISNUMBER(FIND("Roof", Tasks[[#This Row],[Page]])), "Roof",  IF(ISNUMBER(FIND("S590", Tasks[[#This Row],[Page]])), "",  IF(ISNUMBER(FIND("Site", Tasks[[#This Row],[Page]])), "", "ERROR"))))</f>
        <v>ERROR</v>
      </c>
      <c r="G721" s="15" t="e">
        <f>IF(Tasks[[#This Row],[Location]]=0, "", Tasks[[#This Row],[Location]])</f>
        <v>#VALUE!</v>
      </c>
      <c r="H721" s="15" t="e">
        <f>Tasks[[#This Row],[To Package]]</f>
        <v>#VALUE!</v>
      </c>
      <c r="I721" s="15" t="e">
        <f>Tasks[[#This Row],[To Organisation]]</f>
        <v>#VALUE!</v>
      </c>
    </row>
    <row r="722" spans="1:9" ht="15.5" x14ac:dyDescent="0.35">
      <c r="A722" s="16" t="e">
        <f>HYPERLINK(_xlfn.CONCAT(Edit_URL,Tasks[[#This Row],[Ref]]),Tasks[[#This Row],[Ref]])</f>
        <v>#VALUE!</v>
      </c>
      <c r="B722" s="15" t="e" cm="1">
        <f t="array" ref="B722">_xlfn.SWITCH(LEFT(Tasks[[#This Row],[Status]],1),"O","Opened","C","Completed","S","Signed Off", "V", "Signed Off","ERROR")</f>
        <v>#VALUE!</v>
      </c>
      <c r="C722" s="15" t="e" cm="1">
        <f t="array" ref="C722">_xlfn.SWITCH(LEFT(Tasks[[#This Row],[Type]], 3), "Fie", "Field Report", "Con", "Contractor QC", "Gen", "Contractor QC", "Pun", "Contractor QC", "Qua", "Contractor QC", "Fin", "Punch List")</f>
        <v>#VALUE!</v>
      </c>
      <c r="D722" s="15" t="e">
        <f>_xlfn.LET(
_xlpm.leftValue, TRIM(LEFT(Tasks[[#This Row],[Description]], 45)),
IF(LEN(_xlpm.leftValue) &lt; 40, _xlpm.leftValue, _xlfn.CONCAT(_xlpm.leftValue, "…"))
)</f>
        <v>#VALUE!</v>
      </c>
      <c r="E722" s="15" t="e" cm="1">
        <f t="array" ref="E722">_xlfn.LET(
_xlpm.inTower, COUNTIF(Tower_Num_Table[Tower Rm Numbers], LEFT(Task_Summary_Table[[#This Row],[Area/Room]], 3)) &gt; 0,
_xlpm.typeResult, _xlfn.SWITCH(LEFT(Tasks[[#This Row],[Page]], 2), "Hi", "Historic", "An", "Annex", "Si", "Site", "S5", "Project Task", "SWITCH ERROR"),
IF(_xlpm.inTower, "West Tower", _xlpm.typeResult)
)</f>
        <v>#VALUE!</v>
      </c>
      <c r="F722" s="15" t="str">
        <f>IFERROR(MID(Tasks[[#This Row],[Page]], FIND("Level", Tasks[[#This Row],[Page]]), 7), IF(ISNUMBER(FIND("Roof", Tasks[[#This Row],[Page]])), "Roof",  IF(ISNUMBER(FIND("S590", Tasks[[#This Row],[Page]])), "",  IF(ISNUMBER(FIND("Site", Tasks[[#This Row],[Page]])), "", "ERROR"))))</f>
        <v>ERROR</v>
      </c>
      <c r="G722" s="15" t="e">
        <f>IF(Tasks[[#This Row],[Location]]=0, "", Tasks[[#This Row],[Location]])</f>
        <v>#VALUE!</v>
      </c>
      <c r="H722" s="15" t="e">
        <f>Tasks[[#This Row],[To Package]]</f>
        <v>#VALUE!</v>
      </c>
      <c r="I722" s="15" t="e">
        <f>Tasks[[#This Row],[To Organisation]]</f>
        <v>#VALUE!</v>
      </c>
    </row>
    <row r="723" spans="1:9" ht="15.5" x14ac:dyDescent="0.35">
      <c r="A723" s="16" t="e">
        <f>HYPERLINK(_xlfn.CONCAT(Edit_URL,Tasks[[#This Row],[Ref]]),Tasks[[#This Row],[Ref]])</f>
        <v>#VALUE!</v>
      </c>
      <c r="B723" s="15" t="e" cm="1">
        <f t="array" ref="B723">_xlfn.SWITCH(LEFT(Tasks[[#This Row],[Status]],1),"O","Opened","C","Completed","S","Signed Off", "V", "Signed Off","ERROR")</f>
        <v>#VALUE!</v>
      </c>
      <c r="C723" s="15" t="e" cm="1">
        <f t="array" ref="C723">_xlfn.SWITCH(LEFT(Tasks[[#This Row],[Type]], 3), "Fie", "Field Report", "Con", "Contractor QC", "Gen", "Contractor QC", "Pun", "Contractor QC", "Qua", "Contractor QC", "Fin", "Punch List")</f>
        <v>#VALUE!</v>
      </c>
      <c r="D723" s="15" t="e">
        <f>_xlfn.LET(
_xlpm.leftValue, TRIM(LEFT(Tasks[[#This Row],[Description]], 45)),
IF(LEN(_xlpm.leftValue) &lt; 40, _xlpm.leftValue, _xlfn.CONCAT(_xlpm.leftValue, "…"))
)</f>
        <v>#VALUE!</v>
      </c>
      <c r="E723" s="15" t="e" cm="1">
        <f t="array" ref="E723">_xlfn.LET(
_xlpm.inTower, COUNTIF(Tower_Num_Table[Tower Rm Numbers], LEFT(Task_Summary_Table[[#This Row],[Area/Room]], 3)) &gt; 0,
_xlpm.typeResult, _xlfn.SWITCH(LEFT(Tasks[[#This Row],[Page]], 2), "Hi", "Historic", "An", "Annex", "Si", "Site", "S5", "Project Task", "SWITCH ERROR"),
IF(_xlpm.inTower, "West Tower", _xlpm.typeResult)
)</f>
        <v>#VALUE!</v>
      </c>
      <c r="F723" s="15" t="str">
        <f>IFERROR(MID(Tasks[[#This Row],[Page]], FIND("Level", Tasks[[#This Row],[Page]]), 7), IF(ISNUMBER(FIND("Roof", Tasks[[#This Row],[Page]])), "Roof",  IF(ISNUMBER(FIND("S590", Tasks[[#This Row],[Page]])), "",  IF(ISNUMBER(FIND("Site", Tasks[[#This Row],[Page]])), "", "ERROR"))))</f>
        <v>ERROR</v>
      </c>
      <c r="G723" s="15" t="e">
        <f>IF(Tasks[[#This Row],[Location]]=0, "", Tasks[[#This Row],[Location]])</f>
        <v>#VALUE!</v>
      </c>
      <c r="H723" s="15" t="e">
        <f>Tasks[[#This Row],[To Package]]</f>
        <v>#VALUE!</v>
      </c>
      <c r="I723" s="15" t="e">
        <f>Tasks[[#This Row],[To Organisation]]</f>
        <v>#VALUE!</v>
      </c>
    </row>
    <row r="724" spans="1:9" ht="15.5" x14ac:dyDescent="0.35">
      <c r="A724" s="16" t="e">
        <f>HYPERLINK(_xlfn.CONCAT(Edit_URL,Tasks[[#This Row],[Ref]]),Tasks[[#This Row],[Ref]])</f>
        <v>#VALUE!</v>
      </c>
      <c r="B724" s="15" t="e" cm="1">
        <f t="array" ref="B724">_xlfn.SWITCH(LEFT(Tasks[[#This Row],[Status]],1),"O","Opened","C","Completed","S","Signed Off", "V", "Signed Off","ERROR")</f>
        <v>#VALUE!</v>
      </c>
      <c r="C724" s="15" t="e" cm="1">
        <f t="array" ref="C724">_xlfn.SWITCH(LEFT(Tasks[[#This Row],[Type]], 3), "Fie", "Field Report", "Con", "Contractor QC", "Gen", "Contractor QC", "Pun", "Contractor QC", "Qua", "Contractor QC", "Fin", "Punch List")</f>
        <v>#VALUE!</v>
      </c>
      <c r="D724" s="15" t="e">
        <f>_xlfn.LET(
_xlpm.leftValue, TRIM(LEFT(Tasks[[#This Row],[Description]], 45)),
IF(LEN(_xlpm.leftValue) &lt; 40, _xlpm.leftValue, _xlfn.CONCAT(_xlpm.leftValue, "…"))
)</f>
        <v>#VALUE!</v>
      </c>
      <c r="E724" s="15" t="e" cm="1">
        <f t="array" ref="E724">_xlfn.LET(
_xlpm.inTower, COUNTIF(Tower_Num_Table[Tower Rm Numbers], LEFT(Task_Summary_Table[[#This Row],[Area/Room]], 3)) &gt; 0,
_xlpm.typeResult, _xlfn.SWITCH(LEFT(Tasks[[#This Row],[Page]], 2), "Hi", "Historic", "An", "Annex", "Si", "Site", "S5", "Project Task", "SWITCH ERROR"),
IF(_xlpm.inTower, "West Tower", _xlpm.typeResult)
)</f>
        <v>#VALUE!</v>
      </c>
      <c r="F724" s="15" t="str">
        <f>IFERROR(MID(Tasks[[#This Row],[Page]], FIND("Level", Tasks[[#This Row],[Page]]), 7), IF(ISNUMBER(FIND("Roof", Tasks[[#This Row],[Page]])), "Roof",  IF(ISNUMBER(FIND("S590", Tasks[[#This Row],[Page]])), "",  IF(ISNUMBER(FIND("Site", Tasks[[#This Row],[Page]])), "", "ERROR"))))</f>
        <v>ERROR</v>
      </c>
      <c r="G724" s="15" t="e">
        <f>IF(Tasks[[#This Row],[Location]]=0, "", Tasks[[#This Row],[Location]])</f>
        <v>#VALUE!</v>
      </c>
      <c r="H724" s="15" t="e">
        <f>Tasks[[#This Row],[To Package]]</f>
        <v>#VALUE!</v>
      </c>
      <c r="I724" s="15" t="e">
        <f>Tasks[[#This Row],[To Organisation]]</f>
        <v>#VALUE!</v>
      </c>
    </row>
    <row r="725" spans="1:9" ht="15.5" x14ac:dyDescent="0.35">
      <c r="A725" s="16" t="e">
        <f>HYPERLINK(_xlfn.CONCAT(Edit_URL,Tasks[[#This Row],[Ref]]),Tasks[[#This Row],[Ref]])</f>
        <v>#VALUE!</v>
      </c>
      <c r="B725" s="15" t="e" cm="1">
        <f t="array" ref="B725">_xlfn.SWITCH(LEFT(Tasks[[#This Row],[Status]],1),"O","Opened","C","Completed","S","Signed Off", "V", "Signed Off","ERROR")</f>
        <v>#VALUE!</v>
      </c>
      <c r="C725" s="15" t="e" cm="1">
        <f t="array" ref="C725">_xlfn.SWITCH(LEFT(Tasks[[#This Row],[Type]], 3), "Fie", "Field Report", "Con", "Contractor QC", "Gen", "Contractor QC", "Pun", "Contractor QC", "Qua", "Contractor QC", "Fin", "Punch List")</f>
        <v>#VALUE!</v>
      </c>
      <c r="D725" s="15" t="e">
        <f>_xlfn.LET(
_xlpm.leftValue, TRIM(LEFT(Tasks[[#This Row],[Description]], 45)),
IF(LEN(_xlpm.leftValue) &lt; 40, _xlpm.leftValue, _xlfn.CONCAT(_xlpm.leftValue, "…"))
)</f>
        <v>#VALUE!</v>
      </c>
      <c r="E725" s="15" t="e" cm="1">
        <f t="array" ref="E725">_xlfn.LET(
_xlpm.inTower, COUNTIF(Tower_Num_Table[Tower Rm Numbers], LEFT(Task_Summary_Table[[#This Row],[Area/Room]], 3)) &gt; 0,
_xlpm.typeResult, _xlfn.SWITCH(LEFT(Tasks[[#This Row],[Page]], 2), "Hi", "Historic", "An", "Annex", "Si", "Site", "S5", "Project Task", "SWITCH ERROR"),
IF(_xlpm.inTower, "West Tower", _xlpm.typeResult)
)</f>
        <v>#VALUE!</v>
      </c>
      <c r="F725" s="15" t="str">
        <f>IFERROR(MID(Tasks[[#This Row],[Page]], FIND("Level", Tasks[[#This Row],[Page]]), 7), IF(ISNUMBER(FIND("Roof", Tasks[[#This Row],[Page]])), "Roof",  IF(ISNUMBER(FIND("S590", Tasks[[#This Row],[Page]])), "",  IF(ISNUMBER(FIND("Site", Tasks[[#This Row],[Page]])), "", "ERROR"))))</f>
        <v>ERROR</v>
      </c>
      <c r="G725" s="15" t="e">
        <f>IF(Tasks[[#This Row],[Location]]=0, "", Tasks[[#This Row],[Location]])</f>
        <v>#VALUE!</v>
      </c>
      <c r="H725" s="15" t="e">
        <f>Tasks[[#This Row],[To Package]]</f>
        <v>#VALUE!</v>
      </c>
      <c r="I725" s="15" t="e">
        <f>Tasks[[#This Row],[To Organisation]]</f>
        <v>#VALUE!</v>
      </c>
    </row>
    <row r="726" spans="1:9" ht="15.5" x14ac:dyDescent="0.35">
      <c r="A726" s="16" t="e">
        <f>HYPERLINK(_xlfn.CONCAT(Edit_URL,Tasks[[#This Row],[Ref]]),Tasks[[#This Row],[Ref]])</f>
        <v>#VALUE!</v>
      </c>
      <c r="B726" s="15" t="e" cm="1">
        <f t="array" ref="B726">_xlfn.SWITCH(LEFT(Tasks[[#This Row],[Status]],1),"O","Opened","C","Completed","S","Signed Off", "V", "Signed Off","ERROR")</f>
        <v>#VALUE!</v>
      </c>
      <c r="C726" s="15" t="e" cm="1">
        <f t="array" ref="C726">_xlfn.SWITCH(LEFT(Tasks[[#This Row],[Type]], 3), "Fie", "Field Report", "Con", "Contractor QC", "Gen", "Contractor QC", "Pun", "Contractor QC", "Qua", "Contractor QC", "Fin", "Punch List")</f>
        <v>#VALUE!</v>
      </c>
      <c r="D726" s="15" t="e">
        <f>_xlfn.LET(
_xlpm.leftValue, TRIM(LEFT(Tasks[[#This Row],[Description]], 45)),
IF(LEN(_xlpm.leftValue) &lt; 40, _xlpm.leftValue, _xlfn.CONCAT(_xlpm.leftValue, "…"))
)</f>
        <v>#VALUE!</v>
      </c>
      <c r="E726" s="15" t="e" cm="1">
        <f t="array" ref="E726">_xlfn.LET(
_xlpm.inTower, COUNTIF(Tower_Num_Table[Tower Rm Numbers], LEFT(Task_Summary_Table[[#This Row],[Area/Room]], 3)) &gt; 0,
_xlpm.typeResult, _xlfn.SWITCH(LEFT(Tasks[[#This Row],[Page]], 2), "Hi", "Historic", "An", "Annex", "Si", "Site", "S5", "Project Task", "SWITCH ERROR"),
IF(_xlpm.inTower, "West Tower", _xlpm.typeResult)
)</f>
        <v>#VALUE!</v>
      </c>
      <c r="F726" s="15" t="str">
        <f>IFERROR(MID(Tasks[[#This Row],[Page]], FIND("Level", Tasks[[#This Row],[Page]]), 7), IF(ISNUMBER(FIND("Roof", Tasks[[#This Row],[Page]])), "Roof",  IF(ISNUMBER(FIND("S590", Tasks[[#This Row],[Page]])), "",  IF(ISNUMBER(FIND("Site", Tasks[[#This Row],[Page]])), "", "ERROR"))))</f>
        <v>ERROR</v>
      </c>
      <c r="G726" s="15" t="e">
        <f>IF(Tasks[[#This Row],[Location]]=0, "", Tasks[[#This Row],[Location]])</f>
        <v>#VALUE!</v>
      </c>
      <c r="H726" s="15" t="e">
        <f>Tasks[[#This Row],[To Package]]</f>
        <v>#VALUE!</v>
      </c>
      <c r="I726" s="15" t="e">
        <f>Tasks[[#This Row],[To Organisation]]</f>
        <v>#VALUE!</v>
      </c>
    </row>
    <row r="727" spans="1:9" ht="15.5" x14ac:dyDescent="0.35">
      <c r="A727" s="16" t="e">
        <f>HYPERLINK(_xlfn.CONCAT(Edit_URL,Tasks[[#This Row],[Ref]]),Tasks[[#This Row],[Ref]])</f>
        <v>#VALUE!</v>
      </c>
      <c r="B727" s="15" t="e" cm="1">
        <f t="array" ref="B727">_xlfn.SWITCH(LEFT(Tasks[[#This Row],[Status]],1),"O","Opened","C","Completed","S","Signed Off", "V", "Signed Off","ERROR")</f>
        <v>#VALUE!</v>
      </c>
      <c r="C727" s="15" t="e" cm="1">
        <f t="array" ref="C727">_xlfn.SWITCH(LEFT(Tasks[[#This Row],[Type]], 3), "Fie", "Field Report", "Con", "Contractor QC", "Gen", "Contractor QC", "Pun", "Contractor QC", "Qua", "Contractor QC", "Fin", "Punch List")</f>
        <v>#VALUE!</v>
      </c>
      <c r="D727" s="15" t="e">
        <f>_xlfn.LET(
_xlpm.leftValue, TRIM(LEFT(Tasks[[#This Row],[Description]], 45)),
IF(LEN(_xlpm.leftValue) &lt; 40, _xlpm.leftValue, _xlfn.CONCAT(_xlpm.leftValue, "…"))
)</f>
        <v>#VALUE!</v>
      </c>
      <c r="E727" s="15" t="e" cm="1">
        <f t="array" ref="E727">_xlfn.LET(
_xlpm.inTower, COUNTIF(Tower_Num_Table[Tower Rm Numbers], LEFT(Task_Summary_Table[[#This Row],[Area/Room]], 3)) &gt; 0,
_xlpm.typeResult, _xlfn.SWITCH(LEFT(Tasks[[#This Row],[Page]], 2), "Hi", "Historic", "An", "Annex", "Si", "Site", "S5", "Project Task", "SWITCH ERROR"),
IF(_xlpm.inTower, "West Tower", _xlpm.typeResult)
)</f>
        <v>#VALUE!</v>
      </c>
      <c r="F727" s="15" t="str">
        <f>IFERROR(MID(Tasks[[#This Row],[Page]], FIND("Level", Tasks[[#This Row],[Page]]), 7), IF(ISNUMBER(FIND("Roof", Tasks[[#This Row],[Page]])), "Roof",  IF(ISNUMBER(FIND("S590", Tasks[[#This Row],[Page]])), "",  IF(ISNUMBER(FIND("Site", Tasks[[#This Row],[Page]])), "", "ERROR"))))</f>
        <v>ERROR</v>
      </c>
      <c r="G727" s="15" t="e">
        <f>IF(Tasks[[#This Row],[Location]]=0, "", Tasks[[#This Row],[Location]])</f>
        <v>#VALUE!</v>
      </c>
      <c r="H727" s="15" t="e">
        <f>Tasks[[#This Row],[To Package]]</f>
        <v>#VALUE!</v>
      </c>
      <c r="I727" s="15" t="e">
        <f>Tasks[[#This Row],[To Organisation]]</f>
        <v>#VALUE!</v>
      </c>
    </row>
    <row r="728" spans="1:9" ht="15.5" x14ac:dyDescent="0.35">
      <c r="A728" s="16" t="e">
        <f>HYPERLINK(_xlfn.CONCAT(Edit_URL,Tasks[[#This Row],[Ref]]),Tasks[[#This Row],[Ref]])</f>
        <v>#VALUE!</v>
      </c>
      <c r="B728" s="15" t="e" cm="1">
        <f t="array" ref="B728">_xlfn.SWITCH(LEFT(Tasks[[#This Row],[Status]],1),"O","Opened","C","Completed","S","Signed Off", "V", "Signed Off","ERROR")</f>
        <v>#VALUE!</v>
      </c>
      <c r="C728" s="15" t="e" cm="1">
        <f t="array" ref="C728">_xlfn.SWITCH(LEFT(Tasks[[#This Row],[Type]], 3), "Fie", "Field Report", "Con", "Contractor QC", "Gen", "Contractor QC", "Pun", "Contractor QC", "Qua", "Contractor QC", "Fin", "Punch List")</f>
        <v>#VALUE!</v>
      </c>
      <c r="D728" s="15" t="e">
        <f>_xlfn.LET(
_xlpm.leftValue, TRIM(LEFT(Tasks[[#This Row],[Description]], 45)),
IF(LEN(_xlpm.leftValue) &lt; 40, _xlpm.leftValue, _xlfn.CONCAT(_xlpm.leftValue, "…"))
)</f>
        <v>#VALUE!</v>
      </c>
      <c r="E728" s="15" t="e" cm="1">
        <f t="array" ref="E728">_xlfn.LET(
_xlpm.inTower, COUNTIF(Tower_Num_Table[Tower Rm Numbers], LEFT(Task_Summary_Table[[#This Row],[Area/Room]], 3)) &gt; 0,
_xlpm.typeResult, _xlfn.SWITCH(LEFT(Tasks[[#This Row],[Page]], 2), "Hi", "Historic", "An", "Annex", "Si", "Site", "S5", "Project Task", "SWITCH ERROR"),
IF(_xlpm.inTower, "West Tower", _xlpm.typeResult)
)</f>
        <v>#VALUE!</v>
      </c>
      <c r="F728" s="15" t="str">
        <f>IFERROR(MID(Tasks[[#This Row],[Page]], FIND("Level", Tasks[[#This Row],[Page]]), 7), IF(ISNUMBER(FIND("Roof", Tasks[[#This Row],[Page]])), "Roof",  IF(ISNUMBER(FIND("S590", Tasks[[#This Row],[Page]])), "",  IF(ISNUMBER(FIND("Site", Tasks[[#This Row],[Page]])), "", "ERROR"))))</f>
        <v>ERROR</v>
      </c>
      <c r="G728" s="15" t="e">
        <f>IF(Tasks[[#This Row],[Location]]=0, "", Tasks[[#This Row],[Location]])</f>
        <v>#VALUE!</v>
      </c>
      <c r="H728" s="15" t="e">
        <f>Tasks[[#This Row],[To Package]]</f>
        <v>#VALUE!</v>
      </c>
      <c r="I728" s="15" t="e">
        <f>Tasks[[#This Row],[To Organisation]]</f>
        <v>#VALUE!</v>
      </c>
    </row>
    <row r="729" spans="1:9" ht="15.5" x14ac:dyDescent="0.35">
      <c r="A729" s="16" t="e">
        <f>HYPERLINK(_xlfn.CONCAT(Edit_URL,Tasks[[#This Row],[Ref]]),Tasks[[#This Row],[Ref]])</f>
        <v>#VALUE!</v>
      </c>
      <c r="B729" s="15" t="e" cm="1">
        <f t="array" ref="B729">_xlfn.SWITCH(LEFT(Tasks[[#This Row],[Status]],1),"O","Opened","C","Completed","S","Signed Off", "V", "Signed Off","ERROR")</f>
        <v>#VALUE!</v>
      </c>
      <c r="C729" s="15" t="e" cm="1">
        <f t="array" ref="C729">_xlfn.SWITCH(LEFT(Tasks[[#This Row],[Type]], 3), "Fie", "Field Report", "Con", "Contractor QC", "Gen", "Contractor QC", "Pun", "Contractor QC", "Qua", "Contractor QC", "Fin", "Punch List")</f>
        <v>#VALUE!</v>
      </c>
      <c r="D729" s="15" t="e">
        <f>_xlfn.LET(
_xlpm.leftValue, TRIM(LEFT(Tasks[[#This Row],[Description]], 45)),
IF(LEN(_xlpm.leftValue) &lt; 40, _xlpm.leftValue, _xlfn.CONCAT(_xlpm.leftValue, "…"))
)</f>
        <v>#VALUE!</v>
      </c>
      <c r="E729" s="15" t="e" cm="1">
        <f t="array" ref="E729">_xlfn.LET(
_xlpm.inTower, COUNTIF(Tower_Num_Table[Tower Rm Numbers], LEFT(Task_Summary_Table[[#This Row],[Area/Room]], 3)) &gt; 0,
_xlpm.typeResult, _xlfn.SWITCH(LEFT(Tasks[[#This Row],[Page]], 2), "Hi", "Historic", "An", "Annex", "Si", "Site", "S5", "Project Task", "SWITCH ERROR"),
IF(_xlpm.inTower, "West Tower", _xlpm.typeResult)
)</f>
        <v>#VALUE!</v>
      </c>
      <c r="F729" s="15" t="str">
        <f>IFERROR(MID(Tasks[[#This Row],[Page]], FIND("Level", Tasks[[#This Row],[Page]]), 7), IF(ISNUMBER(FIND("Roof", Tasks[[#This Row],[Page]])), "Roof",  IF(ISNUMBER(FIND("S590", Tasks[[#This Row],[Page]])), "",  IF(ISNUMBER(FIND("Site", Tasks[[#This Row],[Page]])), "", "ERROR"))))</f>
        <v>ERROR</v>
      </c>
      <c r="G729" s="15" t="e">
        <f>IF(Tasks[[#This Row],[Location]]=0, "", Tasks[[#This Row],[Location]])</f>
        <v>#VALUE!</v>
      </c>
      <c r="H729" s="15" t="e">
        <f>Tasks[[#This Row],[To Package]]</f>
        <v>#VALUE!</v>
      </c>
      <c r="I729" s="15" t="e">
        <f>Tasks[[#This Row],[To Organisation]]</f>
        <v>#VALUE!</v>
      </c>
    </row>
    <row r="730" spans="1:9" ht="15.5" x14ac:dyDescent="0.35">
      <c r="A730" s="16" t="e">
        <f>HYPERLINK(_xlfn.CONCAT(Edit_URL,Tasks[[#This Row],[Ref]]),Tasks[[#This Row],[Ref]])</f>
        <v>#VALUE!</v>
      </c>
      <c r="B730" s="15" t="e" cm="1">
        <f t="array" ref="B730">_xlfn.SWITCH(LEFT(Tasks[[#This Row],[Status]],1),"O","Opened","C","Completed","S","Signed Off", "V", "Signed Off","ERROR")</f>
        <v>#VALUE!</v>
      </c>
      <c r="C730" s="15" t="e" cm="1">
        <f t="array" ref="C730">_xlfn.SWITCH(LEFT(Tasks[[#This Row],[Type]], 3), "Fie", "Field Report", "Con", "Contractor QC", "Gen", "Contractor QC", "Pun", "Contractor QC", "Qua", "Contractor QC", "Fin", "Punch List")</f>
        <v>#VALUE!</v>
      </c>
      <c r="D730" s="15" t="e">
        <f>_xlfn.LET(
_xlpm.leftValue, TRIM(LEFT(Tasks[[#This Row],[Description]], 45)),
IF(LEN(_xlpm.leftValue) &lt; 40, _xlpm.leftValue, _xlfn.CONCAT(_xlpm.leftValue, "…"))
)</f>
        <v>#VALUE!</v>
      </c>
      <c r="E730" s="15" t="e" cm="1">
        <f t="array" ref="E730">_xlfn.LET(
_xlpm.inTower, COUNTIF(Tower_Num_Table[Tower Rm Numbers], LEFT(Task_Summary_Table[[#This Row],[Area/Room]], 3)) &gt; 0,
_xlpm.typeResult, _xlfn.SWITCH(LEFT(Tasks[[#This Row],[Page]], 2), "Hi", "Historic", "An", "Annex", "Si", "Site", "S5", "Project Task", "SWITCH ERROR"),
IF(_xlpm.inTower, "West Tower", _xlpm.typeResult)
)</f>
        <v>#VALUE!</v>
      </c>
      <c r="F730" s="15" t="str">
        <f>IFERROR(MID(Tasks[[#This Row],[Page]], FIND("Level", Tasks[[#This Row],[Page]]), 7), IF(ISNUMBER(FIND("Roof", Tasks[[#This Row],[Page]])), "Roof",  IF(ISNUMBER(FIND("S590", Tasks[[#This Row],[Page]])), "",  IF(ISNUMBER(FIND("Site", Tasks[[#This Row],[Page]])), "", "ERROR"))))</f>
        <v>ERROR</v>
      </c>
      <c r="G730" s="15" t="e">
        <f>IF(Tasks[[#This Row],[Location]]=0, "", Tasks[[#This Row],[Location]])</f>
        <v>#VALUE!</v>
      </c>
      <c r="H730" s="15" t="e">
        <f>Tasks[[#This Row],[To Package]]</f>
        <v>#VALUE!</v>
      </c>
      <c r="I730" s="15" t="e">
        <f>Tasks[[#This Row],[To Organisation]]</f>
        <v>#VALUE!</v>
      </c>
    </row>
    <row r="731" spans="1:9" ht="15.5" x14ac:dyDescent="0.35">
      <c r="A731" s="16" t="e">
        <f>HYPERLINK(_xlfn.CONCAT(Edit_URL,Tasks[[#This Row],[Ref]]),Tasks[[#This Row],[Ref]])</f>
        <v>#VALUE!</v>
      </c>
      <c r="B731" s="15" t="e" cm="1">
        <f t="array" ref="B731">_xlfn.SWITCH(LEFT(Tasks[[#This Row],[Status]],1),"O","Opened","C","Completed","S","Signed Off", "V", "Signed Off","ERROR")</f>
        <v>#VALUE!</v>
      </c>
      <c r="C731" s="15" t="e" cm="1">
        <f t="array" ref="C731">_xlfn.SWITCH(LEFT(Tasks[[#This Row],[Type]], 3), "Fie", "Field Report", "Con", "Contractor QC", "Gen", "Contractor QC", "Pun", "Contractor QC", "Qua", "Contractor QC", "Fin", "Punch List")</f>
        <v>#VALUE!</v>
      </c>
      <c r="D731" s="15" t="e">
        <f>_xlfn.LET(
_xlpm.leftValue, TRIM(LEFT(Tasks[[#This Row],[Description]], 45)),
IF(LEN(_xlpm.leftValue) &lt; 40, _xlpm.leftValue, _xlfn.CONCAT(_xlpm.leftValue, "…"))
)</f>
        <v>#VALUE!</v>
      </c>
      <c r="E731" s="15" t="e" cm="1">
        <f t="array" ref="E731">_xlfn.LET(
_xlpm.inTower, COUNTIF(Tower_Num_Table[Tower Rm Numbers], LEFT(Task_Summary_Table[[#This Row],[Area/Room]], 3)) &gt; 0,
_xlpm.typeResult, _xlfn.SWITCH(LEFT(Tasks[[#This Row],[Page]], 2), "Hi", "Historic", "An", "Annex", "Si", "Site", "S5", "Project Task", "SWITCH ERROR"),
IF(_xlpm.inTower, "West Tower", _xlpm.typeResult)
)</f>
        <v>#VALUE!</v>
      </c>
      <c r="F731" s="15" t="str">
        <f>IFERROR(MID(Tasks[[#This Row],[Page]], FIND("Level", Tasks[[#This Row],[Page]]), 7), IF(ISNUMBER(FIND("Roof", Tasks[[#This Row],[Page]])), "Roof",  IF(ISNUMBER(FIND("S590", Tasks[[#This Row],[Page]])), "",  IF(ISNUMBER(FIND("Site", Tasks[[#This Row],[Page]])), "", "ERROR"))))</f>
        <v>ERROR</v>
      </c>
      <c r="G731" s="15" t="e">
        <f>IF(Tasks[[#This Row],[Location]]=0, "", Tasks[[#This Row],[Location]])</f>
        <v>#VALUE!</v>
      </c>
      <c r="H731" s="15" t="e">
        <f>Tasks[[#This Row],[To Package]]</f>
        <v>#VALUE!</v>
      </c>
      <c r="I731" s="15" t="e">
        <f>Tasks[[#This Row],[To Organisation]]</f>
        <v>#VALUE!</v>
      </c>
    </row>
    <row r="732" spans="1:9" ht="15.5" x14ac:dyDescent="0.35">
      <c r="A732" s="16" t="e">
        <f>HYPERLINK(_xlfn.CONCAT(Edit_URL,Tasks[[#This Row],[Ref]]),Tasks[[#This Row],[Ref]])</f>
        <v>#VALUE!</v>
      </c>
      <c r="B732" s="15" t="e" cm="1">
        <f t="array" ref="B732">_xlfn.SWITCH(LEFT(Tasks[[#This Row],[Status]],1),"O","Opened","C","Completed","S","Signed Off", "V", "Signed Off","ERROR")</f>
        <v>#VALUE!</v>
      </c>
      <c r="C732" s="15" t="e" cm="1">
        <f t="array" ref="C732">_xlfn.SWITCH(LEFT(Tasks[[#This Row],[Type]], 3), "Fie", "Field Report", "Con", "Contractor QC", "Gen", "Contractor QC", "Pun", "Contractor QC", "Qua", "Contractor QC", "Fin", "Punch List")</f>
        <v>#VALUE!</v>
      </c>
      <c r="D732" s="15" t="e">
        <f>_xlfn.LET(
_xlpm.leftValue, TRIM(LEFT(Tasks[[#This Row],[Description]], 45)),
IF(LEN(_xlpm.leftValue) &lt; 40, _xlpm.leftValue, _xlfn.CONCAT(_xlpm.leftValue, "…"))
)</f>
        <v>#VALUE!</v>
      </c>
      <c r="E732" s="15" t="e" cm="1">
        <f t="array" ref="E732">_xlfn.LET(
_xlpm.inTower, COUNTIF(Tower_Num_Table[Tower Rm Numbers], LEFT(Task_Summary_Table[[#This Row],[Area/Room]], 3)) &gt; 0,
_xlpm.typeResult, _xlfn.SWITCH(LEFT(Tasks[[#This Row],[Page]], 2), "Hi", "Historic", "An", "Annex", "Si", "Site", "S5", "Project Task", "SWITCH ERROR"),
IF(_xlpm.inTower, "West Tower", _xlpm.typeResult)
)</f>
        <v>#VALUE!</v>
      </c>
      <c r="F732" s="15" t="str">
        <f>IFERROR(MID(Tasks[[#This Row],[Page]], FIND("Level", Tasks[[#This Row],[Page]]), 7), IF(ISNUMBER(FIND("Roof", Tasks[[#This Row],[Page]])), "Roof",  IF(ISNUMBER(FIND("S590", Tasks[[#This Row],[Page]])), "",  IF(ISNUMBER(FIND("Site", Tasks[[#This Row],[Page]])), "", "ERROR"))))</f>
        <v>ERROR</v>
      </c>
      <c r="G732" s="15" t="e">
        <f>IF(Tasks[[#This Row],[Location]]=0, "", Tasks[[#This Row],[Location]])</f>
        <v>#VALUE!</v>
      </c>
      <c r="H732" s="15" t="e">
        <f>Tasks[[#This Row],[To Package]]</f>
        <v>#VALUE!</v>
      </c>
      <c r="I732" s="15" t="e">
        <f>Tasks[[#This Row],[To Organisation]]</f>
        <v>#VALUE!</v>
      </c>
    </row>
    <row r="733" spans="1:9" ht="15.5" x14ac:dyDescent="0.35">
      <c r="A733" s="16" t="e">
        <f>HYPERLINK(_xlfn.CONCAT(Edit_URL,Tasks[[#This Row],[Ref]]),Tasks[[#This Row],[Ref]])</f>
        <v>#VALUE!</v>
      </c>
      <c r="B733" s="15" t="e" cm="1">
        <f t="array" ref="B733">_xlfn.SWITCH(LEFT(Tasks[[#This Row],[Status]],1),"O","Opened","C","Completed","S","Signed Off", "V", "Signed Off","ERROR")</f>
        <v>#VALUE!</v>
      </c>
      <c r="C733" s="15" t="e" cm="1">
        <f t="array" ref="C733">_xlfn.SWITCH(LEFT(Tasks[[#This Row],[Type]], 3), "Fie", "Field Report", "Con", "Contractor QC", "Gen", "Contractor QC", "Pun", "Contractor QC", "Qua", "Contractor QC", "Fin", "Punch List")</f>
        <v>#VALUE!</v>
      </c>
      <c r="D733" s="15" t="e">
        <f>_xlfn.LET(
_xlpm.leftValue, TRIM(LEFT(Tasks[[#This Row],[Description]], 45)),
IF(LEN(_xlpm.leftValue) &lt; 40, _xlpm.leftValue, _xlfn.CONCAT(_xlpm.leftValue, "…"))
)</f>
        <v>#VALUE!</v>
      </c>
      <c r="E733" s="15" t="e" cm="1">
        <f t="array" ref="E733">_xlfn.LET(
_xlpm.inTower, COUNTIF(Tower_Num_Table[Tower Rm Numbers], LEFT(Task_Summary_Table[[#This Row],[Area/Room]], 3)) &gt; 0,
_xlpm.typeResult, _xlfn.SWITCH(LEFT(Tasks[[#This Row],[Page]], 2), "Hi", "Historic", "An", "Annex", "Si", "Site", "S5", "Project Task", "SWITCH ERROR"),
IF(_xlpm.inTower, "West Tower", _xlpm.typeResult)
)</f>
        <v>#VALUE!</v>
      </c>
      <c r="F733" s="15" t="str">
        <f>IFERROR(MID(Tasks[[#This Row],[Page]], FIND("Level", Tasks[[#This Row],[Page]]), 7), IF(ISNUMBER(FIND("Roof", Tasks[[#This Row],[Page]])), "Roof",  IF(ISNUMBER(FIND("S590", Tasks[[#This Row],[Page]])), "",  IF(ISNUMBER(FIND("Site", Tasks[[#This Row],[Page]])), "", "ERROR"))))</f>
        <v>ERROR</v>
      </c>
      <c r="G733" s="15" t="e">
        <f>IF(Tasks[[#This Row],[Location]]=0, "", Tasks[[#This Row],[Location]])</f>
        <v>#VALUE!</v>
      </c>
      <c r="H733" s="15" t="e">
        <f>Tasks[[#This Row],[To Package]]</f>
        <v>#VALUE!</v>
      </c>
      <c r="I733" s="15" t="e">
        <f>Tasks[[#This Row],[To Organisation]]</f>
        <v>#VALUE!</v>
      </c>
    </row>
    <row r="734" spans="1:9" ht="15.5" x14ac:dyDescent="0.35">
      <c r="A734" s="16" t="e">
        <f>HYPERLINK(_xlfn.CONCAT(Edit_URL,Tasks[[#This Row],[Ref]]),Tasks[[#This Row],[Ref]])</f>
        <v>#VALUE!</v>
      </c>
      <c r="B734" s="15" t="e" cm="1">
        <f t="array" ref="B734">_xlfn.SWITCH(LEFT(Tasks[[#This Row],[Status]],1),"O","Opened","C","Completed","S","Signed Off", "V", "Signed Off","ERROR")</f>
        <v>#VALUE!</v>
      </c>
      <c r="C734" s="15" t="e" cm="1">
        <f t="array" ref="C734">_xlfn.SWITCH(LEFT(Tasks[[#This Row],[Type]], 3), "Fie", "Field Report", "Con", "Contractor QC", "Gen", "Contractor QC", "Pun", "Contractor QC", "Qua", "Contractor QC", "Fin", "Punch List")</f>
        <v>#VALUE!</v>
      </c>
      <c r="D734" s="15" t="e">
        <f>_xlfn.LET(
_xlpm.leftValue, TRIM(LEFT(Tasks[[#This Row],[Description]], 45)),
IF(LEN(_xlpm.leftValue) &lt; 40, _xlpm.leftValue, _xlfn.CONCAT(_xlpm.leftValue, "…"))
)</f>
        <v>#VALUE!</v>
      </c>
      <c r="E734" s="15" t="e" cm="1">
        <f t="array" ref="E734">_xlfn.LET(
_xlpm.inTower, COUNTIF(Tower_Num_Table[Tower Rm Numbers], LEFT(Task_Summary_Table[[#This Row],[Area/Room]], 3)) &gt; 0,
_xlpm.typeResult, _xlfn.SWITCH(LEFT(Tasks[[#This Row],[Page]], 2), "Hi", "Historic", "An", "Annex", "Si", "Site", "S5", "Project Task", "SWITCH ERROR"),
IF(_xlpm.inTower, "West Tower", _xlpm.typeResult)
)</f>
        <v>#VALUE!</v>
      </c>
      <c r="F734" s="15" t="str">
        <f>IFERROR(MID(Tasks[[#This Row],[Page]], FIND("Level", Tasks[[#This Row],[Page]]), 7), IF(ISNUMBER(FIND("Roof", Tasks[[#This Row],[Page]])), "Roof",  IF(ISNUMBER(FIND("S590", Tasks[[#This Row],[Page]])), "",  IF(ISNUMBER(FIND("Site", Tasks[[#This Row],[Page]])), "", "ERROR"))))</f>
        <v>ERROR</v>
      </c>
      <c r="G734" s="15" t="e">
        <f>IF(Tasks[[#This Row],[Location]]=0, "", Tasks[[#This Row],[Location]])</f>
        <v>#VALUE!</v>
      </c>
      <c r="H734" s="15" t="e">
        <f>Tasks[[#This Row],[To Package]]</f>
        <v>#VALUE!</v>
      </c>
      <c r="I734" s="15" t="e">
        <f>Tasks[[#This Row],[To Organisation]]</f>
        <v>#VALUE!</v>
      </c>
    </row>
    <row r="735" spans="1:9" ht="15.5" x14ac:dyDescent="0.35">
      <c r="A735" s="16" t="e">
        <f>HYPERLINK(_xlfn.CONCAT(Edit_URL,Tasks[[#This Row],[Ref]]),Tasks[[#This Row],[Ref]])</f>
        <v>#VALUE!</v>
      </c>
      <c r="B735" s="15" t="e" cm="1">
        <f t="array" ref="B735">_xlfn.SWITCH(LEFT(Tasks[[#This Row],[Status]],1),"O","Opened","C","Completed","S","Signed Off", "V", "Signed Off","ERROR")</f>
        <v>#VALUE!</v>
      </c>
      <c r="C735" s="15" t="e" cm="1">
        <f t="array" ref="C735">_xlfn.SWITCH(LEFT(Tasks[[#This Row],[Type]], 3), "Fie", "Field Report", "Con", "Contractor QC", "Gen", "Contractor QC", "Pun", "Contractor QC", "Qua", "Contractor QC", "Fin", "Punch List")</f>
        <v>#VALUE!</v>
      </c>
      <c r="D735" s="15" t="e">
        <f>_xlfn.LET(
_xlpm.leftValue, TRIM(LEFT(Tasks[[#This Row],[Description]], 45)),
IF(LEN(_xlpm.leftValue) &lt; 40, _xlpm.leftValue, _xlfn.CONCAT(_xlpm.leftValue, "…"))
)</f>
        <v>#VALUE!</v>
      </c>
      <c r="E735" s="15" t="e" cm="1">
        <f t="array" ref="E735">_xlfn.LET(
_xlpm.inTower, COUNTIF(Tower_Num_Table[Tower Rm Numbers], LEFT(Task_Summary_Table[[#This Row],[Area/Room]], 3)) &gt; 0,
_xlpm.typeResult, _xlfn.SWITCH(LEFT(Tasks[[#This Row],[Page]], 2), "Hi", "Historic", "An", "Annex", "Si", "Site", "S5", "Project Task", "SWITCH ERROR"),
IF(_xlpm.inTower, "West Tower", _xlpm.typeResult)
)</f>
        <v>#VALUE!</v>
      </c>
      <c r="F735" s="15" t="str">
        <f>IFERROR(MID(Tasks[[#This Row],[Page]], FIND("Level", Tasks[[#This Row],[Page]]), 7), IF(ISNUMBER(FIND("Roof", Tasks[[#This Row],[Page]])), "Roof",  IF(ISNUMBER(FIND("S590", Tasks[[#This Row],[Page]])), "",  IF(ISNUMBER(FIND("Site", Tasks[[#This Row],[Page]])), "", "ERROR"))))</f>
        <v>ERROR</v>
      </c>
      <c r="G735" s="15" t="e">
        <f>IF(Tasks[[#This Row],[Location]]=0, "", Tasks[[#This Row],[Location]])</f>
        <v>#VALUE!</v>
      </c>
      <c r="H735" s="15" t="e">
        <f>Tasks[[#This Row],[To Package]]</f>
        <v>#VALUE!</v>
      </c>
      <c r="I735" s="15" t="e">
        <f>Tasks[[#This Row],[To Organisation]]</f>
        <v>#VALUE!</v>
      </c>
    </row>
    <row r="736" spans="1:9" ht="15.5" x14ac:dyDescent="0.35">
      <c r="A736" s="16" t="e">
        <f>HYPERLINK(_xlfn.CONCAT(Edit_URL,Tasks[[#This Row],[Ref]]),Tasks[[#This Row],[Ref]])</f>
        <v>#VALUE!</v>
      </c>
      <c r="B736" s="15" t="e" cm="1">
        <f t="array" ref="B736">_xlfn.SWITCH(LEFT(Tasks[[#This Row],[Status]],1),"O","Opened","C","Completed","S","Signed Off", "V", "Signed Off","ERROR")</f>
        <v>#VALUE!</v>
      </c>
      <c r="C736" s="15" t="e" cm="1">
        <f t="array" ref="C736">_xlfn.SWITCH(LEFT(Tasks[[#This Row],[Type]], 3), "Fie", "Field Report", "Con", "Contractor QC", "Gen", "Contractor QC", "Pun", "Contractor QC", "Qua", "Contractor QC", "Fin", "Punch List")</f>
        <v>#VALUE!</v>
      </c>
      <c r="D736" s="15" t="e">
        <f>_xlfn.LET(
_xlpm.leftValue, TRIM(LEFT(Tasks[[#This Row],[Description]], 45)),
IF(LEN(_xlpm.leftValue) &lt; 40, _xlpm.leftValue, _xlfn.CONCAT(_xlpm.leftValue, "…"))
)</f>
        <v>#VALUE!</v>
      </c>
      <c r="E736" s="15" t="e" cm="1">
        <f t="array" ref="E736">_xlfn.LET(
_xlpm.inTower, COUNTIF(Tower_Num_Table[Tower Rm Numbers], LEFT(Task_Summary_Table[[#This Row],[Area/Room]], 3)) &gt; 0,
_xlpm.typeResult, _xlfn.SWITCH(LEFT(Tasks[[#This Row],[Page]], 2), "Hi", "Historic", "An", "Annex", "Si", "Site", "S5", "Project Task", "SWITCH ERROR"),
IF(_xlpm.inTower, "West Tower", _xlpm.typeResult)
)</f>
        <v>#VALUE!</v>
      </c>
      <c r="F736" s="15" t="str">
        <f>IFERROR(MID(Tasks[[#This Row],[Page]], FIND("Level", Tasks[[#This Row],[Page]]), 7), IF(ISNUMBER(FIND("Roof", Tasks[[#This Row],[Page]])), "Roof",  IF(ISNUMBER(FIND("S590", Tasks[[#This Row],[Page]])), "",  IF(ISNUMBER(FIND("Site", Tasks[[#This Row],[Page]])), "", "ERROR"))))</f>
        <v>ERROR</v>
      </c>
      <c r="G736" s="15" t="e">
        <f>IF(Tasks[[#This Row],[Location]]=0, "", Tasks[[#This Row],[Location]])</f>
        <v>#VALUE!</v>
      </c>
      <c r="H736" s="15" t="e">
        <f>Tasks[[#This Row],[To Package]]</f>
        <v>#VALUE!</v>
      </c>
      <c r="I736" s="15" t="e">
        <f>Tasks[[#This Row],[To Organisation]]</f>
        <v>#VALUE!</v>
      </c>
    </row>
    <row r="737" spans="1:9" ht="15.5" x14ac:dyDescent="0.35">
      <c r="A737" s="16" t="e">
        <f>HYPERLINK(_xlfn.CONCAT(Edit_URL,Tasks[[#This Row],[Ref]]),Tasks[[#This Row],[Ref]])</f>
        <v>#VALUE!</v>
      </c>
      <c r="B737" s="15" t="e" cm="1">
        <f t="array" ref="B737">_xlfn.SWITCH(LEFT(Tasks[[#This Row],[Status]],1),"O","Opened","C","Completed","S","Signed Off", "V", "Signed Off","ERROR")</f>
        <v>#VALUE!</v>
      </c>
      <c r="C737" s="15" t="e" cm="1">
        <f t="array" ref="C737">_xlfn.SWITCH(LEFT(Tasks[[#This Row],[Type]], 3), "Fie", "Field Report", "Con", "Contractor QC", "Gen", "Contractor QC", "Pun", "Contractor QC", "Qua", "Contractor QC", "Fin", "Punch List")</f>
        <v>#VALUE!</v>
      </c>
      <c r="D737" s="15" t="e">
        <f>_xlfn.LET(
_xlpm.leftValue, TRIM(LEFT(Tasks[[#This Row],[Description]], 45)),
IF(LEN(_xlpm.leftValue) &lt; 40, _xlpm.leftValue, _xlfn.CONCAT(_xlpm.leftValue, "…"))
)</f>
        <v>#VALUE!</v>
      </c>
      <c r="E737" s="15" t="e" cm="1">
        <f t="array" ref="E737">_xlfn.LET(
_xlpm.inTower, COUNTIF(Tower_Num_Table[Tower Rm Numbers], LEFT(Task_Summary_Table[[#This Row],[Area/Room]], 3)) &gt; 0,
_xlpm.typeResult, _xlfn.SWITCH(LEFT(Tasks[[#This Row],[Page]], 2), "Hi", "Historic", "An", "Annex", "Si", "Site", "S5", "Project Task", "SWITCH ERROR"),
IF(_xlpm.inTower, "West Tower", _xlpm.typeResult)
)</f>
        <v>#VALUE!</v>
      </c>
      <c r="F737" s="15" t="str">
        <f>IFERROR(MID(Tasks[[#This Row],[Page]], FIND("Level", Tasks[[#This Row],[Page]]), 7), IF(ISNUMBER(FIND("Roof", Tasks[[#This Row],[Page]])), "Roof",  IF(ISNUMBER(FIND("S590", Tasks[[#This Row],[Page]])), "",  IF(ISNUMBER(FIND("Site", Tasks[[#This Row],[Page]])), "", "ERROR"))))</f>
        <v>ERROR</v>
      </c>
      <c r="G737" s="15" t="e">
        <f>IF(Tasks[[#This Row],[Location]]=0, "", Tasks[[#This Row],[Location]])</f>
        <v>#VALUE!</v>
      </c>
      <c r="H737" s="15" t="e">
        <f>Tasks[[#This Row],[To Package]]</f>
        <v>#VALUE!</v>
      </c>
      <c r="I737" s="15" t="e">
        <f>Tasks[[#This Row],[To Organisation]]</f>
        <v>#VALUE!</v>
      </c>
    </row>
    <row r="738" spans="1:9" ht="15.5" x14ac:dyDescent="0.35">
      <c r="A738" s="16" t="e">
        <f>HYPERLINK(_xlfn.CONCAT(Edit_URL,Tasks[[#This Row],[Ref]]),Tasks[[#This Row],[Ref]])</f>
        <v>#VALUE!</v>
      </c>
      <c r="B738" s="15" t="e" cm="1">
        <f t="array" ref="B738">_xlfn.SWITCH(LEFT(Tasks[[#This Row],[Status]],1),"O","Opened","C","Completed","S","Signed Off", "V", "Signed Off","ERROR")</f>
        <v>#VALUE!</v>
      </c>
      <c r="C738" s="15" t="e" cm="1">
        <f t="array" ref="C738">_xlfn.SWITCH(LEFT(Tasks[[#This Row],[Type]], 3), "Fie", "Field Report", "Con", "Contractor QC", "Gen", "Contractor QC", "Pun", "Contractor QC", "Qua", "Contractor QC", "Fin", "Punch List")</f>
        <v>#VALUE!</v>
      </c>
      <c r="D738" s="15" t="e">
        <f>_xlfn.LET(
_xlpm.leftValue, TRIM(LEFT(Tasks[[#This Row],[Description]], 45)),
IF(LEN(_xlpm.leftValue) &lt; 40, _xlpm.leftValue, _xlfn.CONCAT(_xlpm.leftValue, "…"))
)</f>
        <v>#VALUE!</v>
      </c>
      <c r="E738" s="15" t="e" cm="1">
        <f t="array" ref="E738">_xlfn.LET(
_xlpm.inTower, COUNTIF(Tower_Num_Table[Tower Rm Numbers], LEFT(Task_Summary_Table[[#This Row],[Area/Room]], 3)) &gt; 0,
_xlpm.typeResult, _xlfn.SWITCH(LEFT(Tasks[[#This Row],[Page]], 2), "Hi", "Historic", "An", "Annex", "Si", "Site", "S5", "Project Task", "SWITCH ERROR"),
IF(_xlpm.inTower, "West Tower", _xlpm.typeResult)
)</f>
        <v>#VALUE!</v>
      </c>
      <c r="F738" s="15" t="str">
        <f>IFERROR(MID(Tasks[[#This Row],[Page]], FIND("Level", Tasks[[#This Row],[Page]]), 7), IF(ISNUMBER(FIND("Roof", Tasks[[#This Row],[Page]])), "Roof",  IF(ISNUMBER(FIND("S590", Tasks[[#This Row],[Page]])), "",  IF(ISNUMBER(FIND("Site", Tasks[[#This Row],[Page]])), "", "ERROR"))))</f>
        <v>ERROR</v>
      </c>
      <c r="G738" s="15" t="e">
        <f>IF(Tasks[[#This Row],[Location]]=0, "", Tasks[[#This Row],[Location]])</f>
        <v>#VALUE!</v>
      </c>
      <c r="H738" s="15" t="e">
        <f>Tasks[[#This Row],[To Package]]</f>
        <v>#VALUE!</v>
      </c>
      <c r="I738" s="15" t="e">
        <f>Tasks[[#This Row],[To Organisation]]</f>
        <v>#VALUE!</v>
      </c>
    </row>
    <row r="739" spans="1:9" ht="15.5" x14ac:dyDescent="0.35">
      <c r="A739" s="16" t="e">
        <f>HYPERLINK(_xlfn.CONCAT(Edit_URL,Tasks[[#This Row],[Ref]]),Tasks[[#This Row],[Ref]])</f>
        <v>#VALUE!</v>
      </c>
      <c r="B739" s="15" t="e" cm="1">
        <f t="array" ref="B739">_xlfn.SWITCH(LEFT(Tasks[[#This Row],[Status]],1),"O","Opened","C","Completed","S","Signed Off", "V", "Signed Off","ERROR")</f>
        <v>#VALUE!</v>
      </c>
      <c r="C739" s="15" t="e" cm="1">
        <f t="array" ref="C739">_xlfn.SWITCH(LEFT(Tasks[[#This Row],[Type]], 3), "Fie", "Field Report", "Con", "Contractor QC", "Gen", "Contractor QC", "Pun", "Contractor QC", "Qua", "Contractor QC", "Fin", "Punch List")</f>
        <v>#VALUE!</v>
      </c>
      <c r="D739" s="15" t="e">
        <f>_xlfn.LET(
_xlpm.leftValue, TRIM(LEFT(Tasks[[#This Row],[Description]], 45)),
IF(LEN(_xlpm.leftValue) &lt; 40, _xlpm.leftValue, _xlfn.CONCAT(_xlpm.leftValue, "…"))
)</f>
        <v>#VALUE!</v>
      </c>
      <c r="E739" s="15" t="e" cm="1">
        <f t="array" ref="E739">_xlfn.LET(
_xlpm.inTower, COUNTIF(Tower_Num_Table[Tower Rm Numbers], LEFT(Task_Summary_Table[[#This Row],[Area/Room]], 3)) &gt; 0,
_xlpm.typeResult, _xlfn.SWITCH(LEFT(Tasks[[#This Row],[Page]], 2), "Hi", "Historic", "An", "Annex", "Si", "Site", "S5", "Project Task", "SWITCH ERROR"),
IF(_xlpm.inTower, "West Tower", _xlpm.typeResult)
)</f>
        <v>#VALUE!</v>
      </c>
      <c r="F739" s="15" t="str">
        <f>IFERROR(MID(Tasks[[#This Row],[Page]], FIND("Level", Tasks[[#This Row],[Page]]), 7), IF(ISNUMBER(FIND("Roof", Tasks[[#This Row],[Page]])), "Roof",  IF(ISNUMBER(FIND("S590", Tasks[[#This Row],[Page]])), "",  IF(ISNUMBER(FIND("Site", Tasks[[#This Row],[Page]])), "", "ERROR"))))</f>
        <v>ERROR</v>
      </c>
      <c r="G739" s="15" t="e">
        <f>IF(Tasks[[#This Row],[Location]]=0, "", Tasks[[#This Row],[Location]])</f>
        <v>#VALUE!</v>
      </c>
      <c r="H739" s="15" t="e">
        <f>Tasks[[#This Row],[To Package]]</f>
        <v>#VALUE!</v>
      </c>
      <c r="I739" s="15" t="e">
        <f>Tasks[[#This Row],[To Organisation]]</f>
        <v>#VALUE!</v>
      </c>
    </row>
    <row r="740" spans="1:9" ht="15.5" x14ac:dyDescent="0.35">
      <c r="A740" s="16" t="e">
        <f>HYPERLINK(_xlfn.CONCAT(Edit_URL,Tasks[[#This Row],[Ref]]),Tasks[[#This Row],[Ref]])</f>
        <v>#VALUE!</v>
      </c>
      <c r="B740" s="15" t="e" cm="1">
        <f t="array" ref="B740">_xlfn.SWITCH(LEFT(Tasks[[#This Row],[Status]],1),"O","Opened","C","Completed","S","Signed Off", "V", "Signed Off","ERROR")</f>
        <v>#VALUE!</v>
      </c>
      <c r="C740" s="15" t="e" cm="1">
        <f t="array" ref="C740">_xlfn.SWITCH(LEFT(Tasks[[#This Row],[Type]], 3), "Fie", "Field Report", "Con", "Contractor QC", "Gen", "Contractor QC", "Pun", "Contractor QC", "Qua", "Contractor QC", "Fin", "Punch List")</f>
        <v>#VALUE!</v>
      </c>
      <c r="D740" s="15" t="e">
        <f>_xlfn.LET(
_xlpm.leftValue, TRIM(LEFT(Tasks[[#This Row],[Description]], 45)),
IF(LEN(_xlpm.leftValue) &lt; 40, _xlpm.leftValue, _xlfn.CONCAT(_xlpm.leftValue, "…"))
)</f>
        <v>#VALUE!</v>
      </c>
      <c r="E740" s="15" t="e" cm="1">
        <f t="array" ref="E740">_xlfn.LET(
_xlpm.inTower, COUNTIF(Tower_Num_Table[Tower Rm Numbers], LEFT(Task_Summary_Table[[#This Row],[Area/Room]], 3)) &gt; 0,
_xlpm.typeResult, _xlfn.SWITCH(LEFT(Tasks[[#This Row],[Page]], 2), "Hi", "Historic", "An", "Annex", "Si", "Site", "S5", "Project Task", "SWITCH ERROR"),
IF(_xlpm.inTower, "West Tower", _xlpm.typeResult)
)</f>
        <v>#VALUE!</v>
      </c>
      <c r="F740" s="15" t="str">
        <f>IFERROR(MID(Tasks[[#This Row],[Page]], FIND("Level", Tasks[[#This Row],[Page]]), 7), IF(ISNUMBER(FIND("Roof", Tasks[[#This Row],[Page]])), "Roof",  IF(ISNUMBER(FIND("S590", Tasks[[#This Row],[Page]])), "",  IF(ISNUMBER(FIND("Site", Tasks[[#This Row],[Page]])), "", "ERROR"))))</f>
        <v>ERROR</v>
      </c>
      <c r="G740" s="15" t="e">
        <f>IF(Tasks[[#This Row],[Location]]=0, "", Tasks[[#This Row],[Location]])</f>
        <v>#VALUE!</v>
      </c>
      <c r="H740" s="15" t="e">
        <f>Tasks[[#This Row],[To Package]]</f>
        <v>#VALUE!</v>
      </c>
      <c r="I740" s="15" t="e">
        <f>Tasks[[#This Row],[To Organisation]]</f>
        <v>#VALUE!</v>
      </c>
    </row>
    <row r="741" spans="1:9" ht="15.5" x14ac:dyDescent="0.35">
      <c r="A741" s="16" t="e">
        <f>HYPERLINK(_xlfn.CONCAT(Edit_URL,Tasks[[#This Row],[Ref]]),Tasks[[#This Row],[Ref]])</f>
        <v>#VALUE!</v>
      </c>
      <c r="B741" s="15" t="e" cm="1">
        <f t="array" ref="B741">_xlfn.SWITCH(LEFT(Tasks[[#This Row],[Status]],1),"O","Opened","C","Completed","S","Signed Off", "V", "Signed Off","ERROR")</f>
        <v>#VALUE!</v>
      </c>
      <c r="C741" s="15" t="e" cm="1">
        <f t="array" ref="C741">_xlfn.SWITCH(LEFT(Tasks[[#This Row],[Type]], 3), "Fie", "Field Report", "Con", "Contractor QC", "Gen", "Contractor QC", "Pun", "Contractor QC", "Qua", "Contractor QC", "Fin", "Punch List")</f>
        <v>#VALUE!</v>
      </c>
      <c r="D741" s="15" t="e">
        <f>_xlfn.LET(
_xlpm.leftValue, TRIM(LEFT(Tasks[[#This Row],[Description]], 45)),
IF(LEN(_xlpm.leftValue) &lt; 40, _xlpm.leftValue, _xlfn.CONCAT(_xlpm.leftValue, "…"))
)</f>
        <v>#VALUE!</v>
      </c>
      <c r="E741" s="15" t="e" cm="1">
        <f t="array" ref="E741">_xlfn.LET(
_xlpm.inTower, COUNTIF(Tower_Num_Table[Tower Rm Numbers], LEFT(Task_Summary_Table[[#This Row],[Area/Room]], 3)) &gt; 0,
_xlpm.typeResult, _xlfn.SWITCH(LEFT(Tasks[[#This Row],[Page]], 2), "Hi", "Historic", "An", "Annex", "Si", "Site", "S5", "Project Task", "SWITCH ERROR"),
IF(_xlpm.inTower, "West Tower", _xlpm.typeResult)
)</f>
        <v>#VALUE!</v>
      </c>
      <c r="F741" s="15" t="str">
        <f>IFERROR(MID(Tasks[[#This Row],[Page]], FIND("Level", Tasks[[#This Row],[Page]]), 7), IF(ISNUMBER(FIND("Roof", Tasks[[#This Row],[Page]])), "Roof",  IF(ISNUMBER(FIND("S590", Tasks[[#This Row],[Page]])), "",  IF(ISNUMBER(FIND("Site", Tasks[[#This Row],[Page]])), "", "ERROR"))))</f>
        <v>ERROR</v>
      </c>
      <c r="G741" s="15" t="e">
        <f>IF(Tasks[[#This Row],[Location]]=0, "", Tasks[[#This Row],[Location]])</f>
        <v>#VALUE!</v>
      </c>
      <c r="H741" s="15" t="e">
        <f>Tasks[[#This Row],[To Package]]</f>
        <v>#VALUE!</v>
      </c>
      <c r="I741" s="15" t="e">
        <f>Tasks[[#This Row],[To Organisation]]</f>
        <v>#VALUE!</v>
      </c>
    </row>
    <row r="742" spans="1:9" ht="15.5" x14ac:dyDescent="0.35">
      <c r="A742" s="16" t="e">
        <f>HYPERLINK(_xlfn.CONCAT(Edit_URL,Tasks[[#This Row],[Ref]]),Tasks[[#This Row],[Ref]])</f>
        <v>#VALUE!</v>
      </c>
      <c r="B742" s="15" t="e" cm="1">
        <f t="array" ref="B742">_xlfn.SWITCH(LEFT(Tasks[[#This Row],[Status]],1),"O","Opened","C","Completed","S","Signed Off", "V", "Signed Off","ERROR")</f>
        <v>#VALUE!</v>
      </c>
      <c r="C742" s="15" t="e" cm="1">
        <f t="array" ref="C742">_xlfn.SWITCH(LEFT(Tasks[[#This Row],[Type]], 3), "Fie", "Field Report", "Con", "Contractor QC", "Gen", "Contractor QC", "Pun", "Contractor QC", "Qua", "Contractor QC", "Fin", "Punch List")</f>
        <v>#VALUE!</v>
      </c>
      <c r="D742" s="15" t="e">
        <f>_xlfn.LET(
_xlpm.leftValue, TRIM(LEFT(Tasks[[#This Row],[Description]], 45)),
IF(LEN(_xlpm.leftValue) &lt; 40, _xlpm.leftValue, _xlfn.CONCAT(_xlpm.leftValue, "…"))
)</f>
        <v>#VALUE!</v>
      </c>
      <c r="E742" s="15" t="e" cm="1">
        <f t="array" ref="E742">_xlfn.LET(
_xlpm.inTower, COUNTIF(Tower_Num_Table[Tower Rm Numbers], LEFT(Task_Summary_Table[[#This Row],[Area/Room]], 3)) &gt; 0,
_xlpm.typeResult, _xlfn.SWITCH(LEFT(Tasks[[#This Row],[Page]], 2), "Hi", "Historic", "An", "Annex", "Si", "Site", "S5", "Project Task", "SWITCH ERROR"),
IF(_xlpm.inTower, "West Tower", _xlpm.typeResult)
)</f>
        <v>#VALUE!</v>
      </c>
      <c r="F742" s="15" t="str">
        <f>IFERROR(MID(Tasks[[#This Row],[Page]], FIND("Level", Tasks[[#This Row],[Page]]), 7), IF(ISNUMBER(FIND("Roof", Tasks[[#This Row],[Page]])), "Roof",  IF(ISNUMBER(FIND("S590", Tasks[[#This Row],[Page]])), "",  IF(ISNUMBER(FIND("Site", Tasks[[#This Row],[Page]])), "", "ERROR"))))</f>
        <v>ERROR</v>
      </c>
      <c r="G742" s="15" t="e">
        <f>IF(Tasks[[#This Row],[Location]]=0, "", Tasks[[#This Row],[Location]])</f>
        <v>#VALUE!</v>
      </c>
      <c r="H742" s="15" t="e">
        <f>Tasks[[#This Row],[To Package]]</f>
        <v>#VALUE!</v>
      </c>
      <c r="I742" s="15" t="e">
        <f>Tasks[[#This Row],[To Organisation]]</f>
        <v>#VALUE!</v>
      </c>
    </row>
    <row r="743" spans="1:9" ht="15.5" x14ac:dyDescent="0.35">
      <c r="A743" s="16" t="e">
        <f>HYPERLINK(_xlfn.CONCAT(Edit_URL,Tasks[[#This Row],[Ref]]),Tasks[[#This Row],[Ref]])</f>
        <v>#VALUE!</v>
      </c>
      <c r="B743" s="15" t="e" cm="1">
        <f t="array" ref="B743">_xlfn.SWITCH(LEFT(Tasks[[#This Row],[Status]],1),"O","Opened","C","Completed","S","Signed Off", "V", "Signed Off","ERROR")</f>
        <v>#VALUE!</v>
      </c>
      <c r="C743" s="15" t="e" cm="1">
        <f t="array" ref="C743">_xlfn.SWITCH(LEFT(Tasks[[#This Row],[Type]], 3), "Fie", "Field Report", "Con", "Contractor QC", "Gen", "Contractor QC", "Pun", "Contractor QC", "Qua", "Contractor QC", "Fin", "Punch List")</f>
        <v>#VALUE!</v>
      </c>
      <c r="D743" s="15" t="e">
        <f>_xlfn.LET(
_xlpm.leftValue, TRIM(LEFT(Tasks[[#This Row],[Description]], 45)),
IF(LEN(_xlpm.leftValue) &lt; 40, _xlpm.leftValue, _xlfn.CONCAT(_xlpm.leftValue, "…"))
)</f>
        <v>#VALUE!</v>
      </c>
      <c r="E743" s="15" t="e" cm="1">
        <f t="array" ref="E743">_xlfn.LET(
_xlpm.inTower, COUNTIF(Tower_Num_Table[Tower Rm Numbers], LEFT(Task_Summary_Table[[#This Row],[Area/Room]], 3)) &gt; 0,
_xlpm.typeResult, _xlfn.SWITCH(LEFT(Tasks[[#This Row],[Page]], 2), "Hi", "Historic", "An", "Annex", "Si", "Site", "S5", "Project Task", "SWITCH ERROR"),
IF(_xlpm.inTower, "West Tower", _xlpm.typeResult)
)</f>
        <v>#VALUE!</v>
      </c>
      <c r="F743" s="15" t="str">
        <f>IFERROR(MID(Tasks[[#This Row],[Page]], FIND("Level", Tasks[[#This Row],[Page]]), 7), IF(ISNUMBER(FIND("Roof", Tasks[[#This Row],[Page]])), "Roof",  IF(ISNUMBER(FIND("S590", Tasks[[#This Row],[Page]])), "",  IF(ISNUMBER(FIND("Site", Tasks[[#This Row],[Page]])), "", "ERROR"))))</f>
        <v>ERROR</v>
      </c>
      <c r="G743" s="15" t="e">
        <f>IF(Tasks[[#This Row],[Location]]=0, "", Tasks[[#This Row],[Location]])</f>
        <v>#VALUE!</v>
      </c>
      <c r="H743" s="15" t="e">
        <f>Tasks[[#This Row],[To Package]]</f>
        <v>#VALUE!</v>
      </c>
      <c r="I743" s="15" t="e">
        <f>Tasks[[#This Row],[To Organisation]]</f>
        <v>#VALUE!</v>
      </c>
    </row>
    <row r="744" spans="1:9" ht="15.5" x14ac:dyDescent="0.35">
      <c r="A744" s="16" t="e">
        <f>HYPERLINK(_xlfn.CONCAT(Edit_URL,Tasks[[#This Row],[Ref]]),Tasks[[#This Row],[Ref]])</f>
        <v>#VALUE!</v>
      </c>
      <c r="B744" s="15" t="e" cm="1">
        <f t="array" ref="B744">_xlfn.SWITCH(LEFT(Tasks[[#This Row],[Status]],1),"O","Opened","C","Completed","S","Signed Off", "V", "Signed Off","ERROR")</f>
        <v>#VALUE!</v>
      </c>
      <c r="C744" s="15" t="e" cm="1">
        <f t="array" ref="C744">_xlfn.SWITCH(LEFT(Tasks[[#This Row],[Type]], 3), "Fie", "Field Report", "Con", "Contractor QC", "Gen", "Contractor QC", "Pun", "Contractor QC", "Qua", "Contractor QC", "Fin", "Punch List")</f>
        <v>#VALUE!</v>
      </c>
      <c r="D744" s="15" t="e">
        <f>_xlfn.LET(
_xlpm.leftValue, TRIM(LEFT(Tasks[[#This Row],[Description]], 45)),
IF(LEN(_xlpm.leftValue) &lt; 40, _xlpm.leftValue, _xlfn.CONCAT(_xlpm.leftValue, "…"))
)</f>
        <v>#VALUE!</v>
      </c>
      <c r="E744" s="15" t="e" cm="1">
        <f t="array" ref="E744">_xlfn.LET(
_xlpm.inTower, COUNTIF(Tower_Num_Table[Tower Rm Numbers], LEFT(Task_Summary_Table[[#This Row],[Area/Room]], 3)) &gt; 0,
_xlpm.typeResult, _xlfn.SWITCH(LEFT(Tasks[[#This Row],[Page]], 2), "Hi", "Historic", "An", "Annex", "Si", "Site", "S5", "Project Task", "SWITCH ERROR"),
IF(_xlpm.inTower, "West Tower", _xlpm.typeResult)
)</f>
        <v>#VALUE!</v>
      </c>
      <c r="F744" s="15" t="str">
        <f>IFERROR(MID(Tasks[[#This Row],[Page]], FIND("Level", Tasks[[#This Row],[Page]]), 7), IF(ISNUMBER(FIND("Roof", Tasks[[#This Row],[Page]])), "Roof",  IF(ISNUMBER(FIND("S590", Tasks[[#This Row],[Page]])), "",  IF(ISNUMBER(FIND("Site", Tasks[[#This Row],[Page]])), "", "ERROR"))))</f>
        <v>ERROR</v>
      </c>
      <c r="G744" s="15" t="e">
        <f>IF(Tasks[[#This Row],[Location]]=0, "", Tasks[[#This Row],[Location]])</f>
        <v>#VALUE!</v>
      </c>
      <c r="H744" s="15" t="e">
        <f>Tasks[[#This Row],[To Package]]</f>
        <v>#VALUE!</v>
      </c>
      <c r="I744" s="15" t="e">
        <f>Tasks[[#This Row],[To Organisation]]</f>
        <v>#VALUE!</v>
      </c>
    </row>
    <row r="745" spans="1:9" ht="15.5" x14ac:dyDescent="0.35">
      <c r="A745" s="16" t="e">
        <f>HYPERLINK(_xlfn.CONCAT(Edit_URL,Tasks[[#This Row],[Ref]]),Tasks[[#This Row],[Ref]])</f>
        <v>#VALUE!</v>
      </c>
      <c r="B745" s="15" t="e" cm="1">
        <f t="array" ref="B745">_xlfn.SWITCH(LEFT(Tasks[[#This Row],[Status]],1),"O","Opened","C","Completed","S","Signed Off", "V", "Signed Off","ERROR")</f>
        <v>#VALUE!</v>
      </c>
      <c r="C745" s="15" t="e" cm="1">
        <f t="array" ref="C745">_xlfn.SWITCH(LEFT(Tasks[[#This Row],[Type]], 3), "Fie", "Field Report", "Con", "Contractor QC", "Gen", "Contractor QC", "Pun", "Contractor QC", "Qua", "Contractor QC", "Fin", "Punch List")</f>
        <v>#VALUE!</v>
      </c>
      <c r="D745" s="15" t="e">
        <f>_xlfn.LET(
_xlpm.leftValue, TRIM(LEFT(Tasks[[#This Row],[Description]], 45)),
IF(LEN(_xlpm.leftValue) &lt; 40, _xlpm.leftValue, _xlfn.CONCAT(_xlpm.leftValue, "…"))
)</f>
        <v>#VALUE!</v>
      </c>
      <c r="E745" s="15" t="e" cm="1">
        <f t="array" ref="E745">_xlfn.LET(
_xlpm.inTower, COUNTIF(Tower_Num_Table[Tower Rm Numbers], LEFT(Task_Summary_Table[[#This Row],[Area/Room]], 3)) &gt; 0,
_xlpm.typeResult, _xlfn.SWITCH(LEFT(Tasks[[#This Row],[Page]], 2), "Hi", "Historic", "An", "Annex", "Si", "Site", "S5", "Project Task", "SWITCH ERROR"),
IF(_xlpm.inTower, "West Tower", _xlpm.typeResult)
)</f>
        <v>#VALUE!</v>
      </c>
      <c r="F745" s="15" t="str">
        <f>IFERROR(MID(Tasks[[#This Row],[Page]], FIND("Level", Tasks[[#This Row],[Page]]), 7), IF(ISNUMBER(FIND("Roof", Tasks[[#This Row],[Page]])), "Roof",  IF(ISNUMBER(FIND("S590", Tasks[[#This Row],[Page]])), "",  IF(ISNUMBER(FIND("Site", Tasks[[#This Row],[Page]])), "", "ERROR"))))</f>
        <v>ERROR</v>
      </c>
      <c r="G745" s="15" t="e">
        <f>IF(Tasks[[#This Row],[Location]]=0, "", Tasks[[#This Row],[Location]])</f>
        <v>#VALUE!</v>
      </c>
      <c r="H745" s="15" t="e">
        <f>Tasks[[#This Row],[To Package]]</f>
        <v>#VALUE!</v>
      </c>
      <c r="I745" s="15" t="e">
        <f>Tasks[[#This Row],[To Organisation]]</f>
        <v>#VALUE!</v>
      </c>
    </row>
    <row r="746" spans="1:9" ht="15.5" x14ac:dyDescent="0.35">
      <c r="A746" s="16" t="e">
        <f>HYPERLINK(_xlfn.CONCAT(Edit_URL,Tasks[[#This Row],[Ref]]),Tasks[[#This Row],[Ref]])</f>
        <v>#VALUE!</v>
      </c>
      <c r="B746" s="15" t="e" cm="1">
        <f t="array" ref="B746">_xlfn.SWITCH(LEFT(Tasks[[#This Row],[Status]],1),"O","Opened","C","Completed","S","Signed Off", "V", "Signed Off","ERROR")</f>
        <v>#VALUE!</v>
      </c>
      <c r="C746" s="15" t="e" cm="1">
        <f t="array" ref="C746">_xlfn.SWITCH(LEFT(Tasks[[#This Row],[Type]], 3), "Fie", "Field Report", "Con", "Contractor QC", "Gen", "Contractor QC", "Pun", "Contractor QC", "Qua", "Contractor QC", "Fin", "Punch List")</f>
        <v>#VALUE!</v>
      </c>
      <c r="D746" s="15" t="e">
        <f>_xlfn.LET(
_xlpm.leftValue, TRIM(LEFT(Tasks[[#This Row],[Description]], 45)),
IF(LEN(_xlpm.leftValue) &lt; 40, _xlpm.leftValue, _xlfn.CONCAT(_xlpm.leftValue, "…"))
)</f>
        <v>#VALUE!</v>
      </c>
      <c r="E746" s="15" t="e" cm="1">
        <f t="array" ref="E746">_xlfn.LET(
_xlpm.inTower, COUNTIF(Tower_Num_Table[Tower Rm Numbers], LEFT(Task_Summary_Table[[#This Row],[Area/Room]], 3)) &gt; 0,
_xlpm.typeResult, _xlfn.SWITCH(LEFT(Tasks[[#This Row],[Page]], 2), "Hi", "Historic", "An", "Annex", "Si", "Site", "S5", "Project Task", "SWITCH ERROR"),
IF(_xlpm.inTower, "West Tower", _xlpm.typeResult)
)</f>
        <v>#VALUE!</v>
      </c>
      <c r="F746" s="15" t="str">
        <f>IFERROR(MID(Tasks[[#This Row],[Page]], FIND("Level", Tasks[[#This Row],[Page]]), 7), IF(ISNUMBER(FIND("Roof", Tasks[[#This Row],[Page]])), "Roof",  IF(ISNUMBER(FIND("S590", Tasks[[#This Row],[Page]])), "",  IF(ISNUMBER(FIND("Site", Tasks[[#This Row],[Page]])), "", "ERROR"))))</f>
        <v>ERROR</v>
      </c>
      <c r="G746" s="15" t="e">
        <f>IF(Tasks[[#This Row],[Location]]=0, "", Tasks[[#This Row],[Location]])</f>
        <v>#VALUE!</v>
      </c>
      <c r="H746" s="15" t="e">
        <f>Tasks[[#This Row],[To Package]]</f>
        <v>#VALUE!</v>
      </c>
      <c r="I746" s="15" t="e">
        <f>Tasks[[#This Row],[To Organisation]]</f>
        <v>#VALUE!</v>
      </c>
    </row>
    <row r="747" spans="1:9" ht="15.5" x14ac:dyDescent="0.35">
      <c r="A747" s="16" t="e">
        <f>HYPERLINK(_xlfn.CONCAT(Edit_URL,Tasks[[#This Row],[Ref]]),Tasks[[#This Row],[Ref]])</f>
        <v>#VALUE!</v>
      </c>
      <c r="B747" s="15" t="e" cm="1">
        <f t="array" ref="B747">_xlfn.SWITCH(LEFT(Tasks[[#This Row],[Status]],1),"O","Opened","C","Completed","S","Signed Off", "V", "Signed Off","ERROR")</f>
        <v>#VALUE!</v>
      </c>
      <c r="C747" s="15" t="e" cm="1">
        <f t="array" ref="C747">_xlfn.SWITCH(LEFT(Tasks[[#This Row],[Type]], 3), "Fie", "Field Report", "Con", "Contractor QC", "Gen", "Contractor QC", "Pun", "Contractor QC", "Qua", "Contractor QC", "Fin", "Punch List")</f>
        <v>#VALUE!</v>
      </c>
      <c r="D747" s="15" t="e">
        <f>_xlfn.LET(
_xlpm.leftValue, TRIM(LEFT(Tasks[[#This Row],[Description]], 45)),
IF(LEN(_xlpm.leftValue) &lt; 40, _xlpm.leftValue, _xlfn.CONCAT(_xlpm.leftValue, "…"))
)</f>
        <v>#VALUE!</v>
      </c>
      <c r="E747" s="15" t="e" cm="1">
        <f t="array" ref="E747">_xlfn.LET(
_xlpm.inTower, COUNTIF(Tower_Num_Table[Tower Rm Numbers], LEFT(Task_Summary_Table[[#This Row],[Area/Room]], 3)) &gt; 0,
_xlpm.typeResult, _xlfn.SWITCH(LEFT(Tasks[[#This Row],[Page]], 2), "Hi", "Historic", "An", "Annex", "Si", "Site", "S5", "Project Task", "SWITCH ERROR"),
IF(_xlpm.inTower, "West Tower", _xlpm.typeResult)
)</f>
        <v>#VALUE!</v>
      </c>
      <c r="F747" s="15" t="str">
        <f>IFERROR(MID(Tasks[[#This Row],[Page]], FIND("Level", Tasks[[#This Row],[Page]]), 7), IF(ISNUMBER(FIND("Roof", Tasks[[#This Row],[Page]])), "Roof",  IF(ISNUMBER(FIND("S590", Tasks[[#This Row],[Page]])), "",  IF(ISNUMBER(FIND("Site", Tasks[[#This Row],[Page]])), "", "ERROR"))))</f>
        <v>ERROR</v>
      </c>
      <c r="G747" s="15" t="e">
        <f>IF(Tasks[[#This Row],[Location]]=0, "", Tasks[[#This Row],[Location]])</f>
        <v>#VALUE!</v>
      </c>
      <c r="H747" s="15" t="e">
        <f>Tasks[[#This Row],[To Package]]</f>
        <v>#VALUE!</v>
      </c>
      <c r="I747" s="15" t="e">
        <f>Tasks[[#This Row],[To Organisation]]</f>
        <v>#VALUE!</v>
      </c>
    </row>
    <row r="748" spans="1:9" ht="15.5" x14ac:dyDescent="0.35">
      <c r="A748" s="16" t="e">
        <f>HYPERLINK(_xlfn.CONCAT(Edit_URL,Tasks[[#This Row],[Ref]]),Tasks[[#This Row],[Ref]])</f>
        <v>#VALUE!</v>
      </c>
      <c r="B748" s="15" t="e" cm="1">
        <f t="array" ref="B748">_xlfn.SWITCH(LEFT(Tasks[[#This Row],[Status]],1),"O","Opened","C","Completed","S","Signed Off", "V", "Signed Off","ERROR")</f>
        <v>#VALUE!</v>
      </c>
      <c r="C748" s="15" t="e" cm="1">
        <f t="array" ref="C748">_xlfn.SWITCH(LEFT(Tasks[[#This Row],[Type]], 3), "Fie", "Field Report", "Con", "Contractor QC", "Gen", "Contractor QC", "Pun", "Contractor QC", "Qua", "Contractor QC", "Fin", "Punch List")</f>
        <v>#VALUE!</v>
      </c>
      <c r="D748" s="15" t="e">
        <f>_xlfn.LET(
_xlpm.leftValue, TRIM(LEFT(Tasks[[#This Row],[Description]], 45)),
IF(LEN(_xlpm.leftValue) &lt; 40, _xlpm.leftValue, _xlfn.CONCAT(_xlpm.leftValue, "…"))
)</f>
        <v>#VALUE!</v>
      </c>
      <c r="E748" s="15" t="e" cm="1">
        <f t="array" ref="E748">_xlfn.LET(
_xlpm.inTower, COUNTIF(Tower_Num_Table[Tower Rm Numbers], LEFT(Task_Summary_Table[[#This Row],[Area/Room]], 3)) &gt; 0,
_xlpm.typeResult, _xlfn.SWITCH(LEFT(Tasks[[#This Row],[Page]], 2), "Hi", "Historic", "An", "Annex", "Si", "Site", "S5", "Project Task", "SWITCH ERROR"),
IF(_xlpm.inTower, "West Tower", _xlpm.typeResult)
)</f>
        <v>#VALUE!</v>
      </c>
      <c r="F748" s="15" t="str">
        <f>IFERROR(MID(Tasks[[#This Row],[Page]], FIND("Level", Tasks[[#This Row],[Page]]), 7), IF(ISNUMBER(FIND("Roof", Tasks[[#This Row],[Page]])), "Roof",  IF(ISNUMBER(FIND("S590", Tasks[[#This Row],[Page]])), "",  IF(ISNUMBER(FIND("Site", Tasks[[#This Row],[Page]])), "", "ERROR"))))</f>
        <v>ERROR</v>
      </c>
      <c r="G748" s="15" t="e">
        <f>IF(Tasks[[#This Row],[Location]]=0, "", Tasks[[#This Row],[Location]])</f>
        <v>#VALUE!</v>
      </c>
      <c r="H748" s="15" t="e">
        <f>Tasks[[#This Row],[To Package]]</f>
        <v>#VALUE!</v>
      </c>
      <c r="I748" s="15" t="e">
        <f>Tasks[[#This Row],[To Organisation]]</f>
        <v>#VALUE!</v>
      </c>
    </row>
    <row r="749" spans="1:9" ht="15.5" x14ac:dyDescent="0.35">
      <c r="A749" s="16" t="e">
        <f>HYPERLINK(_xlfn.CONCAT(Edit_URL,Tasks[[#This Row],[Ref]]),Tasks[[#This Row],[Ref]])</f>
        <v>#VALUE!</v>
      </c>
      <c r="B749" s="15" t="e" cm="1">
        <f t="array" ref="B749">_xlfn.SWITCH(LEFT(Tasks[[#This Row],[Status]],1),"O","Opened","C","Completed","S","Signed Off", "V", "Signed Off","ERROR")</f>
        <v>#VALUE!</v>
      </c>
      <c r="C749" s="15" t="e" cm="1">
        <f t="array" ref="C749">_xlfn.SWITCH(LEFT(Tasks[[#This Row],[Type]], 3), "Fie", "Field Report", "Con", "Contractor QC", "Gen", "Contractor QC", "Pun", "Contractor QC", "Qua", "Contractor QC", "Fin", "Punch List")</f>
        <v>#VALUE!</v>
      </c>
      <c r="D749" s="15" t="e">
        <f>_xlfn.LET(
_xlpm.leftValue, TRIM(LEFT(Tasks[[#This Row],[Description]], 45)),
IF(LEN(_xlpm.leftValue) &lt; 40, _xlpm.leftValue, _xlfn.CONCAT(_xlpm.leftValue, "…"))
)</f>
        <v>#VALUE!</v>
      </c>
      <c r="E749" s="15" t="e" cm="1">
        <f t="array" ref="E749">_xlfn.LET(
_xlpm.inTower, COUNTIF(Tower_Num_Table[Tower Rm Numbers], LEFT(Task_Summary_Table[[#This Row],[Area/Room]], 3)) &gt; 0,
_xlpm.typeResult, _xlfn.SWITCH(LEFT(Tasks[[#This Row],[Page]], 2), "Hi", "Historic", "An", "Annex", "Si", "Site", "S5", "Project Task", "SWITCH ERROR"),
IF(_xlpm.inTower, "West Tower", _xlpm.typeResult)
)</f>
        <v>#VALUE!</v>
      </c>
      <c r="F749" s="15" t="str">
        <f>IFERROR(MID(Tasks[[#This Row],[Page]], FIND("Level", Tasks[[#This Row],[Page]]), 7), IF(ISNUMBER(FIND("Roof", Tasks[[#This Row],[Page]])), "Roof",  IF(ISNUMBER(FIND("S590", Tasks[[#This Row],[Page]])), "",  IF(ISNUMBER(FIND("Site", Tasks[[#This Row],[Page]])), "", "ERROR"))))</f>
        <v>ERROR</v>
      </c>
      <c r="G749" s="15" t="e">
        <f>IF(Tasks[[#This Row],[Location]]=0, "", Tasks[[#This Row],[Location]])</f>
        <v>#VALUE!</v>
      </c>
      <c r="H749" s="15" t="e">
        <f>Tasks[[#This Row],[To Package]]</f>
        <v>#VALUE!</v>
      </c>
      <c r="I749" s="15" t="e">
        <f>Tasks[[#This Row],[To Organisation]]</f>
        <v>#VALUE!</v>
      </c>
    </row>
    <row r="750" spans="1:9" ht="15.5" x14ac:dyDescent="0.35">
      <c r="A750" s="16" t="e">
        <f>HYPERLINK(_xlfn.CONCAT(Edit_URL,Tasks[[#This Row],[Ref]]),Tasks[[#This Row],[Ref]])</f>
        <v>#VALUE!</v>
      </c>
      <c r="B750" s="15" t="e" cm="1">
        <f t="array" ref="B750">_xlfn.SWITCH(LEFT(Tasks[[#This Row],[Status]],1),"O","Opened","C","Completed","S","Signed Off", "V", "Signed Off","ERROR")</f>
        <v>#VALUE!</v>
      </c>
      <c r="C750" s="15" t="e" cm="1">
        <f t="array" ref="C750">_xlfn.SWITCH(LEFT(Tasks[[#This Row],[Type]], 3), "Fie", "Field Report", "Con", "Contractor QC", "Gen", "Contractor QC", "Pun", "Contractor QC", "Qua", "Contractor QC", "Fin", "Punch List")</f>
        <v>#VALUE!</v>
      </c>
      <c r="D750" s="15" t="e">
        <f>_xlfn.LET(
_xlpm.leftValue, TRIM(LEFT(Tasks[[#This Row],[Description]], 45)),
IF(LEN(_xlpm.leftValue) &lt; 40, _xlpm.leftValue, _xlfn.CONCAT(_xlpm.leftValue, "…"))
)</f>
        <v>#VALUE!</v>
      </c>
      <c r="E750" s="15" t="e" cm="1">
        <f t="array" ref="E750">_xlfn.LET(
_xlpm.inTower, COUNTIF(Tower_Num_Table[Tower Rm Numbers], LEFT(Task_Summary_Table[[#This Row],[Area/Room]], 3)) &gt; 0,
_xlpm.typeResult, _xlfn.SWITCH(LEFT(Tasks[[#This Row],[Page]], 2), "Hi", "Historic", "An", "Annex", "Si", "Site", "S5", "Project Task", "SWITCH ERROR"),
IF(_xlpm.inTower, "West Tower", _xlpm.typeResult)
)</f>
        <v>#VALUE!</v>
      </c>
      <c r="F750" s="15" t="str">
        <f>IFERROR(MID(Tasks[[#This Row],[Page]], FIND("Level", Tasks[[#This Row],[Page]]), 7), IF(ISNUMBER(FIND("Roof", Tasks[[#This Row],[Page]])), "Roof",  IF(ISNUMBER(FIND("S590", Tasks[[#This Row],[Page]])), "",  IF(ISNUMBER(FIND("Site", Tasks[[#This Row],[Page]])), "", "ERROR"))))</f>
        <v>ERROR</v>
      </c>
      <c r="G750" s="15" t="e">
        <f>IF(Tasks[[#This Row],[Location]]=0, "", Tasks[[#This Row],[Location]])</f>
        <v>#VALUE!</v>
      </c>
      <c r="H750" s="15" t="e">
        <f>Tasks[[#This Row],[To Package]]</f>
        <v>#VALUE!</v>
      </c>
      <c r="I750" s="15" t="e">
        <f>Tasks[[#This Row],[To Organisation]]</f>
        <v>#VALUE!</v>
      </c>
    </row>
    <row r="751" spans="1:9" ht="15.5" x14ac:dyDescent="0.35">
      <c r="A751" s="16" t="e">
        <f>HYPERLINK(_xlfn.CONCAT(Edit_URL,Tasks[[#This Row],[Ref]]),Tasks[[#This Row],[Ref]])</f>
        <v>#VALUE!</v>
      </c>
      <c r="B751" s="15" t="e" cm="1">
        <f t="array" ref="B751">_xlfn.SWITCH(LEFT(Tasks[[#This Row],[Status]],1),"O","Opened","C","Completed","S","Signed Off", "V", "Signed Off","ERROR")</f>
        <v>#VALUE!</v>
      </c>
      <c r="C751" s="15" t="e" cm="1">
        <f t="array" ref="C751">_xlfn.SWITCH(LEFT(Tasks[[#This Row],[Type]], 3), "Fie", "Field Report", "Con", "Contractor QC", "Gen", "Contractor QC", "Pun", "Contractor QC", "Qua", "Contractor QC", "Fin", "Punch List")</f>
        <v>#VALUE!</v>
      </c>
      <c r="D751" s="15" t="e">
        <f>_xlfn.LET(
_xlpm.leftValue, TRIM(LEFT(Tasks[[#This Row],[Description]], 45)),
IF(LEN(_xlpm.leftValue) &lt; 40, _xlpm.leftValue, _xlfn.CONCAT(_xlpm.leftValue, "…"))
)</f>
        <v>#VALUE!</v>
      </c>
      <c r="E751" s="15" t="e" cm="1">
        <f t="array" ref="E751">_xlfn.LET(
_xlpm.inTower, COUNTIF(Tower_Num_Table[Tower Rm Numbers], LEFT(Task_Summary_Table[[#This Row],[Area/Room]], 3)) &gt; 0,
_xlpm.typeResult, _xlfn.SWITCH(LEFT(Tasks[[#This Row],[Page]], 2), "Hi", "Historic", "An", "Annex", "Si", "Site", "S5", "Project Task", "SWITCH ERROR"),
IF(_xlpm.inTower, "West Tower", _xlpm.typeResult)
)</f>
        <v>#VALUE!</v>
      </c>
      <c r="F751" s="15" t="str">
        <f>IFERROR(MID(Tasks[[#This Row],[Page]], FIND("Level", Tasks[[#This Row],[Page]]), 7), IF(ISNUMBER(FIND("Roof", Tasks[[#This Row],[Page]])), "Roof",  IF(ISNUMBER(FIND("S590", Tasks[[#This Row],[Page]])), "",  IF(ISNUMBER(FIND("Site", Tasks[[#This Row],[Page]])), "", "ERROR"))))</f>
        <v>ERROR</v>
      </c>
      <c r="G751" s="15" t="e">
        <f>IF(Tasks[[#This Row],[Location]]=0, "", Tasks[[#This Row],[Location]])</f>
        <v>#VALUE!</v>
      </c>
      <c r="H751" s="15" t="e">
        <f>Tasks[[#This Row],[To Package]]</f>
        <v>#VALUE!</v>
      </c>
      <c r="I751" s="15" t="e">
        <f>Tasks[[#This Row],[To Organisation]]</f>
        <v>#VALUE!</v>
      </c>
    </row>
    <row r="752" spans="1:9" ht="15.5" x14ac:dyDescent="0.35">
      <c r="A752" s="16" t="e">
        <f>HYPERLINK(_xlfn.CONCAT(Edit_URL,Tasks[[#This Row],[Ref]]),Tasks[[#This Row],[Ref]])</f>
        <v>#VALUE!</v>
      </c>
      <c r="B752" s="15" t="e" cm="1">
        <f t="array" ref="B752">_xlfn.SWITCH(LEFT(Tasks[[#This Row],[Status]],1),"O","Opened","C","Completed","S","Signed Off", "V", "Signed Off","ERROR")</f>
        <v>#VALUE!</v>
      </c>
      <c r="C752" s="15" t="e" cm="1">
        <f t="array" ref="C752">_xlfn.SWITCH(LEFT(Tasks[[#This Row],[Type]], 3), "Fie", "Field Report", "Con", "Contractor QC", "Gen", "Contractor QC", "Pun", "Contractor QC", "Qua", "Contractor QC", "Fin", "Punch List")</f>
        <v>#VALUE!</v>
      </c>
      <c r="D752" s="15" t="e">
        <f>_xlfn.LET(
_xlpm.leftValue, TRIM(LEFT(Tasks[[#This Row],[Description]], 45)),
IF(LEN(_xlpm.leftValue) &lt; 40, _xlpm.leftValue, _xlfn.CONCAT(_xlpm.leftValue, "…"))
)</f>
        <v>#VALUE!</v>
      </c>
      <c r="E752" s="15" t="e" cm="1">
        <f t="array" ref="E752">_xlfn.LET(
_xlpm.inTower, COUNTIF(Tower_Num_Table[Tower Rm Numbers], LEFT(Task_Summary_Table[[#This Row],[Area/Room]], 3)) &gt; 0,
_xlpm.typeResult, _xlfn.SWITCH(LEFT(Tasks[[#This Row],[Page]], 2), "Hi", "Historic", "An", "Annex", "Si", "Site", "S5", "Project Task", "SWITCH ERROR"),
IF(_xlpm.inTower, "West Tower", _xlpm.typeResult)
)</f>
        <v>#VALUE!</v>
      </c>
      <c r="F752" s="15" t="str">
        <f>IFERROR(MID(Tasks[[#This Row],[Page]], FIND("Level", Tasks[[#This Row],[Page]]), 7), IF(ISNUMBER(FIND("Roof", Tasks[[#This Row],[Page]])), "Roof",  IF(ISNUMBER(FIND("S590", Tasks[[#This Row],[Page]])), "",  IF(ISNUMBER(FIND("Site", Tasks[[#This Row],[Page]])), "", "ERROR"))))</f>
        <v>ERROR</v>
      </c>
      <c r="G752" s="15" t="e">
        <f>IF(Tasks[[#This Row],[Location]]=0, "", Tasks[[#This Row],[Location]])</f>
        <v>#VALUE!</v>
      </c>
      <c r="H752" s="15" t="e">
        <f>Tasks[[#This Row],[To Package]]</f>
        <v>#VALUE!</v>
      </c>
      <c r="I752" s="15" t="e">
        <f>Tasks[[#This Row],[To Organisation]]</f>
        <v>#VALUE!</v>
      </c>
    </row>
    <row r="753" spans="1:9" ht="15.5" x14ac:dyDescent="0.35">
      <c r="A753" s="16" t="e">
        <f>HYPERLINK(_xlfn.CONCAT(Edit_URL,Tasks[[#This Row],[Ref]]),Tasks[[#This Row],[Ref]])</f>
        <v>#VALUE!</v>
      </c>
      <c r="B753" s="15" t="e" cm="1">
        <f t="array" ref="B753">_xlfn.SWITCH(LEFT(Tasks[[#This Row],[Status]],1),"O","Opened","C","Completed","S","Signed Off", "V", "Signed Off","ERROR")</f>
        <v>#VALUE!</v>
      </c>
      <c r="C753" s="15" t="e" cm="1">
        <f t="array" ref="C753">_xlfn.SWITCH(LEFT(Tasks[[#This Row],[Type]], 3), "Fie", "Field Report", "Con", "Contractor QC", "Gen", "Contractor QC", "Pun", "Contractor QC", "Qua", "Contractor QC", "Fin", "Punch List")</f>
        <v>#VALUE!</v>
      </c>
      <c r="D753" s="15" t="e">
        <f>_xlfn.LET(
_xlpm.leftValue, TRIM(LEFT(Tasks[[#This Row],[Description]], 45)),
IF(LEN(_xlpm.leftValue) &lt; 40, _xlpm.leftValue, _xlfn.CONCAT(_xlpm.leftValue, "…"))
)</f>
        <v>#VALUE!</v>
      </c>
      <c r="E753" s="15" t="e" cm="1">
        <f t="array" ref="E753">_xlfn.LET(
_xlpm.inTower, COUNTIF(Tower_Num_Table[Tower Rm Numbers], LEFT(Task_Summary_Table[[#This Row],[Area/Room]], 3)) &gt; 0,
_xlpm.typeResult, _xlfn.SWITCH(LEFT(Tasks[[#This Row],[Page]], 2), "Hi", "Historic", "An", "Annex", "Si", "Site", "S5", "Project Task", "SWITCH ERROR"),
IF(_xlpm.inTower, "West Tower", _xlpm.typeResult)
)</f>
        <v>#VALUE!</v>
      </c>
      <c r="F753" s="15" t="str">
        <f>IFERROR(MID(Tasks[[#This Row],[Page]], FIND("Level", Tasks[[#This Row],[Page]]), 7), IF(ISNUMBER(FIND("Roof", Tasks[[#This Row],[Page]])), "Roof",  IF(ISNUMBER(FIND("S590", Tasks[[#This Row],[Page]])), "",  IF(ISNUMBER(FIND("Site", Tasks[[#This Row],[Page]])), "", "ERROR"))))</f>
        <v>ERROR</v>
      </c>
      <c r="G753" s="15" t="e">
        <f>IF(Tasks[[#This Row],[Location]]=0, "", Tasks[[#This Row],[Location]])</f>
        <v>#VALUE!</v>
      </c>
      <c r="H753" s="15" t="e">
        <f>Tasks[[#This Row],[To Package]]</f>
        <v>#VALUE!</v>
      </c>
      <c r="I753" s="15" t="e">
        <f>Tasks[[#This Row],[To Organisation]]</f>
        <v>#VALUE!</v>
      </c>
    </row>
    <row r="754" spans="1:9" ht="15.5" x14ac:dyDescent="0.35">
      <c r="A754" s="16" t="e">
        <f>HYPERLINK(_xlfn.CONCAT(Edit_URL,Tasks[[#This Row],[Ref]]),Tasks[[#This Row],[Ref]])</f>
        <v>#VALUE!</v>
      </c>
      <c r="B754" s="15" t="e" cm="1">
        <f t="array" ref="B754">_xlfn.SWITCH(LEFT(Tasks[[#This Row],[Status]],1),"O","Opened","C","Completed","S","Signed Off", "V", "Signed Off","ERROR")</f>
        <v>#VALUE!</v>
      </c>
      <c r="C754" s="15" t="e" cm="1">
        <f t="array" ref="C754">_xlfn.SWITCH(LEFT(Tasks[[#This Row],[Type]], 3), "Fie", "Field Report", "Con", "Contractor QC", "Gen", "Contractor QC", "Pun", "Contractor QC", "Qua", "Contractor QC", "Fin", "Punch List")</f>
        <v>#VALUE!</v>
      </c>
      <c r="D754" s="15" t="e">
        <f>_xlfn.LET(
_xlpm.leftValue, TRIM(LEFT(Tasks[[#This Row],[Description]], 45)),
IF(LEN(_xlpm.leftValue) &lt; 40, _xlpm.leftValue, _xlfn.CONCAT(_xlpm.leftValue, "…"))
)</f>
        <v>#VALUE!</v>
      </c>
      <c r="E754" s="15" t="e" cm="1">
        <f t="array" ref="E754">_xlfn.LET(
_xlpm.inTower, COUNTIF(Tower_Num_Table[Tower Rm Numbers], LEFT(Task_Summary_Table[[#This Row],[Area/Room]], 3)) &gt; 0,
_xlpm.typeResult, _xlfn.SWITCH(LEFT(Tasks[[#This Row],[Page]], 2), "Hi", "Historic", "An", "Annex", "Si", "Site", "S5", "Project Task", "SWITCH ERROR"),
IF(_xlpm.inTower, "West Tower", _xlpm.typeResult)
)</f>
        <v>#VALUE!</v>
      </c>
      <c r="F754" s="15" t="str">
        <f>IFERROR(MID(Tasks[[#This Row],[Page]], FIND("Level", Tasks[[#This Row],[Page]]), 7), IF(ISNUMBER(FIND("Roof", Tasks[[#This Row],[Page]])), "Roof",  IF(ISNUMBER(FIND("S590", Tasks[[#This Row],[Page]])), "",  IF(ISNUMBER(FIND("Site", Tasks[[#This Row],[Page]])), "", "ERROR"))))</f>
        <v>ERROR</v>
      </c>
      <c r="G754" s="15" t="e">
        <f>IF(Tasks[[#This Row],[Location]]=0, "", Tasks[[#This Row],[Location]])</f>
        <v>#VALUE!</v>
      </c>
      <c r="H754" s="15" t="e">
        <f>Tasks[[#This Row],[To Package]]</f>
        <v>#VALUE!</v>
      </c>
      <c r="I754" s="15" t="e">
        <f>Tasks[[#This Row],[To Organisation]]</f>
        <v>#VALUE!</v>
      </c>
    </row>
    <row r="755" spans="1:9" ht="15.5" x14ac:dyDescent="0.35">
      <c r="A755" s="16" t="e">
        <f>HYPERLINK(_xlfn.CONCAT(Edit_URL,Tasks[[#This Row],[Ref]]),Tasks[[#This Row],[Ref]])</f>
        <v>#VALUE!</v>
      </c>
      <c r="B755" s="15" t="e" cm="1">
        <f t="array" ref="B755">_xlfn.SWITCH(LEFT(Tasks[[#This Row],[Status]],1),"O","Opened","C","Completed","S","Signed Off", "V", "Signed Off","ERROR")</f>
        <v>#VALUE!</v>
      </c>
      <c r="C755" s="15" t="e" cm="1">
        <f t="array" ref="C755">_xlfn.SWITCH(LEFT(Tasks[[#This Row],[Type]], 3), "Fie", "Field Report", "Con", "Contractor QC", "Gen", "Contractor QC", "Pun", "Contractor QC", "Qua", "Contractor QC", "Fin", "Punch List")</f>
        <v>#VALUE!</v>
      </c>
      <c r="D755" s="15" t="e">
        <f>_xlfn.LET(
_xlpm.leftValue, TRIM(LEFT(Tasks[[#This Row],[Description]], 45)),
IF(LEN(_xlpm.leftValue) &lt; 40, _xlpm.leftValue, _xlfn.CONCAT(_xlpm.leftValue, "…"))
)</f>
        <v>#VALUE!</v>
      </c>
      <c r="E755" s="15" t="e" cm="1">
        <f t="array" ref="E755">_xlfn.LET(
_xlpm.inTower, COUNTIF(Tower_Num_Table[Tower Rm Numbers], LEFT(Task_Summary_Table[[#This Row],[Area/Room]], 3)) &gt; 0,
_xlpm.typeResult, _xlfn.SWITCH(LEFT(Tasks[[#This Row],[Page]], 2), "Hi", "Historic", "An", "Annex", "Si", "Site", "S5", "Project Task", "SWITCH ERROR"),
IF(_xlpm.inTower, "West Tower", _xlpm.typeResult)
)</f>
        <v>#VALUE!</v>
      </c>
      <c r="F755" s="15" t="str">
        <f>IFERROR(MID(Tasks[[#This Row],[Page]], FIND("Level", Tasks[[#This Row],[Page]]), 7), IF(ISNUMBER(FIND("Roof", Tasks[[#This Row],[Page]])), "Roof",  IF(ISNUMBER(FIND("S590", Tasks[[#This Row],[Page]])), "",  IF(ISNUMBER(FIND("Site", Tasks[[#This Row],[Page]])), "", "ERROR"))))</f>
        <v>ERROR</v>
      </c>
      <c r="G755" s="15" t="e">
        <f>IF(Tasks[[#This Row],[Location]]=0, "", Tasks[[#This Row],[Location]])</f>
        <v>#VALUE!</v>
      </c>
      <c r="H755" s="15" t="e">
        <f>Tasks[[#This Row],[To Package]]</f>
        <v>#VALUE!</v>
      </c>
      <c r="I755" s="15" t="e">
        <f>Tasks[[#This Row],[To Organisation]]</f>
        <v>#VALUE!</v>
      </c>
    </row>
    <row r="756" spans="1:9" ht="15.5" x14ac:dyDescent="0.35">
      <c r="A756" s="16" t="e">
        <f>HYPERLINK(_xlfn.CONCAT(Edit_URL,Tasks[[#This Row],[Ref]]),Tasks[[#This Row],[Ref]])</f>
        <v>#VALUE!</v>
      </c>
      <c r="B756" s="15" t="e" cm="1">
        <f t="array" ref="B756">_xlfn.SWITCH(LEFT(Tasks[[#This Row],[Status]],1),"O","Opened","C","Completed","S","Signed Off", "V", "Signed Off","ERROR")</f>
        <v>#VALUE!</v>
      </c>
      <c r="C756" s="15" t="e" cm="1">
        <f t="array" ref="C756">_xlfn.SWITCH(LEFT(Tasks[[#This Row],[Type]], 3), "Fie", "Field Report", "Con", "Contractor QC", "Gen", "Contractor QC", "Pun", "Contractor QC", "Qua", "Contractor QC", "Fin", "Punch List")</f>
        <v>#VALUE!</v>
      </c>
      <c r="D756" s="15" t="e">
        <f>_xlfn.LET(
_xlpm.leftValue, TRIM(LEFT(Tasks[[#This Row],[Description]], 45)),
IF(LEN(_xlpm.leftValue) &lt; 40, _xlpm.leftValue, _xlfn.CONCAT(_xlpm.leftValue, "…"))
)</f>
        <v>#VALUE!</v>
      </c>
      <c r="E756" s="15" t="e" cm="1">
        <f t="array" ref="E756">_xlfn.LET(
_xlpm.inTower, COUNTIF(Tower_Num_Table[Tower Rm Numbers], LEFT(Task_Summary_Table[[#This Row],[Area/Room]], 3)) &gt; 0,
_xlpm.typeResult, _xlfn.SWITCH(LEFT(Tasks[[#This Row],[Page]], 2), "Hi", "Historic", "An", "Annex", "Si", "Site", "S5", "Project Task", "SWITCH ERROR"),
IF(_xlpm.inTower, "West Tower", _xlpm.typeResult)
)</f>
        <v>#VALUE!</v>
      </c>
      <c r="F756" s="15" t="str">
        <f>IFERROR(MID(Tasks[[#This Row],[Page]], FIND("Level", Tasks[[#This Row],[Page]]), 7), IF(ISNUMBER(FIND("Roof", Tasks[[#This Row],[Page]])), "Roof",  IF(ISNUMBER(FIND("S590", Tasks[[#This Row],[Page]])), "",  IF(ISNUMBER(FIND("Site", Tasks[[#This Row],[Page]])), "", "ERROR"))))</f>
        <v>ERROR</v>
      </c>
      <c r="G756" s="15" t="e">
        <f>IF(Tasks[[#This Row],[Location]]=0, "", Tasks[[#This Row],[Location]])</f>
        <v>#VALUE!</v>
      </c>
      <c r="H756" s="15" t="e">
        <f>Tasks[[#This Row],[To Package]]</f>
        <v>#VALUE!</v>
      </c>
      <c r="I756" s="15" t="e">
        <f>Tasks[[#This Row],[To Organisation]]</f>
        <v>#VALUE!</v>
      </c>
    </row>
    <row r="757" spans="1:9" ht="15.5" x14ac:dyDescent="0.35">
      <c r="A757" s="16" t="e">
        <f>HYPERLINK(_xlfn.CONCAT(Edit_URL,Tasks[[#This Row],[Ref]]),Tasks[[#This Row],[Ref]])</f>
        <v>#VALUE!</v>
      </c>
      <c r="B757" s="15" t="e" cm="1">
        <f t="array" ref="B757">_xlfn.SWITCH(LEFT(Tasks[[#This Row],[Status]],1),"O","Opened","C","Completed","S","Signed Off", "V", "Signed Off","ERROR")</f>
        <v>#VALUE!</v>
      </c>
      <c r="C757" s="15" t="e" cm="1">
        <f t="array" ref="C757">_xlfn.SWITCH(LEFT(Tasks[[#This Row],[Type]], 3), "Fie", "Field Report", "Con", "Contractor QC", "Gen", "Contractor QC", "Pun", "Contractor QC", "Qua", "Contractor QC", "Fin", "Punch List")</f>
        <v>#VALUE!</v>
      </c>
      <c r="D757" s="15" t="e">
        <f>_xlfn.LET(
_xlpm.leftValue, TRIM(LEFT(Tasks[[#This Row],[Description]], 45)),
IF(LEN(_xlpm.leftValue) &lt; 40, _xlpm.leftValue, _xlfn.CONCAT(_xlpm.leftValue, "…"))
)</f>
        <v>#VALUE!</v>
      </c>
      <c r="E757" s="15" t="e" cm="1">
        <f t="array" ref="E757">_xlfn.LET(
_xlpm.inTower, COUNTIF(Tower_Num_Table[Tower Rm Numbers], LEFT(Task_Summary_Table[[#This Row],[Area/Room]], 3)) &gt; 0,
_xlpm.typeResult, _xlfn.SWITCH(LEFT(Tasks[[#This Row],[Page]], 2), "Hi", "Historic", "An", "Annex", "Si", "Site", "S5", "Project Task", "SWITCH ERROR"),
IF(_xlpm.inTower, "West Tower", _xlpm.typeResult)
)</f>
        <v>#VALUE!</v>
      </c>
      <c r="F757" s="15" t="str">
        <f>IFERROR(MID(Tasks[[#This Row],[Page]], FIND("Level", Tasks[[#This Row],[Page]]), 7), IF(ISNUMBER(FIND("Roof", Tasks[[#This Row],[Page]])), "Roof",  IF(ISNUMBER(FIND("S590", Tasks[[#This Row],[Page]])), "",  IF(ISNUMBER(FIND("Site", Tasks[[#This Row],[Page]])), "", "ERROR"))))</f>
        <v>ERROR</v>
      </c>
      <c r="G757" s="15" t="e">
        <f>IF(Tasks[[#This Row],[Location]]=0, "", Tasks[[#This Row],[Location]])</f>
        <v>#VALUE!</v>
      </c>
      <c r="H757" s="15" t="e">
        <f>Tasks[[#This Row],[To Package]]</f>
        <v>#VALUE!</v>
      </c>
      <c r="I757" s="15" t="e">
        <f>Tasks[[#This Row],[To Organisation]]</f>
        <v>#VALUE!</v>
      </c>
    </row>
    <row r="758" spans="1:9" ht="15.5" x14ac:dyDescent="0.35">
      <c r="A758" s="16" t="e">
        <f>HYPERLINK(_xlfn.CONCAT(Edit_URL,Tasks[[#This Row],[Ref]]),Tasks[[#This Row],[Ref]])</f>
        <v>#VALUE!</v>
      </c>
      <c r="B758" s="15" t="e" cm="1">
        <f t="array" ref="B758">_xlfn.SWITCH(LEFT(Tasks[[#This Row],[Status]],1),"O","Opened","C","Completed","S","Signed Off", "V", "Signed Off","ERROR")</f>
        <v>#VALUE!</v>
      </c>
      <c r="C758" s="15" t="e" cm="1">
        <f t="array" ref="C758">_xlfn.SWITCH(LEFT(Tasks[[#This Row],[Type]], 3), "Fie", "Field Report", "Con", "Contractor QC", "Gen", "Contractor QC", "Pun", "Contractor QC", "Qua", "Contractor QC", "Fin", "Punch List")</f>
        <v>#VALUE!</v>
      </c>
      <c r="D758" s="15" t="e">
        <f>_xlfn.LET(
_xlpm.leftValue, TRIM(LEFT(Tasks[[#This Row],[Description]], 45)),
IF(LEN(_xlpm.leftValue) &lt; 40, _xlpm.leftValue, _xlfn.CONCAT(_xlpm.leftValue, "…"))
)</f>
        <v>#VALUE!</v>
      </c>
      <c r="E758" s="15" t="e" cm="1">
        <f t="array" ref="E758">_xlfn.LET(
_xlpm.inTower, COUNTIF(Tower_Num_Table[Tower Rm Numbers], LEFT(Task_Summary_Table[[#This Row],[Area/Room]], 3)) &gt; 0,
_xlpm.typeResult, _xlfn.SWITCH(LEFT(Tasks[[#This Row],[Page]], 2), "Hi", "Historic", "An", "Annex", "Si", "Site", "S5", "Project Task", "SWITCH ERROR"),
IF(_xlpm.inTower, "West Tower", _xlpm.typeResult)
)</f>
        <v>#VALUE!</v>
      </c>
      <c r="F758" s="15" t="str">
        <f>IFERROR(MID(Tasks[[#This Row],[Page]], FIND("Level", Tasks[[#This Row],[Page]]), 7), IF(ISNUMBER(FIND("Roof", Tasks[[#This Row],[Page]])), "Roof",  IF(ISNUMBER(FIND("S590", Tasks[[#This Row],[Page]])), "",  IF(ISNUMBER(FIND("Site", Tasks[[#This Row],[Page]])), "", "ERROR"))))</f>
        <v>ERROR</v>
      </c>
      <c r="G758" s="15" t="e">
        <f>IF(Tasks[[#This Row],[Location]]=0, "", Tasks[[#This Row],[Location]])</f>
        <v>#VALUE!</v>
      </c>
      <c r="H758" s="15" t="e">
        <f>Tasks[[#This Row],[To Package]]</f>
        <v>#VALUE!</v>
      </c>
      <c r="I758" s="15" t="e">
        <f>Tasks[[#This Row],[To Organisation]]</f>
        <v>#VALUE!</v>
      </c>
    </row>
    <row r="759" spans="1:9" ht="15.5" x14ac:dyDescent="0.35">
      <c r="A759" s="16" t="e">
        <f>HYPERLINK(_xlfn.CONCAT(Edit_URL,Tasks[[#This Row],[Ref]]),Tasks[[#This Row],[Ref]])</f>
        <v>#VALUE!</v>
      </c>
      <c r="B759" s="15" t="e" cm="1">
        <f t="array" ref="B759">_xlfn.SWITCH(LEFT(Tasks[[#This Row],[Status]],1),"O","Opened","C","Completed","S","Signed Off", "V", "Signed Off","ERROR")</f>
        <v>#VALUE!</v>
      </c>
      <c r="C759" s="15" t="e" cm="1">
        <f t="array" ref="C759">_xlfn.SWITCH(LEFT(Tasks[[#This Row],[Type]], 3), "Fie", "Field Report", "Con", "Contractor QC", "Gen", "Contractor QC", "Pun", "Contractor QC", "Qua", "Contractor QC", "Fin", "Punch List")</f>
        <v>#VALUE!</v>
      </c>
      <c r="D759" s="15" t="e">
        <f>_xlfn.LET(
_xlpm.leftValue, TRIM(LEFT(Tasks[[#This Row],[Description]], 45)),
IF(LEN(_xlpm.leftValue) &lt; 40, _xlpm.leftValue, _xlfn.CONCAT(_xlpm.leftValue, "…"))
)</f>
        <v>#VALUE!</v>
      </c>
      <c r="E759" s="15" t="e" cm="1">
        <f t="array" ref="E759">_xlfn.LET(
_xlpm.inTower, COUNTIF(Tower_Num_Table[Tower Rm Numbers], LEFT(Task_Summary_Table[[#This Row],[Area/Room]], 3)) &gt; 0,
_xlpm.typeResult, _xlfn.SWITCH(LEFT(Tasks[[#This Row],[Page]], 2), "Hi", "Historic", "An", "Annex", "Si", "Site", "S5", "Project Task", "SWITCH ERROR"),
IF(_xlpm.inTower, "West Tower", _xlpm.typeResult)
)</f>
        <v>#VALUE!</v>
      </c>
      <c r="F759" s="15" t="str">
        <f>IFERROR(MID(Tasks[[#This Row],[Page]], FIND("Level", Tasks[[#This Row],[Page]]), 7), IF(ISNUMBER(FIND("Roof", Tasks[[#This Row],[Page]])), "Roof",  IF(ISNUMBER(FIND("S590", Tasks[[#This Row],[Page]])), "",  IF(ISNUMBER(FIND("Site", Tasks[[#This Row],[Page]])), "", "ERROR"))))</f>
        <v>ERROR</v>
      </c>
      <c r="G759" s="15" t="e">
        <f>IF(Tasks[[#This Row],[Location]]=0, "", Tasks[[#This Row],[Location]])</f>
        <v>#VALUE!</v>
      </c>
      <c r="H759" s="15" t="e">
        <f>Tasks[[#This Row],[To Package]]</f>
        <v>#VALUE!</v>
      </c>
      <c r="I759" s="15" t="e">
        <f>Tasks[[#This Row],[To Organisation]]</f>
        <v>#VALUE!</v>
      </c>
    </row>
    <row r="760" spans="1:9" ht="15.5" x14ac:dyDescent="0.35">
      <c r="A760" s="16" t="e">
        <f>HYPERLINK(_xlfn.CONCAT(Edit_URL,Tasks[[#This Row],[Ref]]),Tasks[[#This Row],[Ref]])</f>
        <v>#VALUE!</v>
      </c>
      <c r="B760" s="15" t="e" cm="1">
        <f t="array" ref="B760">_xlfn.SWITCH(LEFT(Tasks[[#This Row],[Status]],1),"O","Opened","C","Completed","S","Signed Off", "V", "Signed Off","ERROR")</f>
        <v>#VALUE!</v>
      </c>
      <c r="C760" s="15" t="e" cm="1">
        <f t="array" ref="C760">_xlfn.SWITCH(LEFT(Tasks[[#This Row],[Type]], 3), "Fie", "Field Report", "Con", "Contractor QC", "Gen", "Contractor QC", "Pun", "Contractor QC", "Qua", "Contractor QC", "Fin", "Punch List")</f>
        <v>#VALUE!</v>
      </c>
      <c r="D760" s="15" t="e">
        <f>_xlfn.LET(
_xlpm.leftValue, TRIM(LEFT(Tasks[[#This Row],[Description]], 45)),
IF(LEN(_xlpm.leftValue) &lt; 40, _xlpm.leftValue, _xlfn.CONCAT(_xlpm.leftValue, "…"))
)</f>
        <v>#VALUE!</v>
      </c>
      <c r="E760" s="15" t="e" cm="1">
        <f t="array" ref="E760">_xlfn.LET(
_xlpm.inTower, COUNTIF(Tower_Num_Table[Tower Rm Numbers], LEFT(Task_Summary_Table[[#This Row],[Area/Room]], 3)) &gt; 0,
_xlpm.typeResult, _xlfn.SWITCH(LEFT(Tasks[[#This Row],[Page]], 2), "Hi", "Historic", "An", "Annex", "Si", "Site", "S5", "Project Task", "SWITCH ERROR"),
IF(_xlpm.inTower, "West Tower", _xlpm.typeResult)
)</f>
        <v>#VALUE!</v>
      </c>
      <c r="F760" s="15" t="str">
        <f>IFERROR(MID(Tasks[[#This Row],[Page]], FIND("Level", Tasks[[#This Row],[Page]]), 7), IF(ISNUMBER(FIND("Roof", Tasks[[#This Row],[Page]])), "Roof",  IF(ISNUMBER(FIND("S590", Tasks[[#This Row],[Page]])), "",  IF(ISNUMBER(FIND("Site", Tasks[[#This Row],[Page]])), "", "ERROR"))))</f>
        <v>ERROR</v>
      </c>
      <c r="G760" s="15" t="e">
        <f>IF(Tasks[[#This Row],[Location]]=0, "", Tasks[[#This Row],[Location]])</f>
        <v>#VALUE!</v>
      </c>
      <c r="H760" s="15" t="e">
        <f>Tasks[[#This Row],[To Package]]</f>
        <v>#VALUE!</v>
      </c>
      <c r="I760" s="15" t="e">
        <f>Tasks[[#This Row],[To Organisation]]</f>
        <v>#VALUE!</v>
      </c>
    </row>
    <row r="761" spans="1:9" ht="15.5" x14ac:dyDescent="0.35">
      <c r="A761" s="16" t="e">
        <f>HYPERLINK(_xlfn.CONCAT(Edit_URL,Tasks[[#This Row],[Ref]]),Tasks[[#This Row],[Ref]])</f>
        <v>#VALUE!</v>
      </c>
      <c r="B761" s="15" t="e" cm="1">
        <f t="array" ref="B761">_xlfn.SWITCH(LEFT(Tasks[[#This Row],[Status]],1),"O","Opened","C","Completed","S","Signed Off", "V", "Signed Off","ERROR")</f>
        <v>#VALUE!</v>
      </c>
      <c r="C761" s="15" t="e" cm="1">
        <f t="array" ref="C761">_xlfn.SWITCH(LEFT(Tasks[[#This Row],[Type]], 3), "Fie", "Field Report", "Con", "Contractor QC", "Gen", "Contractor QC", "Pun", "Contractor QC", "Qua", "Contractor QC", "Fin", "Punch List")</f>
        <v>#VALUE!</v>
      </c>
      <c r="D761" s="15" t="e">
        <f>_xlfn.LET(
_xlpm.leftValue, TRIM(LEFT(Tasks[[#This Row],[Description]], 45)),
IF(LEN(_xlpm.leftValue) &lt; 40, _xlpm.leftValue, _xlfn.CONCAT(_xlpm.leftValue, "…"))
)</f>
        <v>#VALUE!</v>
      </c>
      <c r="E761" s="15" t="e" cm="1">
        <f t="array" ref="E761">_xlfn.LET(
_xlpm.inTower, COUNTIF(Tower_Num_Table[Tower Rm Numbers], LEFT(Task_Summary_Table[[#This Row],[Area/Room]], 3)) &gt; 0,
_xlpm.typeResult, _xlfn.SWITCH(LEFT(Tasks[[#This Row],[Page]], 2), "Hi", "Historic", "An", "Annex", "Si", "Site", "S5", "Project Task", "SWITCH ERROR"),
IF(_xlpm.inTower, "West Tower", _xlpm.typeResult)
)</f>
        <v>#VALUE!</v>
      </c>
      <c r="F761" s="15" t="str">
        <f>IFERROR(MID(Tasks[[#This Row],[Page]], FIND("Level", Tasks[[#This Row],[Page]]), 7), IF(ISNUMBER(FIND("Roof", Tasks[[#This Row],[Page]])), "Roof",  IF(ISNUMBER(FIND("S590", Tasks[[#This Row],[Page]])), "",  IF(ISNUMBER(FIND("Site", Tasks[[#This Row],[Page]])), "", "ERROR"))))</f>
        <v>ERROR</v>
      </c>
      <c r="G761" s="15" t="e">
        <f>IF(Tasks[[#This Row],[Location]]=0, "", Tasks[[#This Row],[Location]])</f>
        <v>#VALUE!</v>
      </c>
      <c r="H761" s="15" t="e">
        <f>Tasks[[#This Row],[To Package]]</f>
        <v>#VALUE!</v>
      </c>
      <c r="I761" s="15" t="e">
        <f>Tasks[[#This Row],[To Organisation]]</f>
        <v>#VALUE!</v>
      </c>
    </row>
    <row r="762" spans="1:9" ht="15.5" x14ac:dyDescent="0.35">
      <c r="A762" s="16" t="e">
        <f>HYPERLINK(_xlfn.CONCAT(Edit_URL,Tasks[[#This Row],[Ref]]),Tasks[[#This Row],[Ref]])</f>
        <v>#VALUE!</v>
      </c>
      <c r="B762" s="15" t="e" cm="1">
        <f t="array" ref="B762">_xlfn.SWITCH(LEFT(Tasks[[#This Row],[Status]],1),"O","Opened","C","Completed","S","Signed Off", "V", "Signed Off","ERROR")</f>
        <v>#VALUE!</v>
      </c>
      <c r="C762" s="15" t="e" cm="1">
        <f t="array" ref="C762">_xlfn.SWITCH(LEFT(Tasks[[#This Row],[Type]], 3), "Fie", "Field Report", "Con", "Contractor QC", "Gen", "Contractor QC", "Pun", "Contractor QC", "Qua", "Contractor QC", "Fin", "Punch List")</f>
        <v>#VALUE!</v>
      </c>
      <c r="D762" s="15" t="e">
        <f>_xlfn.LET(
_xlpm.leftValue, TRIM(LEFT(Tasks[[#This Row],[Description]], 45)),
IF(LEN(_xlpm.leftValue) &lt; 40, _xlpm.leftValue, _xlfn.CONCAT(_xlpm.leftValue, "…"))
)</f>
        <v>#VALUE!</v>
      </c>
      <c r="E762" s="15" t="e" cm="1">
        <f t="array" ref="E762">_xlfn.LET(
_xlpm.inTower, COUNTIF(Tower_Num_Table[Tower Rm Numbers], LEFT(Task_Summary_Table[[#This Row],[Area/Room]], 3)) &gt; 0,
_xlpm.typeResult, _xlfn.SWITCH(LEFT(Tasks[[#This Row],[Page]], 2), "Hi", "Historic", "An", "Annex", "Si", "Site", "S5", "Project Task", "SWITCH ERROR"),
IF(_xlpm.inTower, "West Tower", _xlpm.typeResult)
)</f>
        <v>#VALUE!</v>
      </c>
      <c r="F762" s="15" t="str">
        <f>IFERROR(MID(Tasks[[#This Row],[Page]], FIND("Level", Tasks[[#This Row],[Page]]), 7), IF(ISNUMBER(FIND("Roof", Tasks[[#This Row],[Page]])), "Roof",  IF(ISNUMBER(FIND("S590", Tasks[[#This Row],[Page]])), "",  IF(ISNUMBER(FIND("Site", Tasks[[#This Row],[Page]])), "", "ERROR"))))</f>
        <v>ERROR</v>
      </c>
      <c r="G762" s="15" t="e">
        <f>IF(Tasks[[#This Row],[Location]]=0, "", Tasks[[#This Row],[Location]])</f>
        <v>#VALUE!</v>
      </c>
      <c r="H762" s="15" t="e">
        <f>Tasks[[#This Row],[To Package]]</f>
        <v>#VALUE!</v>
      </c>
      <c r="I762" s="15" t="e">
        <f>Tasks[[#This Row],[To Organisation]]</f>
        <v>#VALUE!</v>
      </c>
    </row>
    <row r="763" spans="1:9" ht="15.5" x14ac:dyDescent="0.35">
      <c r="A763" s="16" t="e">
        <f>HYPERLINK(_xlfn.CONCAT(Edit_URL,Tasks[[#This Row],[Ref]]),Tasks[[#This Row],[Ref]])</f>
        <v>#VALUE!</v>
      </c>
      <c r="B763" s="15" t="e" cm="1">
        <f t="array" ref="B763">_xlfn.SWITCH(LEFT(Tasks[[#This Row],[Status]],1),"O","Opened","C","Completed","S","Signed Off", "V", "Signed Off","ERROR")</f>
        <v>#VALUE!</v>
      </c>
      <c r="C763" s="15" t="e" cm="1">
        <f t="array" ref="C763">_xlfn.SWITCH(LEFT(Tasks[[#This Row],[Type]], 3), "Fie", "Field Report", "Con", "Contractor QC", "Gen", "Contractor QC", "Pun", "Contractor QC", "Qua", "Contractor QC", "Fin", "Punch List")</f>
        <v>#VALUE!</v>
      </c>
      <c r="D763" s="15" t="e">
        <f>_xlfn.LET(
_xlpm.leftValue, TRIM(LEFT(Tasks[[#This Row],[Description]], 45)),
IF(LEN(_xlpm.leftValue) &lt; 40, _xlpm.leftValue, _xlfn.CONCAT(_xlpm.leftValue, "…"))
)</f>
        <v>#VALUE!</v>
      </c>
      <c r="E763" s="15" t="e" cm="1">
        <f t="array" ref="E763">_xlfn.LET(
_xlpm.inTower, COUNTIF(Tower_Num_Table[Tower Rm Numbers], LEFT(Task_Summary_Table[[#This Row],[Area/Room]], 3)) &gt; 0,
_xlpm.typeResult, _xlfn.SWITCH(LEFT(Tasks[[#This Row],[Page]], 2), "Hi", "Historic", "An", "Annex", "Si", "Site", "S5", "Project Task", "SWITCH ERROR"),
IF(_xlpm.inTower, "West Tower", _xlpm.typeResult)
)</f>
        <v>#VALUE!</v>
      </c>
      <c r="F763" s="15" t="str">
        <f>IFERROR(MID(Tasks[[#This Row],[Page]], FIND("Level", Tasks[[#This Row],[Page]]), 7), IF(ISNUMBER(FIND("Roof", Tasks[[#This Row],[Page]])), "Roof",  IF(ISNUMBER(FIND("S590", Tasks[[#This Row],[Page]])), "",  IF(ISNUMBER(FIND("Site", Tasks[[#This Row],[Page]])), "", "ERROR"))))</f>
        <v>ERROR</v>
      </c>
      <c r="G763" s="15" t="e">
        <f>IF(Tasks[[#This Row],[Location]]=0, "", Tasks[[#This Row],[Location]])</f>
        <v>#VALUE!</v>
      </c>
      <c r="H763" s="15" t="e">
        <f>Tasks[[#This Row],[To Package]]</f>
        <v>#VALUE!</v>
      </c>
      <c r="I763" s="15" t="e">
        <f>Tasks[[#This Row],[To Organisation]]</f>
        <v>#VALUE!</v>
      </c>
    </row>
    <row r="764" spans="1:9" ht="15.5" x14ac:dyDescent="0.35">
      <c r="A764" s="16" t="e">
        <f>HYPERLINK(_xlfn.CONCAT(Edit_URL,Tasks[[#This Row],[Ref]]),Tasks[[#This Row],[Ref]])</f>
        <v>#VALUE!</v>
      </c>
      <c r="B764" s="15" t="e" cm="1">
        <f t="array" ref="B764">_xlfn.SWITCH(LEFT(Tasks[[#This Row],[Status]],1),"O","Opened","C","Completed","S","Signed Off", "V", "Signed Off","ERROR")</f>
        <v>#VALUE!</v>
      </c>
      <c r="C764" s="15" t="e" cm="1">
        <f t="array" ref="C764">_xlfn.SWITCH(LEFT(Tasks[[#This Row],[Type]], 3), "Fie", "Field Report", "Con", "Contractor QC", "Gen", "Contractor QC", "Pun", "Contractor QC", "Qua", "Contractor QC", "Fin", "Punch List")</f>
        <v>#VALUE!</v>
      </c>
      <c r="D764" s="15" t="e">
        <f>_xlfn.LET(
_xlpm.leftValue, TRIM(LEFT(Tasks[[#This Row],[Description]], 45)),
IF(LEN(_xlpm.leftValue) &lt; 40, _xlpm.leftValue, _xlfn.CONCAT(_xlpm.leftValue, "…"))
)</f>
        <v>#VALUE!</v>
      </c>
      <c r="E764" s="15" t="e" cm="1">
        <f t="array" ref="E764">_xlfn.LET(
_xlpm.inTower, COUNTIF(Tower_Num_Table[Tower Rm Numbers], LEFT(Task_Summary_Table[[#This Row],[Area/Room]], 3)) &gt; 0,
_xlpm.typeResult, _xlfn.SWITCH(LEFT(Tasks[[#This Row],[Page]], 2), "Hi", "Historic", "An", "Annex", "Si", "Site", "S5", "Project Task", "SWITCH ERROR"),
IF(_xlpm.inTower, "West Tower", _xlpm.typeResult)
)</f>
        <v>#VALUE!</v>
      </c>
      <c r="F764" s="15" t="str">
        <f>IFERROR(MID(Tasks[[#This Row],[Page]], FIND("Level", Tasks[[#This Row],[Page]]), 7), IF(ISNUMBER(FIND("Roof", Tasks[[#This Row],[Page]])), "Roof",  IF(ISNUMBER(FIND("S590", Tasks[[#This Row],[Page]])), "",  IF(ISNUMBER(FIND("Site", Tasks[[#This Row],[Page]])), "", "ERROR"))))</f>
        <v>ERROR</v>
      </c>
      <c r="G764" s="15" t="e">
        <f>IF(Tasks[[#This Row],[Location]]=0, "", Tasks[[#This Row],[Location]])</f>
        <v>#VALUE!</v>
      </c>
      <c r="H764" s="15" t="e">
        <f>Tasks[[#This Row],[To Package]]</f>
        <v>#VALUE!</v>
      </c>
      <c r="I764" s="15" t="e">
        <f>Tasks[[#This Row],[To Organisation]]</f>
        <v>#VALUE!</v>
      </c>
    </row>
    <row r="765" spans="1:9" ht="15.5" x14ac:dyDescent="0.35">
      <c r="A765" s="16" t="e">
        <f>HYPERLINK(_xlfn.CONCAT(Edit_URL,Tasks[[#This Row],[Ref]]),Tasks[[#This Row],[Ref]])</f>
        <v>#VALUE!</v>
      </c>
      <c r="B765" s="15" t="e" cm="1">
        <f t="array" ref="B765">_xlfn.SWITCH(LEFT(Tasks[[#This Row],[Status]],1),"O","Opened","C","Completed","S","Signed Off", "V", "Signed Off","ERROR")</f>
        <v>#VALUE!</v>
      </c>
      <c r="C765" s="15" t="e" cm="1">
        <f t="array" ref="C765">_xlfn.SWITCH(LEFT(Tasks[[#This Row],[Type]], 3), "Fie", "Field Report", "Con", "Contractor QC", "Gen", "Contractor QC", "Pun", "Contractor QC", "Qua", "Contractor QC", "Fin", "Punch List")</f>
        <v>#VALUE!</v>
      </c>
      <c r="D765" s="15" t="e">
        <f>_xlfn.LET(
_xlpm.leftValue, TRIM(LEFT(Tasks[[#This Row],[Description]], 45)),
IF(LEN(_xlpm.leftValue) &lt; 40, _xlpm.leftValue, _xlfn.CONCAT(_xlpm.leftValue, "…"))
)</f>
        <v>#VALUE!</v>
      </c>
      <c r="E765" s="15" t="e" cm="1">
        <f t="array" ref="E765">_xlfn.LET(
_xlpm.inTower, COUNTIF(Tower_Num_Table[Tower Rm Numbers], LEFT(Task_Summary_Table[[#This Row],[Area/Room]], 3)) &gt; 0,
_xlpm.typeResult, _xlfn.SWITCH(LEFT(Tasks[[#This Row],[Page]], 2), "Hi", "Historic", "An", "Annex", "Si", "Site", "S5", "Project Task", "SWITCH ERROR"),
IF(_xlpm.inTower, "West Tower", _xlpm.typeResult)
)</f>
        <v>#VALUE!</v>
      </c>
      <c r="F765" s="15" t="str">
        <f>IFERROR(MID(Tasks[[#This Row],[Page]], FIND("Level", Tasks[[#This Row],[Page]]), 7), IF(ISNUMBER(FIND("Roof", Tasks[[#This Row],[Page]])), "Roof",  IF(ISNUMBER(FIND("S590", Tasks[[#This Row],[Page]])), "",  IF(ISNUMBER(FIND("Site", Tasks[[#This Row],[Page]])), "", "ERROR"))))</f>
        <v>ERROR</v>
      </c>
      <c r="G765" s="15" t="e">
        <f>IF(Tasks[[#This Row],[Location]]=0, "", Tasks[[#This Row],[Location]])</f>
        <v>#VALUE!</v>
      </c>
      <c r="H765" s="15" t="e">
        <f>Tasks[[#This Row],[To Package]]</f>
        <v>#VALUE!</v>
      </c>
      <c r="I765" s="15" t="e">
        <f>Tasks[[#This Row],[To Organisation]]</f>
        <v>#VALUE!</v>
      </c>
    </row>
    <row r="766" spans="1:9" ht="15.5" x14ac:dyDescent="0.35">
      <c r="A766" s="16" t="e">
        <f>HYPERLINK(_xlfn.CONCAT(Edit_URL,Tasks[[#This Row],[Ref]]),Tasks[[#This Row],[Ref]])</f>
        <v>#VALUE!</v>
      </c>
      <c r="B766" s="15" t="e" cm="1">
        <f t="array" ref="B766">_xlfn.SWITCH(LEFT(Tasks[[#This Row],[Status]],1),"O","Opened","C","Completed","S","Signed Off", "V", "Signed Off","ERROR")</f>
        <v>#VALUE!</v>
      </c>
      <c r="C766" s="15" t="e" cm="1">
        <f t="array" ref="C766">_xlfn.SWITCH(LEFT(Tasks[[#This Row],[Type]], 3), "Fie", "Field Report", "Con", "Contractor QC", "Gen", "Contractor QC", "Pun", "Contractor QC", "Qua", "Contractor QC", "Fin", "Punch List")</f>
        <v>#VALUE!</v>
      </c>
      <c r="D766" s="15" t="e">
        <f>_xlfn.LET(
_xlpm.leftValue, TRIM(LEFT(Tasks[[#This Row],[Description]], 45)),
IF(LEN(_xlpm.leftValue) &lt; 40, _xlpm.leftValue, _xlfn.CONCAT(_xlpm.leftValue, "…"))
)</f>
        <v>#VALUE!</v>
      </c>
      <c r="E766" s="15" t="e" cm="1">
        <f t="array" ref="E766">_xlfn.LET(
_xlpm.inTower, COUNTIF(Tower_Num_Table[Tower Rm Numbers], LEFT(Task_Summary_Table[[#This Row],[Area/Room]], 3)) &gt; 0,
_xlpm.typeResult, _xlfn.SWITCH(LEFT(Tasks[[#This Row],[Page]], 2), "Hi", "Historic", "An", "Annex", "Si", "Site", "S5", "Project Task", "SWITCH ERROR"),
IF(_xlpm.inTower, "West Tower", _xlpm.typeResult)
)</f>
        <v>#VALUE!</v>
      </c>
      <c r="F766" s="15" t="str">
        <f>IFERROR(MID(Tasks[[#This Row],[Page]], FIND("Level", Tasks[[#This Row],[Page]]), 7), IF(ISNUMBER(FIND("Roof", Tasks[[#This Row],[Page]])), "Roof",  IF(ISNUMBER(FIND("S590", Tasks[[#This Row],[Page]])), "",  IF(ISNUMBER(FIND("Site", Tasks[[#This Row],[Page]])), "", "ERROR"))))</f>
        <v>ERROR</v>
      </c>
      <c r="G766" s="15" t="e">
        <f>IF(Tasks[[#This Row],[Location]]=0, "", Tasks[[#This Row],[Location]])</f>
        <v>#VALUE!</v>
      </c>
      <c r="H766" s="15" t="e">
        <f>Tasks[[#This Row],[To Package]]</f>
        <v>#VALUE!</v>
      </c>
      <c r="I766" s="15" t="e">
        <f>Tasks[[#This Row],[To Organisation]]</f>
        <v>#VALUE!</v>
      </c>
    </row>
    <row r="767" spans="1:9" ht="15.5" x14ac:dyDescent="0.35">
      <c r="A767" s="16" t="e">
        <f>HYPERLINK(_xlfn.CONCAT(Edit_URL,Tasks[[#This Row],[Ref]]),Tasks[[#This Row],[Ref]])</f>
        <v>#VALUE!</v>
      </c>
      <c r="B767" s="15" t="e" cm="1">
        <f t="array" ref="B767">_xlfn.SWITCH(LEFT(Tasks[[#This Row],[Status]],1),"O","Opened","C","Completed","S","Signed Off", "V", "Signed Off","ERROR")</f>
        <v>#VALUE!</v>
      </c>
      <c r="C767" s="15" t="e" cm="1">
        <f t="array" ref="C767">_xlfn.SWITCH(LEFT(Tasks[[#This Row],[Type]], 3), "Fie", "Field Report", "Con", "Contractor QC", "Gen", "Contractor QC", "Pun", "Contractor QC", "Qua", "Contractor QC", "Fin", "Punch List")</f>
        <v>#VALUE!</v>
      </c>
      <c r="D767" s="15" t="e">
        <f>_xlfn.LET(
_xlpm.leftValue, TRIM(LEFT(Tasks[[#This Row],[Description]], 45)),
IF(LEN(_xlpm.leftValue) &lt; 40, _xlpm.leftValue, _xlfn.CONCAT(_xlpm.leftValue, "…"))
)</f>
        <v>#VALUE!</v>
      </c>
      <c r="E767" s="15" t="e" cm="1">
        <f t="array" ref="E767">_xlfn.LET(
_xlpm.inTower, COUNTIF(Tower_Num_Table[Tower Rm Numbers], LEFT(Task_Summary_Table[[#This Row],[Area/Room]], 3)) &gt; 0,
_xlpm.typeResult, _xlfn.SWITCH(LEFT(Tasks[[#This Row],[Page]], 2), "Hi", "Historic", "An", "Annex", "Si", "Site", "S5", "Project Task", "SWITCH ERROR"),
IF(_xlpm.inTower, "West Tower", _xlpm.typeResult)
)</f>
        <v>#VALUE!</v>
      </c>
      <c r="F767" s="15" t="str">
        <f>IFERROR(MID(Tasks[[#This Row],[Page]], FIND("Level", Tasks[[#This Row],[Page]]), 7), IF(ISNUMBER(FIND("Roof", Tasks[[#This Row],[Page]])), "Roof",  IF(ISNUMBER(FIND("S590", Tasks[[#This Row],[Page]])), "",  IF(ISNUMBER(FIND("Site", Tasks[[#This Row],[Page]])), "", "ERROR"))))</f>
        <v>ERROR</v>
      </c>
      <c r="G767" s="15" t="e">
        <f>IF(Tasks[[#This Row],[Location]]=0, "", Tasks[[#This Row],[Location]])</f>
        <v>#VALUE!</v>
      </c>
      <c r="H767" s="15" t="e">
        <f>Tasks[[#This Row],[To Package]]</f>
        <v>#VALUE!</v>
      </c>
      <c r="I767" s="15" t="e">
        <f>Tasks[[#This Row],[To Organisation]]</f>
        <v>#VALUE!</v>
      </c>
    </row>
    <row r="768" spans="1:9" ht="15.5" x14ac:dyDescent="0.35">
      <c r="A768" s="16" t="e">
        <f>HYPERLINK(_xlfn.CONCAT(Edit_URL,Tasks[[#This Row],[Ref]]),Tasks[[#This Row],[Ref]])</f>
        <v>#VALUE!</v>
      </c>
      <c r="B768" s="15" t="e" cm="1">
        <f t="array" ref="B768">_xlfn.SWITCH(LEFT(Tasks[[#This Row],[Status]],1),"O","Opened","C","Completed","S","Signed Off", "V", "Signed Off","ERROR")</f>
        <v>#VALUE!</v>
      </c>
      <c r="C768" s="15" t="e" cm="1">
        <f t="array" ref="C768">_xlfn.SWITCH(LEFT(Tasks[[#This Row],[Type]], 3), "Fie", "Field Report", "Con", "Contractor QC", "Gen", "Contractor QC", "Pun", "Contractor QC", "Qua", "Contractor QC", "Fin", "Punch List")</f>
        <v>#VALUE!</v>
      </c>
      <c r="D768" s="15" t="e">
        <f>_xlfn.LET(
_xlpm.leftValue, TRIM(LEFT(Tasks[[#This Row],[Description]], 45)),
IF(LEN(_xlpm.leftValue) &lt; 40, _xlpm.leftValue, _xlfn.CONCAT(_xlpm.leftValue, "…"))
)</f>
        <v>#VALUE!</v>
      </c>
      <c r="E768" s="15" t="e" cm="1">
        <f t="array" ref="E768">_xlfn.LET(
_xlpm.inTower, COUNTIF(Tower_Num_Table[Tower Rm Numbers], LEFT(Task_Summary_Table[[#This Row],[Area/Room]], 3)) &gt; 0,
_xlpm.typeResult, _xlfn.SWITCH(LEFT(Tasks[[#This Row],[Page]], 2), "Hi", "Historic", "An", "Annex", "Si", "Site", "S5", "Project Task", "SWITCH ERROR"),
IF(_xlpm.inTower, "West Tower", _xlpm.typeResult)
)</f>
        <v>#VALUE!</v>
      </c>
      <c r="F768" s="15" t="str">
        <f>IFERROR(MID(Tasks[[#This Row],[Page]], FIND("Level", Tasks[[#This Row],[Page]]), 7), IF(ISNUMBER(FIND("Roof", Tasks[[#This Row],[Page]])), "Roof",  IF(ISNUMBER(FIND("S590", Tasks[[#This Row],[Page]])), "",  IF(ISNUMBER(FIND("Site", Tasks[[#This Row],[Page]])), "", "ERROR"))))</f>
        <v>ERROR</v>
      </c>
      <c r="G768" s="15" t="e">
        <f>IF(Tasks[[#This Row],[Location]]=0, "", Tasks[[#This Row],[Location]])</f>
        <v>#VALUE!</v>
      </c>
      <c r="H768" s="15" t="e">
        <f>Tasks[[#This Row],[To Package]]</f>
        <v>#VALUE!</v>
      </c>
      <c r="I768" s="15" t="e">
        <f>Tasks[[#This Row],[To Organisation]]</f>
        <v>#VALUE!</v>
      </c>
    </row>
    <row r="769" spans="1:9" ht="15.5" x14ac:dyDescent="0.35">
      <c r="A769" s="16" t="e">
        <f>HYPERLINK(_xlfn.CONCAT(Edit_URL,Tasks[[#This Row],[Ref]]),Tasks[[#This Row],[Ref]])</f>
        <v>#VALUE!</v>
      </c>
      <c r="B769" s="15" t="e" cm="1">
        <f t="array" ref="B769">_xlfn.SWITCH(LEFT(Tasks[[#This Row],[Status]],1),"O","Opened","C","Completed","S","Signed Off", "V", "Signed Off","ERROR")</f>
        <v>#VALUE!</v>
      </c>
      <c r="C769" s="15" t="e" cm="1">
        <f t="array" ref="C769">_xlfn.SWITCH(LEFT(Tasks[[#This Row],[Type]], 3), "Fie", "Field Report", "Con", "Contractor QC", "Gen", "Contractor QC", "Pun", "Contractor QC", "Qua", "Contractor QC", "Fin", "Punch List")</f>
        <v>#VALUE!</v>
      </c>
      <c r="D769" s="15" t="e">
        <f>_xlfn.LET(
_xlpm.leftValue, TRIM(LEFT(Tasks[[#This Row],[Description]], 45)),
IF(LEN(_xlpm.leftValue) &lt; 40, _xlpm.leftValue, _xlfn.CONCAT(_xlpm.leftValue, "…"))
)</f>
        <v>#VALUE!</v>
      </c>
      <c r="E769" s="15" t="e" cm="1">
        <f t="array" ref="E769">_xlfn.LET(
_xlpm.inTower, COUNTIF(Tower_Num_Table[Tower Rm Numbers], LEFT(Task_Summary_Table[[#This Row],[Area/Room]], 3)) &gt; 0,
_xlpm.typeResult, _xlfn.SWITCH(LEFT(Tasks[[#This Row],[Page]], 2), "Hi", "Historic", "An", "Annex", "Si", "Site", "S5", "Project Task", "SWITCH ERROR"),
IF(_xlpm.inTower, "West Tower", _xlpm.typeResult)
)</f>
        <v>#VALUE!</v>
      </c>
      <c r="F769" s="15" t="str">
        <f>IFERROR(MID(Tasks[[#This Row],[Page]], FIND("Level", Tasks[[#This Row],[Page]]), 7), IF(ISNUMBER(FIND("Roof", Tasks[[#This Row],[Page]])), "Roof",  IF(ISNUMBER(FIND("S590", Tasks[[#This Row],[Page]])), "",  IF(ISNUMBER(FIND("Site", Tasks[[#This Row],[Page]])), "", "ERROR"))))</f>
        <v>ERROR</v>
      </c>
      <c r="G769" s="15" t="e">
        <f>IF(Tasks[[#This Row],[Location]]=0, "", Tasks[[#This Row],[Location]])</f>
        <v>#VALUE!</v>
      </c>
      <c r="H769" s="15" t="e">
        <f>Tasks[[#This Row],[To Package]]</f>
        <v>#VALUE!</v>
      </c>
      <c r="I769" s="15" t="e">
        <f>Tasks[[#This Row],[To Organisation]]</f>
        <v>#VALUE!</v>
      </c>
    </row>
    <row r="770" spans="1:9" ht="15.5" x14ac:dyDescent="0.35">
      <c r="A770" s="16" t="e">
        <f>HYPERLINK(_xlfn.CONCAT(Edit_URL,Tasks[[#This Row],[Ref]]),Tasks[[#This Row],[Ref]])</f>
        <v>#VALUE!</v>
      </c>
      <c r="B770" s="15" t="e" cm="1">
        <f t="array" ref="B770">_xlfn.SWITCH(LEFT(Tasks[[#This Row],[Status]],1),"O","Opened","C","Completed","S","Signed Off", "V", "Signed Off","ERROR")</f>
        <v>#VALUE!</v>
      </c>
      <c r="C770" s="15" t="e" cm="1">
        <f t="array" ref="C770">_xlfn.SWITCH(LEFT(Tasks[[#This Row],[Type]], 3), "Fie", "Field Report", "Con", "Contractor QC", "Gen", "Contractor QC", "Pun", "Contractor QC", "Qua", "Contractor QC", "Fin", "Punch List")</f>
        <v>#VALUE!</v>
      </c>
      <c r="D770" s="15" t="e">
        <f>_xlfn.LET(
_xlpm.leftValue, TRIM(LEFT(Tasks[[#This Row],[Description]], 45)),
IF(LEN(_xlpm.leftValue) &lt; 40, _xlpm.leftValue, _xlfn.CONCAT(_xlpm.leftValue, "…"))
)</f>
        <v>#VALUE!</v>
      </c>
      <c r="E770" s="15" t="e" cm="1">
        <f t="array" ref="E770">_xlfn.LET(
_xlpm.inTower, COUNTIF(Tower_Num_Table[Tower Rm Numbers], LEFT(Task_Summary_Table[[#This Row],[Area/Room]], 3)) &gt; 0,
_xlpm.typeResult, _xlfn.SWITCH(LEFT(Tasks[[#This Row],[Page]], 2), "Hi", "Historic", "An", "Annex", "Si", "Site", "S5", "Project Task", "SWITCH ERROR"),
IF(_xlpm.inTower, "West Tower", _xlpm.typeResult)
)</f>
        <v>#VALUE!</v>
      </c>
      <c r="F770" s="15" t="str">
        <f>IFERROR(MID(Tasks[[#This Row],[Page]], FIND("Level", Tasks[[#This Row],[Page]]), 7), IF(ISNUMBER(FIND("Roof", Tasks[[#This Row],[Page]])), "Roof",  IF(ISNUMBER(FIND("S590", Tasks[[#This Row],[Page]])), "",  IF(ISNUMBER(FIND("Site", Tasks[[#This Row],[Page]])), "", "ERROR"))))</f>
        <v>ERROR</v>
      </c>
      <c r="G770" s="15" t="e">
        <f>IF(Tasks[[#This Row],[Location]]=0, "", Tasks[[#This Row],[Location]])</f>
        <v>#VALUE!</v>
      </c>
      <c r="H770" s="15" t="e">
        <f>Tasks[[#This Row],[To Package]]</f>
        <v>#VALUE!</v>
      </c>
      <c r="I770" s="15" t="e">
        <f>Tasks[[#This Row],[To Organisation]]</f>
        <v>#VALUE!</v>
      </c>
    </row>
    <row r="771" spans="1:9" ht="15.5" x14ac:dyDescent="0.35">
      <c r="A771" s="16" t="e">
        <f>HYPERLINK(_xlfn.CONCAT(Edit_URL,Tasks[[#This Row],[Ref]]),Tasks[[#This Row],[Ref]])</f>
        <v>#VALUE!</v>
      </c>
      <c r="B771" s="15" t="e" cm="1">
        <f t="array" ref="B771">_xlfn.SWITCH(LEFT(Tasks[[#This Row],[Status]],1),"O","Opened","C","Completed","S","Signed Off", "V", "Signed Off","ERROR")</f>
        <v>#VALUE!</v>
      </c>
      <c r="C771" s="15" t="e" cm="1">
        <f t="array" ref="C771">_xlfn.SWITCH(LEFT(Tasks[[#This Row],[Type]], 3), "Fie", "Field Report", "Con", "Contractor QC", "Gen", "Contractor QC", "Pun", "Contractor QC", "Qua", "Contractor QC", "Fin", "Punch List")</f>
        <v>#VALUE!</v>
      </c>
      <c r="D771" s="15" t="e">
        <f>_xlfn.LET(
_xlpm.leftValue, TRIM(LEFT(Tasks[[#This Row],[Description]], 45)),
IF(LEN(_xlpm.leftValue) &lt; 40, _xlpm.leftValue, _xlfn.CONCAT(_xlpm.leftValue, "…"))
)</f>
        <v>#VALUE!</v>
      </c>
      <c r="E771" s="15" t="e" cm="1">
        <f t="array" ref="E771">_xlfn.LET(
_xlpm.inTower, COUNTIF(Tower_Num_Table[Tower Rm Numbers], LEFT(Task_Summary_Table[[#This Row],[Area/Room]], 3)) &gt; 0,
_xlpm.typeResult, _xlfn.SWITCH(LEFT(Tasks[[#This Row],[Page]], 2), "Hi", "Historic", "An", "Annex", "Si", "Site", "S5", "Project Task", "SWITCH ERROR"),
IF(_xlpm.inTower, "West Tower", _xlpm.typeResult)
)</f>
        <v>#VALUE!</v>
      </c>
      <c r="F771" s="15" t="str">
        <f>IFERROR(MID(Tasks[[#This Row],[Page]], FIND("Level", Tasks[[#This Row],[Page]]), 7), IF(ISNUMBER(FIND("Roof", Tasks[[#This Row],[Page]])), "Roof",  IF(ISNUMBER(FIND("S590", Tasks[[#This Row],[Page]])), "",  IF(ISNUMBER(FIND("Site", Tasks[[#This Row],[Page]])), "", "ERROR"))))</f>
        <v>ERROR</v>
      </c>
      <c r="G771" s="15" t="e">
        <f>IF(Tasks[[#This Row],[Location]]=0, "", Tasks[[#This Row],[Location]])</f>
        <v>#VALUE!</v>
      </c>
      <c r="H771" s="15" t="e">
        <f>Tasks[[#This Row],[To Package]]</f>
        <v>#VALUE!</v>
      </c>
      <c r="I771" s="15" t="e">
        <f>Tasks[[#This Row],[To Organisation]]</f>
        <v>#VALUE!</v>
      </c>
    </row>
    <row r="772" spans="1:9" ht="15.5" x14ac:dyDescent="0.35">
      <c r="A772" s="16" t="e">
        <f>HYPERLINK(_xlfn.CONCAT(Edit_URL,Tasks[[#This Row],[Ref]]),Tasks[[#This Row],[Ref]])</f>
        <v>#VALUE!</v>
      </c>
      <c r="B772" s="15" t="e" cm="1">
        <f t="array" ref="B772">_xlfn.SWITCH(LEFT(Tasks[[#This Row],[Status]],1),"O","Opened","C","Completed","S","Signed Off", "V", "Signed Off","ERROR")</f>
        <v>#VALUE!</v>
      </c>
      <c r="C772" s="15" t="e" cm="1">
        <f t="array" ref="C772">_xlfn.SWITCH(LEFT(Tasks[[#This Row],[Type]], 3), "Fie", "Field Report", "Con", "Contractor QC", "Gen", "Contractor QC", "Pun", "Contractor QC", "Qua", "Contractor QC", "Fin", "Punch List")</f>
        <v>#VALUE!</v>
      </c>
      <c r="D772" s="15" t="e">
        <f>_xlfn.LET(
_xlpm.leftValue, TRIM(LEFT(Tasks[[#This Row],[Description]], 45)),
IF(LEN(_xlpm.leftValue) &lt; 40, _xlpm.leftValue, _xlfn.CONCAT(_xlpm.leftValue, "…"))
)</f>
        <v>#VALUE!</v>
      </c>
      <c r="E772" s="15" t="e" cm="1">
        <f t="array" ref="E772">_xlfn.LET(
_xlpm.inTower, COUNTIF(Tower_Num_Table[Tower Rm Numbers], LEFT(Task_Summary_Table[[#This Row],[Area/Room]], 3)) &gt; 0,
_xlpm.typeResult, _xlfn.SWITCH(LEFT(Tasks[[#This Row],[Page]], 2), "Hi", "Historic", "An", "Annex", "Si", "Site", "S5", "Project Task", "SWITCH ERROR"),
IF(_xlpm.inTower, "West Tower", _xlpm.typeResult)
)</f>
        <v>#VALUE!</v>
      </c>
      <c r="F772" s="15" t="str">
        <f>IFERROR(MID(Tasks[[#This Row],[Page]], FIND("Level", Tasks[[#This Row],[Page]]), 7), IF(ISNUMBER(FIND("Roof", Tasks[[#This Row],[Page]])), "Roof",  IF(ISNUMBER(FIND("S590", Tasks[[#This Row],[Page]])), "",  IF(ISNUMBER(FIND("Site", Tasks[[#This Row],[Page]])), "", "ERROR"))))</f>
        <v>ERROR</v>
      </c>
      <c r="G772" s="15" t="e">
        <f>IF(Tasks[[#This Row],[Location]]=0, "", Tasks[[#This Row],[Location]])</f>
        <v>#VALUE!</v>
      </c>
      <c r="H772" s="15" t="e">
        <f>Tasks[[#This Row],[To Package]]</f>
        <v>#VALUE!</v>
      </c>
      <c r="I772" s="15" t="e">
        <f>Tasks[[#This Row],[To Organisation]]</f>
        <v>#VALUE!</v>
      </c>
    </row>
    <row r="773" spans="1:9" ht="15.5" x14ac:dyDescent="0.35">
      <c r="A773" s="16" t="e">
        <f>HYPERLINK(_xlfn.CONCAT(Edit_URL,Tasks[[#This Row],[Ref]]),Tasks[[#This Row],[Ref]])</f>
        <v>#VALUE!</v>
      </c>
      <c r="B773" s="15" t="e" cm="1">
        <f t="array" ref="B773">_xlfn.SWITCH(LEFT(Tasks[[#This Row],[Status]],1),"O","Opened","C","Completed","S","Signed Off", "V", "Signed Off","ERROR")</f>
        <v>#VALUE!</v>
      </c>
      <c r="C773" s="15" t="e" cm="1">
        <f t="array" ref="C773">_xlfn.SWITCH(LEFT(Tasks[[#This Row],[Type]], 3), "Fie", "Field Report", "Con", "Contractor QC", "Gen", "Contractor QC", "Pun", "Contractor QC", "Qua", "Contractor QC", "Fin", "Punch List")</f>
        <v>#VALUE!</v>
      </c>
      <c r="D773" s="15" t="e">
        <f>_xlfn.LET(
_xlpm.leftValue, TRIM(LEFT(Tasks[[#This Row],[Description]], 45)),
IF(LEN(_xlpm.leftValue) &lt; 40, _xlpm.leftValue, _xlfn.CONCAT(_xlpm.leftValue, "…"))
)</f>
        <v>#VALUE!</v>
      </c>
      <c r="E773" s="15" t="e" cm="1">
        <f t="array" ref="E773">_xlfn.LET(
_xlpm.inTower, COUNTIF(Tower_Num_Table[Tower Rm Numbers], LEFT(Task_Summary_Table[[#This Row],[Area/Room]], 3)) &gt; 0,
_xlpm.typeResult, _xlfn.SWITCH(LEFT(Tasks[[#This Row],[Page]], 2), "Hi", "Historic", "An", "Annex", "Si", "Site", "S5", "Project Task", "SWITCH ERROR"),
IF(_xlpm.inTower, "West Tower", _xlpm.typeResult)
)</f>
        <v>#VALUE!</v>
      </c>
      <c r="F773" s="15" t="str">
        <f>IFERROR(MID(Tasks[[#This Row],[Page]], FIND("Level", Tasks[[#This Row],[Page]]), 7), IF(ISNUMBER(FIND("Roof", Tasks[[#This Row],[Page]])), "Roof",  IF(ISNUMBER(FIND("S590", Tasks[[#This Row],[Page]])), "",  IF(ISNUMBER(FIND("Site", Tasks[[#This Row],[Page]])), "", "ERROR"))))</f>
        <v>ERROR</v>
      </c>
      <c r="G773" s="15" t="e">
        <f>IF(Tasks[[#This Row],[Location]]=0, "", Tasks[[#This Row],[Location]])</f>
        <v>#VALUE!</v>
      </c>
      <c r="H773" s="15" t="e">
        <f>Tasks[[#This Row],[To Package]]</f>
        <v>#VALUE!</v>
      </c>
      <c r="I773" s="15" t="e">
        <f>Tasks[[#This Row],[To Organisation]]</f>
        <v>#VALUE!</v>
      </c>
    </row>
    <row r="774" spans="1:9" ht="15.5" x14ac:dyDescent="0.35">
      <c r="A774" s="16" t="e">
        <f>HYPERLINK(_xlfn.CONCAT(Edit_URL,Tasks[[#This Row],[Ref]]),Tasks[[#This Row],[Ref]])</f>
        <v>#VALUE!</v>
      </c>
      <c r="B774" s="15" t="e" cm="1">
        <f t="array" ref="B774">_xlfn.SWITCH(LEFT(Tasks[[#This Row],[Status]],1),"O","Opened","C","Completed","S","Signed Off", "V", "Signed Off","ERROR")</f>
        <v>#VALUE!</v>
      </c>
      <c r="C774" s="15" t="e" cm="1">
        <f t="array" ref="C774">_xlfn.SWITCH(LEFT(Tasks[[#This Row],[Type]], 3), "Fie", "Field Report", "Con", "Contractor QC", "Gen", "Contractor QC", "Pun", "Contractor QC", "Qua", "Contractor QC", "Fin", "Punch List")</f>
        <v>#VALUE!</v>
      </c>
      <c r="D774" s="15" t="e">
        <f>_xlfn.LET(
_xlpm.leftValue, TRIM(LEFT(Tasks[[#This Row],[Description]], 45)),
IF(LEN(_xlpm.leftValue) &lt; 40, _xlpm.leftValue, _xlfn.CONCAT(_xlpm.leftValue, "…"))
)</f>
        <v>#VALUE!</v>
      </c>
      <c r="E774" s="15" t="e" cm="1">
        <f t="array" ref="E774">_xlfn.LET(
_xlpm.inTower, COUNTIF(Tower_Num_Table[Tower Rm Numbers], LEFT(Task_Summary_Table[[#This Row],[Area/Room]], 3)) &gt; 0,
_xlpm.typeResult, _xlfn.SWITCH(LEFT(Tasks[[#This Row],[Page]], 2), "Hi", "Historic", "An", "Annex", "Si", "Site", "S5", "Project Task", "SWITCH ERROR"),
IF(_xlpm.inTower, "West Tower", _xlpm.typeResult)
)</f>
        <v>#VALUE!</v>
      </c>
      <c r="F774" s="15" t="str">
        <f>IFERROR(MID(Tasks[[#This Row],[Page]], FIND("Level", Tasks[[#This Row],[Page]]), 7), IF(ISNUMBER(FIND("Roof", Tasks[[#This Row],[Page]])), "Roof",  IF(ISNUMBER(FIND("S590", Tasks[[#This Row],[Page]])), "",  IF(ISNUMBER(FIND("Site", Tasks[[#This Row],[Page]])), "", "ERROR"))))</f>
        <v>ERROR</v>
      </c>
      <c r="G774" s="15" t="e">
        <f>IF(Tasks[[#This Row],[Location]]=0, "", Tasks[[#This Row],[Location]])</f>
        <v>#VALUE!</v>
      </c>
      <c r="H774" s="15" t="e">
        <f>Tasks[[#This Row],[To Package]]</f>
        <v>#VALUE!</v>
      </c>
      <c r="I774" s="15" t="e">
        <f>Tasks[[#This Row],[To Organisation]]</f>
        <v>#VALUE!</v>
      </c>
    </row>
    <row r="775" spans="1:9" ht="15.5" x14ac:dyDescent="0.35">
      <c r="A775" s="16" t="e">
        <f>HYPERLINK(_xlfn.CONCAT(Edit_URL,Tasks[[#This Row],[Ref]]),Tasks[[#This Row],[Ref]])</f>
        <v>#VALUE!</v>
      </c>
      <c r="B775" s="15" t="e" cm="1">
        <f t="array" ref="B775">_xlfn.SWITCH(LEFT(Tasks[[#This Row],[Status]],1),"O","Opened","C","Completed","S","Signed Off", "V", "Signed Off","ERROR")</f>
        <v>#VALUE!</v>
      </c>
      <c r="C775" s="15" t="e" cm="1">
        <f t="array" ref="C775">_xlfn.SWITCH(LEFT(Tasks[[#This Row],[Type]], 3), "Fie", "Field Report", "Con", "Contractor QC", "Gen", "Contractor QC", "Pun", "Contractor QC", "Qua", "Contractor QC", "Fin", "Punch List")</f>
        <v>#VALUE!</v>
      </c>
      <c r="D775" s="15" t="e">
        <f>_xlfn.LET(
_xlpm.leftValue, TRIM(LEFT(Tasks[[#This Row],[Description]], 45)),
IF(LEN(_xlpm.leftValue) &lt; 40, _xlpm.leftValue, _xlfn.CONCAT(_xlpm.leftValue, "…"))
)</f>
        <v>#VALUE!</v>
      </c>
      <c r="E775" s="15" t="e" cm="1">
        <f t="array" ref="E775">_xlfn.LET(
_xlpm.inTower, COUNTIF(Tower_Num_Table[Tower Rm Numbers], LEFT(Task_Summary_Table[[#This Row],[Area/Room]], 3)) &gt; 0,
_xlpm.typeResult, _xlfn.SWITCH(LEFT(Tasks[[#This Row],[Page]], 2), "Hi", "Historic", "An", "Annex", "Si", "Site", "S5", "Project Task", "SWITCH ERROR"),
IF(_xlpm.inTower, "West Tower", _xlpm.typeResult)
)</f>
        <v>#VALUE!</v>
      </c>
      <c r="F775" s="15" t="str">
        <f>IFERROR(MID(Tasks[[#This Row],[Page]], FIND("Level", Tasks[[#This Row],[Page]]), 7), IF(ISNUMBER(FIND("Roof", Tasks[[#This Row],[Page]])), "Roof",  IF(ISNUMBER(FIND("S590", Tasks[[#This Row],[Page]])), "",  IF(ISNUMBER(FIND("Site", Tasks[[#This Row],[Page]])), "", "ERROR"))))</f>
        <v>ERROR</v>
      </c>
      <c r="G775" s="15" t="e">
        <f>IF(Tasks[[#This Row],[Location]]=0, "", Tasks[[#This Row],[Location]])</f>
        <v>#VALUE!</v>
      </c>
      <c r="H775" s="15" t="e">
        <f>Tasks[[#This Row],[To Package]]</f>
        <v>#VALUE!</v>
      </c>
      <c r="I775" s="15" t="e">
        <f>Tasks[[#This Row],[To Organisation]]</f>
        <v>#VALUE!</v>
      </c>
    </row>
    <row r="776" spans="1:9" ht="15.5" x14ac:dyDescent="0.35">
      <c r="A776" s="16" t="e">
        <f>HYPERLINK(_xlfn.CONCAT(Edit_URL,Tasks[[#This Row],[Ref]]),Tasks[[#This Row],[Ref]])</f>
        <v>#VALUE!</v>
      </c>
      <c r="B776" s="15" t="e" cm="1">
        <f t="array" ref="B776">_xlfn.SWITCH(LEFT(Tasks[[#This Row],[Status]],1),"O","Opened","C","Completed","S","Signed Off", "V", "Signed Off","ERROR")</f>
        <v>#VALUE!</v>
      </c>
      <c r="C776" s="15" t="e" cm="1">
        <f t="array" ref="C776">_xlfn.SWITCH(LEFT(Tasks[[#This Row],[Type]], 3), "Fie", "Field Report", "Con", "Contractor QC", "Gen", "Contractor QC", "Pun", "Contractor QC", "Qua", "Contractor QC", "Fin", "Punch List")</f>
        <v>#VALUE!</v>
      </c>
      <c r="D776" s="15" t="e">
        <f>_xlfn.LET(
_xlpm.leftValue, TRIM(LEFT(Tasks[[#This Row],[Description]], 45)),
IF(LEN(_xlpm.leftValue) &lt; 40, _xlpm.leftValue, _xlfn.CONCAT(_xlpm.leftValue, "…"))
)</f>
        <v>#VALUE!</v>
      </c>
      <c r="E776" s="15" t="e" cm="1">
        <f t="array" ref="E776">_xlfn.LET(
_xlpm.inTower, COUNTIF(Tower_Num_Table[Tower Rm Numbers], LEFT(Task_Summary_Table[[#This Row],[Area/Room]], 3)) &gt; 0,
_xlpm.typeResult, _xlfn.SWITCH(LEFT(Tasks[[#This Row],[Page]], 2), "Hi", "Historic", "An", "Annex", "Si", "Site", "S5", "Project Task", "SWITCH ERROR"),
IF(_xlpm.inTower, "West Tower", _xlpm.typeResult)
)</f>
        <v>#VALUE!</v>
      </c>
      <c r="F776" s="15" t="str">
        <f>IFERROR(MID(Tasks[[#This Row],[Page]], FIND("Level", Tasks[[#This Row],[Page]]), 7), IF(ISNUMBER(FIND("Roof", Tasks[[#This Row],[Page]])), "Roof",  IF(ISNUMBER(FIND("S590", Tasks[[#This Row],[Page]])), "",  IF(ISNUMBER(FIND("Site", Tasks[[#This Row],[Page]])), "", "ERROR"))))</f>
        <v>ERROR</v>
      </c>
      <c r="G776" s="15" t="e">
        <f>IF(Tasks[[#This Row],[Location]]=0, "", Tasks[[#This Row],[Location]])</f>
        <v>#VALUE!</v>
      </c>
      <c r="H776" s="15" t="e">
        <f>Tasks[[#This Row],[To Package]]</f>
        <v>#VALUE!</v>
      </c>
      <c r="I776" s="15" t="e">
        <f>Tasks[[#This Row],[To Organisation]]</f>
        <v>#VALUE!</v>
      </c>
    </row>
    <row r="777" spans="1:9" ht="15.5" x14ac:dyDescent="0.35">
      <c r="A777" s="16" t="e">
        <f>HYPERLINK(_xlfn.CONCAT(Edit_URL,Tasks[[#This Row],[Ref]]),Tasks[[#This Row],[Ref]])</f>
        <v>#VALUE!</v>
      </c>
      <c r="B777" s="15" t="e" cm="1">
        <f t="array" ref="B777">_xlfn.SWITCH(LEFT(Tasks[[#This Row],[Status]],1),"O","Opened","C","Completed","S","Signed Off", "V", "Signed Off","ERROR")</f>
        <v>#VALUE!</v>
      </c>
      <c r="C777" s="15" t="e" cm="1">
        <f t="array" ref="C777">_xlfn.SWITCH(LEFT(Tasks[[#This Row],[Type]], 3), "Fie", "Field Report", "Con", "Contractor QC", "Gen", "Contractor QC", "Pun", "Contractor QC", "Qua", "Contractor QC", "Fin", "Punch List")</f>
        <v>#VALUE!</v>
      </c>
      <c r="D777" s="15" t="e">
        <f>_xlfn.LET(
_xlpm.leftValue, TRIM(LEFT(Tasks[[#This Row],[Description]], 45)),
IF(LEN(_xlpm.leftValue) &lt; 40, _xlpm.leftValue, _xlfn.CONCAT(_xlpm.leftValue, "…"))
)</f>
        <v>#VALUE!</v>
      </c>
      <c r="E777" s="15" t="e" cm="1">
        <f t="array" ref="E777">_xlfn.LET(
_xlpm.inTower, COUNTIF(Tower_Num_Table[Tower Rm Numbers], LEFT(Task_Summary_Table[[#This Row],[Area/Room]], 3)) &gt; 0,
_xlpm.typeResult, _xlfn.SWITCH(LEFT(Tasks[[#This Row],[Page]], 2), "Hi", "Historic", "An", "Annex", "Si", "Site", "S5", "Project Task", "SWITCH ERROR"),
IF(_xlpm.inTower, "West Tower", _xlpm.typeResult)
)</f>
        <v>#VALUE!</v>
      </c>
      <c r="F777" s="15" t="str">
        <f>IFERROR(MID(Tasks[[#This Row],[Page]], FIND("Level", Tasks[[#This Row],[Page]]), 7), IF(ISNUMBER(FIND("Roof", Tasks[[#This Row],[Page]])), "Roof",  IF(ISNUMBER(FIND("S590", Tasks[[#This Row],[Page]])), "",  IF(ISNUMBER(FIND("Site", Tasks[[#This Row],[Page]])), "", "ERROR"))))</f>
        <v>ERROR</v>
      </c>
      <c r="G777" s="15" t="e">
        <f>IF(Tasks[[#This Row],[Location]]=0, "", Tasks[[#This Row],[Location]])</f>
        <v>#VALUE!</v>
      </c>
      <c r="H777" s="15" t="e">
        <f>Tasks[[#This Row],[To Package]]</f>
        <v>#VALUE!</v>
      </c>
      <c r="I777" s="15" t="e">
        <f>Tasks[[#This Row],[To Organisation]]</f>
        <v>#VALUE!</v>
      </c>
    </row>
    <row r="778" spans="1:9" ht="15.5" x14ac:dyDescent="0.35">
      <c r="A778" s="16" t="e">
        <f>HYPERLINK(_xlfn.CONCAT(Edit_URL,Tasks[[#This Row],[Ref]]),Tasks[[#This Row],[Ref]])</f>
        <v>#VALUE!</v>
      </c>
      <c r="B778" s="15" t="e" cm="1">
        <f t="array" ref="B778">_xlfn.SWITCH(LEFT(Tasks[[#This Row],[Status]],1),"O","Opened","C","Completed","S","Signed Off", "V", "Signed Off","ERROR")</f>
        <v>#VALUE!</v>
      </c>
      <c r="C778" s="15" t="e" cm="1">
        <f t="array" ref="C778">_xlfn.SWITCH(LEFT(Tasks[[#This Row],[Type]], 3), "Fie", "Field Report", "Con", "Contractor QC", "Gen", "Contractor QC", "Pun", "Contractor QC", "Qua", "Contractor QC", "Fin", "Punch List")</f>
        <v>#VALUE!</v>
      </c>
      <c r="D778" s="15" t="e">
        <f>_xlfn.LET(
_xlpm.leftValue, TRIM(LEFT(Tasks[[#This Row],[Description]], 45)),
IF(LEN(_xlpm.leftValue) &lt; 40, _xlpm.leftValue, _xlfn.CONCAT(_xlpm.leftValue, "…"))
)</f>
        <v>#VALUE!</v>
      </c>
      <c r="E778" s="15" t="e" cm="1">
        <f t="array" ref="E778">_xlfn.LET(
_xlpm.inTower, COUNTIF(Tower_Num_Table[Tower Rm Numbers], LEFT(Task_Summary_Table[[#This Row],[Area/Room]], 3)) &gt; 0,
_xlpm.typeResult, _xlfn.SWITCH(LEFT(Tasks[[#This Row],[Page]], 2), "Hi", "Historic", "An", "Annex", "Si", "Site", "S5", "Project Task", "SWITCH ERROR"),
IF(_xlpm.inTower, "West Tower", _xlpm.typeResult)
)</f>
        <v>#VALUE!</v>
      </c>
      <c r="F778" s="15" t="str">
        <f>IFERROR(MID(Tasks[[#This Row],[Page]], FIND("Level", Tasks[[#This Row],[Page]]), 7), IF(ISNUMBER(FIND("Roof", Tasks[[#This Row],[Page]])), "Roof",  IF(ISNUMBER(FIND("S590", Tasks[[#This Row],[Page]])), "",  IF(ISNUMBER(FIND("Site", Tasks[[#This Row],[Page]])), "", "ERROR"))))</f>
        <v>ERROR</v>
      </c>
      <c r="G778" s="15" t="e">
        <f>IF(Tasks[[#This Row],[Location]]=0, "", Tasks[[#This Row],[Location]])</f>
        <v>#VALUE!</v>
      </c>
      <c r="H778" s="15" t="e">
        <f>Tasks[[#This Row],[To Package]]</f>
        <v>#VALUE!</v>
      </c>
      <c r="I778" s="15" t="e">
        <f>Tasks[[#This Row],[To Organisation]]</f>
        <v>#VALUE!</v>
      </c>
    </row>
    <row r="779" spans="1:9" ht="15.5" x14ac:dyDescent="0.35">
      <c r="A779" s="16" t="e">
        <f>HYPERLINK(_xlfn.CONCAT(Edit_URL,Tasks[[#This Row],[Ref]]),Tasks[[#This Row],[Ref]])</f>
        <v>#VALUE!</v>
      </c>
      <c r="B779" s="15" t="e" cm="1">
        <f t="array" ref="B779">_xlfn.SWITCH(LEFT(Tasks[[#This Row],[Status]],1),"O","Opened","C","Completed","S","Signed Off", "V", "Signed Off","ERROR")</f>
        <v>#VALUE!</v>
      </c>
      <c r="C779" s="15" t="e" cm="1">
        <f t="array" ref="C779">_xlfn.SWITCH(LEFT(Tasks[[#This Row],[Type]], 3), "Fie", "Field Report", "Con", "Contractor QC", "Gen", "Contractor QC", "Pun", "Contractor QC", "Qua", "Contractor QC", "Fin", "Punch List")</f>
        <v>#VALUE!</v>
      </c>
      <c r="D779" s="15" t="e">
        <f>_xlfn.LET(
_xlpm.leftValue, TRIM(LEFT(Tasks[[#This Row],[Description]], 45)),
IF(LEN(_xlpm.leftValue) &lt; 40, _xlpm.leftValue, _xlfn.CONCAT(_xlpm.leftValue, "…"))
)</f>
        <v>#VALUE!</v>
      </c>
      <c r="E779" s="15" t="e" cm="1">
        <f t="array" ref="E779">_xlfn.LET(
_xlpm.inTower, COUNTIF(Tower_Num_Table[Tower Rm Numbers], LEFT(Task_Summary_Table[[#This Row],[Area/Room]], 3)) &gt; 0,
_xlpm.typeResult, _xlfn.SWITCH(LEFT(Tasks[[#This Row],[Page]], 2), "Hi", "Historic", "An", "Annex", "Si", "Site", "S5", "Project Task", "SWITCH ERROR"),
IF(_xlpm.inTower, "West Tower", _xlpm.typeResult)
)</f>
        <v>#VALUE!</v>
      </c>
      <c r="F779" s="15" t="str">
        <f>IFERROR(MID(Tasks[[#This Row],[Page]], FIND("Level", Tasks[[#This Row],[Page]]), 7), IF(ISNUMBER(FIND("Roof", Tasks[[#This Row],[Page]])), "Roof",  IF(ISNUMBER(FIND("S590", Tasks[[#This Row],[Page]])), "",  IF(ISNUMBER(FIND("Site", Tasks[[#This Row],[Page]])), "", "ERROR"))))</f>
        <v>ERROR</v>
      </c>
      <c r="G779" s="15" t="e">
        <f>IF(Tasks[[#This Row],[Location]]=0, "", Tasks[[#This Row],[Location]])</f>
        <v>#VALUE!</v>
      </c>
      <c r="H779" s="15" t="e">
        <f>Tasks[[#This Row],[To Package]]</f>
        <v>#VALUE!</v>
      </c>
      <c r="I779" s="15" t="e">
        <f>Tasks[[#This Row],[To Organisation]]</f>
        <v>#VALUE!</v>
      </c>
    </row>
    <row r="780" spans="1:9" ht="15.5" x14ac:dyDescent="0.35">
      <c r="A780" s="16" t="e">
        <f>HYPERLINK(_xlfn.CONCAT(Edit_URL,Tasks[[#This Row],[Ref]]),Tasks[[#This Row],[Ref]])</f>
        <v>#VALUE!</v>
      </c>
      <c r="B780" s="15" t="e" cm="1">
        <f t="array" ref="B780">_xlfn.SWITCH(LEFT(Tasks[[#This Row],[Status]],1),"O","Opened","C","Completed","S","Signed Off", "V", "Signed Off","ERROR")</f>
        <v>#VALUE!</v>
      </c>
      <c r="C780" s="15" t="e" cm="1">
        <f t="array" ref="C780">_xlfn.SWITCH(LEFT(Tasks[[#This Row],[Type]], 3), "Fie", "Field Report", "Con", "Contractor QC", "Gen", "Contractor QC", "Pun", "Contractor QC", "Qua", "Contractor QC", "Fin", "Punch List")</f>
        <v>#VALUE!</v>
      </c>
      <c r="D780" s="15" t="e">
        <f>_xlfn.LET(
_xlpm.leftValue, TRIM(LEFT(Tasks[[#This Row],[Description]], 45)),
IF(LEN(_xlpm.leftValue) &lt; 40, _xlpm.leftValue, _xlfn.CONCAT(_xlpm.leftValue, "…"))
)</f>
        <v>#VALUE!</v>
      </c>
      <c r="E780" s="15" t="e" cm="1">
        <f t="array" ref="E780">_xlfn.LET(
_xlpm.inTower, COUNTIF(Tower_Num_Table[Tower Rm Numbers], LEFT(Task_Summary_Table[[#This Row],[Area/Room]], 3)) &gt; 0,
_xlpm.typeResult, _xlfn.SWITCH(LEFT(Tasks[[#This Row],[Page]], 2), "Hi", "Historic", "An", "Annex", "Si", "Site", "S5", "Project Task", "SWITCH ERROR"),
IF(_xlpm.inTower, "West Tower", _xlpm.typeResult)
)</f>
        <v>#VALUE!</v>
      </c>
      <c r="F780" s="15" t="str">
        <f>IFERROR(MID(Tasks[[#This Row],[Page]], FIND("Level", Tasks[[#This Row],[Page]]), 7), IF(ISNUMBER(FIND("Roof", Tasks[[#This Row],[Page]])), "Roof",  IF(ISNUMBER(FIND("S590", Tasks[[#This Row],[Page]])), "",  IF(ISNUMBER(FIND("Site", Tasks[[#This Row],[Page]])), "", "ERROR"))))</f>
        <v>ERROR</v>
      </c>
      <c r="G780" s="15" t="e">
        <f>IF(Tasks[[#This Row],[Location]]=0, "", Tasks[[#This Row],[Location]])</f>
        <v>#VALUE!</v>
      </c>
      <c r="H780" s="15" t="e">
        <f>Tasks[[#This Row],[To Package]]</f>
        <v>#VALUE!</v>
      </c>
      <c r="I780" s="15" t="e">
        <f>Tasks[[#This Row],[To Organisation]]</f>
        <v>#VALUE!</v>
      </c>
    </row>
    <row r="781" spans="1:9" ht="15.5" x14ac:dyDescent="0.35">
      <c r="A781" s="16" t="e">
        <f>HYPERLINK(_xlfn.CONCAT(Edit_URL,Tasks[[#This Row],[Ref]]),Tasks[[#This Row],[Ref]])</f>
        <v>#VALUE!</v>
      </c>
      <c r="B781" s="15" t="e" cm="1">
        <f t="array" ref="B781">_xlfn.SWITCH(LEFT(Tasks[[#This Row],[Status]],1),"O","Opened","C","Completed","S","Signed Off", "V", "Signed Off","ERROR")</f>
        <v>#VALUE!</v>
      </c>
      <c r="C781" s="15" t="e" cm="1">
        <f t="array" ref="C781">_xlfn.SWITCH(LEFT(Tasks[[#This Row],[Type]], 3), "Fie", "Field Report", "Con", "Contractor QC", "Gen", "Contractor QC", "Pun", "Contractor QC", "Qua", "Contractor QC", "Fin", "Punch List")</f>
        <v>#VALUE!</v>
      </c>
      <c r="D781" s="15" t="e">
        <f>_xlfn.LET(
_xlpm.leftValue, TRIM(LEFT(Tasks[[#This Row],[Description]], 45)),
IF(LEN(_xlpm.leftValue) &lt; 40, _xlpm.leftValue, _xlfn.CONCAT(_xlpm.leftValue, "…"))
)</f>
        <v>#VALUE!</v>
      </c>
      <c r="E781" s="15" t="e" cm="1">
        <f t="array" ref="E781">_xlfn.LET(
_xlpm.inTower, COUNTIF(Tower_Num_Table[Tower Rm Numbers], LEFT(Task_Summary_Table[[#This Row],[Area/Room]], 3)) &gt; 0,
_xlpm.typeResult, _xlfn.SWITCH(LEFT(Tasks[[#This Row],[Page]], 2), "Hi", "Historic", "An", "Annex", "Si", "Site", "S5", "Project Task", "SWITCH ERROR"),
IF(_xlpm.inTower, "West Tower", _xlpm.typeResult)
)</f>
        <v>#VALUE!</v>
      </c>
      <c r="F781" s="15" t="str">
        <f>IFERROR(MID(Tasks[[#This Row],[Page]], FIND("Level", Tasks[[#This Row],[Page]]), 7), IF(ISNUMBER(FIND("Roof", Tasks[[#This Row],[Page]])), "Roof",  IF(ISNUMBER(FIND("S590", Tasks[[#This Row],[Page]])), "",  IF(ISNUMBER(FIND("Site", Tasks[[#This Row],[Page]])), "", "ERROR"))))</f>
        <v>ERROR</v>
      </c>
      <c r="G781" s="15" t="e">
        <f>IF(Tasks[[#This Row],[Location]]=0, "", Tasks[[#This Row],[Location]])</f>
        <v>#VALUE!</v>
      </c>
      <c r="H781" s="15" t="e">
        <f>Tasks[[#This Row],[To Package]]</f>
        <v>#VALUE!</v>
      </c>
      <c r="I781" s="15" t="e">
        <f>Tasks[[#This Row],[To Organisation]]</f>
        <v>#VALUE!</v>
      </c>
    </row>
    <row r="782" spans="1:9" ht="15.5" x14ac:dyDescent="0.35">
      <c r="A782" s="16" t="e">
        <f>HYPERLINK(_xlfn.CONCAT(Edit_URL,Tasks[[#This Row],[Ref]]),Tasks[[#This Row],[Ref]])</f>
        <v>#VALUE!</v>
      </c>
      <c r="B782" s="15" t="e" cm="1">
        <f t="array" ref="B782">_xlfn.SWITCH(LEFT(Tasks[[#This Row],[Status]],1),"O","Opened","C","Completed","S","Signed Off", "V", "Signed Off","ERROR")</f>
        <v>#VALUE!</v>
      </c>
      <c r="C782" s="15" t="e" cm="1">
        <f t="array" ref="C782">_xlfn.SWITCH(LEFT(Tasks[[#This Row],[Type]], 3), "Fie", "Field Report", "Con", "Contractor QC", "Gen", "Contractor QC", "Pun", "Contractor QC", "Qua", "Contractor QC", "Fin", "Punch List")</f>
        <v>#VALUE!</v>
      </c>
      <c r="D782" s="15" t="e">
        <f>_xlfn.LET(
_xlpm.leftValue, TRIM(LEFT(Tasks[[#This Row],[Description]], 45)),
IF(LEN(_xlpm.leftValue) &lt; 40, _xlpm.leftValue, _xlfn.CONCAT(_xlpm.leftValue, "…"))
)</f>
        <v>#VALUE!</v>
      </c>
      <c r="E782" s="15" t="e" cm="1">
        <f t="array" ref="E782">_xlfn.LET(
_xlpm.inTower, COUNTIF(Tower_Num_Table[Tower Rm Numbers], LEFT(Task_Summary_Table[[#This Row],[Area/Room]], 3)) &gt; 0,
_xlpm.typeResult, _xlfn.SWITCH(LEFT(Tasks[[#This Row],[Page]], 2), "Hi", "Historic", "An", "Annex", "Si", "Site", "S5", "Project Task", "SWITCH ERROR"),
IF(_xlpm.inTower, "West Tower", _xlpm.typeResult)
)</f>
        <v>#VALUE!</v>
      </c>
      <c r="F782" s="15" t="str">
        <f>IFERROR(MID(Tasks[[#This Row],[Page]], FIND("Level", Tasks[[#This Row],[Page]]), 7), IF(ISNUMBER(FIND("Roof", Tasks[[#This Row],[Page]])), "Roof",  IF(ISNUMBER(FIND("S590", Tasks[[#This Row],[Page]])), "",  IF(ISNUMBER(FIND("Site", Tasks[[#This Row],[Page]])), "", "ERROR"))))</f>
        <v>ERROR</v>
      </c>
      <c r="G782" s="15" t="e">
        <f>IF(Tasks[[#This Row],[Location]]=0, "", Tasks[[#This Row],[Location]])</f>
        <v>#VALUE!</v>
      </c>
      <c r="H782" s="15" t="e">
        <f>Tasks[[#This Row],[To Package]]</f>
        <v>#VALUE!</v>
      </c>
      <c r="I782" s="15" t="e">
        <f>Tasks[[#This Row],[To Organisation]]</f>
        <v>#VALUE!</v>
      </c>
    </row>
    <row r="783" spans="1:9" ht="15.5" x14ac:dyDescent="0.35">
      <c r="A783" s="16" t="e">
        <f>HYPERLINK(_xlfn.CONCAT(Edit_URL,Tasks[[#This Row],[Ref]]),Tasks[[#This Row],[Ref]])</f>
        <v>#VALUE!</v>
      </c>
      <c r="B783" s="15" t="e" cm="1">
        <f t="array" ref="B783">_xlfn.SWITCH(LEFT(Tasks[[#This Row],[Status]],1),"O","Opened","C","Completed","S","Signed Off", "V", "Signed Off","ERROR")</f>
        <v>#VALUE!</v>
      </c>
      <c r="C783" s="15" t="e" cm="1">
        <f t="array" ref="C783">_xlfn.SWITCH(LEFT(Tasks[[#This Row],[Type]], 3), "Fie", "Field Report", "Con", "Contractor QC", "Gen", "Contractor QC", "Pun", "Contractor QC", "Qua", "Contractor QC", "Fin", "Punch List")</f>
        <v>#VALUE!</v>
      </c>
      <c r="D783" s="15" t="e">
        <f>_xlfn.LET(
_xlpm.leftValue, TRIM(LEFT(Tasks[[#This Row],[Description]], 45)),
IF(LEN(_xlpm.leftValue) &lt; 40, _xlpm.leftValue, _xlfn.CONCAT(_xlpm.leftValue, "…"))
)</f>
        <v>#VALUE!</v>
      </c>
      <c r="E783" s="15" t="e" cm="1">
        <f t="array" ref="E783">_xlfn.LET(
_xlpm.inTower, COUNTIF(Tower_Num_Table[Tower Rm Numbers], LEFT(Task_Summary_Table[[#This Row],[Area/Room]], 3)) &gt; 0,
_xlpm.typeResult, _xlfn.SWITCH(LEFT(Tasks[[#This Row],[Page]], 2), "Hi", "Historic", "An", "Annex", "Si", "Site", "S5", "Project Task", "SWITCH ERROR"),
IF(_xlpm.inTower, "West Tower", _xlpm.typeResult)
)</f>
        <v>#VALUE!</v>
      </c>
      <c r="F783" s="15" t="str">
        <f>IFERROR(MID(Tasks[[#This Row],[Page]], FIND("Level", Tasks[[#This Row],[Page]]), 7), IF(ISNUMBER(FIND("Roof", Tasks[[#This Row],[Page]])), "Roof",  IF(ISNUMBER(FIND("S590", Tasks[[#This Row],[Page]])), "",  IF(ISNUMBER(FIND("Site", Tasks[[#This Row],[Page]])), "", "ERROR"))))</f>
        <v>ERROR</v>
      </c>
      <c r="G783" s="15" t="e">
        <f>IF(Tasks[[#This Row],[Location]]=0, "", Tasks[[#This Row],[Location]])</f>
        <v>#VALUE!</v>
      </c>
      <c r="H783" s="15" t="e">
        <f>Tasks[[#This Row],[To Package]]</f>
        <v>#VALUE!</v>
      </c>
      <c r="I783" s="15" t="e">
        <f>Tasks[[#This Row],[To Organisation]]</f>
        <v>#VALUE!</v>
      </c>
    </row>
    <row r="784" spans="1:9" ht="15.5" x14ac:dyDescent="0.35">
      <c r="A784" s="16" t="e">
        <f>HYPERLINK(_xlfn.CONCAT(Edit_URL,Tasks[[#This Row],[Ref]]),Tasks[[#This Row],[Ref]])</f>
        <v>#VALUE!</v>
      </c>
      <c r="B784" s="15" t="e" cm="1">
        <f t="array" ref="B784">_xlfn.SWITCH(LEFT(Tasks[[#This Row],[Status]],1),"O","Opened","C","Completed","S","Signed Off", "V", "Signed Off","ERROR")</f>
        <v>#VALUE!</v>
      </c>
      <c r="C784" s="15" t="e" cm="1">
        <f t="array" ref="C784">_xlfn.SWITCH(LEFT(Tasks[[#This Row],[Type]], 3), "Fie", "Field Report", "Con", "Contractor QC", "Gen", "Contractor QC", "Pun", "Contractor QC", "Qua", "Contractor QC", "Fin", "Punch List")</f>
        <v>#VALUE!</v>
      </c>
      <c r="D784" s="15" t="e">
        <f>_xlfn.LET(
_xlpm.leftValue, TRIM(LEFT(Tasks[[#This Row],[Description]], 45)),
IF(LEN(_xlpm.leftValue) &lt; 40, _xlpm.leftValue, _xlfn.CONCAT(_xlpm.leftValue, "…"))
)</f>
        <v>#VALUE!</v>
      </c>
      <c r="E784" s="15" t="e" cm="1">
        <f t="array" ref="E784">_xlfn.LET(
_xlpm.inTower, COUNTIF(Tower_Num_Table[Tower Rm Numbers], LEFT(Task_Summary_Table[[#This Row],[Area/Room]], 3)) &gt; 0,
_xlpm.typeResult, _xlfn.SWITCH(LEFT(Tasks[[#This Row],[Page]], 2), "Hi", "Historic", "An", "Annex", "Si", "Site", "S5", "Project Task", "SWITCH ERROR"),
IF(_xlpm.inTower, "West Tower", _xlpm.typeResult)
)</f>
        <v>#VALUE!</v>
      </c>
      <c r="F784" s="15" t="str">
        <f>IFERROR(MID(Tasks[[#This Row],[Page]], FIND("Level", Tasks[[#This Row],[Page]]), 7), IF(ISNUMBER(FIND("Roof", Tasks[[#This Row],[Page]])), "Roof",  IF(ISNUMBER(FIND("S590", Tasks[[#This Row],[Page]])), "",  IF(ISNUMBER(FIND("Site", Tasks[[#This Row],[Page]])), "", "ERROR"))))</f>
        <v>ERROR</v>
      </c>
      <c r="G784" s="15" t="e">
        <f>IF(Tasks[[#This Row],[Location]]=0, "", Tasks[[#This Row],[Location]])</f>
        <v>#VALUE!</v>
      </c>
      <c r="H784" s="15" t="e">
        <f>Tasks[[#This Row],[To Package]]</f>
        <v>#VALUE!</v>
      </c>
      <c r="I784" s="15" t="e">
        <f>Tasks[[#This Row],[To Organisation]]</f>
        <v>#VALUE!</v>
      </c>
    </row>
    <row r="785" spans="1:9" ht="15.5" x14ac:dyDescent="0.35">
      <c r="A785" s="16" t="e">
        <f>HYPERLINK(_xlfn.CONCAT(Edit_URL,Tasks[[#This Row],[Ref]]),Tasks[[#This Row],[Ref]])</f>
        <v>#VALUE!</v>
      </c>
      <c r="B785" s="15" t="e" cm="1">
        <f t="array" ref="B785">_xlfn.SWITCH(LEFT(Tasks[[#This Row],[Status]],1),"O","Opened","C","Completed","S","Signed Off", "V", "Signed Off","ERROR")</f>
        <v>#VALUE!</v>
      </c>
      <c r="C785" s="15" t="e" cm="1">
        <f t="array" ref="C785">_xlfn.SWITCH(LEFT(Tasks[[#This Row],[Type]], 3), "Fie", "Field Report", "Con", "Contractor QC", "Gen", "Contractor QC", "Pun", "Contractor QC", "Qua", "Contractor QC", "Fin", "Punch List")</f>
        <v>#VALUE!</v>
      </c>
      <c r="D785" s="15" t="e">
        <f>_xlfn.LET(
_xlpm.leftValue, TRIM(LEFT(Tasks[[#This Row],[Description]], 45)),
IF(LEN(_xlpm.leftValue) &lt; 40, _xlpm.leftValue, _xlfn.CONCAT(_xlpm.leftValue, "…"))
)</f>
        <v>#VALUE!</v>
      </c>
      <c r="E785" s="15" t="e" cm="1">
        <f t="array" ref="E785">_xlfn.LET(
_xlpm.inTower, COUNTIF(Tower_Num_Table[Tower Rm Numbers], LEFT(Task_Summary_Table[[#This Row],[Area/Room]], 3)) &gt; 0,
_xlpm.typeResult, _xlfn.SWITCH(LEFT(Tasks[[#This Row],[Page]], 2), "Hi", "Historic", "An", "Annex", "Si", "Site", "S5", "Project Task", "SWITCH ERROR"),
IF(_xlpm.inTower, "West Tower", _xlpm.typeResult)
)</f>
        <v>#VALUE!</v>
      </c>
      <c r="F785" s="15" t="str">
        <f>IFERROR(MID(Tasks[[#This Row],[Page]], FIND("Level", Tasks[[#This Row],[Page]]), 7), IF(ISNUMBER(FIND("Roof", Tasks[[#This Row],[Page]])), "Roof",  IF(ISNUMBER(FIND("S590", Tasks[[#This Row],[Page]])), "",  IF(ISNUMBER(FIND("Site", Tasks[[#This Row],[Page]])), "", "ERROR"))))</f>
        <v>ERROR</v>
      </c>
      <c r="G785" s="15" t="e">
        <f>IF(Tasks[[#This Row],[Location]]=0, "", Tasks[[#This Row],[Location]])</f>
        <v>#VALUE!</v>
      </c>
      <c r="H785" s="15" t="e">
        <f>Tasks[[#This Row],[To Package]]</f>
        <v>#VALUE!</v>
      </c>
      <c r="I785" s="15" t="e">
        <f>Tasks[[#This Row],[To Organisation]]</f>
        <v>#VALUE!</v>
      </c>
    </row>
    <row r="786" spans="1:9" ht="15.5" x14ac:dyDescent="0.35">
      <c r="A786" s="16" t="e">
        <f>HYPERLINK(_xlfn.CONCAT(Edit_URL,Tasks[[#This Row],[Ref]]),Tasks[[#This Row],[Ref]])</f>
        <v>#VALUE!</v>
      </c>
      <c r="B786" s="15" t="e" cm="1">
        <f t="array" ref="B786">_xlfn.SWITCH(LEFT(Tasks[[#This Row],[Status]],1),"O","Opened","C","Completed","S","Signed Off", "V", "Signed Off","ERROR")</f>
        <v>#VALUE!</v>
      </c>
      <c r="C786" s="15" t="e" cm="1">
        <f t="array" ref="C786">_xlfn.SWITCH(LEFT(Tasks[[#This Row],[Type]], 3), "Fie", "Field Report", "Con", "Contractor QC", "Gen", "Contractor QC", "Pun", "Contractor QC", "Qua", "Contractor QC", "Fin", "Punch List")</f>
        <v>#VALUE!</v>
      </c>
      <c r="D786" s="15" t="e">
        <f>_xlfn.LET(
_xlpm.leftValue, TRIM(LEFT(Tasks[[#This Row],[Description]], 45)),
IF(LEN(_xlpm.leftValue) &lt; 40, _xlpm.leftValue, _xlfn.CONCAT(_xlpm.leftValue, "…"))
)</f>
        <v>#VALUE!</v>
      </c>
      <c r="E786" s="15" t="e" cm="1">
        <f t="array" ref="E786">_xlfn.LET(
_xlpm.inTower, COUNTIF(Tower_Num_Table[Tower Rm Numbers], LEFT(Task_Summary_Table[[#This Row],[Area/Room]], 3)) &gt; 0,
_xlpm.typeResult, _xlfn.SWITCH(LEFT(Tasks[[#This Row],[Page]], 2), "Hi", "Historic", "An", "Annex", "Si", "Site", "S5", "Project Task", "SWITCH ERROR"),
IF(_xlpm.inTower, "West Tower", _xlpm.typeResult)
)</f>
        <v>#VALUE!</v>
      </c>
      <c r="F786" s="15" t="str">
        <f>IFERROR(MID(Tasks[[#This Row],[Page]], FIND("Level", Tasks[[#This Row],[Page]]), 7), IF(ISNUMBER(FIND("Roof", Tasks[[#This Row],[Page]])), "Roof",  IF(ISNUMBER(FIND("S590", Tasks[[#This Row],[Page]])), "",  IF(ISNUMBER(FIND("Site", Tasks[[#This Row],[Page]])), "", "ERROR"))))</f>
        <v>ERROR</v>
      </c>
      <c r="G786" s="15" t="e">
        <f>IF(Tasks[[#This Row],[Location]]=0, "", Tasks[[#This Row],[Location]])</f>
        <v>#VALUE!</v>
      </c>
      <c r="H786" s="15" t="e">
        <f>Tasks[[#This Row],[To Package]]</f>
        <v>#VALUE!</v>
      </c>
      <c r="I786" s="15" t="e">
        <f>Tasks[[#This Row],[To Organisation]]</f>
        <v>#VALUE!</v>
      </c>
    </row>
    <row r="787" spans="1:9" ht="15.5" x14ac:dyDescent="0.35">
      <c r="A787" s="16" t="e">
        <f>HYPERLINK(_xlfn.CONCAT(Edit_URL,Tasks[[#This Row],[Ref]]),Tasks[[#This Row],[Ref]])</f>
        <v>#VALUE!</v>
      </c>
      <c r="B787" s="15" t="e" cm="1">
        <f t="array" ref="B787">_xlfn.SWITCH(LEFT(Tasks[[#This Row],[Status]],1),"O","Opened","C","Completed","S","Signed Off", "V", "Signed Off","ERROR")</f>
        <v>#VALUE!</v>
      </c>
      <c r="C787" s="15" t="e" cm="1">
        <f t="array" ref="C787">_xlfn.SWITCH(LEFT(Tasks[[#This Row],[Type]], 3), "Fie", "Field Report", "Con", "Contractor QC", "Gen", "Contractor QC", "Pun", "Contractor QC", "Qua", "Contractor QC", "Fin", "Punch List")</f>
        <v>#VALUE!</v>
      </c>
      <c r="D787" s="15" t="e">
        <f>_xlfn.LET(
_xlpm.leftValue, TRIM(LEFT(Tasks[[#This Row],[Description]], 45)),
IF(LEN(_xlpm.leftValue) &lt; 40, _xlpm.leftValue, _xlfn.CONCAT(_xlpm.leftValue, "…"))
)</f>
        <v>#VALUE!</v>
      </c>
      <c r="E787" s="15" t="e" cm="1">
        <f t="array" ref="E787">_xlfn.LET(
_xlpm.inTower, COUNTIF(Tower_Num_Table[Tower Rm Numbers], LEFT(Task_Summary_Table[[#This Row],[Area/Room]], 3)) &gt; 0,
_xlpm.typeResult, _xlfn.SWITCH(LEFT(Tasks[[#This Row],[Page]], 2), "Hi", "Historic", "An", "Annex", "Si", "Site", "S5", "Project Task", "SWITCH ERROR"),
IF(_xlpm.inTower, "West Tower", _xlpm.typeResult)
)</f>
        <v>#VALUE!</v>
      </c>
      <c r="F787" s="15" t="str">
        <f>IFERROR(MID(Tasks[[#This Row],[Page]], FIND("Level", Tasks[[#This Row],[Page]]), 7), IF(ISNUMBER(FIND("Roof", Tasks[[#This Row],[Page]])), "Roof",  IF(ISNUMBER(FIND("S590", Tasks[[#This Row],[Page]])), "",  IF(ISNUMBER(FIND("Site", Tasks[[#This Row],[Page]])), "", "ERROR"))))</f>
        <v>ERROR</v>
      </c>
      <c r="G787" s="15" t="e">
        <f>IF(Tasks[[#This Row],[Location]]=0, "", Tasks[[#This Row],[Location]])</f>
        <v>#VALUE!</v>
      </c>
      <c r="H787" s="15" t="e">
        <f>Tasks[[#This Row],[To Package]]</f>
        <v>#VALUE!</v>
      </c>
      <c r="I787" s="15" t="e">
        <f>Tasks[[#This Row],[To Organisation]]</f>
        <v>#VALUE!</v>
      </c>
    </row>
    <row r="788" spans="1:9" ht="15.5" x14ac:dyDescent="0.35">
      <c r="A788" s="16" t="e">
        <f>HYPERLINK(_xlfn.CONCAT(Edit_URL,Tasks[[#This Row],[Ref]]),Tasks[[#This Row],[Ref]])</f>
        <v>#VALUE!</v>
      </c>
      <c r="B788" s="15" t="e" cm="1">
        <f t="array" ref="B788">_xlfn.SWITCH(LEFT(Tasks[[#This Row],[Status]],1),"O","Opened","C","Completed","S","Signed Off", "V", "Signed Off","ERROR")</f>
        <v>#VALUE!</v>
      </c>
      <c r="C788" s="15" t="e" cm="1">
        <f t="array" ref="C788">_xlfn.SWITCH(LEFT(Tasks[[#This Row],[Type]], 3), "Fie", "Field Report", "Con", "Contractor QC", "Gen", "Contractor QC", "Pun", "Contractor QC", "Qua", "Contractor QC", "Fin", "Punch List")</f>
        <v>#VALUE!</v>
      </c>
      <c r="D788" s="15" t="e">
        <f>_xlfn.LET(
_xlpm.leftValue, TRIM(LEFT(Tasks[[#This Row],[Description]], 45)),
IF(LEN(_xlpm.leftValue) &lt; 40, _xlpm.leftValue, _xlfn.CONCAT(_xlpm.leftValue, "…"))
)</f>
        <v>#VALUE!</v>
      </c>
      <c r="E788" s="15" t="e" cm="1">
        <f t="array" ref="E788">_xlfn.LET(
_xlpm.inTower, COUNTIF(Tower_Num_Table[Tower Rm Numbers], LEFT(Task_Summary_Table[[#This Row],[Area/Room]], 3)) &gt; 0,
_xlpm.typeResult, _xlfn.SWITCH(LEFT(Tasks[[#This Row],[Page]], 2), "Hi", "Historic", "An", "Annex", "Si", "Site", "S5", "Project Task", "SWITCH ERROR"),
IF(_xlpm.inTower, "West Tower", _xlpm.typeResult)
)</f>
        <v>#VALUE!</v>
      </c>
      <c r="F788" s="15" t="str">
        <f>IFERROR(MID(Tasks[[#This Row],[Page]], FIND("Level", Tasks[[#This Row],[Page]]), 7), IF(ISNUMBER(FIND("Roof", Tasks[[#This Row],[Page]])), "Roof",  IF(ISNUMBER(FIND("S590", Tasks[[#This Row],[Page]])), "",  IF(ISNUMBER(FIND("Site", Tasks[[#This Row],[Page]])), "", "ERROR"))))</f>
        <v>ERROR</v>
      </c>
      <c r="G788" s="15" t="e">
        <f>IF(Tasks[[#This Row],[Location]]=0, "", Tasks[[#This Row],[Location]])</f>
        <v>#VALUE!</v>
      </c>
      <c r="H788" s="15" t="e">
        <f>Tasks[[#This Row],[To Package]]</f>
        <v>#VALUE!</v>
      </c>
      <c r="I788" s="15" t="e">
        <f>Tasks[[#This Row],[To Organisation]]</f>
        <v>#VALUE!</v>
      </c>
    </row>
    <row r="789" spans="1:9" ht="15.5" x14ac:dyDescent="0.35">
      <c r="A789" s="16" t="e">
        <f>HYPERLINK(_xlfn.CONCAT(Edit_URL,Tasks[[#This Row],[Ref]]),Tasks[[#This Row],[Ref]])</f>
        <v>#VALUE!</v>
      </c>
      <c r="B789" s="15" t="e" cm="1">
        <f t="array" ref="B789">_xlfn.SWITCH(LEFT(Tasks[[#This Row],[Status]],1),"O","Opened","C","Completed","S","Signed Off", "V", "Signed Off","ERROR")</f>
        <v>#VALUE!</v>
      </c>
      <c r="C789" s="15" t="e" cm="1">
        <f t="array" ref="C789">_xlfn.SWITCH(LEFT(Tasks[[#This Row],[Type]], 3), "Fie", "Field Report", "Con", "Contractor QC", "Gen", "Contractor QC", "Pun", "Contractor QC", "Qua", "Contractor QC", "Fin", "Punch List")</f>
        <v>#VALUE!</v>
      </c>
      <c r="D789" s="15" t="e">
        <f>_xlfn.LET(
_xlpm.leftValue, TRIM(LEFT(Tasks[[#This Row],[Description]], 45)),
IF(LEN(_xlpm.leftValue) &lt; 40, _xlpm.leftValue, _xlfn.CONCAT(_xlpm.leftValue, "…"))
)</f>
        <v>#VALUE!</v>
      </c>
      <c r="E789" s="15" t="e" cm="1">
        <f t="array" ref="E789">_xlfn.LET(
_xlpm.inTower, COUNTIF(Tower_Num_Table[Tower Rm Numbers], LEFT(Task_Summary_Table[[#This Row],[Area/Room]], 3)) &gt; 0,
_xlpm.typeResult, _xlfn.SWITCH(LEFT(Tasks[[#This Row],[Page]], 2), "Hi", "Historic", "An", "Annex", "Si", "Site", "S5", "Project Task", "SWITCH ERROR"),
IF(_xlpm.inTower, "West Tower", _xlpm.typeResult)
)</f>
        <v>#VALUE!</v>
      </c>
      <c r="F789" s="15" t="str">
        <f>IFERROR(MID(Tasks[[#This Row],[Page]], FIND("Level", Tasks[[#This Row],[Page]]), 7), IF(ISNUMBER(FIND("Roof", Tasks[[#This Row],[Page]])), "Roof",  IF(ISNUMBER(FIND("S590", Tasks[[#This Row],[Page]])), "",  IF(ISNUMBER(FIND("Site", Tasks[[#This Row],[Page]])), "", "ERROR"))))</f>
        <v>ERROR</v>
      </c>
      <c r="G789" s="15" t="e">
        <f>IF(Tasks[[#This Row],[Location]]=0, "", Tasks[[#This Row],[Location]])</f>
        <v>#VALUE!</v>
      </c>
      <c r="H789" s="15" t="e">
        <f>Tasks[[#This Row],[To Package]]</f>
        <v>#VALUE!</v>
      </c>
      <c r="I789" s="15" t="e">
        <f>Tasks[[#This Row],[To Organisation]]</f>
        <v>#VALUE!</v>
      </c>
    </row>
    <row r="790" spans="1:9" ht="15.5" x14ac:dyDescent="0.35">
      <c r="A790" s="16" t="e">
        <f>HYPERLINK(_xlfn.CONCAT(Edit_URL,Tasks[[#This Row],[Ref]]),Tasks[[#This Row],[Ref]])</f>
        <v>#VALUE!</v>
      </c>
      <c r="B790" s="15" t="e" cm="1">
        <f t="array" ref="B790">_xlfn.SWITCH(LEFT(Tasks[[#This Row],[Status]],1),"O","Opened","C","Completed","S","Signed Off", "V", "Signed Off","ERROR")</f>
        <v>#VALUE!</v>
      </c>
      <c r="C790" s="15" t="e" cm="1">
        <f t="array" ref="C790">_xlfn.SWITCH(LEFT(Tasks[[#This Row],[Type]], 3), "Fie", "Field Report", "Con", "Contractor QC", "Gen", "Contractor QC", "Pun", "Contractor QC", "Qua", "Contractor QC", "Fin", "Punch List")</f>
        <v>#VALUE!</v>
      </c>
      <c r="D790" s="15" t="e">
        <f>_xlfn.LET(
_xlpm.leftValue, TRIM(LEFT(Tasks[[#This Row],[Description]], 45)),
IF(LEN(_xlpm.leftValue) &lt; 40, _xlpm.leftValue, _xlfn.CONCAT(_xlpm.leftValue, "…"))
)</f>
        <v>#VALUE!</v>
      </c>
      <c r="E790" s="15" t="e" cm="1">
        <f t="array" ref="E790">_xlfn.LET(
_xlpm.inTower, COUNTIF(Tower_Num_Table[Tower Rm Numbers], LEFT(Task_Summary_Table[[#This Row],[Area/Room]], 3)) &gt; 0,
_xlpm.typeResult, _xlfn.SWITCH(LEFT(Tasks[[#This Row],[Page]], 2), "Hi", "Historic", "An", "Annex", "Si", "Site", "S5", "Project Task", "SWITCH ERROR"),
IF(_xlpm.inTower, "West Tower", _xlpm.typeResult)
)</f>
        <v>#VALUE!</v>
      </c>
      <c r="F790" s="15" t="str">
        <f>IFERROR(MID(Tasks[[#This Row],[Page]], FIND("Level", Tasks[[#This Row],[Page]]), 7), IF(ISNUMBER(FIND("Roof", Tasks[[#This Row],[Page]])), "Roof",  IF(ISNUMBER(FIND("S590", Tasks[[#This Row],[Page]])), "",  IF(ISNUMBER(FIND("Site", Tasks[[#This Row],[Page]])), "", "ERROR"))))</f>
        <v>ERROR</v>
      </c>
      <c r="G790" s="15" t="e">
        <f>IF(Tasks[[#This Row],[Location]]=0, "", Tasks[[#This Row],[Location]])</f>
        <v>#VALUE!</v>
      </c>
      <c r="H790" s="15" t="e">
        <f>Tasks[[#This Row],[To Package]]</f>
        <v>#VALUE!</v>
      </c>
      <c r="I790" s="15" t="e">
        <f>Tasks[[#This Row],[To Organisation]]</f>
        <v>#VALUE!</v>
      </c>
    </row>
    <row r="791" spans="1:9" ht="15.5" x14ac:dyDescent="0.35">
      <c r="A791" s="16" t="e">
        <f>HYPERLINK(_xlfn.CONCAT(Edit_URL,Tasks[[#This Row],[Ref]]),Tasks[[#This Row],[Ref]])</f>
        <v>#VALUE!</v>
      </c>
      <c r="B791" s="15" t="e" cm="1">
        <f t="array" ref="B791">_xlfn.SWITCH(LEFT(Tasks[[#This Row],[Status]],1),"O","Opened","C","Completed","S","Signed Off", "V", "Signed Off","ERROR")</f>
        <v>#VALUE!</v>
      </c>
      <c r="C791" s="15" t="e" cm="1">
        <f t="array" ref="C791">_xlfn.SWITCH(LEFT(Tasks[[#This Row],[Type]], 3), "Fie", "Field Report", "Con", "Contractor QC", "Gen", "Contractor QC", "Pun", "Contractor QC", "Qua", "Contractor QC", "Fin", "Punch List")</f>
        <v>#VALUE!</v>
      </c>
      <c r="D791" s="15" t="e">
        <f>_xlfn.LET(
_xlpm.leftValue, TRIM(LEFT(Tasks[[#This Row],[Description]], 45)),
IF(LEN(_xlpm.leftValue) &lt; 40, _xlpm.leftValue, _xlfn.CONCAT(_xlpm.leftValue, "…"))
)</f>
        <v>#VALUE!</v>
      </c>
      <c r="E791" s="15" t="e" cm="1">
        <f t="array" ref="E791">_xlfn.LET(
_xlpm.inTower, COUNTIF(Tower_Num_Table[Tower Rm Numbers], LEFT(Task_Summary_Table[[#This Row],[Area/Room]], 3)) &gt; 0,
_xlpm.typeResult, _xlfn.SWITCH(LEFT(Tasks[[#This Row],[Page]], 2), "Hi", "Historic", "An", "Annex", "Si", "Site", "S5", "Project Task", "SWITCH ERROR"),
IF(_xlpm.inTower, "West Tower", _xlpm.typeResult)
)</f>
        <v>#VALUE!</v>
      </c>
      <c r="F791" s="15" t="str">
        <f>IFERROR(MID(Tasks[[#This Row],[Page]], FIND("Level", Tasks[[#This Row],[Page]]), 7), IF(ISNUMBER(FIND("Roof", Tasks[[#This Row],[Page]])), "Roof",  IF(ISNUMBER(FIND("S590", Tasks[[#This Row],[Page]])), "",  IF(ISNUMBER(FIND("Site", Tasks[[#This Row],[Page]])), "", "ERROR"))))</f>
        <v>ERROR</v>
      </c>
      <c r="G791" s="15" t="e">
        <f>IF(Tasks[[#This Row],[Location]]=0, "", Tasks[[#This Row],[Location]])</f>
        <v>#VALUE!</v>
      </c>
      <c r="H791" s="15" t="e">
        <f>Tasks[[#This Row],[To Package]]</f>
        <v>#VALUE!</v>
      </c>
      <c r="I791" s="15" t="e">
        <f>Tasks[[#This Row],[To Organisation]]</f>
        <v>#VALUE!</v>
      </c>
    </row>
    <row r="792" spans="1:9" ht="15.5" x14ac:dyDescent="0.35">
      <c r="A792" s="16" t="e">
        <f>HYPERLINK(_xlfn.CONCAT(Edit_URL,Tasks[[#This Row],[Ref]]),Tasks[[#This Row],[Ref]])</f>
        <v>#VALUE!</v>
      </c>
      <c r="B792" s="15" t="e" cm="1">
        <f t="array" ref="B792">_xlfn.SWITCH(LEFT(Tasks[[#This Row],[Status]],1),"O","Opened","C","Completed","S","Signed Off", "V", "Signed Off","ERROR")</f>
        <v>#VALUE!</v>
      </c>
      <c r="C792" s="15" t="e" cm="1">
        <f t="array" ref="C792">_xlfn.SWITCH(LEFT(Tasks[[#This Row],[Type]], 3), "Fie", "Field Report", "Con", "Contractor QC", "Gen", "Contractor QC", "Pun", "Contractor QC", "Qua", "Contractor QC", "Fin", "Punch List")</f>
        <v>#VALUE!</v>
      </c>
      <c r="D792" s="15" t="e">
        <f>_xlfn.LET(
_xlpm.leftValue, TRIM(LEFT(Tasks[[#This Row],[Description]], 45)),
IF(LEN(_xlpm.leftValue) &lt; 40, _xlpm.leftValue, _xlfn.CONCAT(_xlpm.leftValue, "…"))
)</f>
        <v>#VALUE!</v>
      </c>
      <c r="E792" s="15" t="e" cm="1">
        <f t="array" ref="E792">_xlfn.LET(
_xlpm.inTower, COUNTIF(Tower_Num_Table[Tower Rm Numbers], LEFT(Task_Summary_Table[[#This Row],[Area/Room]], 3)) &gt; 0,
_xlpm.typeResult, _xlfn.SWITCH(LEFT(Tasks[[#This Row],[Page]], 2), "Hi", "Historic", "An", "Annex", "Si", "Site", "S5", "Project Task", "SWITCH ERROR"),
IF(_xlpm.inTower, "West Tower", _xlpm.typeResult)
)</f>
        <v>#VALUE!</v>
      </c>
      <c r="F792" s="15" t="str">
        <f>IFERROR(MID(Tasks[[#This Row],[Page]], FIND("Level", Tasks[[#This Row],[Page]]), 7), IF(ISNUMBER(FIND("Roof", Tasks[[#This Row],[Page]])), "Roof",  IF(ISNUMBER(FIND("S590", Tasks[[#This Row],[Page]])), "",  IF(ISNUMBER(FIND("Site", Tasks[[#This Row],[Page]])), "", "ERROR"))))</f>
        <v>ERROR</v>
      </c>
      <c r="G792" s="15" t="e">
        <f>IF(Tasks[[#This Row],[Location]]=0, "", Tasks[[#This Row],[Location]])</f>
        <v>#VALUE!</v>
      </c>
      <c r="H792" s="15" t="e">
        <f>Tasks[[#This Row],[To Package]]</f>
        <v>#VALUE!</v>
      </c>
      <c r="I792" s="15" t="e">
        <f>Tasks[[#This Row],[To Organisation]]</f>
        <v>#VALUE!</v>
      </c>
    </row>
    <row r="793" spans="1:9" ht="15.5" x14ac:dyDescent="0.35">
      <c r="A793" s="16" t="e">
        <f>HYPERLINK(_xlfn.CONCAT(Edit_URL,Tasks[[#This Row],[Ref]]),Tasks[[#This Row],[Ref]])</f>
        <v>#VALUE!</v>
      </c>
      <c r="B793" s="15" t="e" cm="1">
        <f t="array" ref="B793">_xlfn.SWITCH(LEFT(Tasks[[#This Row],[Status]],1),"O","Opened","C","Completed","S","Signed Off", "V", "Signed Off","ERROR")</f>
        <v>#VALUE!</v>
      </c>
      <c r="C793" s="15" t="e" cm="1">
        <f t="array" ref="C793">_xlfn.SWITCH(LEFT(Tasks[[#This Row],[Type]], 3), "Fie", "Field Report", "Con", "Contractor QC", "Gen", "Contractor QC", "Pun", "Contractor QC", "Qua", "Contractor QC", "Fin", "Punch List")</f>
        <v>#VALUE!</v>
      </c>
      <c r="D793" s="15" t="e">
        <f>_xlfn.LET(
_xlpm.leftValue, TRIM(LEFT(Tasks[[#This Row],[Description]], 45)),
IF(LEN(_xlpm.leftValue) &lt; 40, _xlpm.leftValue, _xlfn.CONCAT(_xlpm.leftValue, "…"))
)</f>
        <v>#VALUE!</v>
      </c>
      <c r="E793" s="15" t="e" cm="1">
        <f t="array" ref="E793">_xlfn.LET(
_xlpm.inTower, COUNTIF(Tower_Num_Table[Tower Rm Numbers], LEFT(Task_Summary_Table[[#This Row],[Area/Room]], 3)) &gt; 0,
_xlpm.typeResult, _xlfn.SWITCH(LEFT(Tasks[[#This Row],[Page]], 2), "Hi", "Historic", "An", "Annex", "Si", "Site", "S5", "Project Task", "SWITCH ERROR"),
IF(_xlpm.inTower, "West Tower", _xlpm.typeResult)
)</f>
        <v>#VALUE!</v>
      </c>
      <c r="F793" s="15" t="str">
        <f>IFERROR(MID(Tasks[[#This Row],[Page]], FIND("Level", Tasks[[#This Row],[Page]]), 7), IF(ISNUMBER(FIND("Roof", Tasks[[#This Row],[Page]])), "Roof",  IF(ISNUMBER(FIND("S590", Tasks[[#This Row],[Page]])), "",  IF(ISNUMBER(FIND("Site", Tasks[[#This Row],[Page]])), "", "ERROR"))))</f>
        <v>ERROR</v>
      </c>
      <c r="G793" s="15" t="e">
        <f>IF(Tasks[[#This Row],[Location]]=0, "", Tasks[[#This Row],[Location]])</f>
        <v>#VALUE!</v>
      </c>
      <c r="H793" s="15" t="e">
        <f>Tasks[[#This Row],[To Package]]</f>
        <v>#VALUE!</v>
      </c>
      <c r="I793" s="15" t="e">
        <f>Tasks[[#This Row],[To Organisation]]</f>
        <v>#VALUE!</v>
      </c>
    </row>
    <row r="794" spans="1:9" ht="15.5" x14ac:dyDescent="0.35">
      <c r="A794" s="16" t="e">
        <f>HYPERLINK(_xlfn.CONCAT(Edit_URL,Tasks[[#This Row],[Ref]]),Tasks[[#This Row],[Ref]])</f>
        <v>#VALUE!</v>
      </c>
      <c r="B794" s="15" t="e" cm="1">
        <f t="array" ref="B794">_xlfn.SWITCH(LEFT(Tasks[[#This Row],[Status]],1),"O","Opened","C","Completed","S","Signed Off", "V", "Signed Off","ERROR")</f>
        <v>#VALUE!</v>
      </c>
      <c r="C794" s="15" t="e" cm="1">
        <f t="array" ref="C794">_xlfn.SWITCH(LEFT(Tasks[[#This Row],[Type]], 3), "Fie", "Field Report", "Con", "Contractor QC", "Gen", "Contractor QC", "Pun", "Contractor QC", "Qua", "Contractor QC", "Fin", "Punch List")</f>
        <v>#VALUE!</v>
      </c>
      <c r="D794" s="15" t="e">
        <f>_xlfn.LET(
_xlpm.leftValue, TRIM(LEFT(Tasks[[#This Row],[Description]], 45)),
IF(LEN(_xlpm.leftValue) &lt; 40, _xlpm.leftValue, _xlfn.CONCAT(_xlpm.leftValue, "…"))
)</f>
        <v>#VALUE!</v>
      </c>
      <c r="E794" s="15" t="e" cm="1">
        <f t="array" ref="E794">_xlfn.LET(
_xlpm.inTower, COUNTIF(Tower_Num_Table[Tower Rm Numbers], LEFT(Task_Summary_Table[[#This Row],[Area/Room]], 3)) &gt; 0,
_xlpm.typeResult, _xlfn.SWITCH(LEFT(Tasks[[#This Row],[Page]], 2), "Hi", "Historic", "An", "Annex", "Si", "Site", "S5", "Project Task", "SWITCH ERROR"),
IF(_xlpm.inTower, "West Tower", _xlpm.typeResult)
)</f>
        <v>#VALUE!</v>
      </c>
      <c r="F794" s="15" t="str">
        <f>IFERROR(MID(Tasks[[#This Row],[Page]], FIND("Level", Tasks[[#This Row],[Page]]), 7), IF(ISNUMBER(FIND("Roof", Tasks[[#This Row],[Page]])), "Roof",  IF(ISNUMBER(FIND("S590", Tasks[[#This Row],[Page]])), "",  IF(ISNUMBER(FIND("Site", Tasks[[#This Row],[Page]])), "", "ERROR"))))</f>
        <v>ERROR</v>
      </c>
      <c r="G794" s="15" t="e">
        <f>IF(Tasks[[#This Row],[Location]]=0, "", Tasks[[#This Row],[Location]])</f>
        <v>#VALUE!</v>
      </c>
      <c r="H794" s="15" t="e">
        <f>Tasks[[#This Row],[To Package]]</f>
        <v>#VALUE!</v>
      </c>
      <c r="I794" s="15" t="e">
        <f>Tasks[[#This Row],[To Organisation]]</f>
        <v>#VALUE!</v>
      </c>
    </row>
    <row r="795" spans="1:9" ht="15.5" x14ac:dyDescent="0.35">
      <c r="A795" s="16" t="e">
        <f>HYPERLINK(_xlfn.CONCAT(Edit_URL,Tasks[[#This Row],[Ref]]),Tasks[[#This Row],[Ref]])</f>
        <v>#VALUE!</v>
      </c>
      <c r="B795" s="15" t="e" cm="1">
        <f t="array" ref="B795">_xlfn.SWITCH(LEFT(Tasks[[#This Row],[Status]],1),"O","Opened","C","Completed","S","Signed Off", "V", "Signed Off","ERROR")</f>
        <v>#VALUE!</v>
      </c>
      <c r="C795" s="15" t="e" cm="1">
        <f t="array" ref="C795">_xlfn.SWITCH(LEFT(Tasks[[#This Row],[Type]], 3), "Fie", "Field Report", "Con", "Contractor QC", "Gen", "Contractor QC", "Pun", "Contractor QC", "Qua", "Contractor QC", "Fin", "Punch List")</f>
        <v>#VALUE!</v>
      </c>
      <c r="D795" s="15" t="e">
        <f>_xlfn.LET(
_xlpm.leftValue, TRIM(LEFT(Tasks[[#This Row],[Description]], 45)),
IF(LEN(_xlpm.leftValue) &lt; 40, _xlpm.leftValue, _xlfn.CONCAT(_xlpm.leftValue, "…"))
)</f>
        <v>#VALUE!</v>
      </c>
      <c r="E795" s="15" t="e" cm="1">
        <f t="array" ref="E795">_xlfn.LET(
_xlpm.inTower, COUNTIF(Tower_Num_Table[Tower Rm Numbers], LEFT(Task_Summary_Table[[#This Row],[Area/Room]], 3)) &gt; 0,
_xlpm.typeResult, _xlfn.SWITCH(LEFT(Tasks[[#This Row],[Page]], 2), "Hi", "Historic", "An", "Annex", "Si", "Site", "S5", "Project Task", "SWITCH ERROR"),
IF(_xlpm.inTower, "West Tower", _xlpm.typeResult)
)</f>
        <v>#VALUE!</v>
      </c>
      <c r="F795" s="15" t="str">
        <f>IFERROR(MID(Tasks[[#This Row],[Page]], FIND("Level", Tasks[[#This Row],[Page]]), 7), IF(ISNUMBER(FIND("Roof", Tasks[[#This Row],[Page]])), "Roof",  IF(ISNUMBER(FIND("S590", Tasks[[#This Row],[Page]])), "",  IF(ISNUMBER(FIND("Site", Tasks[[#This Row],[Page]])), "", "ERROR"))))</f>
        <v>ERROR</v>
      </c>
      <c r="G795" s="15" t="e">
        <f>IF(Tasks[[#This Row],[Location]]=0, "", Tasks[[#This Row],[Location]])</f>
        <v>#VALUE!</v>
      </c>
      <c r="H795" s="15" t="e">
        <f>Tasks[[#This Row],[To Package]]</f>
        <v>#VALUE!</v>
      </c>
      <c r="I795" s="15" t="e">
        <f>Tasks[[#This Row],[To Organisation]]</f>
        <v>#VALUE!</v>
      </c>
    </row>
    <row r="796" spans="1:9" ht="15.5" x14ac:dyDescent="0.35">
      <c r="A796" s="16" t="e">
        <f>HYPERLINK(_xlfn.CONCAT(Edit_URL,Tasks[[#This Row],[Ref]]),Tasks[[#This Row],[Ref]])</f>
        <v>#VALUE!</v>
      </c>
      <c r="B796" s="15" t="e" cm="1">
        <f t="array" ref="B796">_xlfn.SWITCH(LEFT(Tasks[[#This Row],[Status]],1),"O","Opened","C","Completed","S","Signed Off", "V", "Signed Off","ERROR")</f>
        <v>#VALUE!</v>
      </c>
      <c r="C796" s="15" t="e" cm="1">
        <f t="array" ref="C796">_xlfn.SWITCH(LEFT(Tasks[[#This Row],[Type]], 3), "Fie", "Field Report", "Con", "Contractor QC", "Gen", "Contractor QC", "Pun", "Contractor QC", "Qua", "Contractor QC", "Fin", "Punch List")</f>
        <v>#VALUE!</v>
      </c>
      <c r="D796" s="15" t="e">
        <f>_xlfn.LET(
_xlpm.leftValue, TRIM(LEFT(Tasks[[#This Row],[Description]], 45)),
IF(LEN(_xlpm.leftValue) &lt; 40, _xlpm.leftValue, _xlfn.CONCAT(_xlpm.leftValue, "…"))
)</f>
        <v>#VALUE!</v>
      </c>
      <c r="E796" s="15" t="e" cm="1">
        <f t="array" ref="E796">_xlfn.LET(
_xlpm.inTower, COUNTIF(Tower_Num_Table[Tower Rm Numbers], LEFT(Task_Summary_Table[[#This Row],[Area/Room]], 3)) &gt; 0,
_xlpm.typeResult, _xlfn.SWITCH(LEFT(Tasks[[#This Row],[Page]], 2), "Hi", "Historic", "An", "Annex", "Si", "Site", "S5", "Project Task", "SWITCH ERROR"),
IF(_xlpm.inTower, "West Tower", _xlpm.typeResult)
)</f>
        <v>#VALUE!</v>
      </c>
      <c r="F796" s="15" t="str">
        <f>IFERROR(MID(Tasks[[#This Row],[Page]], FIND("Level", Tasks[[#This Row],[Page]]), 7), IF(ISNUMBER(FIND("Roof", Tasks[[#This Row],[Page]])), "Roof",  IF(ISNUMBER(FIND("S590", Tasks[[#This Row],[Page]])), "",  IF(ISNUMBER(FIND("Site", Tasks[[#This Row],[Page]])), "", "ERROR"))))</f>
        <v>ERROR</v>
      </c>
      <c r="G796" s="15" t="e">
        <f>IF(Tasks[[#This Row],[Location]]=0, "", Tasks[[#This Row],[Location]])</f>
        <v>#VALUE!</v>
      </c>
      <c r="H796" s="15" t="e">
        <f>Tasks[[#This Row],[To Package]]</f>
        <v>#VALUE!</v>
      </c>
      <c r="I796" s="15" t="e">
        <f>Tasks[[#This Row],[To Organisation]]</f>
        <v>#VALUE!</v>
      </c>
    </row>
    <row r="797" spans="1:9" ht="15.5" x14ac:dyDescent="0.35">
      <c r="A797" s="16" t="e">
        <f>HYPERLINK(_xlfn.CONCAT(Edit_URL,Tasks[[#This Row],[Ref]]),Tasks[[#This Row],[Ref]])</f>
        <v>#VALUE!</v>
      </c>
      <c r="B797" s="15" t="e" cm="1">
        <f t="array" ref="B797">_xlfn.SWITCH(LEFT(Tasks[[#This Row],[Status]],1),"O","Opened","C","Completed","S","Signed Off", "V", "Signed Off","ERROR")</f>
        <v>#VALUE!</v>
      </c>
      <c r="C797" s="15" t="e" cm="1">
        <f t="array" ref="C797">_xlfn.SWITCH(LEFT(Tasks[[#This Row],[Type]], 3), "Fie", "Field Report", "Con", "Contractor QC", "Gen", "Contractor QC", "Pun", "Contractor QC", "Qua", "Contractor QC", "Fin", "Punch List")</f>
        <v>#VALUE!</v>
      </c>
      <c r="D797" s="15" t="e">
        <f>_xlfn.LET(
_xlpm.leftValue, TRIM(LEFT(Tasks[[#This Row],[Description]], 45)),
IF(LEN(_xlpm.leftValue) &lt; 40, _xlpm.leftValue, _xlfn.CONCAT(_xlpm.leftValue, "…"))
)</f>
        <v>#VALUE!</v>
      </c>
      <c r="E797" s="15" t="e" cm="1">
        <f t="array" ref="E797">_xlfn.LET(
_xlpm.inTower, COUNTIF(Tower_Num_Table[Tower Rm Numbers], LEFT(Task_Summary_Table[[#This Row],[Area/Room]], 3)) &gt; 0,
_xlpm.typeResult, _xlfn.SWITCH(LEFT(Tasks[[#This Row],[Page]], 2), "Hi", "Historic", "An", "Annex", "Si", "Site", "S5", "Project Task", "SWITCH ERROR"),
IF(_xlpm.inTower, "West Tower", _xlpm.typeResult)
)</f>
        <v>#VALUE!</v>
      </c>
      <c r="F797" s="15" t="str">
        <f>IFERROR(MID(Tasks[[#This Row],[Page]], FIND("Level", Tasks[[#This Row],[Page]]), 7), IF(ISNUMBER(FIND("Roof", Tasks[[#This Row],[Page]])), "Roof",  IF(ISNUMBER(FIND("S590", Tasks[[#This Row],[Page]])), "",  IF(ISNUMBER(FIND("Site", Tasks[[#This Row],[Page]])), "", "ERROR"))))</f>
        <v>ERROR</v>
      </c>
      <c r="G797" s="15" t="e">
        <f>IF(Tasks[[#This Row],[Location]]=0, "", Tasks[[#This Row],[Location]])</f>
        <v>#VALUE!</v>
      </c>
      <c r="H797" s="15" t="e">
        <f>Tasks[[#This Row],[To Package]]</f>
        <v>#VALUE!</v>
      </c>
      <c r="I797" s="15" t="e">
        <f>Tasks[[#This Row],[To Organisation]]</f>
        <v>#VALUE!</v>
      </c>
    </row>
    <row r="798" spans="1:9" ht="15.5" x14ac:dyDescent="0.35">
      <c r="A798" s="16" t="e">
        <f>HYPERLINK(_xlfn.CONCAT(Edit_URL,Tasks[[#This Row],[Ref]]),Tasks[[#This Row],[Ref]])</f>
        <v>#VALUE!</v>
      </c>
      <c r="B798" s="15" t="e" cm="1">
        <f t="array" ref="B798">_xlfn.SWITCH(LEFT(Tasks[[#This Row],[Status]],1),"O","Opened","C","Completed","S","Signed Off", "V", "Signed Off","ERROR")</f>
        <v>#VALUE!</v>
      </c>
      <c r="C798" s="15" t="e" cm="1">
        <f t="array" ref="C798">_xlfn.SWITCH(LEFT(Tasks[[#This Row],[Type]], 3), "Fie", "Field Report", "Con", "Contractor QC", "Gen", "Contractor QC", "Pun", "Contractor QC", "Qua", "Contractor QC", "Fin", "Punch List")</f>
        <v>#VALUE!</v>
      </c>
      <c r="D798" s="15" t="e">
        <f>_xlfn.LET(
_xlpm.leftValue, TRIM(LEFT(Tasks[[#This Row],[Description]], 45)),
IF(LEN(_xlpm.leftValue) &lt; 40, _xlpm.leftValue, _xlfn.CONCAT(_xlpm.leftValue, "…"))
)</f>
        <v>#VALUE!</v>
      </c>
      <c r="E798" s="15" t="e" cm="1">
        <f t="array" ref="E798">_xlfn.LET(
_xlpm.inTower, COUNTIF(Tower_Num_Table[Tower Rm Numbers], LEFT(Task_Summary_Table[[#This Row],[Area/Room]], 3)) &gt; 0,
_xlpm.typeResult, _xlfn.SWITCH(LEFT(Tasks[[#This Row],[Page]], 2), "Hi", "Historic", "An", "Annex", "Si", "Site", "S5", "Project Task", "SWITCH ERROR"),
IF(_xlpm.inTower, "West Tower", _xlpm.typeResult)
)</f>
        <v>#VALUE!</v>
      </c>
      <c r="F798" s="15" t="str">
        <f>IFERROR(MID(Tasks[[#This Row],[Page]], FIND("Level", Tasks[[#This Row],[Page]]), 7), IF(ISNUMBER(FIND("Roof", Tasks[[#This Row],[Page]])), "Roof",  IF(ISNUMBER(FIND("S590", Tasks[[#This Row],[Page]])), "",  IF(ISNUMBER(FIND("Site", Tasks[[#This Row],[Page]])), "", "ERROR"))))</f>
        <v>ERROR</v>
      </c>
      <c r="G798" s="15" t="e">
        <f>IF(Tasks[[#This Row],[Location]]=0, "", Tasks[[#This Row],[Location]])</f>
        <v>#VALUE!</v>
      </c>
      <c r="H798" s="15" t="e">
        <f>Tasks[[#This Row],[To Package]]</f>
        <v>#VALUE!</v>
      </c>
      <c r="I798" s="15" t="e">
        <f>Tasks[[#This Row],[To Organisation]]</f>
        <v>#VALUE!</v>
      </c>
    </row>
    <row r="799" spans="1:9" ht="15.5" x14ac:dyDescent="0.35">
      <c r="A799" s="16" t="e">
        <f>HYPERLINK(_xlfn.CONCAT(Edit_URL,Tasks[[#This Row],[Ref]]),Tasks[[#This Row],[Ref]])</f>
        <v>#VALUE!</v>
      </c>
      <c r="B799" s="15" t="e" cm="1">
        <f t="array" ref="B799">_xlfn.SWITCH(LEFT(Tasks[[#This Row],[Status]],1),"O","Opened","C","Completed","S","Signed Off", "V", "Signed Off","ERROR")</f>
        <v>#VALUE!</v>
      </c>
      <c r="C799" s="15" t="e" cm="1">
        <f t="array" ref="C799">_xlfn.SWITCH(LEFT(Tasks[[#This Row],[Type]], 3), "Fie", "Field Report", "Con", "Contractor QC", "Gen", "Contractor QC", "Pun", "Contractor QC", "Qua", "Contractor QC", "Fin", "Punch List")</f>
        <v>#VALUE!</v>
      </c>
      <c r="D799" s="15" t="e">
        <f>_xlfn.LET(
_xlpm.leftValue, TRIM(LEFT(Tasks[[#This Row],[Description]], 45)),
IF(LEN(_xlpm.leftValue) &lt; 40, _xlpm.leftValue, _xlfn.CONCAT(_xlpm.leftValue, "…"))
)</f>
        <v>#VALUE!</v>
      </c>
      <c r="E799" s="15" t="e" cm="1">
        <f t="array" ref="E799">_xlfn.LET(
_xlpm.inTower, COUNTIF(Tower_Num_Table[Tower Rm Numbers], LEFT(Task_Summary_Table[[#This Row],[Area/Room]], 3)) &gt; 0,
_xlpm.typeResult, _xlfn.SWITCH(LEFT(Tasks[[#This Row],[Page]], 2), "Hi", "Historic", "An", "Annex", "Si", "Site", "S5", "Project Task", "SWITCH ERROR"),
IF(_xlpm.inTower, "West Tower", _xlpm.typeResult)
)</f>
        <v>#VALUE!</v>
      </c>
      <c r="F799" s="15" t="str">
        <f>IFERROR(MID(Tasks[[#This Row],[Page]], FIND("Level", Tasks[[#This Row],[Page]]), 7), IF(ISNUMBER(FIND("Roof", Tasks[[#This Row],[Page]])), "Roof",  IF(ISNUMBER(FIND("S590", Tasks[[#This Row],[Page]])), "",  IF(ISNUMBER(FIND("Site", Tasks[[#This Row],[Page]])), "", "ERROR"))))</f>
        <v>ERROR</v>
      </c>
      <c r="G799" s="15" t="e">
        <f>IF(Tasks[[#This Row],[Location]]=0, "", Tasks[[#This Row],[Location]])</f>
        <v>#VALUE!</v>
      </c>
      <c r="H799" s="15" t="e">
        <f>Tasks[[#This Row],[To Package]]</f>
        <v>#VALUE!</v>
      </c>
      <c r="I799" s="15" t="e">
        <f>Tasks[[#This Row],[To Organisation]]</f>
        <v>#VALUE!</v>
      </c>
    </row>
    <row r="800" spans="1:9" ht="15.5" x14ac:dyDescent="0.35">
      <c r="A800" s="16" t="e">
        <f>HYPERLINK(_xlfn.CONCAT(Edit_URL,Tasks[[#This Row],[Ref]]),Tasks[[#This Row],[Ref]])</f>
        <v>#VALUE!</v>
      </c>
      <c r="B800" s="15" t="e" cm="1">
        <f t="array" ref="B800">_xlfn.SWITCH(LEFT(Tasks[[#This Row],[Status]],1),"O","Opened","C","Completed","S","Signed Off", "V", "Signed Off","ERROR")</f>
        <v>#VALUE!</v>
      </c>
      <c r="C800" s="15" t="e" cm="1">
        <f t="array" ref="C800">_xlfn.SWITCH(LEFT(Tasks[[#This Row],[Type]], 3), "Fie", "Field Report", "Con", "Contractor QC", "Gen", "Contractor QC", "Pun", "Contractor QC", "Qua", "Contractor QC", "Fin", "Punch List")</f>
        <v>#VALUE!</v>
      </c>
      <c r="D800" s="15" t="e">
        <f>_xlfn.LET(
_xlpm.leftValue, TRIM(LEFT(Tasks[[#This Row],[Description]], 45)),
IF(LEN(_xlpm.leftValue) &lt; 40, _xlpm.leftValue, _xlfn.CONCAT(_xlpm.leftValue, "…"))
)</f>
        <v>#VALUE!</v>
      </c>
      <c r="E800" s="15" t="e" cm="1">
        <f t="array" ref="E800">_xlfn.LET(
_xlpm.inTower, COUNTIF(Tower_Num_Table[Tower Rm Numbers], LEFT(Task_Summary_Table[[#This Row],[Area/Room]], 3)) &gt; 0,
_xlpm.typeResult, _xlfn.SWITCH(LEFT(Tasks[[#This Row],[Page]], 2), "Hi", "Historic", "An", "Annex", "Si", "Site", "S5", "Project Task", "SWITCH ERROR"),
IF(_xlpm.inTower, "West Tower", _xlpm.typeResult)
)</f>
        <v>#VALUE!</v>
      </c>
      <c r="F800" s="15" t="str">
        <f>IFERROR(MID(Tasks[[#This Row],[Page]], FIND("Level", Tasks[[#This Row],[Page]]), 7), IF(ISNUMBER(FIND("Roof", Tasks[[#This Row],[Page]])), "Roof",  IF(ISNUMBER(FIND("S590", Tasks[[#This Row],[Page]])), "",  IF(ISNUMBER(FIND("Site", Tasks[[#This Row],[Page]])), "", "ERROR"))))</f>
        <v>ERROR</v>
      </c>
      <c r="G800" s="15" t="e">
        <f>IF(Tasks[[#This Row],[Location]]=0, "", Tasks[[#This Row],[Location]])</f>
        <v>#VALUE!</v>
      </c>
      <c r="H800" s="15" t="e">
        <f>Tasks[[#This Row],[To Package]]</f>
        <v>#VALUE!</v>
      </c>
      <c r="I800" s="15" t="e">
        <f>Tasks[[#This Row],[To Organisation]]</f>
        <v>#VALUE!</v>
      </c>
    </row>
    <row r="801" spans="1:9" ht="15.5" x14ac:dyDescent="0.35">
      <c r="A801" s="16" t="e">
        <f>HYPERLINK(_xlfn.CONCAT(Edit_URL,Tasks[[#This Row],[Ref]]),Tasks[[#This Row],[Ref]])</f>
        <v>#VALUE!</v>
      </c>
      <c r="B801" s="15" t="e" cm="1">
        <f t="array" ref="B801">_xlfn.SWITCH(LEFT(Tasks[[#This Row],[Status]],1),"O","Opened","C","Completed","S","Signed Off", "V", "Signed Off","ERROR")</f>
        <v>#VALUE!</v>
      </c>
      <c r="C801" s="15" t="e" cm="1">
        <f t="array" ref="C801">_xlfn.SWITCH(LEFT(Tasks[[#This Row],[Type]], 3), "Fie", "Field Report", "Con", "Contractor QC", "Gen", "Contractor QC", "Pun", "Contractor QC", "Qua", "Contractor QC", "Fin", "Punch List")</f>
        <v>#VALUE!</v>
      </c>
      <c r="D801" s="15" t="e">
        <f>_xlfn.LET(
_xlpm.leftValue, TRIM(LEFT(Tasks[[#This Row],[Description]], 45)),
IF(LEN(_xlpm.leftValue) &lt; 40, _xlpm.leftValue, _xlfn.CONCAT(_xlpm.leftValue, "…"))
)</f>
        <v>#VALUE!</v>
      </c>
      <c r="E801" s="15" t="e" cm="1">
        <f t="array" ref="E801">_xlfn.LET(
_xlpm.inTower, COUNTIF(Tower_Num_Table[Tower Rm Numbers], LEFT(Task_Summary_Table[[#This Row],[Area/Room]], 3)) &gt; 0,
_xlpm.typeResult, _xlfn.SWITCH(LEFT(Tasks[[#This Row],[Page]], 2), "Hi", "Historic", "An", "Annex", "Si", "Site", "S5", "Project Task", "SWITCH ERROR"),
IF(_xlpm.inTower, "West Tower", _xlpm.typeResult)
)</f>
        <v>#VALUE!</v>
      </c>
      <c r="F801" s="15" t="str">
        <f>IFERROR(MID(Tasks[[#This Row],[Page]], FIND("Level", Tasks[[#This Row],[Page]]), 7), IF(ISNUMBER(FIND("Roof", Tasks[[#This Row],[Page]])), "Roof",  IF(ISNUMBER(FIND("S590", Tasks[[#This Row],[Page]])), "",  IF(ISNUMBER(FIND("Site", Tasks[[#This Row],[Page]])), "", "ERROR"))))</f>
        <v>ERROR</v>
      </c>
      <c r="G801" s="15" t="e">
        <f>IF(Tasks[[#This Row],[Location]]=0, "", Tasks[[#This Row],[Location]])</f>
        <v>#VALUE!</v>
      </c>
      <c r="H801" s="15" t="e">
        <f>Tasks[[#This Row],[To Package]]</f>
        <v>#VALUE!</v>
      </c>
      <c r="I801" s="15" t="e">
        <f>Tasks[[#This Row],[To Organisation]]</f>
        <v>#VALUE!</v>
      </c>
    </row>
    <row r="802" spans="1:9" ht="15.5" x14ac:dyDescent="0.35">
      <c r="A802" s="16" t="e">
        <f>HYPERLINK(_xlfn.CONCAT(Edit_URL,Tasks[[#This Row],[Ref]]),Tasks[[#This Row],[Ref]])</f>
        <v>#VALUE!</v>
      </c>
      <c r="B802" s="15" t="e" cm="1">
        <f t="array" ref="B802">_xlfn.SWITCH(LEFT(Tasks[[#This Row],[Status]],1),"O","Opened","C","Completed","S","Signed Off", "V", "Signed Off","ERROR")</f>
        <v>#VALUE!</v>
      </c>
      <c r="C802" s="15" t="e" cm="1">
        <f t="array" ref="C802">_xlfn.SWITCH(LEFT(Tasks[[#This Row],[Type]], 3), "Fie", "Field Report", "Con", "Contractor QC", "Gen", "Contractor QC", "Pun", "Contractor QC", "Qua", "Contractor QC", "Fin", "Punch List")</f>
        <v>#VALUE!</v>
      </c>
      <c r="D802" s="15" t="e">
        <f>_xlfn.LET(
_xlpm.leftValue, TRIM(LEFT(Tasks[[#This Row],[Description]], 45)),
IF(LEN(_xlpm.leftValue) &lt; 40, _xlpm.leftValue, _xlfn.CONCAT(_xlpm.leftValue, "…"))
)</f>
        <v>#VALUE!</v>
      </c>
      <c r="E802" s="15" t="e" cm="1">
        <f t="array" ref="E802">_xlfn.LET(
_xlpm.inTower, COUNTIF(Tower_Num_Table[Tower Rm Numbers], LEFT(Task_Summary_Table[[#This Row],[Area/Room]], 3)) &gt; 0,
_xlpm.typeResult, _xlfn.SWITCH(LEFT(Tasks[[#This Row],[Page]], 2), "Hi", "Historic", "An", "Annex", "Si", "Site", "S5", "Project Task", "SWITCH ERROR"),
IF(_xlpm.inTower, "West Tower", _xlpm.typeResult)
)</f>
        <v>#VALUE!</v>
      </c>
      <c r="F802" s="15" t="str">
        <f>IFERROR(MID(Tasks[[#This Row],[Page]], FIND("Level", Tasks[[#This Row],[Page]]), 7), IF(ISNUMBER(FIND("Roof", Tasks[[#This Row],[Page]])), "Roof",  IF(ISNUMBER(FIND("S590", Tasks[[#This Row],[Page]])), "",  IF(ISNUMBER(FIND("Site", Tasks[[#This Row],[Page]])), "", "ERROR"))))</f>
        <v>ERROR</v>
      </c>
      <c r="G802" s="15" t="e">
        <f>IF(Tasks[[#This Row],[Location]]=0, "", Tasks[[#This Row],[Location]])</f>
        <v>#VALUE!</v>
      </c>
      <c r="H802" s="15" t="e">
        <f>Tasks[[#This Row],[To Package]]</f>
        <v>#VALUE!</v>
      </c>
      <c r="I802" s="15" t="e">
        <f>Tasks[[#This Row],[To Organisation]]</f>
        <v>#VALUE!</v>
      </c>
    </row>
    <row r="803" spans="1:9" ht="15.5" x14ac:dyDescent="0.35">
      <c r="A803" s="16" t="e">
        <f>HYPERLINK(_xlfn.CONCAT(Edit_URL,Tasks[[#This Row],[Ref]]),Tasks[[#This Row],[Ref]])</f>
        <v>#VALUE!</v>
      </c>
      <c r="B803" s="15" t="e" cm="1">
        <f t="array" ref="B803">_xlfn.SWITCH(LEFT(Tasks[[#This Row],[Status]],1),"O","Opened","C","Completed","S","Signed Off", "V", "Signed Off","ERROR")</f>
        <v>#VALUE!</v>
      </c>
      <c r="C803" s="15" t="e" cm="1">
        <f t="array" ref="C803">_xlfn.SWITCH(LEFT(Tasks[[#This Row],[Type]], 3), "Fie", "Field Report", "Con", "Contractor QC", "Gen", "Contractor QC", "Pun", "Contractor QC", "Qua", "Contractor QC", "Fin", "Punch List")</f>
        <v>#VALUE!</v>
      </c>
      <c r="D803" s="15" t="e">
        <f>_xlfn.LET(
_xlpm.leftValue, TRIM(LEFT(Tasks[[#This Row],[Description]], 45)),
IF(LEN(_xlpm.leftValue) &lt; 40, _xlpm.leftValue, _xlfn.CONCAT(_xlpm.leftValue, "…"))
)</f>
        <v>#VALUE!</v>
      </c>
      <c r="E803" s="15" t="e" cm="1">
        <f t="array" ref="E803">_xlfn.LET(
_xlpm.inTower, COUNTIF(Tower_Num_Table[Tower Rm Numbers], LEFT(Task_Summary_Table[[#This Row],[Area/Room]], 3)) &gt; 0,
_xlpm.typeResult, _xlfn.SWITCH(LEFT(Tasks[[#This Row],[Page]], 2), "Hi", "Historic", "An", "Annex", "Si", "Site", "S5", "Project Task", "SWITCH ERROR"),
IF(_xlpm.inTower, "West Tower", _xlpm.typeResult)
)</f>
        <v>#VALUE!</v>
      </c>
      <c r="F803" s="15" t="str">
        <f>IFERROR(MID(Tasks[[#This Row],[Page]], FIND("Level", Tasks[[#This Row],[Page]]), 7), IF(ISNUMBER(FIND("Roof", Tasks[[#This Row],[Page]])), "Roof",  IF(ISNUMBER(FIND("S590", Tasks[[#This Row],[Page]])), "",  IF(ISNUMBER(FIND("Site", Tasks[[#This Row],[Page]])), "", "ERROR"))))</f>
        <v>ERROR</v>
      </c>
      <c r="G803" s="15" t="e">
        <f>IF(Tasks[[#This Row],[Location]]=0, "", Tasks[[#This Row],[Location]])</f>
        <v>#VALUE!</v>
      </c>
      <c r="H803" s="15" t="e">
        <f>Tasks[[#This Row],[To Package]]</f>
        <v>#VALUE!</v>
      </c>
      <c r="I803" s="15" t="e">
        <f>Tasks[[#This Row],[To Organisation]]</f>
        <v>#VALUE!</v>
      </c>
    </row>
    <row r="804" spans="1:9" ht="15.5" x14ac:dyDescent="0.35">
      <c r="A804" s="16" t="e">
        <f>HYPERLINK(_xlfn.CONCAT(Edit_URL,Tasks[[#This Row],[Ref]]),Tasks[[#This Row],[Ref]])</f>
        <v>#VALUE!</v>
      </c>
      <c r="B804" s="15" t="e" cm="1">
        <f t="array" ref="B804">_xlfn.SWITCH(LEFT(Tasks[[#This Row],[Status]],1),"O","Opened","C","Completed","S","Signed Off", "V", "Signed Off","ERROR")</f>
        <v>#VALUE!</v>
      </c>
      <c r="C804" s="15" t="e" cm="1">
        <f t="array" ref="C804">_xlfn.SWITCH(LEFT(Tasks[[#This Row],[Type]], 3), "Fie", "Field Report", "Con", "Contractor QC", "Gen", "Contractor QC", "Pun", "Contractor QC", "Qua", "Contractor QC", "Fin", "Punch List")</f>
        <v>#VALUE!</v>
      </c>
      <c r="D804" s="15" t="e">
        <f>_xlfn.LET(
_xlpm.leftValue, TRIM(LEFT(Tasks[[#This Row],[Description]], 45)),
IF(LEN(_xlpm.leftValue) &lt; 40, _xlpm.leftValue, _xlfn.CONCAT(_xlpm.leftValue, "…"))
)</f>
        <v>#VALUE!</v>
      </c>
      <c r="E804" s="15" t="e" cm="1">
        <f t="array" ref="E804">_xlfn.LET(
_xlpm.inTower, COUNTIF(Tower_Num_Table[Tower Rm Numbers], LEFT(Task_Summary_Table[[#This Row],[Area/Room]], 3)) &gt; 0,
_xlpm.typeResult, _xlfn.SWITCH(LEFT(Tasks[[#This Row],[Page]], 2), "Hi", "Historic", "An", "Annex", "Si", "Site", "S5", "Project Task", "SWITCH ERROR"),
IF(_xlpm.inTower, "West Tower", _xlpm.typeResult)
)</f>
        <v>#VALUE!</v>
      </c>
      <c r="F804" s="15" t="str">
        <f>IFERROR(MID(Tasks[[#This Row],[Page]], FIND("Level", Tasks[[#This Row],[Page]]), 7), IF(ISNUMBER(FIND("Roof", Tasks[[#This Row],[Page]])), "Roof",  IF(ISNUMBER(FIND("S590", Tasks[[#This Row],[Page]])), "",  IF(ISNUMBER(FIND("Site", Tasks[[#This Row],[Page]])), "", "ERROR"))))</f>
        <v>ERROR</v>
      </c>
      <c r="G804" s="15" t="e">
        <f>IF(Tasks[[#This Row],[Location]]=0, "", Tasks[[#This Row],[Location]])</f>
        <v>#VALUE!</v>
      </c>
      <c r="H804" s="15" t="e">
        <f>Tasks[[#This Row],[To Package]]</f>
        <v>#VALUE!</v>
      </c>
      <c r="I804" s="15" t="e">
        <f>Tasks[[#This Row],[To Organisation]]</f>
        <v>#VALUE!</v>
      </c>
    </row>
    <row r="805" spans="1:9" ht="15.5" x14ac:dyDescent="0.35">
      <c r="A805" s="16" t="e">
        <f>HYPERLINK(_xlfn.CONCAT(Edit_URL,Tasks[[#This Row],[Ref]]),Tasks[[#This Row],[Ref]])</f>
        <v>#VALUE!</v>
      </c>
      <c r="B805" s="15" t="e" cm="1">
        <f t="array" ref="B805">_xlfn.SWITCH(LEFT(Tasks[[#This Row],[Status]],1),"O","Opened","C","Completed","S","Signed Off", "V", "Signed Off","ERROR")</f>
        <v>#VALUE!</v>
      </c>
      <c r="C805" s="15" t="e" cm="1">
        <f t="array" ref="C805">_xlfn.SWITCH(LEFT(Tasks[[#This Row],[Type]], 3), "Fie", "Field Report", "Con", "Contractor QC", "Gen", "Contractor QC", "Pun", "Contractor QC", "Qua", "Contractor QC", "Fin", "Punch List")</f>
        <v>#VALUE!</v>
      </c>
      <c r="D805" s="15" t="e">
        <f>_xlfn.LET(
_xlpm.leftValue, TRIM(LEFT(Tasks[[#This Row],[Description]], 45)),
IF(LEN(_xlpm.leftValue) &lt; 40, _xlpm.leftValue, _xlfn.CONCAT(_xlpm.leftValue, "…"))
)</f>
        <v>#VALUE!</v>
      </c>
      <c r="E805" s="15" t="e" cm="1">
        <f t="array" ref="E805">_xlfn.LET(
_xlpm.inTower, COUNTIF(Tower_Num_Table[Tower Rm Numbers], LEFT(Task_Summary_Table[[#This Row],[Area/Room]], 3)) &gt; 0,
_xlpm.typeResult, _xlfn.SWITCH(LEFT(Tasks[[#This Row],[Page]], 2), "Hi", "Historic", "An", "Annex", "Si", "Site", "S5", "Project Task", "SWITCH ERROR"),
IF(_xlpm.inTower, "West Tower", _xlpm.typeResult)
)</f>
        <v>#VALUE!</v>
      </c>
      <c r="F805" s="15" t="str">
        <f>IFERROR(MID(Tasks[[#This Row],[Page]], FIND("Level", Tasks[[#This Row],[Page]]), 7), IF(ISNUMBER(FIND("Roof", Tasks[[#This Row],[Page]])), "Roof",  IF(ISNUMBER(FIND("S590", Tasks[[#This Row],[Page]])), "",  IF(ISNUMBER(FIND("Site", Tasks[[#This Row],[Page]])), "", "ERROR"))))</f>
        <v>ERROR</v>
      </c>
      <c r="G805" s="15" t="e">
        <f>IF(Tasks[[#This Row],[Location]]=0, "", Tasks[[#This Row],[Location]])</f>
        <v>#VALUE!</v>
      </c>
      <c r="H805" s="15" t="e">
        <f>Tasks[[#This Row],[To Package]]</f>
        <v>#VALUE!</v>
      </c>
      <c r="I805" s="15" t="e">
        <f>Tasks[[#This Row],[To Organisation]]</f>
        <v>#VALUE!</v>
      </c>
    </row>
    <row r="806" spans="1:9" ht="15.5" x14ac:dyDescent="0.35">
      <c r="A806" s="16" t="e">
        <f>HYPERLINK(_xlfn.CONCAT(Edit_URL,Tasks[[#This Row],[Ref]]),Tasks[[#This Row],[Ref]])</f>
        <v>#VALUE!</v>
      </c>
      <c r="B806" s="15" t="e" cm="1">
        <f t="array" ref="B806">_xlfn.SWITCH(LEFT(Tasks[[#This Row],[Status]],1),"O","Opened","C","Completed","S","Signed Off", "V", "Signed Off","ERROR")</f>
        <v>#VALUE!</v>
      </c>
      <c r="C806" s="15" t="e" cm="1">
        <f t="array" ref="C806">_xlfn.SWITCH(LEFT(Tasks[[#This Row],[Type]], 3), "Fie", "Field Report", "Con", "Contractor QC", "Gen", "Contractor QC", "Pun", "Contractor QC", "Qua", "Contractor QC", "Fin", "Punch List")</f>
        <v>#VALUE!</v>
      </c>
      <c r="D806" s="15" t="e">
        <f>_xlfn.LET(
_xlpm.leftValue, TRIM(LEFT(Tasks[[#This Row],[Description]], 45)),
IF(LEN(_xlpm.leftValue) &lt; 40, _xlpm.leftValue, _xlfn.CONCAT(_xlpm.leftValue, "…"))
)</f>
        <v>#VALUE!</v>
      </c>
      <c r="E806" s="15" t="e" cm="1">
        <f t="array" ref="E806">_xlfn.LET(
_xlpm.inTower, COUNTIF(Tower_Num_Table[Tower Rm Numbers], LEFT(Task_Summary_Table[[#This Row],[Area/Room]], 3)) &gt; 0,
_xlpm.typeResult, _xlfn.SWITCH(LEFT(Tasks[[#This Row],[Page]], 2), "Hi", "Historic", "An", "Annex", "Si", "Site", "S5", "Project Task", "SWITCH ERROR"),
IF(_xlpm.inTower, "West Tower", _xlpm.typeResult)
)</f>
        <v>#VALUE!</v>
      </c>
      <c r="F806" s="15" t="str">
        <f>IFERROR(MID(Tasks[[#This Row],[Page]], FIND("Level", Tasks[[#This Row],[Page]]), 7), IF(ISNUMBER(FIND("Roof", Tasks[[#This Row],[Page]])), "Roof",  IF(ISNUMBER(FIND("S590", Tasks[[#This Row],[Page]])), "",  IF(ISNUMBER(FIND("Site", Tasks[[#This Row],[Page]])), "", "ERROR"))))</f>
        <v>ERROR</v>
      </c>
      <c r="G806" s="15" t="e">
        <f>IF(Tasks[[#This Row],[Location]]=0, "", Tasks[[#This Row],[Location]])</f>
        <v>#VALUE!</v>
      </c>
      <c r="H806" s="15" t="e">
        <f>Tasks[[#This Row],[To Package]]</f>
        <v>#VALUE!</v>
      </c>
      <c r="I806" s="15" t="e">
        <f>Tasks[[#This Row],[To Organisation]]</f>
        <v>#VALUE!</v>
      </c>
    </row>
    <row r="807" spans="1:9" ht="15.5" x14ac:dyDescent="0.35">
      <c r="A807" s="16" t="e">
        <f>HYPERLINK(_xlfn.CONCAT(Edit_URL,Tasks[[#This Row],[Ref]]),Tasks[[#This Row],[Ref]])</f>
        <v>#VALUE!</v>
      </c>
      <c r="B807" s="15" t="e" cm="1">
        <f t="array" ref="B807">_xlfn.SWITCH(LEFT(Tasks[[#This Row],[Status]],1),"O","Opened","C","Completed","S","Signed Off", "V", "Signed Off","ERROR")</f>
        <v>#VALUE!</v>
      </c>
      <c r="C807" s="15" t="e" cm="1">
        <f t="array" ref="C807">_xlfn.SWITCH(LEFT(Tasks[[#This Row],[Type]], 3), "Fie", "Field Report", "Con", "Contractor QC", "Gen", "Contractor QC", "Pun", "Contractor QC", "Qua", "Contractor QC", "Fin", "Punch List")</f>
        <v>#VALUE!</v>
      </c>
      <c r="D807" s="15" t="e">
        <f>_xlfn.LET(
_xlpm.leftValue, TRIM(LEFT(Tasks[[#This Row],[Description]], 45)),
IF(LEN(_xlpm.leftValue) &lt; 40, _xlpm.leftValue, _xlfn.CONCAT(_xlpm.leftValue, "…"))
)</f>
        <v>#VALUE!</v>
      </c>
      <c r="E807" s="15" t="e" cm="1">
        <f t="array" ref="E807">_xlfn.LET(
_xlpm.inTower, COUNTIF(Tower_Num_Table[Tower Rm Numbers], LEFT(Task_Summary_Table[[#This Row],[Area/Room]], 3)) &gt; 0,
_xlpm.typeResult, _xlfn.SWITCH(LEFT(Tasks[[#This Row],[Page]], 2), "Hi", "Historic", "An", "Annex", "Si", "Site", "S5", "Project Task", "SWITCH ERROR"),
IF(_xlpm.inTower, "West Tower", _xlpm.typeResult)
)</f>
        <v>#VALUE!</v>
      </c>
      <c r="F807" s="15" t="str">
        <f>IFERROR(MID(Tasks[[#This Row],[Page]], FIND("Level", Tasks[[#This Row],[Page]]), 7), IF(ISNUMBER(FIND("Roof", Tasks[[#This Row],[Page]])), "Roof",  IF(ISNUMBER(FIND("S590", Tasks[[#This Row],[Page]])), "",  IF(ISNUMBER(FIND("Site", Tasks[[#This Row],[Page]])), "", "ERROR"))))</f>
        <v>ERROR</v>
      </c>
      <c r="G807" s="15" t="e">
        <f>IF(Tasks[[#This Row],[Location]]=0, "", Tasks[[#This Row],[Location]])</f>
        <v>#VALUE!</v>
      </c>
      <c r="H807" s="15" t="e">
        <f>Tasks[[#This Row],[To Package]]</f>
        <v>#VALUE!</v>
      </c>
      <c r="I807" s="15" t="e">
        <f>Tasks[[#This Row],[To Organisation]]</f>
        <v>#VALUE!</v>
      </c>
    </row>
    <row r="808" spans="1:9" ht="15.5" x14ac:dyDescent="0.35">
      <c r="A808" s="16" t="e">
        <f>HYPERLINK(_xlfn.CONCAT(Edit_URL,Tasks[[#This Row],[Ref]]),Tasks[[#This Row],[Ref]])</f>
        <v>#VALUE!</v>
      </c>
      <c r="B808" s="15" t="e" cm="1">
        <f t="array" ref="B808">_xlfn.SWITCH(LEFT(Tasks[[#This Row],[Status]],1),"O","Opened","C","Completed","S","Signed Off", "V", "Signed Off","ERROR")</f>
        <v>#VALUE!</v>
      </c>
      <c r="C808" s="15" t="e" cm="1">
        <f t="array" ref="C808">_xlfn.SWITCH(LEFT(Tasks[[#This Row],[Type]], 3), "Fie", "Field Report", "Con", "Contractor QC", "Gen", "Contractor QC", "Pun", "Contractor QC", "Qua", "Contractor QC", "Fin", "Punch List")</f>
        <v>#VALUE!</v>
      </c>
      <c r="D808" s="15" t="e">
        <f>_xlfn.LET(
_xlpm.leftValue, TRIM(LEFT(Tasks[[#This Row],[Description]], 45)),
IF(LEN(_xlpm.leftValue) &lt; 40, _xlpm.leftValue, _xlfn.CONCAT(_xlpm.leftValue, "…"))
)</f>
        <v>#VALUE!</v>
      </c>
      <c r="E808" s="15" t="e" cm="1">
        <f t="array" ref="E808">_xlfn.LET(
_xlpm.inTower, COUNTIF(Tower_Num_Table[Tower Rm Numbers], LEFT(Task_Summary_Table[[#This Row],[Area/Room]], 3)) &gt; 0,
_xlpm.typeResult, _xlfn.SWITCH(LEFT(Tasks[[#This Row],[Page]], 2), "Hi", "Historic", "An", "Annex", "Si", "Site", "S5", "Project Task", "SWITCH ERROR"),
IF(_xlpm.inTower, "West Tower", _xlpm.typeResult)
)</f>
        <v>#VALUE!</v>
      </c>
      <c r="F808" s="15" t="str">
        <f>IFERROR(MID(Tasks[[#This Row],[Page]], FIND("Level", Tasks[[#This Row],[Page]]), 7), IF(ISNUMBER(FIND("Roof", Tasks[[#This Row],[Page]])), "Roof",  IF(ISNUMBER(FIND("S590", Tasks[[#This Row],[Page]])), "",  IF(ISNUMBER(FIND("Site", Tasks[[#This Row],[Page]])), "", "ERROR"))))</f>
        <v>ERROR</v>
      </c>
      <c r="G808" s="15" t="e">
        <f>IF(Tasks[[#This Row],[Location]]=0, "", Tasks[[#This Row],[Location]])</f>
        <v>#VALUE!</v>
      </c>
      <c r="H808" s="15" t="e">
        <f>Tasks[[#This Row],[To Package]]</f>
        <v>#VALUE!</v>
      </c>
      <c r="I808" s="15" t="e">
        <f>Tasks[[#This Row],[To Organisation]]</f>
        <v>#VALUE!</v>
      </c>
    </row>
    <row r="809" spans="1:9" ht="15.5" x14ac:dyDescent="0.35">
      <c r="A809" s="16" t="e">
        <f>HYPERLINK(_xlfn.CONCAT(Edit_URL,Tasks[[#This Row],[Ref]]),Tasks[[#This Row],[Ref]])</f>
        <v>#VALUE!</v>
      </c>
      <c r="B809" s="15" t="e" cm="1">
        <f t="array" ref="B809">_xlfn.SWITCH(LEFT(Tasks[[#This Row],[Status]],1),"O","Opened","C","Completed","S","Signed Off", "V", "Signed Off","ERROR")</f>
        <v>#VALUE!</v>
      </c>
      <c r="C809" s="15" t="e" cm="1">
        <f t="array" ref="C809">_xlfn.SWITCH(LEFT(Tasks[[#This Row],[Type]], 3), "Fie", "Field Report", "Con", "Contractor QC", "Gen", "Contractor QC", "Pun", "Contractor QC", "Qua", "Contractor QC", "Fin", "Punch List")</f>
        <v>#VALUE!</v>
      </c>
      <c r="D809" s="15" t="e">
        <f>_xlfn.LET(
_xlpm.leftValue, TRIM(LEFT(Tasks[[#This Row],[Description]], 45)),
IF(LEN(_xlpm.leftValue) &lt; 40, _xlpm.leftValue, _xlfn.CONCAT(_xlpm.leftValue, "…"))
)</f>
        <v>#VALUE!</v>
      </c>
      <c r="E809" s="15" t="e" cm="1">
        <f t="array" ref="E809">_xlfn.LET(
_xlpm.inTower, COUNTIF(Tower_Num_Table[Tower Rm Numbers], LEFT(Task_Summary_Table[[#This Row],[Area/Room]], 3)) &gt; 0,
_xlpm.typeResult, _xlfn.SWITCH(LEFT(Tasks[[#This Row],[Page]], 2), "Hi", "Historic", "An", "Annex", "Si", "Site", "S5", "Project Task", "SWITCH ERROR"),
IF(_xlpm.inTower, "West Tower", _xlpm.typeResult)
)</f>
        <v>#VALUE!</v>
      </c>
      <c r="F809" s="15" t="str">
        <f>IFERROR(MID(Tasks[[#This Row],[Page]], FIND("Level", Tasks[[#This Row],[Page]]), 7), IF(ISNUMBER(FIND("Roof", Tasks[[#This Row],[Page]])), "Roof",  IF(ISNUMBER(FIND("S590", Tasks[[#This Row],[Page]])), "",  IF(ISNUMBER(FIND("Site", Tasks[[#This Row],[Page]])), "", "ERROR"))))</f>
        <v>ERROR</v>
      </c>
      <c r="G809" s="15" t="e">
        <f>IF(Tasks[[#This Row],[Location]]=0, "", Tasks[[#This Row],[Location]])</f>
        <v>#VALUE!</v>
      </c>
      <c r="H809" s="15" t="e">
        <f>Tasks[[#This Row],[To Package]]</f>
        <v>#VALUE!</v>
      </c>
      <c r="I809" s="15" t="e">
        <f>Tasks[[#This Row],[To Organisation]]</f>
        <v>#VALUE!</v>
      </c>
    </row>
    <row r="810" spans="1:9" ht="15.5" x14ac:dyDescent="0.35">
      <c r="A810" s="16" t="e">
        <f>HYPERLINK(_xlfn.CONCAT(Edit_URL,Tasks[[#This Row],[Ref]]),Tasks[[#This Row],[Ref]])</f>
        <v>#VALUE!</v>
      </c>
      <c r="B810" s="15" t="e" cm="1">
        <f t="array" ref="B810">_xlfn.SWITCH(LEFT(Tasks[[#This Row],[Status]],1),"O","Opened","C","Completed","S","Signed Off", "V", "Signed Off","ERROR")</f>
        <v>#VALUE!</v>
      </c>
      <c r="C810" s="15" t="e" cm="1">
        <f t="array" ref="C810">_xlfn.SWITCH(LEFT(Tasks[[#This Row],[Type]], 3), "Fie", "Field Report", "Con", "Contractor QC", "Gen", "Contractor QC", "Pun", "Contractor QC", "Qua", "Contractor QC", "Fin", "Punch List")</f>
        <v>#VALUE!</v>
      </c>
      <c r="D810" s="15" t="e">
        <f>_xlfn.LET(
_xlpm.leftValue, TRIM(LEFT(Tasks[[#This Row],[Description]], 45)),
IF(LEN(_xlpm.leftValue) &lt; 40, _xlpm.leftValue, _xlfn.CONCAT(_xlpm.leftValue, "…"))
)</f>
        <v>#VALUE!</v>
      </c>
      <c r="E810" s="15" t="e" cm="1">
        <f t="array" ref="E810">_xlfn.LET(
_xlpm.inTower, COUNTIF(Tower_Num_Table[Tower Rm Numbers], LEFT(Task_Summary_Table[[#This Row],[Area/Room]], 3)) &gt; 0,
_xlpm.typeResult, _xlfn.SWITCH(LEFT(Tasks[[#This Row],[Page]], 2), "Hi", "Historic", "An", "Annex", "Si", "Site", "S5", "Project Task", "SWITCH ERROR"),
IF(_xlpm.inTower, "West Tower", _xlpm.typeResult)
)</f>
        <v>#VALUE!</v>
      </c>
      <c r="F810" s="15" t="str">
        <f>IFERROR(MID(Tasks[[#This Row],[Page]], FIND("Level", Tasks[[#This Row],[Page]]), 7), IF(ISNUMBER(FIND("Roof", Tasks[[#This Row],[Page]])), "Roof",  IF(ISNUMBER(FIND("S590", Tasks[[#This Row],[Page]])), "",  IF(ISNUMBER(FIND("Site", Tasks[[#This Row],[Page]])), "", "ERROR"))))</f>
        <v>ERROR</v>
      </c>
      <c r="G810" s="15" t="e">
        <f>IF(Tasks[[#This Row],[Location]]=0, "", Tasks[[#This Row],[Location]])</f>
        <v>#VALUE!</v>
      </c>
      <c r="H810" s="15" t="e">
        <f>Tasks[[#This Row],[To Package]]</f>
        <v>#VALUE!</v>
      </c>
      <c r="I810" s="15" t="e">
        <f>Tasks[[#This Row],[To Organisation]]</f>
        <v>#VALUE!</v>
      </c>
    </row>
    <row r="811" spans="1:9" ht="15.5" x14ac:dyDescent="0.35">
      <c r="A811" s="16" t="e">
        <f>HYPERLINK(_xlfn.CONCAT(Edit_URL,Tasks[[#This Row],[Ref]]),Tasks[[#This Row],[Ref]])</f>
        <v>#VALUE!</v>
      </c>
      <c r="B811" s="15" t="e" cm="1">
        <f t="array" ref="B811">_xlfn.SWITCH(LEFT(Tasks[[#This Row],[Status]],1),"O","Opened","C","Completed","S","Signed Off", "V", "Signed Off","ERROR")</f>
        <v>#VALUE!</v>
      </c>
      <c r="C811" s="15" t="e" cm="1">
        <f t="array" ref="C811">_xlfn.SWITCH(LEFT(Tasks[[#This Row],[Type]], 3), "Fie", "Field Report", "Con", "Contractor QC", "Gen", "Contractor QC", "Pun", "Contractor QC", "Qua", "Contractor QC", "Fin", "Punch List")</f>
        <v>#VALUE!</v>
      </c>
      <c r="D811" s="15" t="e">
        <f>_xlfn.LET(
_xlpm.leftValue, TRIM(LEFT(Tasks[[#This Row],[Description]], 45)),
IF(LEN(_xlpm.leftValue) &lt; 40, _xlpm.leftValue, _xlfn.CONCAT(_xlpm.leftValue, "…"))
)</f>
        <v>#VALUE!</v>
      </c>
      <c r="E811" s="15" t="e" cm="1">
        <f t="array" ref="E811">_xlfn.LET(
_xlpm.inTower, COUNTIF(Tower_Num_Table[Tower Rm Numbers], LEFT(Task_Summary_Table[[#This Row],[Area/Room]], 3)) &gt; 0,
_xlpm.typeResult, _xlfn.SWITCH(LEFT(Tasks[[#This Row],[Page]], 2), "Hi", "Historic", "An", "Annex", "Si", "Site", "S5", "Project Task", "SWITCH ERROR"),
IF(_xlpm.inTower, "West Tower", _xlpm.typeResult)
)</f>
        <v>#VALUE!</v>
      </c>
      <c r="F811" s="15" t="str">
        <f>IFERROR(MID(Tasks[[#This Row],[Page]], FIND("Level", Tasks[[#This Row],[Page]]), 7), IF(ISNUMBER(FIND("Roof", Tasks[[#This Row],[Page]])), "Roof",  IF(ISNUMBER(FIND("S590", Tasks[[#This Row],[Page]])), "",  IF(ISNUMBER(FIND("Site", Tasks[[#This Row],[Page]])), "", "ERROR"))))</f>
        <v>ERROR</v>
      </c>
      <c r="G811" s="15" t="e">
        <f>IF(Tasks[[#This Row],[Location]]=0, "", Tasks[[#This Row],[Location]])</f>
        <v>#VALUE!</v>
      </c>
      <c r="H811" s="15" t="e">
        <f>Tasks[[#This Row],[To Package]]</f>
        <v>#VALUE!</v>
      </c>
      <c r="I811" s="15" t="e">
        <f>Tasks[[#This Row],[To Organisation]]</f>
        <v>#VALUE!</v>
      </c>
    </row>
    <row r="812" spans="1:9" ht="15.5" x14ac:dyDescent="0.35">
      <c r="A812" s="16" t="e">
        <f>HYPERLINK(_xlfn.CONCAT(Edit_URL,Tasks[[#This Row],[Ref]]),Tasks[[#This Row],[Ref]])</f>
        <v>#VALUE!</v>
      </c>
      <c r="B812" s="15" t="e" cm="1">
        <f t="array" ref="B812">_xlfn.SWITCH(LEFT(Tasks[[#This Row],[Status]],1),"O","Opened","C","Completed","S","Signed Off", "V", "Signed Off","ERROR")</f>
        <v>#VALUE!</v>
      </c>
      <c r="C812" s="15" t="e" cm="1">
        <f t="array" ref="C812">_xlfn.SWITCH(LEFT(Tasks[[#This Row],[Type]], 3), "Fie", "Field Report", "Con", "Contractor QC", "Gen", "Contractor QC", "Pun", "Contractor QC", "Qua", "Contractor QC", "Fin", "Punch List")</f>
        <v>#VALUE!</v>
      </c>
      <c r="D812" s="15" t="e">
        <f>_xlfn.LET(
_xlpm.leftValue, TRIM(LEFT(Tasks[[#This Row],[Description]], 45)),
IF(LEN(_xlpm.leftValue) &lt; 40, _xlpm.leftValue, _xlfn.CONCAT(_xlpm.leftValue, "…"))
)</f>
        <v>#VALUE!</v>
      </c>
      <c r="E812" s="15" t="e" cm="1">
        <f t="array" ref="E812">_xlfn.LET(
_xlpm.inTower, COUNTIF(Tower_Num_Table[Tower Rm Numbers], LEFT(Task_Summary_Table[[#This Row],[Area/Room]], 3)) &gt; 0,
_xlpm.typeResult, _xlfn.SWITCH(LEFT(Tasks[[#This Row],[Page]], 2), "Hi", "Historic", "An", "Annex", "Si", "Site", "S5", "Project Task", "SWITCH ERROR"),
IF(_xlpm.inTower, "West Tower", _xlpm.typeResult)
)</f>
        <v>#VALUE!</v>
      </c>
      <c r="F812" s="15" t="str">
        <f>IFERROR(MID(Tasks[[#This Row],[Page]], FIND("Level", Tasks[[#This Row],[Page]]), 7), IF(ISNUMBER(FIND("Roof", Tasks[[#This Row],[Page]])), "Roof",  IF(ISNUMBER(FIND("S590", Tasks[[#This Row],[Page]])), "",  IF(ISNUMBER(FIND("Site", Tasks[[#This Row],[Page]])), "", "ERROR"))))</f>
        <v>ERROR</v>
      </c>
      <c r="G812" s="15" t="e">
        <f>IF(Tasks[[#This Row],[Location]]=0, "", Tasks[[#This Row],[Location]])</f>
        <v>#VALUE!</v>
      </c>
      <c r="H812" s="15" t="e">
        <f>Tasks[[#This Row],[To Package]]</f>
        <v>#VALUE!</v>
      </c>
      <c r="I812" s="15" t="e">
        <f>Tasks[[#This Row],[To Organisation]]</f>
        <v>#VALUE!</v>
      </c>
    </row>
    <row r="813" spans="1:9" ht="15.5" x14ac:dyDescent="0.35">
      <c r="A813" s="16" t="e">
        <f>HYPERLINK(_xlfn.CONCAT(Edit_URL,Tasks[[#This Row],[Ref]]),Tasks[[#This Row],[Ref]])</f>
        <v>#VALUE!</v>
      </c>
      <c r="B813" s="15" t="e" cm="1">
        <f t="array" ref="B813">_xlfn.SWITCH(LEFT(Tasks[[#This Row],[Status]],1),"O","Opened","C","Completed","S","Signed Off", "V", "Signed Off","ERROR")</f>
        <v>#VALUE!</v>
      </c>
      <c r="C813" s="15" t="e" cm="1">
        <f t="array" ref="C813">_xlfn.SWITCH(LEFT(Tasks[[#This Row],[Type]], 3), "Fie", "Field Report", "Con", "Contractor QC", "Gen", "Contractor QC", "Pun", "Contractor QC", "Qua", "Contractor QC", "Fin", "Punch List")</f>
        <v>#VALUE!</v>
      </c>
      <c r="D813" s="15" t="e">
        <f>_xlfn.LET(
_xlpm.leftValue, TRIM(LEFT(Tasks[[#This Row],[Description]], 45)),
IF(LEN(_xlpm.leftValue) &lt; 40, _xlpm.leftValue, _xlfn.CONCAT(_xlpm.leftValue, "…"))
)</f>
        <v>#VALUE!</v>
      </c>
      <c r="E813" s="15" t="e" cm="1">
        <f t="array" ref="E813">_xlfn.LET(
_xlpm.inTower, COUNTIF(Tower_Num_Table[Tower Rm Numbers], LEFT(Task_Summary_Table[[#This Row],[Area/Room]], 3)) &gt; 0,
_xlpm.typeResult, _xlfn.SWITCH(LEFT(Tasks[[#This Row],[Page]], 2), "Hi", "Historic", "An", "Annex", "Si", "Site", "S5", "Project Task", "SWITCH ERROR"),
IF(_xlpm.inTower, "West Tower", _xlpm.typeResult)
)</f>
        <v>#VALUE!</v>
      </c>
      <c r="F813" s="15" t="str">
        <f>IFERROR(MID(Tasks[[#This Row],[Page]], FIND("Level", Tasks[[#This Row],[Page]]), 7), IF(ISNUMBER(FIND("Roof", Tasks[[#This Row],[Page]])), "Roof",  IF(ISNUMBER(FIND("S590", Tasks[[#This Row],[Page]])), "",  IF(ISNUMBER(FIND("Site", Tasks[[#This Row],[Page]])), "", "ERROR"))))</f>
        <v>ERROR</v>
      </c>
      <c r="G813" s="15" t="e">
        <f>IF(Tasks[[#This Row],[Location]]=0, "", Tasks[[#This Row],[Location]])</f>
        <v>#VALUE!</v>
      </c>
      <c r="H813" s="15" t="e">
        <f>Tasks[[#This Row],[To Package]]</f>
        <v>#VALUE!</v>
      </c>
      <c r="I813" s="15" t="e">
        <f>Tasks[[#This Row],[To Organisation]]</f>
        <v>#VALUE!</v>
      </c>
    </row>
    <row r="814" spans="1:9" ht="15.5" x14ac:dyDescent="0.35">
      <c r="A814" s="16" t="e">
        <f>HYPERLINK(_xlfn.CONCAT(Edit_URL,Tasks[[#This Row],[Ref]]),Tasks[[#This Row],[Ref]])</f>
        <v>#VALUE!</v>
      </c>
      <c r="B814" s="15" t="e" cm="1">
        <f t="array" ref="B814">_xlfn.SWITCH(LEFT(Tasks[[#This Row],[Status]],1),"O","Opened","C","Completed","S","Signed Off", "V", "Signed Off","ERROR")</f>
        <v>#VALUE!</v>
      </c>
      <c r="C814" s="15" t="e" cm="1">
        <f t="array" ref="C814">_xlfn.SWITCH(LEFT(Tasks[[#This Row],[Type]], 3), "Fie", "Field Report", "Con", "Contractor QC", "Gen", "Contractor QC", "Pun", "Contractor QC", "Qua", "Contractor QC", "Fin", "Punch List")</f>
        <v>#VALUE!</v>
      </c>
      <c r="D814" s="15" t="e">
        <f>_xlfn.LET(
_xlpm.leftValue, TRIM(LEFT(Tasks[[#This Row],[Description]], 45)),
IF(LEN(_xlpm.leftValue) &lt; 40, _xlpm.leftValue, _xlfn.CONCAT(_xlpm.leftValue, "…"))
)</f>
        <v>#VALUE!</v>
      </c>
      <c r="E814" s="15" t="e" cm="1">
        <f t="array" ref="E814">_xlfn.LET(
_xlpm.inTower, COUNTIF(Tower_Num_Table[Tower Rm Numbers], LEFT(Task_Summary_Table[[#This Row],[Area/Room]], 3)) &gt; 0,
_xlpm.typeResult, _xlfn.SWITCH(LEFT(Tasks[[#This Row],[Page]], 2), "Hi", "Historic", "An", "Annex", "Si", "Site", "S5", "Project Task", "SWITCH ERROR"),
IF(_xlpm.inTower, "West Tower", _xlpm.typeResult)
)</f>
        <v>#VALUE!</v>
      </c>
      <c r="F814" s="15" t="str">
        <f>IFERROR(MID(Tasks[[#This Row],[Page]], FIND("Level", Tasks[[#This Row],[Page]]), 7), IF(ISNUMBER(FIND("Roof", Tasks[[#This Row],[Page]])), "Roof",  IF(ISNUMBER(FIND("S590", Tasks[[#This Row],[Page]])), "",  IF(ISNUMBER(FIND("Site", Tasks[[#This Row],[Page]])), "", "ERROR"))))</f>
        <v>ERROR</v>
      </c>
      <c r="G814" s="15" t="e">
        <f>IF(Tasks[[#This Row],[Location]]=0, "", Tasks[[#This Row],[Location]])</f>
        <v>#VALUE!</v>
      </c>
      <c r="H814" s="15" t="e">
        <f>Tasks[[#This Row],[To Package]]</f>
        <v>#VALUE!</v>
      </c>
      <c r="I814" s="15" t="e">
        <f>Tasks[[#This Row],[To Organisation]]</f>
        <v>#VALUE!</v>
      </c>
    </row>
    <row r="815" spans="1:9" ht="15.5" x14ac:dyDescent="0.35">
      <c r="A815" s="16" t="e">
        <f>HYPERLINK(_xlfn.CONCAT(Edit_URL,Tasks[[#This Row],[Ref]]),Tasks[[#This Row],[Ref]])</f>
        <v>#VALUE!</v>
      </c>
      <c r="B815" s="15" t="e" cm="1">
        <f t="array" ref="B815">_xlfn.SWITCH(LEFT(Tasks[[#This Row],[Status]],1),"O","Opened","C","Completed","S","Signed Off", "V", "Signed Off","ERROR")</f>
        <v>#VALUE!</v>
      </c>
      <c r="C815" s="15" t="e" cm="1">
        <f t="array" ref="C815">_xlfn.SWITCH(LEFT(Tasks[[#This Row],[Type]], 3), "Fie", "Field Report", "Con", "Contractor QC", "Gen", "Contractor QC", "Pun", "Contractor QC", "Qua", "Contractor QC", "Fin", "Punch List")</f>
        <v>#VALUE!</v>
      </c>
      <c r="D815" s="15" t="e">
        <f>_xlfn.LET(
_xlpm.leftValue, TRIM(LEFT(Tasks[[#This Row],[Description]], 45)),
IF(LEN(_xlpm.leftValue) &lt; 40, _xlpm.leftValue, _xlfn.CONCAT(_xlpm.leftValue, "…"))
)</f>
        <v>#VALUE!</v>
      </c>
      <c r="E815" s="15" t="e" cm="1">
        <f t="array" ref="E815">_xlfn.LET(
_xlpm.inTower, COUNTIF(Tower_Num_Table[Tower Rm Numbers], LEFT(Task_Summary_Table[[#This Row],[Area/Room]], 3)) &gt; 0,
_xlpm.typeResult, _xlfn.SWITCH(LEFT(Tasks[[#This Row],[Page]], 2), "Hi", "Historic", "An", "Annex", "Si", "Site", "S5", "Project Task", "SWITCH ERROR"),
IF(_xlpm.inTower, "West Tower", _xlpm.typeResult)
)</f>
        <v>#VALUE!</v>
      </c>
      <c r="F815" s="15" t="str">
        <f>IFERROR(MID(Tasks[[#This Row],[Page]], FIND("Level", Tasks[[#This Row],[Page]]), 7), IF(ISNUMBER(FIND("Roof", Tasks[[#This Row],[Page]])), "Roof",  IF(ISNUMBER(FIND("S590", Tasks[[#This Row],[Page]])), "",  IF(ISNUMBER(FIND("Site", Tasks[[#This Row],[Page]])), "", "ERROR"))))</f>
        <v>ERROR</v>
      </c>
      <c r="G815" s="15" t="e">
        <f>IF(Tasks[[#This Row],[Location]]=0, "", Tasks[[#This Row],[Location]])</f>
        <v>#VALUE!</v>
      </c>
      <c r="H815" s="15" t="e">
        <f>Tasks[[#This Row],[To Package]]</f>
        <v>#VALUE!</v>
      </c>
      <c r="I815" s="15" t="e">
        <f>Tasks[[#This Row],[To Organisation]]</f>
        <v>#VALUE!</v>
      </c>
    </row>
    <row r="816" spans="1:9" ht="15.5" x14ac:dyDescent="0.35">
      <c r="A816" s="16" t="e">
        <f>HYPERLINK(_xlfn.CONCAT(Edit_URL,Tasks[[#This Row],[Ref]]),Tasks[[#This Row],[Ref]])</f>
        <v>#VALUE!</v>
      </c>
      <c r="B816" s="15" t="e" cm="1">
        <f t="array" ref="B816">_xlfn.SWITCH(LEFT(Tasks[[#This Row],[Status]],1),"O","Opened","C","Completed","S","Signed Off", "V", "Signed Off","ERROR")</f>
        <v>#VALUE!</v>
      </c>
      <c r="C816" s="15" t="e" cm="1">
        <f t="array" ref="C816">_xlfn.SWITCH(LEFT(Tasks[[#This Row],[Type]], 3), "Fie", "Field Report", "Con", "Contractor QC", "Gen", "Contractor QC", "Pun", "Contractor QC", "Qua", "Contractor QC", "Fin", "Punch List")</f>
        <v>#VALUE!</v>
      </c>
      <c r="D816" s="15" t="e">
        <f>_xlfn.LET(
_xlpm.leftValue, TRIM(LEFT(Tasks[[#This Row],[Description]], 45)),
IF(LEN(_xlpm.leftValue) &lt; 40, _xlpm.leftValue, _xlfn.CONCAT(_xlpm.leftValue, "…"))
)</f>
        <v>#VALUE!</v>
      </c>
      <c r="E816" s="15" t="e" cm="1">
        <f t="array" ref="E816">_xlfn.LET(
_xlpm.inTower, COUNTIF(Tower_Num_Table[Tower Rm Numbers], LEFT(Task_Summary_Table[[#This Row],[Area/Room]], 3)) &gt; 0,
_xlpm.typeResult, _xlfn.SWITCH(LEFT(Tasks[[#This Row],[Page]], 2), "Hi", "Historic", "An", "Annex", "Si", "Site", "S5", "Project Task", "SWITCH ERROR"),
IF(_xlpm.inTower, "West Tower", _xlpm.typeResult)
)</f>
        <v>#VALUE!</v>
      </c>
      <c r="F816" s="15" t="str">
        <f>IFERROR(MID(Tasks[[#This Row],[Page]], FIND("Level", Tasks[[#This Row],[Page]]), 7), IF(ISNUMBER(FIND("Roof", Tasks[[#This Row],[Page]])), "Roof",  IF(ISNUMBER(FIND("S590", Tasks[[#This Row],[Page]])), "",  IF(ISNUMBER(FIND("Site", Tasks[[#This Row],[Page]])), "", "ERROR"))))</f>
        <v>ERROR</v>
      </c>
      <c r="G816" s="15" t="e">
        <f>IF(Tasks[[#This Row],[Location]]=0, "", Tasks[[#This Row],[Location]])</f>
        <v>#VALUE!</v>
      </c>
      <c r="H816" s="15" t="e">
        <f>Tasks[[#This Row],[To Package]]</f>
        <v>#VALUE!</v>
      </c>
      <c r="I816" s="15" t="e">
        <f>Tasks[[#This Row],[To Organisation]]</f>
        <v>#VALUE!</v>
      </c>
    </row>
    <row r="817" spans="1:9" ht="15.5" x14ac:dyDescent="0.35">
      <c r="A817" s="16" t="e">
        <f>HYPERLINK(_xlfn.CONCAT(Edit_URL,Tasks[[#This Row],[Ref]]),Tasks[[#This Row],[Ref]])</f>
        <v>#VALUE!</v>
      </c>
      <c r="B817" s="15" t="e" cm="1">
        <f t="array" ref="B817">_xlfn.SWITCH(LEFT(Tasks[[#This Row],[Status]],1),"O","Opened","C","Completed","S","Signed Off", "V", "Signed Off","ERROR")</f>
        <v>#VALUE!</v>
      </c>
      <c r="C817" s="15" t="e" cm="1">
        <f t="array" ref="C817">_xlfn.SWITCH(LEFT(Tasks[[#This Row],[Type]], 3), "Fie", "Field Report", "Con", "Contractor QC", "Gen", "Contractor QC", "Pun", "Contractor QC", "Qua", "Contractor QC", "Fin", "Punch List")</f>
        <v>#VALUE!</v>
      </c>
      <c r="D817" s="15" t="e">
        <f>_xlfn.LET(
_xlpm.leftValue, TRIM(LEFT(Tasks[[#This Row],[Description]], 45)),
IF(LEN(_xlpm.leftValue) &lt; 40, _xlpm.leftValue, _xlfn.CONCAT(_xlpm.leftValue, "…"))
)</f>
        <v>#VALUE!</v>
      </c>
      <c r="E817" s="15" t="e" cm="1">
        <f t="array" ref="E817">_xlfn.LET(
_xlpm.inTower, COUNTIF(Tower_Num_Table[Tower Rm Numbers], LEFT(Task_Summary_Table[[#This Row],[Area/Room]], 3)) &gt; 0,
_xlpm.typeResult, _xlfn.SWITCH(LEFT(Tasks[[#This Row],[Page]], 2), "Hi", "Historic", "An", "Annex", "Si", "Site", "S5", "Project Task", "SWITCH ERROR"),
IF(_xlpm.inTower, "West Tower", _xlpm.typeResult)
)</f>
        <v>#VALUE!</v>
      </c>
      <c r="F817" s="15" t="str">
        <f>IFERROR(MID(Tasks[[#This Row],[Page]], FIND("Level", Tasks[[#This Row],[Page]]), 7), IF(ISNUMBER(FIND("Roof", Tasks[[#This Row],[Page]])), "Roof",  IF(ISNUMBER(FIND("S590", Tasks[[#This Row],[Page]])), "",  IF(ISNUMBER(FIND("Site", Tasks[[#This Row],[Page]])), "", "ERROR"))))</f>
        <v>ERROR</v>
      </c>
      <c r="G817" s="15" t="e">
        <f>IF(Tasks[[#This Row],[Location]]=0, "", Tasks[[#This Row],[Location]])</f>
        <v>#VALUE!</v>
      </c>
      <c r="H817" s="15" t="e">
        <f>Tasks[[#This Row],[To Package]]</f>
        <v>#VALUE!</v>
      </c>
      <c r="I817" s="15" t="e">
        <f>Tasks[[#This Row],[To Organisation]]</f>
        <v>#VALUE!</v>
      </c>
    </row>
    <row r="818" spans="1:9" ht="15.5" x14ac:dyDescent="0.35">
      <c r="A818" s="16" t="e">
        <f>HYPERLINK(_xlfn.CONCAT(Edit_URL,Tasks[[#This Row],[Ref]]),Tasks[[#This Row],[Ref]])</f>
        <v>#VALUE!</v>
      </c>
      <c r="B818" s="15" t="e" cm="1">
        <f t="array" ref="B818">_xlfn.SWITCH(LEFT(Tasks[[#This Row],[Status]],1),"O","Opened","C","Completed","S","Signed Off", "V", "Signed Off","ERROR")</f>
        <v>#VALUE!</v>
      </c>
      <c r="C818" s="15" t="e" cm="1">
        <f t="array" ref="C818">_xlfn.SWITCH(LEFT(Tasks[[#This Row],[Type]], 3), "Fie", "Field Report", "Con", "Contractor QC", "Gen", "Contractor QC", "Pun", "Contractor QC", "Qua", "Contractor QC", "Fin", "Punch List")</f>
        <v>#VALUE!</v>
      </c>
      <c r="D818" s="15" t="e">
        <f>_xlfn.LET(
_xlpm.leftValue, TRIM(LEFT(Tasks[[#This Row],[Description]], 45)),
IF(LEN(_xlpm.leftValue) &lt; 40, _xlpm.leftValue, _xlfn.CONCAT(_xlpm.leftValue, "…"))
)</f>
        <v>#VALUE!</v>
      </c>
      <c r="E818" s="15" t="e" cm="1">
        <f t="array" ref="E818">_xlfn.LET(
_xlpm.inTower, COUNTIF(Tower_Num_Table[Tower Rm Numbers], LEFT(Task_Summary_Table[[#This Row],[Area/Room]], 3)) &gt; 0,
_xlpm.typeResult, _xlfn.SWITCH(LEFT(Tasks[[#This Row],[Page]], 2), "Hi", "Historic", "An", "Annex", "Si", "Site", "S5", "Project Task", "SWITCH ERROR"),
IF(_xlpm.inTower, "West Tower", _xlpm.typeResult)
)</f>
        <v>#VALUE!</v>
      </c>
      <c r="F818" s="15" t="str">
        <f>IFERROR(MID(Tasks[[#This Row],[Page]], FIND("Level", Tasks[[#This Row],[Page]]), 7), IF(ISNUMBER(FIND("Roof", Tasks[[#This Row],[Page]])), "Roof",  IF(ISNUMBER(FIND("S590", Tasks[[#This Row],[Page]])), "",  IF(ISNUMBER(FIND("Site", Tasks[[#This Row],[Page]])), "", "ERROR"))))</f>
        <v>ERROR</v>
      </c>
      <c r="G818" s="15" t="e">
        <f>IF(Tasks[[#This Row],[Location]]=0, "", Tasks[[#This Row],[Location]])</f>
        <v>#VALUE!</v>
      </c>
      <c r="H818" s="15" t="e">
        <f>Tasks[[#This Row],[To Package]]</f>
        <v>#VALUE!</v>
      </c>
      <c r="I818" s="15" t="e">
        <f>Tasks[[#This Row],[To Organisation]]</f>
        <v>#VALUE!</v>
      </c>
    </row>
    <row r="819" spans="1:9" ht="15.5" x14ac:dyDescent="0.35">
      <c r="A819" s="16" t="e">
        <f>HYPERLINK(_xlfn.CONCAT(Edit_URL,Tasks[[#This Row],[Ref]]),Tasks[[#This Row],[Ref]])</f>
        <v>#VALUE!</v>
      </c>
      <c r="B819" s="15" t="e" cm="1">
        <f t="array" ref="B819">_xlfn.SWITCH(LEFT(Tasks[[#This Row],[Status]],1),"O","Opened","C","Completed","S","Signed Off", "V", "Signed Off","ERROR")</f>
        <v>#VALUE!</v>
      </c>
      <c r="C819" s="15" t="e" cm="1">
        <f t="array" ref="C819">_xlfn.SWITCH(LEFT(Tasks[[#This Row],[Type]], 3), "Fie", "Field Report", "Con", "Contractor QC", "Gen", "Contractor QC", "Pun", "Contractor QC", "Qua", "Contractor QC", "Fin", "Punch List")</f>
        <v>#VALUE!</v>
      </c>
      <c r="D819" s="15" t="e">
        <f>_xlfn.LET(
_xlpm.leftValue, TRIM(LEFT(Tasks[[#This Row],[Description]], 45)),
IF(LEN(_xlpm.leftValue) &lt; 40, _xlpm.leftValue, _xlfn.CONCAT(_xlpm.leftValue, "…"))
)</f>
        <v>#VALUE!</v>
      </c>
      <c r="E819" s="15" t="e" cm="1">
        <f t="array" ref="E819">_xlfn.LET(
_xlpm.inTower, COUNTIF(Tower_Num_Table[Tower Rm Numbers], LEFT(Task_Summary_Table[[#This Row],[Area/Room]], 3)) &gt; 0,
_xlpm.typeResult, _xlfn.SWITCH(LEFT(Tasks[[#This Row],[Page]], 2), "Hi", "Historic", "An", "Annex", "Si", "Site", "S5", "Project Task", "SWITCH ERROR"),
IF(_xlpm.inTower, "West Tower", _xlpm.typeResult)
)</f>
        <v>#VALUE!</v>
      </c>
      <c r="F819" s="15" t="str">
        <f>IFERROR(MID(Tasks[[#This Row],[Page]], FIND("Level", Tasks[[#This Row],[Page]]), 7), IF(ISNUMBER(FIND("Roof", Tasks[[#This Row],[Page]])), "Roof",  IF(ISNUMBER(FIND("S590", Tasks[[#This Row],[Page]])), "",  IF(ISNUMBER(FIND("Site", Tasks[[#This Row],[Page]])), "", "ERROR"))))</f>
        <v>ERROR</v>
      </c>
      <c r="G819" s="15" t="e">
        <f>IF(Tasks[[#This Row],[Location]]=0, "", Tasks[[#This Row],[Location]])</f>
        <v>#VALUE!</v>
      </c>
      <c r="H819" s="15" t="e">
        <f>Tasks[[#This Row],[To Package]]</f>
        <v>#VALUE!</v>
      </c>
      <c r="I819" s="15" t="e">
        <f>Tasks[[#This Row],[To Organisation]]</f>
        <v>#VALUE!</v>
      </c>
    </row>
    <row r="820" spans="1:9" ht="15.5" x14ac:dyDescent="0.35">
      <c r="A820" s="16" t="e">
        <f>HYPERLINK(_xlfn.CONCAT(Edit_URL,Tasks[[#This Row],[Ref]]),Tasks[[#This Row],[Ref]])</f>
        <v>#VALUE!</v>
      </c>
      <c r="B820" s="15" t="e" cm="1">
        <f t="array" ref="B820">_xlfn.SWITCH(LEFT(Tasks[[#This Row],[Status]],1),"O","Opened","C","Completed","S","Signed Off", "V", "Signed Off","ERROR")</f>
        <v>#VALUE!</v>
      </c>
      <c r="C820" s="15" t="e" cm="1">
        <f t="array" ref="C820">_xlfn.SWITCH(LEFT(Tasks[[#This Row],[Type]], 3), "Fie", "Field Report", "Con", "Contractor QC", "Gen", "Contractor QC", "Pun", "Contractor QC", "Qua", "Contractor QC", "Fin", "Punch List")</f>
        <v>#VALUE!</v>
      </c>
      <c r="D820" s="15" t="e">
        <f>_xlfn.LET(
_xlpm.leftValue, TRIM(LEFT(Tasks[[#This Row],[Description]], 45)),
IF(LEN(_xlpm.leftValue) &lt; 40, _xlpm.leftValue, _xlfn.CONCAT(_xlpm.leftValue, "…"))
)</f>
        <v>#VALUE!</v>
      </c>
      <c r="E820" s="15" t="e" cm="1">
        <f t="array" ref="E820">_xlfn.LET(
_xlpm.inTower, COUNTIF(Tower_Num_Table[Tower Rm Numbers], LEFT(Task_Summary_Table[[#This Row],[Area/Room]], 3)) &gt; 0,
_xlpm.typeResult, _xlfn.SWITCH(LEFT(Tasks[[#This Row],[Page]], 2), "Hi", "Historic", "An", "Annex", "Si", "Site", "S5", "Project Task", "SWITCH ERROR"),
IF(_xlpm.inTower, "West Tower", _xlpm.typeResult)
)</f>
        <v>#VALUE!</v>
      </c>
      <c r="F820" s="15" t="str">
        <f>IFERROR(MID(Tasks[[#This Row],[Page]], FIND("Level", Tasks[[#This Row],[Page]]), 7), IF(ISNUMBER(FIND("Roof", Tasks[[#This Row],[Page]])), "Roof",  IF(ISNUMBER(FIND("S590", Tasks[[#This Row],[Page]])), "",  IF(ISNUMBER(FIND("Site", Tasks[[#This Row],[Page]])), "", "ERROR"))))</f>
        <v>ERROR</v>
      </c>
      <c r="G820" s="15" t="e">
        <f>IF(Tasks[[#This Row],[Location]]=0, "", Tasks[[#This Row],[Location]])</f>
        <v>#VALUE!</v>
      </c>
      <c r="H820" s="15" t="e">
        <f>Tasks[[#This Row],[To Package]]</f>
        <v>#VALUE!</v>
      </c>
      <c r="I820" s="15" t="e">
        <f>Tasks[[#This Row],[To Organisation]]</f>
        <v>#VALUE!</v>
      </c>
    </row>
    <row r="821" spans="1:9" ht="15.5" x14ac:dyDescent="0.35">
      <c r="A821" s="16" t="e">
        <f>HYPERLINK(_xlfn.CONCAT(Edit_URL,Tasks[[#This Row],[Ref]]),Tasks[[#This Row],[Ref]])</f>
        <v>#VALUE!</v>
      </c>
      <c r="B821" s="15" t="e" cm="1">
        <f t="array" ref="B821">_xlfn.SWITCH(LEFT(Tasks[[#This Row],[Status]],1),"O","Opened","C","Completed","S","Signed Off", "V", "Signed Off","ERROR")</f>
        <v>#VALUE!</v>
      </c>
      <c r="C821" s="15" t="e" cm="1">
        <f t="array" ref="C821">_xlfn.SWITCH(LEFT(Tasks[[#This Row],[Type]], 3), "Fie", "Field Report", "Con", "Contractor QC", "Gen", "Contractor QC", "Pun", "Contractor QC", "Qua", "Contractor QC", "Fin", "Punch List")</f>
        <v>#VALUE!</v>
      </c>
      <c r="D821" s="15" t="e">
        <f>_xlfn.LET(
_xlpm.leftValue, TRIM(LEFT(Tasks[[#This Row],[Description]], 45)),
IF(LEN(_xlpm.leftValue) &lt; 40, _xlpm.leftValue, _xlfn.CONCAT(_xlpm.leftValue, "…"))
)</f>
        <v>#VALUE!</v>
      </c>
      <c r="E821" s="15" t="e" cm="1">
        <f t="array" ref="E821">_xlfn.LET(
_xlpm.inTower, COUNTIF(Tower_Num_Table[Tower Rm Numbers], LEFT(Task_Summary_Table[[#This Row],[Area/Room]], 3)) &gt; 0,
_xlpm.typeResult, _xlfn.SWITCH(LEFT(Tasks[[#This Row],[Page]], 2), "Hi", "Historic", "An", "Annex", "Si", "Site", "S5", "Project Task", "SWITCH ERROR"),
IF(_xlpm.inTower, "West Tower", _xlpm.typeResult)
)</f>
        <v>#VALUE!</v>
      </c>
      <c r="F821" s="15" t="str">
        <f>IFERROR(MID(Tasks[[#This Row],[Page]], FIND("Level", Tasks[[#This Row],[Page]]), 7), IF(ISNUMBER(FIND("Roof", Tasks[[#This Row],[Page]])), "Roof",  IF(ISNUMBER(FIND("S590", Tasks[[#This Row],[Page]])), "",  IF(ISNUMBER(FIND("Site", Tasks[[#This Row],[Page]])), "", "ERROR"))))</f>
        <v>ERROR</v>
      </c>
      <c r="G821" s="15" t="e">
        <f>IF(Tasks[[#This Row],[Location]]=0, "", Tasks[[#This Row],[Location]])</f>
        <v>#VALUE!</v>
      </c>
      <c r="H821" s="15" t="e">
        <f>Tasks[[#This Row],[To Package]]</f>
        <v>#VALUE!</v>
      </c>
      <c r="I821" s="15" t="e">
        <f>Tasks[[#This Row],[To Organisation]]</f>
        <v>#VALUE!</v>
      </c>
    </row>
    <row r="822" spans="1:9" ht="15.5" x14ac:dyDescent="0.35">
      <c r="A822" s="16" t="e">
        <f>HYPERLINK(_xlfn.CONCAT(Edit_URL,Tasks[[#This Row],[Ref]]),Tasks[[#This Row],[Ref]])</f>
        <v>#VALUE!</v>
      </c>
      <c r="B822" s="15" t="e" cm="1">
        <f t="array" ref="B822">_xlfn.SWITCH(LEFT(Tasks[[#This Row],[Status]],1),"O","Opened","C","Completed","S","Signed Off", "V", "Signed Off","ERROR")</f>
        <v>#VALUE!</v>
      </c>
      <c r="C822" s="15" t="e" cm="1">
        <f t="array" ref="C822">_xlfn.SWITCH(LEFT(Tasks[[#This Row],[Type]], 3), "Fie", "Field Report", "Con", "Contractor QC", "Gen", "Contractor QC", "Pun", "Contractor QC", "Qua", "Contractor QC", "Fin", "Punch List")</f>
        <v>#VALUE!</v>
      </c>
      <c r="D822" s="15" t="e">
        <f>_xlfn.LET(
_xlpm.leftValue, TRIM(LEFT(Tasks[[#This Row],[Description]], 45)),
IF(LEN(_xlpm.leftValue) &lt; 40, _xlpm.leftValue, _xlfn.CONCAT(_xlpm.leftValue, "…"))
)</f>
        <v>#VALUE!</v>
      </c>
      <c r="E822" s="15" t="e" cm="1">
        <f t="array" ref="E822">_xlfn.LET(
_xlpm.inTower, COUNTIF(Tower_Num_Table[Tower Rm Numbers], LEFT(Task_Summary_Table[[#This Row],[Area/Room]], 3)) &gt; 0,
_xlpm.typeResult, _xlfn.SWITCH(LEFT(Tasks[[#This Row],[Page]], 2), "Hi", "Historic", "An", "Annex", "Si", "Site", "S5", "Project Task", "SWITCH ERROR"),
IF(_xlpm.inTower, "West Tower", _xlpm.typeResult)
)</f>
        <v>#VALUE!</v>
      </c>
      <c r="F822" s="15" t="str">
        <f>IFERROR(MID(Tasks[[#This Row],[Page]], FIND("Level", Tasks[[#This Row],[Page]]), 7), IF(ISNUMBER(FIND("Roof", Tasks[[#This Row],[Page]])), "Roof",  IF(ISNUMBER(FIND("S590", Tasks[[#This Row],[Page]])), "",  IF(ISNUMBER(FIND("Site", Tasks[[#This Row],[Page]])), "", "ERROR"))))</f>
        <v>ERROR</v>
      </c>
      <c r="G822" s="15" t="e">
        <f>IF(Tasks[[#This Row],[Location]]=0, "", Tasks[[#This Row],[Location]])</f>
        <v>#VALUE!</v>
      </c>
      <c r="H822" s="15" t="e">
        <f>Tasks[[#This Row],[To Package]]</f>
        <v>#VALUE!</v>
      </c>
      <c r="I822" s="15" t="e">
        <f>Tasks[[#This Row],[To Organisation]]</f>
        <v>#VALUE!</v>
      </c>
    </row>
    <row r="823" spans="1:9" ht="15.5" x14ac:dyDescent="0.35">
      <c r="A823" s="16" t="e">
        <f>HYPERLINK(_xlfn.CONCAT(Edit_URL,Tasks[[#This Row],[Ref]]),Tasks[[#This Row],[Ref]])</f>
        <v>#VALUE!</v>
      </c>
      <c r="B823" s="15" t="e" cm="1">
        <f t="array" ref="B823">_xlfn.SWITCH(LEFT(Tasks[[#This Row],[Status]],1),"O","Opened","C","Completed","S","Signed Off", "V", "Signed Off","ERROR")</f>
        <v>#VALUE!</v>
      </c>
      <c r="C823" s="15" t="e" cm="1">
        <f t="array" ref="C823">_xlfn.SWITCH(LEFT(Tasks[[#This Row],[Type]], 3), "Fie", "Field Report", "Con", "Contractor QC", "Gen", "Contractor QC", "Pun", "Contractor QC", "Qua", "Contractor QC", "Fin", "Punch List")</f>
        <v>#VALUE!</v>
      </c>
      <c r="D823" s="15" t="e">
        <f>_xlfn.LET(
_xlpm.leftValue, TRIM(LEFT(Tasks[[#This Row],[Description]], 45)),
IF(LEN(_xlpm.leftValue) &lt; 40, _xlpm.leftValue, _xlfn.CONCAT(_xlpm.leftValue, "…"))
)</f>
        <v>#VALUE!</v>
      </c>
      <c r="E823" s="15" t="e" cm="1">
        <f t="array" ref="E823">_xlfn.LET(
_xlpm.inTower, COUNTIF(Tower_Num_Table[Tower Rm Numbers], LEFT(Task_Summary_Table[[#This Row],[Area/Room]], 3)) &gt; 0,
_xlpm.typeResult, _xlfn.SWITCH(LEFT(Tasks[[#This Row],[Page]], 2), "Hi", "Historic", "An", "Annex", "Si", "Site", "S5", "Project Task", "SWITCH ERROR"),
IF(_xlpm.inTower, "West Tower", _xlpm.typeResult)
)</f>
        <v>#VALUE!</v>
      </c>
      <c r="F823" s="15" t="str">
        <f>IFERROR(MID(Tasks[[#This Row],[Page]], FIND("Level", Tasks[[#This Row],[Page]]), 7), IF(ISNUMBER(FIND("Roof", Tasks[[#This Row],[Page]])), "Roof",  IF(ISNUMBER(FIND("S590", Tasks[[#This Row],[Page]])), "",  IF(ISNUMBER(FIND("Site", Tasks[[#This Row],[Page]])), "", "ERROR"))))</f>
        <v>ERROR</v>
      </c>
      <c r="G823" s="15" t="e">
        <f>IF(Tasks[[#This Row],[Location]]=0, "", Tasks[[#This Row],[Location]])</f>
        <v>#VALUE!</v>
      </c>
      <c r="H823" s="15" t="e">
        <f>Tasks[[#This Row],[To Package]]</f>
        <v>#VALUE!</v>
      </c>
      <c r="I823" s="15" t="e">
        <f>Tasks[[#This Row],[To Organisation]]</f>
        <v>#VALUE!</v>
      </c>
    </row>
    <row r="824" spans="1:9" ht="15.5" x14ac:dyDescent="0.35">
      <c r="A824" s="16" t="e">
        <f>HYPERLINK(_xlfn.CONCAT(Edit_URL,Tasks[[#This Row],[Ref]]),Tasks[[#This Row],[Ref]])</f>
        <v>#VALUE!</v>
      </c>
      <c r="B824" s="15" t="e" cm="1">
        <f t="array" ref="B824">_xlfn.SWITCH(LEFT(Tasks[[#This Row],[Status]],1),"O","Opened","C","Completed","S","Signed Off", "V", "Signed Off","ERROR")</f>
        <v>#VALUE!</v>
      </c>
      <c r="C824" s="15" t="e" cm="1">
        <f t="array" ref="C824">_xlfn.SWITCH(LEFT(Tasks[[#This Row],[Type]], 3), "Fie", "Field Report", "Con", "Contractor QC", "Gen", "Contractor QC", "Pun", "Contractor QC", "Qua", "Contractor QC", "Fin", "Punch List")</f>
        <v>#VALUE!</v>
      </c>
      <c r="D824" s="15" t="e">
        <f>_xlfn.LET(
_xlpm.leftValue, TRIM(LEFT(Tasks[[#This Row],[Description]], 45)),
IF(LEN(_xlpm.leftValue) &lt; 40, _xlpm.leftValue, _xlfn.CONCAT(_xlpm.leftValue, "…"))
)</f>
        <v>#VALUE!</v>
      </c>
      <c r="E824" s="15" t="e" cm="1">
        <f t="array" ref="E824">_xlfn.LET(
_xlpm.inTower, COUNTIF(Tower_Num_Table[Tower Rm Numbers], LEFT(Task_Summary_Table[[#This Row],[Area/Room]], 3)) &gt; 0,
_xlpm.typeResult, _xlfn.SWITCH(LEFT(Tasks[[#This Row],[Page]], 2), "Hi", "Historic", "An", "Annex", "Si", "Site", "S5", "Project Task", "SWITCH ERROR"),
IF(_xlpm.inTower, "West Tower", _xlpm.typeResult)
)</f>
        <v>#VALUE!</v>
      </c>
      <c r="F824" s="15" t="str">
        <f>IFERROR(MID(Tasks[[#This Row],[Page]], FIND("Level", Tasks[[#This Row],[Page]]), 7), IF(ISNUMBER(FIND("Roof", Tasks[[#This Row],[Page]])), "Roof",  IF(ISNUMBER(FIND("S590", Tasks[[#This Row],[Page]])), "",  IF(ISNUMBER(FIND("Site", Tasks[[#This Row],[Page]])), "", "ERROR"))))</f>
        <v>ERROR</v>
      </c>
      <c r="G824" s="15" t="e">
        <f>IF(Tasks[[#This Row],[Location]]=0, "", Tasks[[#This Row],[Location]])</f>
        <v>#VALUE!</v>
      </c>
      <c r="H824" s="15" t="e">
        <f>Tasks[[#This Row],[To Package]]</f>
        <v>#VALUE!</v>
      </c>
      <c r="I824" s="15" t="e">
        <f>Tasks[[#This Row],[To Organisation]]</f>
        <v>#VALUE!</v>
      </c>
    </row>
    <row r="825" spans="1:9" ht="15.5" x14ac:dyDescent="0.35">
      <c r="A825" s="16" t="e">
        <f>HYPERLINK(_xlfn.CONCAT(Edit_URL,Tasks[[#This Row],[Ref]]),Tasks[[#This Row],[Ref]])</f>
        <v>#VALUE!</v>
      </c>
      <c r="B825" s="15" t="e" cm="1">
        <f t="array" ref="B825">_xlfn.SWITCH(LEFT(Tasks[[#This Row],[Status]],1),"O","Opened","C","Completed","S","Signed Off", "V", "Signed Off","ERROR")</f>
        <v>#VALUE!</v>
      </c>
      <c r="C825" s="15" t="e" cm="1">
        <f t="array" ref="C825">_xlfn.SWITCH(LEFT(Tasks[[#This Row],[Type]], 3), "Fie", "Field Report", "Con", "Contractor QC", "Gen", "Contractor QC", "Pun", "Contractor QC", "Qua", "Contractor QC", "Fin", "Punch List")</f>
        <v>#VALUE!</v>
      </c>
      <c r="D825" s="15" t="e">
        <f>_xlfn.LET(
_xlpm.leftValue, TRIM(LEFT(Tasks[[#This Row],[Description]], 45)),
IF(LEN(_xlpm.leftValue) &lt; 40, _xlpm.leftValue, _xlfn.CONCAT(_xlpm.leftValue, "…"))
)</f>
        <v>#VALUE!</v>
      </c>
      <c r="E825" s="15" t="e" cm="1">
        <f t="array" ref="E825">_xlfn.LET(
_xlpm.inTower, COUNTIF(Tower_Num_Table[Tower Rm Numbers], LEFT(Task_Summary_Table[[#This Row],[Area/Room]], 3)) &gt; 0,
_xlpm.typeResult, _xlfn.SWITCH(LEFT(Tasks[[#This Row],[Page]], 2), "Hi", "Historic", "An", "Annex", "Si", "Site", "S5", "Project Task", "SWITCH ERROR"),
IF(_xlpm.inTower, "West Tower", _xlpm.typeResult)
)</f>
        <v>#VALUE!</v>
      </c>
      <c r="F825" s="15" t="str">
        <f>IFERROR(MID(Tasks[[#This Row],[Page]], FIND("Level", Tasks[[#This Row],[Page]]), 7), IF(ISNUMBER(FIND("Roof", Tasks[[#This Row],[Page]])), "Roof",  IF(ISNUMBER(FIND("S590", Tasks[[#This Row],[Page]])), "",  IF(ISNUMBER(FIND("Site", Tasks[[#This Row],[Page]])), "", "ERROR"))))</f>
        <v>ERROR</v>
      </c>
      <c r="G825" s="15" t="e">
        <f>IF(Tasks[[#This Row],[Location]]=0, "", Tasks[[#This Row],[Location]])</f>
        <v>#VALUE!</v>
      </c>
      <c r="H825" s="15" t="e">
        <f>Tasks[[#This Row],[To Package]]</f>
        <v>#VALUE!</v>
      </c>
      <c r="I825" s="15" t="e">
        <f>Tasks[[#This Row],[To Organisation]]</f>
        <v>#VALUE!</v>
      </c>
    </row>
    <row r="826" spans="1:9" ht="15.5" x14ac:dyDescent="0.35">
      <c r="A826" s="16" t="e">
        <f>HYPERLINK(_xlfn.CONCAT(Edit_URL,Tasks[[#This Row],[Ref]]),Tasks[[#This Row],[Ref]])</f>
        <v>#VALUE!</v>
      </c>
      <c r="B826" s="15" t="e" cm="1">
        <f t="array" ref="B826">_xlfn.SWITCH(LEFT(Tasks[[#This Row],[Status]],1),"O","Opened","C","Completed","S","Signed Off", "V", "Signed Off","ERROR")</f>
        <v>#VALUE!</v>
      </c>
      <c r="C826" s="15" t="e" cm="1">
        <f t="array" ref="C826">_xlfn.SWITCH(LEFT(Tasks[[#This Row],[Type]], 3), "Fie", "Field Report", "Con", "Contractor QC", "Gen", "Contractor QC", "Pun", "Contractor QC", "Qua", "Contractor QC", "Fin", "Punch List")</f>
        <v>#VALUE!</v>
      </c>
      <c r="D826" s="15" t="e">
        <f>_xlfn.LET(
_xlpm.leftValue, TRIM(LEFT(Tasks[[#This Row],[Description]], 45)),
IF(LEN(_xlpm.leftValue) &lt; 40, _xlpm.leftValue, _xlfn.CONCAT(_xlpm.leftValue, "…"))
)</f>
        <v>#VALUE!</v>
      </c>
      <c r="E826" s="15" t="e" cm="1">
        <f t="array" ref="E826">_xlfn.LET(
_xlpm.inTower, COUNTIF(Tower_Num_Table[Tower Rm Numbers], LEFT(Task_Summary_Table[[#This Row],[Area/Room]], 3)) &gt; 0,
_xlpm.typeResult, _xlfn.SWITCH(LEFT(Tasks[[#This Row],[Page]], 2), "Hi", "Historic", "An", "Annex", "Si", "Site", "S5", "Project Task", "SWITCH ERROR"),
IF(_xlpm.inTower, "West Tower", _xlpm.typeResult)
)</f>
        <v>#VALUE!</v>
      </c>
      <c r="F826" s="15" t="str">
        <f>IFERROR(MID(Tasks[[#This Row],[Page]], FIND("Level", Tasks[[#This Row],[Page]]), 7), IF(ISNUMBER(FIND("Roof", Tasks[[#This Row],[Page]])), "Roof",  IF(ISNUMBER(FIND("S590", Tasks[[#This Row],[Page]])), "",  IF(ISNUMBER(FIND("Site", Tasks[[#This Row],[Page]])), "", "ERROR"))))</f>
        <v>ERROR</v>
      </c>
      <c r="G826" s="15" t="e">
        <f>IF(Tasks[[#This Row],[Location]]=0, "", Tasks[[#This Row],[Location]])</f>
        <v>#VALUE!</v>
      </c>
      <c r="H826" s="15" t="e">
        <f>Tasks[[#This Row],[To Package]]</f>
        <v>#VALUE!</v>
      </c>
      <c r="I826" s="15" t="e">
        <f>Tasks[[#This Row],[To Organisation]]</f>
        <v>#VALUE!</v>
      </c>
    </row>
    <row r="827" spans="1:9" ht="15.5" x14ac:dyDescent="0.35">
      <c r="A827" s="16" t="e">
        <f>HYPERLINK(_xlfn.CONCAT(Edit_URL,Tasks[[#This Row],[Ref]]),Tasks[[#This Row],[Ref]])</f>
        <v>#VALUE!</v>
      </c>
      <c r="B827" s="15" t="e" cm="1">
        <f t="array" ref="B827">_xlfn.SWITCH(LEFT(Tasks[[#This Row],[Status]],1),"O","Opened","C","Completed","S","Signed Off", "V", "Signed Off","ERROR")</f>
        <v>#VALUE!</v>
      </c>
      <c r="C827" s="15" t="e" cm="1">
        <f t="array" ref="C827">_xlfn.SWITCH(LEFT(Tasks[[#This Row],[Type]], 3), "Fie", "Field Report", "Con", "Contractor QC", "Gen", "Contractor QC", "Pun", "Contractor QC", "Qua", "Contractor QC", "Fin", "Punch List")</f>
        <v>#VALUE!</v>
      </c>
      <c r="D827" s="15" t="e">
        <f>_xlfn.LET(
_xlpm.leftValue, TRIM(LEFT(Tasks[[#This Row],[Description]], 45)),
IF(LEN(_xlpm.leftValue) &lt; 40, _xlpm.leftValue, _xlfn.CONCAT(_xlpm.leftValue, "…"))
)</f>
        <v>#VALUE!</v>
      </c>
      <c r="E827" s="15" t="e" cm="1">
        <f t="array" ref="E827">_xlfn.LET(
_xlpm.inTower, COUNTIF(Tower_Num_Table[Tower Rm Numbers], LEFT(Task_Summary_Table[[#This Row],[Area/Room]], 3)) &gt; 0,
_xlpm.typeResult, _xlfn.SWITCH(LEFT(Tasks[[#This Row],[Page]], 2), "Hi", "Historic", "An", "Annex", "Si", "Site", "S5", "Project Task", "SWITCH ERROR"),
IF(_xlpm.inTower, "West Tower", _xlpm.typeResult)
)</f>
        <v>#VALUE!</v>
      </c>
      <c r="F827" s="15" t="str">
        <f>IFERROR(MID(Tasks[[#This Row],[Page]], FIND("Level", Tasks[[#This Row],[Page]]), 7), IF(ISNUMBER(FIND("Roof", Tasks[[#This Row],[Page]])), "Roof",  IF(ISNUMBER(FIND("S590", Tasks[[#This Row],[Page]])), "",  IF(ISNUMBER(FIND("Site", Tasks[[#This Row],[Page]])), "", "ERROR"))))</f>
        <v>ERROR</v>
      </c>
      <c r="G827" s="15" t="e">
        <f>IF(Tasks[[#This Row],[Location]]=0, "", Tasks[[#This Row],[Location]])</f>
        <v>#VALUE!</v>
      </c>
      <c r="H827" s="15" t="e">
        <f>Tasks[[#This Row],[To Package]]</f>
        <v>#VALUE!</v>
      </c>
      <c r="I827" s="15" t="e">
        <f>Tasks[[#This Row],[To Organisation]]</f>
        <v>#VALUE!</v>
      </c>
    </row>
    <row r="828" spans="1:9" ht="15.5" x14ac:dyDescent="0.35">
      <c r="A828" s="16" t="e">
        <f>HYPERLINK(_xlfn.CONCAT(Edit_URL,Tasks[[#This Row],[Ref]]),Tasks[[#This Row],[Ref]])</f>
        <v>#VALUE!</v>
      </c>
      <c r="B828" s="15" t="e" cm="1">
        <f t="array" ref="B828">_xlfn.SWITCH(LEFT(Tasks[[#This Row],[Status]],1),"O","Opened","C","Completed","S","Signed Off", "V", "Signed Off","ERROR")</f>
        <v>#VALUE!</v>
      </c>
      <c r="C828" s="15" t="e" cm="1">
        <f t="array" ref="C828">_xlfn.SWITCH(LEFT(Tasks[[#This Row],[Type]], 3), "Fie", "Field Report", "Con", "Contractor QC", "Gen", "Contractor QC", "Pun", "Contractor QC", "Qua", "Contractor QC", "Fin", "Punch List")</f>
        <v>#VALUE!</v>
      </c>
      <c r="D828" s="15" t="e">
        <f>_xlfn.LET(
_xlpm.leftValue, TRIM(LEFT(Tasks[[#This Row],[Description]], 45)),
IF(LEN(_xlpm.leftValue) &lt; 40, _xlpm.leftValue, _xlfn.CONCAT(_xlpm.leftValue, "…"))
)</f>
        <v>#VALUE!</v>
      </c>
      <c r="E828" s="15" t="e" cm="1">
        <f t="array" ref="E828">_xlfn.LET(
_xlpm.inTower, COUNTIF(Tower_Num_Table[Tower Rm Numbers], LEFT(Task_Summary_Table[[#This Row],[Area/Room]], 3)) &gt; 0,
_xlpm.typeResult, _xlfn.SWITCH(LEFT(Tasks[[#This Row],[Page]], 2), "Hi", "Historic", "An", "Annex", "Si", "Site", "S5", "Project Task", "SWITCH ERROR"),
IF(_xlpm.inTower, "West Tower", _xlpm.typeResult)
)</f>
        <v>#VALUE!</v>
      </c>
      <c r="F828" s="15" t="str">
        <f>IFERROR(MID(Tasks[[#This Row],[Page]], FIND("Level", Tasks[[#This Row],[Page]]), 7), IF(ISNUMBER(FIND("Roof", Tasks[[#This Row],[Page]])), "Roof",  IF(ISNUMBER(FIND("S590", Tasks[[#This Row],[Page]])), "",  IF(ISNUMBER(FIND("Site", Tasks[[#This Row],[Page]])), "", "ERROR"))))</f>
        <v>ERROR</v>
      </c>
      <c r="G828" s="15" t="e">
        <f>IF(Tasks[[#This Row],[Location]]=0, "", Tasks[[#This Row],[Location]])</f>
        <v>#VALUE!</v>
      </c>
      <c r="H828" s="15" t="e">
        <f>Tasks[[#This Row],[To Package]]</f>
        <v>#VALUE!</v>
      </c>
      <c r="I828" s="15" t="e">
        <f>Tasks[[#This Row],[To Organisation]]</f>
        <v>#VALUE!</v>
      </c>
    </row>
    <row r="829" spans="1:9" ht="15.5" x14ac:dyDescent="0.35">
      <c r="A829" s="16" t="e">
        <f>HYPERLINK(_xlfn.CONCAT(Edit_URL,Tasks[[#This Row],[Ref]]),Tasks[[#This Row],[Ref]])</f>
        <v>#VALUE!</v>
      </c>
      <c r="B829" s="15" t="e" cm="1">
        <f t="array" ref="B829">_xlfn.SWITCH(LEFT(Tasks[[#This Row],[Status]],1),"O","Opened","C","Completed","S","Signed Off", "V", "Signed Off","ERROR")</f>
        <v>#VALUE!</v>
      </c>
      <c r="C829" s="15" t="e" cm="1">
        <f t="array" ref="C829">_xlfn.SWITCH(LEFT(Tasks[[#This Row],[Type]], 3), "Fie", "Field Report", "Con", "Contractor QC", "Gen", "Contractor QC", "Pun", "Contractor QC", "Qua", "Contractor QC", "Fin", "Punch List")</f>
        <v>#VALUE!</v>
      </c>
      <c r="D829" s="15" t="e">
        <f>_xlfn.LET(
_xlpm.leftValue, TRIM(LEFT(Tasks[[#This Row],[Description]], 45)),
IF(LEN(_xlpm.leftValue) &lt; 40, _xlpm.leftValue, _xlfn.CONCAT(_xlpm.leftValue, "…"))
)</f>
        <v>#VALUE!</v>
      </c>
      <c r="E829" s="15" t="e" cm="1">
        <f t="array" ref="E829">_xlfn.LET(
_xlpm.inTower, COUNTIF(Tower_Num_Table[Tower Rm Numbers], LEFT(Task_Summary_Table[[#This Row],[Area/Room]], 3)) &gt; 0,
_xlpm.typeResult, _xlfn.SWITCH(LEFT(Tasks[[#This Row],[Page]], 2), "Hi", "Historic", "An", "Annex", "Si", "Site", "S5", "Project Task", "SWITCH ERROR"),
IF(_xlpm.inTower, "West Tower", _xlpm.typeResult)
)</f>
        <v>#VALUE!</v>
      </c>
      <c r="F829" s="15" t="str">
        <f>IFERROR(MID(Tasks[[#This Row],[Page]], FIND("Level", Tasks[[#This Row],[Page]]), 7), IF(ISNUMBER(FIND("Roof", Tasks[[#This Row],[Page]])), "Roof",  IF(ISNUMBER(FIND("S590", Tasks[[#This Row],[Page]])), "",  IF(ISNUMBER(FIND("Site", Tasks[[#This Row],[Page]])), "", "ERROR"))))</f>
        <v>ERROR</v>
      </c>
      <c r="G829" s="15" t="e">
        <f>IF(Tasks[[#This Row],[Location]]=0, "", Tasks[[#This Row],[Location]])</f>
        <v>#VALUE!</v>
      </c>
      <c r="H829" s="15" t="e">
        <f>Tasks[[#This Row],[To Package]]</f>
        <v>#VALUE!</v>
      </c>
      <c r="I829" s="15" t="e">
        <f>Tasks[[#This Row],[To Organisation]]</f>
        <v>#VALUE!</v>
      </c>
    </row>
    <row r="830" spans="1:9" ht="15.5" x14ac:dyDescent="0.35">
      <c r="A830" s="16" t="e">
        <f>HYPERLINK(_xlfn.CONCAT(Edit_URL,Tasks[[#This Row],[Ref]]),Tasks[[#This Row],[Ref]])</f>
        <v>#VALUE!</v>
      </c>
      <c r="B830" s="15" t="e" cm="1">
        <f t="array" ref="B830">_xlfn.SWITCH(LEFT(Tasks[[#This Row],[Status]],1),"O","Opened","C","Completed","S","Signed Off", "V", "Signed Off","ERROR")</f>
        <v>#VALUE!</v>
      </c>
      <c r="C830" s="15" t="e" cm="1">
        <f t="array" ref="C830">_xlfn.SWITCH(LEFT(Tasks[[#This Row],[Type]], 3), "Fie", "Field Report", "Con", "Contractor QC", "Gen", "Contractor QC", "Pun", "Contractor QC", "Qua", "Contractor QC", "Fin", "Punch List")</f>
        <v>#VALUE!</v>
      </c>
      <c r="D830" s="15" t="e">
        <f>_xlfn.LET(
_xlpm.leftValue, TRIM(LEFT(Tasks[[#This Row],[Description]], 45)),
IF(LEN(_xlpm.leftValue) &lt; 40, _xlpm.leftValue, _xlfn.CONCAT(_xlpm.leftValue, "…"))
)</f>
        <v>#VALUE!</v>
      </c>
      <c r="E830" s="15" t="e" cm="1">
        <f t="array" ref="E830">_xlfn.LET(
_xlpm.inTower, COUNTIF(Tower_Num_Table[Tower Rm Numbers], LEFT(Task_Summary_Table[[#This Row],[Area/Room]], 3)) &gt; 0,
_xlpm.typeResult, _xlfn.SWITCH(LEFT(Tasks[[#This Row],[Page]], 2), "Hi", "Historic", "An", "Annex", "Si", "Site", "S5", "Project Task", "SWITCH ERROR"),
IF(_xlpm.inTower, "West Tower", _xlpm.typeResult)
)</f>
        <v>#VALUE!</v>
      </c>
      <c r="F830" s="15" t="str">
        <f>IFERROR(MID(Tasks[[#This Row],[Page]], FIND("Level", Tasks[[#This Row],[Page]]), 7), IF(ISNUMBER(FIND("Roof", Tasks[[#This Row],[Page]])), "Roof",  IF(ISNUMBER(FIND("S590", Tasks[[#This Row],[Page]])), "",  IF(ISNUMBER(FIND("Site", Tasks[[#This Row],[Page]])), "", "ERROR"))))</f>
        <v>ERROR</v>
      </c>
      <c r="G830" s="15" t="e">
        <f>IF(Tasks[[#This Row],[Location]]=0, "", Tasks[[#This Row],[Location]])</f>
        <v>#VALUE!</v>
      </c>
      <c r="H830" s="15" t="e">
        <f>Tasks[[#This Row],[To Package]]</f>
        <v>#VALUE!</v>
      </c>
      <c r="I830" s="15" t="e">
        <f>Tasks[[#This Row],[To Organisation]]</f>
        <v>#VALUE!</v>
      </c>
    </row>
    <row r="831" spans="1:9" ht="15.5" x14ac:dyDescent="0.35">
      <c r="A831" s="16" t="e">
        <f>HYPERLINK(_xlfn.CONCAT(Edit_URL,Tasks[[#This Row],[Ref]]),Tasks[[#This Row],[Ref]])</f>
        <v>#VALUE!</v>
      </c>
      <c r="B831" s="15" t="e" cm="1">
        <f t="array" ref="B831">_xlfn.SWITCH(LEFT(Tasks[[#This Row],[Status]],1),"O","Opened","C","Completed","S","Signed Off", "V", "Signed Off","ERROR")</f>
        <v>#VALUE!</v>
      </c>
      <c r="C831" s="15" t="e" cm="1">
        <f t="array" ref="C831">_xlfn.SWITCH(LEFT(Tasks[[#This Row],[Type]], 3), "Fie", "Field Report", "Con", "Contractor QC", "Gen", "Contractor QC", "Pun", "Contractor QC", "Qua", "Contractor QC", "Fin", "Punch List")</f>
        <v>#VALUE!</v>
      </c>
      <c r="D831" s="15" t="e">
        <f>_xlfn.LET(
_xlpm.leftValue, TRIM(LEFT(Tasks[[#This Row],[Description]], 45)),
IF(LEN(_xlpm.leftValue) &lt; 40, _xlpm.leftValue, _xlfn.CONCAT(_xlpm.leftValue, "…"))
)</f>
        <v>#VALUE!</v>
      </c>
      <c r="E831" s="15" t="e" cm="1">
        <f t="array" ref="E831">_xlfn.LET(
_xlpm.inTower, COUNTIF(Tower_Num_Table[Tower Rm Numbers], LEFT(Task_Summary_Table[[#This Row],[Area/Room]], 3)) &gt; 0,
_xlpm.typeResult, _xlfn.SWITCH(LEFT(Tasks[[#This Row],[Page]], 2), "Hi", "Historic", "An", "Annex", "Si", "Site", "S5", "Project Task", "SWITCH ERROR"),
IF(_xlpm.inTower, "West Tower", _xlpm.typeResult)
)</f>
        <v>#VALUE!</v>
      </c>
      <c r="F831" s="15" t="str">
        <f>IFERROR(MID(Tasks[[#This Row],[Page]], FIND("Level", Tasks[[#This Row],[Page]]), 7), IF(ISNUMBER(FIND("Roof", Tasks[[#This Row],[Page]])), "Roof",  IF(ISNUMBER(FIND("S590", Tasks[[#This Row],[Page]])), "",  IF(ISNUMBER(FIND("Site", Tasks[[#This Row],[Page]])), "", "ERROR"))))</f>
        <v>ERROR</v>
      </c>
      <c r="G831" s="15" t="e">
        <f>IF(Tasks[[#This Row],[Location]]=0, "", Tasks[[#This Row],[Location]])</f>
        <v>#VALUE!</v>
      </c>
      <c r="H831" s="15" t="e">
        <f>Tasks[[#This Row],[To Package]]</f>
        <v>#VALUE!</v>
      </c>
      <c r="I831" s="15" t="e">
        <f>Tasks[[#This Row],[To Organisation]]</f>
        <v>#VALUE!</v>
      </c>
    </row>
    <row r="832" spans="1:9" ht="15.5" x14ac:dyDescent="0.35">
      <c r="A832" s="16" t="e">
        <f>HYPERLINK(_xlfn.CONCAT(Edit_URL,Tasks[[#This Row],[Ref]]),Tasks[[#This Row],[Ref]])</f>
        <v>#VALUE!</v>
      </c>
      <c r="B832" s="15" t="e" cm="1">
        <f t="array" ref="B832">_xlfn.SWITCH(LEFT(Tasks[[#This Row],[Status]],1),"O","Opened","C","Completed","S","Signed Off", "V", "Signed Off","ERROR")</f>
        <v>#VALUE!</v>
      </c>
      <c r="C832" s="15" t="e" cm="1">
        <f t="array" ref="C832">_xlfn.SWITCH(LEFT(Tasks[[#This Row],[Type]], 3), "Fie", "Field Report", "Con", "Contractor QC", "Gen", "Contractor QC", "Pun", "Contractor QC", "Qua", "Contractor QC", "Fin", "Punch List")</f>
        <v>#VALUE!</v>
      </c>
      <c r="D832" s="15" t="e">
        <f>_xlfn.LET(
_xlpm.leftValue, TRIM(LEFT(Tasks[[#This Row],[Description]], 45)),
IF(LEN(_xlpm.leftValue) &lt; 40, _xlpm.leftValue, _xlfn.CONCAT(_xlpm.leftValue, "…"))
)</f>
        <v>#VALUE!</v>
      </c>
      <c r="E832" s="15" t="e" cm="1">
        <f t="array" ref="E832">_xlfn.LET(
_xlpm.inTower, COUNTIF(Tower_Num_Table[Tower Rm Numbers], LEFT(Task_Summary_Table[[#This Row],[Area/Room]], 3)) &gt; 0,
_xlpm.typeResult, _xlfn.SWITCH(LEFT(Tasks[[#This Row],[Page]], 2), "Hi", "Historic", "An", "Annex", "Si", "Site", "S5", "Project Task", "SWITCH ERROR"),
IF(_xlpm.inTower, "West Tower", _xlpm.typeResult)
)</f>
        <v>#VALUE!</v>
      </c>
      <c r="F832" s="15" t="str">
        <f>IFERROR(MID(Tasks[[#This Row],[Page]], FIND("Level", Tasks[[#This Row],[Page]]), 7), IF(ISNUMBER(FIND("Roof", Tasks[[#This Row],[Page]])), "Roof",  IF(ISNUMBER(FIND("S590", Tasks[[#This Row],[Page]])), "",  IF(ISNUMBER(FIND("Site", Tasks[[#This Row],[Page]])), "", "ERROR"))))</f>
        <v>ERROR</v>
      </c>
      <c r="G832" s="15" t="e">
        <f>IF(Tasks[[#This Row],[Location]]=0, "", Tasks[[#This Row],[Location]])</f>
        <v>#VALUE!</v>
      </c>
      <c r="H832" s="15" t="e">
        <f>Tasks[[#This Row],[To Package]]</f>
        <v>#VALUE!</v>
      </c>
      <c r="I832" s="15" t="e">
        <f>Tasks[[#This Row],[To Organisation]]</f>
        <v>#VALUE!</v>
      </c>
    </row>
    <row r="833" spans="1:9" ht="15.5" x14ac:dyDescent="0.35">
      <c r="A833" s="16" t="e">
        <f>HYPERLINK(_xlfn.CONCAT(Edit_URL,Tasks[[#This Row],[Ref]]),Tasks[[#This Row],[Ref]])</f>
        <v>#VALUE!</v>
      </c>
      <c r="B833" s="15" t="e" cm="1">
        <f t="array" ref="B833">_xlfn.SWITCH(LEFT(Tasks[[#This Row],[Status]],1),"O","Opened","C","Completed","S","Signed Off", "V", "Signed Off","ERROR")</f>
        <v>#VALUE!</v>
      </c>
      <c r="C833" s="15" t="e" cm="1">
        <f t="array" ref="C833">_xlfn.SWITCH(LEFT(Tasks[[#This Row],[Type]], 3), "Fie", "Field Report", "Con", "Contractor QC", "Gen", "Contractor QC", "Pun", "Contractor QC", "Qua", "Contractor QC", "Fin", "Punch List")</f>
        <v>#VALUE!</v>
      </c>
      <c r="D833" s="15" t="e">
        <f>_xlfn.LET(
_xlpm.leftValue, TRIM(LEFT(Tasks[[#This Row],[Description]], 45)),
IF(LEN(_xlpm.leftValue) &lt; 40, _xlpm.leftValue, _xlfn.CONCAT(_xlpm.leftValue, "…"))
)</f>
        <v>#VALUE!</v>
      </c>
      <c r="E833" s="15" t="e" cm="1">
        <f t="array" ref="E833">_xlfn.LET(
_xlpm.inTower, COUNTIF(Tower_Num_Table[Tower Rm Numbers], LEFT(Task_Summary_Table[[#This Row],[Area/Room]], 3)) &gt; 0,
_xlpm.typeResult, _xlfn.SWITCH(LEFT(Tasks[[#This Row],[Page]], 2), "Hi", "Historic", "An", "Annex", "Si", "Site", "S5", "Project Task", "SWITCH ERROR"),
IF(_xlpm.inTower, "West Tower", _xlpm.typeResult)
)</f>
        <v>#VALUE!</v>
      </c>
      <c r="F833" s="15" t="str">
        <f>IFERROR(MID(Tasks[[#This Row],[Page]], FIND("Level", Tasks[[#This Row],[Page]]), 7), IF(ISNUMBER(FIND("Roof", Tasks[[#This Row],[Page]])), "Roof",  IF(ISNUMBER(FIND("S590", Tasks[[#This Row],[Page]])), "",  IF(ISNUMBER(FIND("Site", Tasks[[#This Row],[Page]])), "", "ERROR"))))</f>
        <v>ERROR</v>
      </c>
      <c r="G833" s="15" t="e">
        <f>IF(Tasks[[#This Row],[Location]]=0, "", Tasks[[#This Row],[Location]])</f>
        <v>#VALUE!</v>
      </c>
      <c r="H833" s="15" t="e">
        <f>Tasks[[#This Row],[To Package]]</f>
        <v>#VALUE!</v>
      </c>
      <c r="I833" s="15" t="e">
        <f>Tasks[[#This Row],[To Organisation]]</f>
        <v>#VALUE!</v>
      </c>
    </row>
    <row r="834" spans="1:9" ht="15.5" x14ac:dyDescent="0.35">
      <c r="A834" s="16" t="e">
        <f>HYPERLINK(_xlfn.CONCAT(Edit_URL,Tasks[[#This Row],[Ref]]),Tasks[[#This Row],[Ref]])</f>
        <v>#VALUE!</v>
      </c>
      <c r="B834" s="15" t="e" cm="1">
        <f t="array" ref="B834">_xlfn.SWITCH(LEFT(Tasks[[#This Row],[Status]],1),"O","Opened","C","Completed","S","Signed Off", "V", "Signed Off","ERROR")</f>
        <v>#VALUE!</v>
      </c>
      <c r="C834" s="15" t="e" cm="1">
        <f t="array" ref="C834">_xlfn.SWITCH(LEFT(Tasks[[#This Row],[Type]], 3), "Fie", "Field Report", "Con", "Contractor QC", "Gen", "Contractor QC", "Pun", "Contractor QC", "Qua", "Contractor QC", "Fin", "Punch List")</f>
        <v>#VALUE!</v>
      </c>
      <c r="D834" s="15" t="e">
        <f>_xlfn.LET(
_xlpm.leftValue, TRIM(LEFT(Tasks[[#This Row],[Description]], 45)),
IF(LEN(_xlpm.leftValue) &lt; 40, _xlpm.leftValue, _xlfn.CONCAT(_xlpm.leftValue, "…"))
)</f>
        <v>#VALUE!</v>
      </c>
      <c r="E834" s="15" t="e" cm="1">
        <f t="array" ref="E834">_xlfn.LET(
_xlpm.inTower, COUNTIF(Tower_Num_Table[Tower Rm Numbers], LEFT(Task_Summary_Table[[#This Row],[Area/Room]], 3)) &gt; 0,
_xlpm.typeResult, _xlfn.SWITCH(LEFT(Tasks[[#This Row],[Page]], 2), "Hi", "Historic", "An", "Annex", "Si", "Site", "S5", "Project Task", "SWITCH ERROR"),
IF(_xlpm.inTower, "West Tower", _xlpm.typeResult)
)</f>
        <v>#VALUE!</v>
      </c>
      <c r="F834" s="15" t="str">
        <f>IFERROR(MID(Tasks[[#This Row],[Page]], FIND("Level", Tasks[[#This Row],[Page]]), 7), IF(ISNUMBER(FIND("Roof", Tasks[[#This Row],[Page]])), "Roof",  IF(ISNUMBER(FIND("S590", Tasks[[#This Row],[Page]])), "",  IF(ISNUMBER(FIND("Site", Tasks[[#This Row],[Page]])), "", "ERROR"))))</f>
        <v>ERROR</v>
      </c>
      <c r="G834" s="15" t="e">
        <f>IF(Tasks[[#This Row],[Location]]=0, "", Tasks[[#This Row],[Location]])</f>
        <v>#VALUE!</v>
      </c>
      <c r="H834" s="15" t="e">
        <f>Tasks[[#This Row],[To Package]]</f>
        <v>#VALUE!</v>
      </c>
      <c r="I834" s="15" t="e">
        <f>Tasks[[#This Row],[To Organisation]]</f>
        <v>#VALUE!</v>
      </c>
    </row>
    <row r="835" spans="1:9" ht="15.5" x14ac:dyDescent="0.35">
      <c r="A835" s="16" t="e">
        <f>HYPERLINK(_xlfn.CONCAT(Edit_URL,Tasks[[#This Row],[Ref]]),Tasks[[#This Row],[Ref]])</f>
        <v>#VALUE!</v>
      </c>
      <c r="B835" s="15" t="e" cm="1">
        <f t="array" ref="B835">_xlfn.SWITCH(LEFT(Tasks[[#This Row],[Status]],1),"O","Opened","C","Completed","S","Signed Off", "V", "Signed Off","ERROR")</f>
        <v>#VALUE!</v>
      </c>
      <c r="C835" s="15" t="e" cm="1">
        <f t="array" ref="C835">_xlfn.SWITCH(LEFT(Tasks[[#This Row],[Type]], 3), "Fie", "Field Report", "Con", "Contractor QC", "Gen", "Contractor QC", "Pun", "Contractor QC", "Qua", "Contractor QC", "Fin", "Punch List")</f>
        <v>#VALUE!</v>
      </c>
      <c r="D835" s="15" t="e">
        <f>_xlfn.LET(
_xlpm.leftValue, TRIM(LEFT(Tasks[[#This Row],[Description]], 45)),
IF(LEN(_xlpm.leftValue) &lt; 40, _xlpm.leftValue, _xlfn.CONCAT(_xlpm.leftValue, "…"))
)</f>
        <v>#VALUE!</v>
      </c>
      <c r="E835" s="15" t="e" cm="1">
        <f t="array" ref="E835">_xlfn.LET(
_xlpm.inTower, COUNTIF(Tower_Num_Table[Tower Rm Numbers], LEFT(Task_Summary_Table[[#This Row],[Area/Room]], 3)) &gt; 0,
_xlpm.typeResult, _xlfn.SWITCH(LEFT(Tasks[[#This Row],[Page]], 2), "Hi", "Historic", "An", "Annex", "Si", "Site", "S5", "Project Task", "SWITCH ERROR"),
IF(_xlpm.inTower, "West Tower", _xlpm.typeResult)
)</f>
        <v>#VALUE!</v>
      </c>
      <c r="F835" s="15" t="str">
        <f>IFERROR(MID(Tasks[[#This Row],[Page]], FIND("Level", Tasks[[#This Row],[Page]]), 7), IF(ISNUMBER(FIND("Roof", Tasks[[#This Row],[Page]])), "Roof",  IF(ISNUMBER(FIND("S590", Tasks[[#This Row],[Page]])), "",  IF(ISNUMBER(FIND("Site", Tasks[[#This Row],[Page]])), "", "ERROR"))))</f>
        <v>ERROR</v>
      </c>
      <c r="G835" s="15" t="e">
        <f>IF(Tasks[[#This Row],[Location]]=0, "", Tasks[[#This Row],[Location]])</f>
        <v>#VALUE!</v>
      </c>
      <c r="H835" s="15" t="e">
        <f>Tasks[[#This Row],[To Package]]</f>
        <v>#VALUE!</v>
      </c>
      <c r="I835" s="15" t="e">
        <f>Tasks[[#This Row],[To Organisation]]</f>
        <v>#VALUE!</v>
      </c>
    </row>
    <row r="836" spans="1:9" ht="15.5" x14ac:dyDescent="0.35">
      <c r="A836" s="16" t="e">
        <f>HYPERLINK(_xlfn.CONCAT(Edit_URL,Tasks[[#This Row],[Ref]]),Tasks[[#This Row],[Ref]])</f>
        <v>#VALUE!</v>
      </c>
      <c r="B836" s="15" t="e" cm="1">
        <f t="array" ref="B836">_xlfn.SWITCH(LEFT(Tasks[[#This Row],[Status]],1),"O","Opened","C","Completed","S","Signed Off", "V", "Signed Off","ERROR")</f>
        <v>#VALUE!</v>
      </c>
      <c r="C836" s="15" t="e" cm="1">
        <f t="array" ref="C836">_xlfn.SWITCH(LEFT(Tasks[[#This Row],[Type]], 3), "Fie", "Field Report", "Con", "Contractor QC", "Gen", "Contractor QC", "Pun", "Contractor QC", "Qua", "Contractor QC", "Fin", "Punch List")</f>
        <v>#VALUE!</v>
      </c>
      <c r="D836" s="15" t="e">
        <f>_xlfn.LET(
_xlpm.leftValue, TRIM(LEFT(Tasks[[#This Row],[Description]], 45)),
IF(LEN(_xlpm.leftValue) &lt; 40, _xlpm.leftValue, _xlfn.CONCAT(_xlpm.leftValue, "…"))
)</f>
        <v>#VALUE!</v>
      </c>
      <c r="E836" s="15" t="e" cm="1">
        <f t="array" ref="E836">_xlfn.LET(
_xlpm.inTower, COUNTIF(Tower_Num_Table[Tower Rm Numbers], LEFT(Task_Summary_Table[[#This Row],[Area/Room]], 3)) &gt; 0,
_xlpm.typeResult, _xlfn.SWITCH(LEFT(Tasks[[#This Row],[Page]], 2), "Hi", "Historic", "An", "Annex", "Si", "Site", "S5", "Project Task", "SWITCH ERROR"),
IF(_xlpm.inTower, "West Tower", _xlpm.typeResult)
)</f>
        <v>#VALUE!</v>
      </c>
      <c r="F836" s="15" t="str">
        <f>IFERROR(MID(Tasks[[#This Row],[Page]], FIND("Level", Tasks[[#This Row],[Page]]), 7), IF(ISNUMBER(FIND("Roof", Tasks[[#This Row],[Page]])), "Roof",  IF(ISNUMBER(FIND("S590", Tasks[[#This Row],[Page]])), "",  IF(ISNUMBER(FIND("Site", Tasks[[#This Row],[Page]])), "", "ERROR"))))</f>
        <v>ERROR</v>
      </c>
      <c r="G836" s="15" t="e">
        <f>IF(Tasks[[#This Row],[Location]]=0, "", Tasks[[#This Row],[Location]])</f>
        <v>#VALUE!</v>
      </c>
      <c r="H836" s="15" t="e">
        <f>Tasks[[#This Row],[To Package]]</f>
        <v>#VALUE!</v>
      </c>
      <c r="I836" s="15" t="e">
        <f>Tasks[[#This Row],[To Organisation]]</f>
        <v>#VALUE!</v>
      </c>
    </row>
    <row r="837" spans="1:9" ht="15.5" x14ac:dyDescent="0.35">
      <c r="A837" s="16" t="e">
        <f>HYPERLINK(_xlfn.CONCAT(Edit_URL,Tasks[[#This Row],[Ref]]),Tasks[[#This Row],[Ref]])</f>
        <v>#VALUE!</v>
      </c>
      <c r="B837" s="15" t="e" cm="1">
        <f t="array" ref="B837">_xlfn.SWITCH(LEFT(Tasks[[#This Row],[Status]],1),"O","Opened","C","Completed","S","Signed Off", "V", "Signed Off","ERROR")</f>
        <v>#VALUE!</v>
      </c>
      <c r="C837" s="15" t="e" cm="1">
        <f t="array" ref="C837">_xlfn.SWITCH(LEFT(Tasks[[#This Row],[Type]], 3), "Fie", "Field Report", "Con", "Contractor QC", "Gen", "Contractor QC", "Pun", "Contractor QC", "Qua", "Contractor QC", "Fin", "Punch List")</f>
        <v>#VALUE!</v>
      </c>
      <c r="D837" s="15" t="e">
        <f>_xlfn.LET(
_xlpm.leftValue, TRIM(LEFT(Tasks[[#This Row],[Description]], 45)),
IF(LEN(_xlpm.leftValue) &lt; 40, _xlpm.leftValue, _xlfn.CONCAT(_xlpm.leftValue, "…"))
)</f>
        <v>#VALUE!</v>
      </c>
      <c r="E837" s="15" t="e" cm="1">
        <f t="array" ref="E837">_xlfn.LET(
_xlpm.inTower, COUNTIF(Tower_Num_Table[Tower Rm Numbers], LEFT(Task_Summary_Table[[#This Row],[Area/Room]], 3)) &gt; 0,
_xlpm.typeResult, _xlfn.SWITCH(LEFT(Tasks[[#This Row],[Page]], 2), "Hi", "Historic", "An", "Annex", "Si", "Site", "S5", "Project Task", "SWITCH ERROR"),
IF(_xlpm.inTower, "West Tower", _xlpm.typeResult)
)</f>
        <v>#VALUE!</v>
      </c>
      <c r="F837" s="15" t="str">
        <f>IFERROR(MID(Tasks[[#This Row],[Page]], FIND("Level", Tasks[[#This Row],[Page]]), 7), IF(ISNUMBER(FIND("Roof", Tasks[[#This Row],[Page]])), "Roof",  IF(ISNUMBER(FIND("S590", Tasks[[#This Row],[Page]])), "",  IF(ISNUMBER(FIND("Site", Tasks[[#This Row],[Page]])), "", "ERROR"))))</f>
        <v>ERROR</v>
      </c>
      <c r="G837" s="15" t="e">
        <f>IF(Tasks[[#This Row],[Location]]=0, "", Tasks[[#This Row],[Location]])</f>
        <v>#VALUE!</v>
      </c>
      <c r="H837" s="15" t="e">
        <f>Tasks[[#This Row],[To Package]]</f>
        <v>#VALUE!</v>
      </c>
      <c r="I837" s="15" t="e">
        <f>Tasks[[#This Row],[To Organisation]]</f>
        <v>#VALUE!</v>
      </c>
    </row>
    <row r="838" spans="1:9" ht="15.5" x14ac:dyDescent="0.35">
      <c r="A838" s="16" t="e">
        <f>HYPERLINK(_xlfn.CONCAT(Edit_URL,Tasks[[#This Row],[Ref]]),Tasks[[#This Row],[Ref]])</f>
        <v>#VALUE!</v>
      </c>
      <c r="B838" s="15" t="e" cm="1">
        <f t="array" ref="B838">_xlfn.SWITCH(LEFT(Tasks[[#This Row],[Status]],1),"O","Opened","C","Completed","S","Signed Off", "V", "Signed Off","ERROR")</f>
        <v>#VALUE!</v>
      </c>
      <c r="C838" s="15" t="e" cm="1">
        <f t="array" ref="C838">_xlfn.SWITCH(LEFT(Tasks[[#This Row],[Type]], 3), "Fie", "Field Report", "Con", "Contractor QC", "Gen", "Contractor QC", "Pun", "Contractor QC", "Qua", "Contractor QC", "Fin", "Punch List")</f>
        <v>#VALUE!</v>
      </c>
      <c r="D838" s="15" t="e">
        <f>_xlfn.LET(
_xlpm.leftValue, TRIM(LEFT(Tasks[[#This Row],[Description]], 45)),
IF(LEN(_xlpm.leftValue) &lt; 40, _xlpm.leftValue, _xlfn.CONCAT(_xlpm.leftValue, "…"))
)</f>
        <v>#VALUE!</v>
      </c>
      <c r="E838" s="15" t="e" cm="1">
        <f t="array" ref="E838">_xlfn.LET(
_xlpm.inTower, COUNTIF(Tower_Num_Table[Tower Rm Numbers], LEFT(Task_Summary_Table[[#This Row],[Area/Room]], 3)) &gt; 0,
_xlpm.typeResult, _xlfn.SWITCH(LEFT(Tasks[[#This Row],[Page]], 2), "Hi", "Historic", "An", "Annex", "Si", "Site", "S5", "Project Task", "SWITCH ERROR"),
IF(_xlpm.inTower, "West Tower", _xlpm.typeResult)
)</f>
        <v>#VALUE!</v>
      </c>
      <c r="F838" s="15" t="str">
        <f>IFERROR(MID(Tasks[[#This Row],[Page]], FIND("Level", Tasks[[#This Row],[Page]]), 7), IF(ISNUMBER(FIND("Roof", Tasks[[#This Row],[Page]])), "Roof",  IF(ISNUMBER(FIND("S590", Tasks[[#This Row],[Page]])), "",  IF(ISNUMBER(FIND("Site", Tasks[[#This Row],[Page]])), "", "ERROR"))))</f>
        <v>ERROR</v>
      </c>
      <c r="G838" s="15" t="e">
        <f>IF(Tasks[[#This Row],[Location]]=0, "", Tasks[[#This Row],[Location]])</f>
        <v>#VALUE!</v>
      </c>
      <c r="H838" s="15" t="e">
        <f>Tasks[[#This Row],[To Package]]</f>
        <v>#VALUE!</v>
      </c>
      <c r="I838" s="15" t="e">
        <f>Tasks[[#This Row],[To Organisation]]</f>
        <v>#VALUE!</v>
      </c>
    </row>
    <row r="839" spans="1:9" ht="15.5" x14ac:dyDescent="0.35">
      <c r="A839" s="16" t="e">
        <f>HYPERLINK(_xlfn.CONCAT(Edit_URL,Tasks[[#This Row],[Ref]]),Tasks[[#This Row],[Ref]])</f>
        <v>#VALUE!</v>
      </c>
      <c r="B839" s="15" t="e" cm="1">
        <f t="array" ref="B839">_xlfn.SWITCH(LEFT(Tasks[[#This Row],[Status]],1),"O","Opened","C","Completed","S","Signed Off", "V", "Signed Off","ERROR")</f>
        <v>#VALUE!</v>
      </c>
      <c r="C839" s="15" t="e" cm="1">
        <f t="array" ref="C839">_xlfn.SWITCH(LEFT(Tasks[[#This Row],[Type]], 3), "Fie", "Field Report", "Con", "Contractor QC", "Gen", "Contractor QC", "Pun", "Contractor QC", "Qua", "Contractor QC", "Fin", "Punch List")</f>
        <v>#VALUE!</v>
      </c>
      <c r="D839" s="15" t="e">
        <f>_xlfn.LET(
_xlpm.leftValue, TRIM(LEFT(Tasks[[#This Row],[Description]], 45)),
IF(LEN(_xlpm.leftValue) &lt; 40, _xlpm.leftValue, _xlfn.CONCAT(_xlpm.leftValue, "…"))
)</f>
        <v>#VALUE!</v>
      </c>
      <c r="E839" s="15" t="e" cm="1">
        <f t="array" ref="E839">_xlfn.LET(
_xlpm.inTower, COUNTIF(Tower_Num_Table[Tower Rm Numbers], LEFT(Task_Summary_Table[[#This Row],[Area/Room]], 3)) &gt; 0,
_xlpm.typeResult, _xlfn.SWITCH(LEFT(Tasks[[#This Row],[Page]], 2), "Hi", "Historic", "An", "Annex", "Si", "Site", "S5", "Project Task", "SWITCH ERROR"),
IF(_xlpm.inTower, "West Tower", _xlpm.typeResult)
)</f>
        <v>#VALUE!</v>
      </c>
      <c r="F839" s="15" t="str">
        <f>IFERROR(MID(Tasks[[#This Row],[Page]], FIND("Level", Tasks[[#This Row],[Page]]), 7), IF(ISNUMBER(FIND("Roof", Tasks[[#This Row],[Page]])), "Roof",  IF(ISNUMBER(FIND("S590", Tasks[[#This Row],[Page]])), "",  IF(ISNUMBER(FIND("Site", Tasks[[#This Row],[Page]])), "", "ERROR"))))</f>
        <v>ERROR</v>
      </c>
      <c r="G839" s="15" t="e">
        <f>IF(Tasks[[#This Row],[Location]]=0, "", Tasks[[#This Row],[Location]])</f>
        <v>#VALUE!</v>
      </c>
      <c r="H839" s="15" t="e">
        <f>Tasks[[#This Row],[To Package]]</f>
        <v>#VALUE!</v>
      </c>
      <c r="I839" s="15" t="e">
        <f>Tasks[[#This Row],[To Organisation]]</f>
        <v>#VALUE!</v>
      </c>
    </row>
    <row r="840" spans="1:9" ht="15.5" x14ac:dyDescent="0.35">
      <c r="A840" s="16" t="e">
        <f>HYPERLINK(_xlfn.CONCAT(Edit_URL,Tasks[[#This Row],[Ref]]),Tasks[[#This Row],[Ref]])</f>
        <v>#VALUE!</v>
      </c>
      <c r="B840" s="15" t="e" cm="1">
        <f t="array" ref="B840">_xlfn.SWITCH(LEFT(Tasks[[#This Row],[Status]],1),"O","Opened","C","Completed","S","Signed Off", "V", "Signed Off","ERROR")</f>
        <v>#VALUE!</v>
      </c>
      <c r="C840" s="15" t="e" cm="1">
        <f t="array" ref="C840">_xlfn.SWITCH(LEFT(Tasks[[#This Row],[Type]], 3), "Fie", "Field Report", "Con", "Contractor QC", "Gen", "Contractor QC", "Pun", "Contractor QC", "Qua", "Contractor QC", "Fin", "Punch List")</f>
        <v>#VALUE!</v>
      </c>
      <c r="D840" s="15" t="e">
        <f>_xlfn.LET(
_xlpm.leftValue, TRIM(LEFT(Tasks[[#This Row],[Description]], 45)),
IF(LEN(_xlpm.leftValue) &lt; 40, _xlpm.leftValue, _xlfn.CONCAT(_xlpm.leftValue, "…"))
)</f>
        <v>#VALUE!</v>
      </c>
      <c r="E840" s="15" t="e" cm="1">
        <f t="array" ref="E840">_xlfn.LET(
_xlpm.inTower, COUNTIF(Tower_Num_Table[Tower Rm Numbers], LEFT(Task_Summary_Table[[#This Row],[Area/Room]], 3)) &gt; 0,
_xlpm.typeResult, _xlfn.SWITCH(LEFT(Tasks[[#This Row],[Page]], 2), "Hi", "Historic", "An", "Annex", "Si", "Site", "S5", "Project Task", "SWITCH ERROR"),
IF(_xlpm.inTower, "West Tower", _xlpm.typeResult)
)</f>
        <v>#VALUE!</v>
      </c>
      <c r="F840" s="15" t="str">
        <f>IFERROR(MID(Tasks[[#This Row],[Page]], FIND("Level", Tasks[[#This Row],[Page]]), 7), IF(ISNUMBER(FIND("Roof", Tasks[[#This Row],[Page]])), "Roof",  IF(ISNUMBER(FIND("S590", Tasks[[#This Row],[Page]])), "",  IF(ISNUMBER(FIND("Site", Tasks[[#This Row],[Page]])), "", "ERROR"))))</f>
        <v>ERROR</v>
      </c>
      <c r="G840" s="15" t="e">
        <f>IF(Tasks[[#This Row],[Location]]=0, "", Tasks[[#This Row],[Location]])</f>
        <v>#VALUE!</v>
      </c>
      <c r="H840" s="15" t="e">
        <f>Tasks[[#This Row],[To Package]]</f>
        <v>#VALUE!</v>
      </c>
      <c r="I840" s="15" t="e">
        <f>Tasks[[#This Row],[To Organisation]]</f>
        <v>#VALUE!</v>
      </c>
    </row>
    <row r="841" spans="1:9" ht="15.5" x14ac:dyDescent="0.35">
      <c r="A841" s="16" t="e">
        <f>HYPERLINK(_xlfn.CONCAT(Edit_URL,Tasks[[#This Row],[Ref]]),Tasks[[#This Row],[Ref]])</f>
        <v>#VALUE!</v>
      </c>
      <c r="B841" s="15" t="e" cm="1">
        <f t="array" ref="B841">_xlfn.SWITCH(LEFT(Tasks[[#This Row],[Status]],1),"O","Opened","C","Completed","S","Signed Off", "V", "Signed Off","ERROR")</f>
        <v>#VALUE!</v>
      </c>
      <c r="C841" s="15" t="e" cm="1">
        <f t="array" ref="C841">_xlfn.SWITCH(LEFT(Tasks[[#This Row],[Type]], 3), "Fie", "Field Report", "Con", "Contractor QC", "Gen", "Contractor QC", "Pun", "Contractor QC", "Qua", "Contractor QC", "Fin", "Punch List")</f>
        <v>#VALUE!</v>
      </c>
      <c r="D841" s="15" t="e">
        <f>_xlfn.LET(
_xlpm.leftValue, TRIM(LEFT(Tasks[[#This Row],[Description]], 45)),
IF(LEN(_xlpm.leftValue) &lt; 40, _xlpm.leftValue, _xlfn.CONCAT(_xlpm.leftValue, "…"))
)</f>
        <v>#VALUE!</v>
      </c>
      <c r="E841" s="15" t="e" cm="1">
        <f t="array" ref="E841">_xlfn.LET(
_xlpm.inTower, COUNTIF(Tower_Num_Table[Tower Rm Numbers], LEFT(Task_Summary_Table[[#This Row],[Area/Room]], 3)) &gt; 0,
_xlpm.typeResult, _xlfn.SWITCH(LEFT(Tasks[[#This Row],[Page]], 2), "Hi", "Historic", "An", "Annex", "Si", "Site", "S5", "Project Task", "SWITCH ERROR"),
IF(_xlpm.inTower, "West Tower", _xlpm.typeResult)
)</f>
        <v>#VALUE!</v>
      </c>
      <c r="F841" s="15" t="str">
        <f>IFERROR(MID(Tasks[[#This Row],[Page]], FIND("Level", Tasks[[#This Row],[Page]]), 7), IF(ISNUMBER(FIND("Roof", Tasks[[#This Row],[Page]])), "Roof",  IF(ISNUMBER(FIND("S590", Tasks[[#This Row],[Page]])), "",  IF(ISNUMBER(FIND("Site", Tasks[[#This Row],[Page]])), "", "ERROR"))))</f>
        <v>ERROR</v>
      </c>
      <c r="G841" s="15" t="e">
        <f>IF(Tasks[[#This Row],[Location]]=0, "", Tasks[[#This Row],[Location]])</f>
        <v>#VALUE!</v>
      </c>
      <c r="H841" s="15" t="e">
        <f>Tasks[[#This Row],[To Package]]</f>
        <v>#VALUE!</v>
      </c>
      <c r="I841" s="15" t="e">
        <f>Tasks[[#This Row],[To Organisation]]</f>
        <v>#VALUE!</v>
      </c>
    </row>
    <row r="842" spans="1:9" ht="15.5" x14ac:dyDescent="0.35">
      <c r="A842" s="16" t="e">
        <f>HYPERLINK(_xlfn.CONCAT(Edit_URL,Tasks[[#This Row],[Ref]]),Tasks[[#This Row],[Ref]])</f>
        <v>#VALUE!</v>
      </c>
      <c r="B842" s="15" t="e" cm="1">
        <f t="array" ref="B842">_xlfn.SWITCH(LEFT(Tasks[[#This Row],[Status]],1),"O","Opened","C","Completed","S","Signed Off", "V", "Signed Off","ERROR")</f>
        <v>#VALUE!</v>
      </c>
      <c r="C842" s="15" t="e" cm="1">
        <f t="array" ref="C842">_xlfn.SWITCH(LEFT(Tasks[[#This Row],[Type]], 3), "Fie", "Field Report", "Con", "Contractor QC", "Gen", "Contractor QC", "Pun", "Contractor QC", "Qua", "Contractor QC", "Fin", "Punch List")</f>
        <v>#VALUE!</v>
      </c>
      <c r="D842" s="15" t="e">
        <f>_xlfn.LET(
_xlpm.leftValue, TRIM(LEFT(Tasks[[#This Row],[Description]], 45)),
IF(LEN(_xlpm.leftValue) &lt; 40, _xlpm.leftValue, _xlfn.CONCAT(_xlpm.leftValue, "…"))
)</f>
        <v>#VALUE!</v>
      </c>
      <c r="E842" s="15" t="e" cm="1">
        <f t="array" ref="E842">_xlfn.LET(
_xlpm.inTower, COUNTIF(Tower_Num_Table[Tower Rm Numbers], LEFT(Task_Summary_Table[[#This Row],[Area/Room]], 3)) &gt; 0,
_xlpm.typeResult, _xlfn.SWITCH(LEFT(Tasks[[#This Row],[Page]], 2), "Hi", "Historic", "An", "Annex", "Si", "Site", "S5", "Project Task", "SWITCH ERROR"),
IF(_xlpm.inTower, "West Tower", _xlpm.typeResult)
)</f>
        <v>#VALUE!</v>
      </c>
      <c r="F842" s="15" t="str">
        <f>IFERROR(MID(Tasks[[#This Row],[Page]], FIND("Level", Tasks[[#This Row],[Page]]), 7), IF(ISNUMBER(FIND("Roof", Tasks[[#This Row],[Page]])), "Roof",  IF(ISNUMBER(FIND("S590", Tasks[[#This Row],[Page]])), "",  IF(ISNUMBER(FIND("Site", Tasks[[#This Row],[Page]])), "", "ERROR"))))</f>
        <v>ERROR</v>
      </c>
      <c r="G842" s="15" t="e">
        <f>IF(Tasks[[#This Row],[Location]]=0, "", Tasks[[#This Row],[Location]])</f>
        <v>#VALUE!</v>
      </c>
      <c r="H842" s="15" t="e">
        <f>Tasks[[#This Row],[To Package]]</f>
        <v>#VALUE!</v>
      </c>
      <c r="I842" s="15" t="e">
        <f>Tasks[[#This Row],[To Organisation]]</f>
        <v>#VALUE!</v>
      </c>
    </row>
    <row r="843" spans="1:9" ht="15.5" x14ac:dyDescent="0.35">
      <c r="A843" s="16" t="e">
        <f>HYPERLINK(_xlfn.CONCAT(Edit_URL,Tasks[[#This Row],[Ref]]),Tasks[[#This Row],[Ref]])</f>
        <v>#VALUE!</v>
      </c>
      <c r="B843" s="15" t="e" cm="1">
        <f t="array" ref="B843">_xlfn.SWITCH(LEFT(Tasks[[#This Row],[Status]],1),"O","Opened","C","Completed","S","Signed Off", "V", "Signed Off","ERROR")</f>
        <v>#VALUE!</v>
      </c>
      <c r="C843" s="15" t="e" cm="1">
        <f t="array" ref="C843">_xlfn.SWITCH(LEFT(Tasks[[#This Row],[Type]], 3), "Fie", "Field Report", "Con", "Contractor QC", "Gen", "Contractor QC", "Pun", "Contractor QC", "Qua", "Contractor QC", "Fin", "Punch List")</f>
        <v>#VALUE!</v>
      </c>
      <c r="D843" s="15" t="e">
        <f>_xlfn.LET(
_xlpm.leftValue, TRIM(LEFT(Tasks[[#This Row],[Description]], 45)),
IF(LEN(_xlpm.leftValue) &lt; 40, _xlpm.leftValue, _xlfn.CONCAT(_xlpm.leftValue, "…"))
)</f>
        <v>#VALUE!</v>
      </c>
      <c r="E843" s="15" t="e" cm="1">
        <f t="array" ref="E843">_xlfn.LET(
_xlpm.inTower, COUNTIF(Tower_Num_Table[Tower Rm Numbers], LEFT(Task_Summary_Table[[#This Row],[Area/Room]], 3)) &gt; 0,
_xlpm.typeResult, _xlfn.SWITCH(LEFT(Tasks[[#This Row],[Page]], 2), "Hi", "Historic", "An", "Annex", "Si", "Site", "S5", "Project Task", "SWITCH ERROR"),
IF(_xlpm.inTower, "West Tower", _xlpm.typeResult)
)</f>
        <v>#VALUE!</v>
      </c>
      <c r="F843" s="15" t="str">
        <f>IFERROR(MID(Tasks[[#This Row],[Page]], FIND("Level", Tasks[[#This Row],[Page]]), 7), IF(ISNUMBER(FIND("Roof", Tasks[[#This Row],[Page]])), "Roof",  IF(ISNUMBER(FIND("S590", Tasks[[#This Row],[Page]])), "",  IF(ISNUMBER(FIND("Site", Tasks[[#This Row],[Page]])), "", "ERROR"))))</f>
        <v>ERROR</v>
      </c>
      <c r="G843" s="15" t="e">
        <f>IF(Tasks[[#This Row],[Location]]=0, "", Tasks[[#This Row],[Location]])</f>
        <v>#VALUE!</v>
      </c>
      <c r="H843" s="15" t="e">
        <f>Tasks[[#This Row],[To Package]]</f>
        <v>#VALUE!</v>
      </c>
      <c r="I843" s="15" t="e">
        <f>Tasks[[#This Row],[To Organisation]]</f>
        <v>#VALUE!</v>
      </c>
    </row>
    <row r="844" spans="1:9" ht="15.5" x14ac:dyDescent="0.35">
      <c r="A844" s="16" t="e">
        <f>HYPERLINK(_xlfn.CONCAT(Edit_URL,Tasks[[#This Row],[Ref]]),Tasks[[#This Row],[Ref]])</f>
        <v>#VALUE!</v>
      </c>
      <c r="B844" s="15" t="e" cm="1">
        <f t="array" ref="B844">_xlfn.SWITCH(LEFT(Tasks[[#This Row],[Status]],1),"O","Opened","C","Completed","S","Signed Off", "V", "Signed Off","ERROR")</f>
        <v>#VALUE!</v>
      </c>
      <c r="C844" s="15" t="e" cm="1">
        <f t="array" ref="C844">_xlfn.SWITCH(LEFT(Tasks[[#This Row],[Type]], 3), "Fie", "Field Report", "Con", "Contractor QC", "Gen", "Contractor QC", "Pun", "Contractor QC", "Qua", "Contractor QC", "Fin", "Punch List")</f>
        <v>#VALUE!</v>
      </c>
      <c r="D844" s="15" t="e">
        <f>_xlfn.LET(
_xlpm.leftValue, TRIM(LEFT(Tasks[[#This Row],[Description]], 45)),
IF(LEN(_xlpm.leftValue) &lt; 40, _xlpm.leftValue, _xlfn.CONCAT(_xlpm.leftValue, "…"))
)</f>
        <v>#VALUE!</v>
      </c>
      <c r="E844" s="15" t="e" cm="1">
        <f t="array" ref="E844">_xlfn.LET(
_xlpm.inTower, COUNTIF(Tower_Num_Table[Tower Rm Numbers], LEFT(Task_Summary_Table[[#This Row],[Area/Room]], 3)) &gt; 0,
_xlpm.typeResult, _xlfn.SWITCH(LEFT(Tasks[[#This Row],[Page]], 2), "Hi", "Historic", "An", "Annex", "Si", "Site", "S5", "Project Task", "SWITCH ERROR"),
IF(_xlpm.inTower, "West Tower", _xlpm.typeResult)
)</f>
        <v>#VALUE!</v>
      </c>
      <c r="F844" s="15" t="str">
        <f>IFERROR(MID(Tasks[[#This Row],[Page]], FIND("Level", Tasks[[#This Row],[Page]]), 7), IF(ISNUMBER(FIND("Roof", Tasks[[#This Row],[Page]])), "Roof",  IF(ISNUMBER(FIND("S590", Tasks[[#This Row],[Page]])), "",  IF(ISNUMBER(FIND("Site", Tasks[[#This Row],[Page]])), "", "ERROR"))))</f>
        <v>ERROR</v>
      </c>
      <c r="G844" s="15" t="e">
        <f>IF(Tasks[[#This Row],[Location]]=0, "", Tasks[[#This Row],[Location]])</f>
        <v>#VALUE!</v>
      </c>
      <c r="H844" s="15" t="e">
        <f>Tasks[[#This Row],[To Package]]</f>
        <v>#VALUE!</v>
      </c>
      <c r="I844" s="15" t="e">
        <f>Tasks[[#This Row],[To Organisation]]</f>
        <v>#VALUE!</v>
      </c>
    </row>
    <row r="845" spans="1:9" ht="15.5" x14ac:dyDescent="0.35">
      <c r="A845" s="16" t="e">
        <f>HYPERLINK(_xlfn.CONCAT(Edit_URL,Tasks[[#This Row],[Ref]]),Tasks[[#This Row],[Ref]])</f>
        <v>#VALUE!</v>
      </c>
      <c r="B845" s="15" t="e" cm="1">
        <f t="array" ref="B845">_xlfn.SWITCH(LEFT(Tasks[[#This Row],[Status]],1),"O","Opened","C","Completed","S","Signed Off", "V", "Signed Off","ERROR")</f>
        <v>#VALUE!</v>
      </c>
      <c r="C845" s="15" t="e" cm="1">
        <f t="array" ref="C845">_xlfn.SWITCH(LEFT(Tasks[[#This Row],[Type]], 3), "Fie", "Field Report", "Con", "Contractor QC", "Gen", "Contractor QC", "Pun", "Contractor QC", "Qua", "Contractor QC", "Fin", "Punch List")</f>
        <v>#VALUE!</v>
      </c>
      <c r="D845" s="15" t="e">
        <f>_xlfn.LET(
_xlpm.leftValue, TRIM(LEFT(Tasks[[#This Row],[Description]], 45)),
IF(LEN(_xlpm.leftValue) &lt; 40, _xlpm.leftValue, _xlfn.CONCAT(_xlpm.leftValue, "…"))
)</f>
        <v>#VALUE!</v>
      </c>
      <c r="E845" s="15" t="e" cm="1">
        <f t="array" ref="E845">_xlfn.LET(
_xlpm.inTower, COUNTIF(Tower_Num_Table[Tower Rm Numbers], LEFT(Task_Summary_Table[[#This Row],[Area/Room]], 3)) &gt; 0,
_xlpm.typeResult, _xlfn.SWITCH(LEFT(Tasks[[#This Row],[Page]], 2), "Hi", "Historic", "An", "Annex", "Si", "Site", "S5", "Project Task", "SWITCH ERROR"),
IF(_xlpm.inTower, "West Tower", _xlpm.typeResult)
)</f>
        <v>#VALUE!</v>
      </c>
      <c r="F845" s="15" t="str">
        <f>IFERROR(MID(Tasks[[#This Row],[Page]], FIND("Level", Tasks[[#This Row],[Page]]), 7), IF(ISNUMBER(FIND("Roof", Tasks[[#This Row],[Page]])), "Roof",  IF(ISNUMBER(FIND("S590", Tasks[[#This Row],[Page]])), "",  IF(ISNUMBER(FIND("Site", Tasks[[#This Row],[Page]])), "", "ERROR"))))</f>
        <v>ERROR</v>
      </c>
      <c r="G845" s="15" t="e">
        <f>IF(Tasks[[#This Row],[Location]]=0, "", Tasks[[#This Row],[Location]])</f>
        <v>#VALUE!</v>
      </c>
      <c r="H845" s="15" t="e">
        <f>Tasks[[#This Row],[To Package]]</f>
        <v>#VALUE!</v>
      </c>
      <c r="I845" s="15" t="e">
        <f>Tasks[[#This Row],[To Organisation]]</f>
        <v>#VALUE!</v>
      </c>
    </row>
    <row r="846" spans="1:9" ht="15.5" x14ac:dyDescent="0.35">
      <c r="A846" s="16" t="e">
        <f>HYPERLINK(_xlfn.CONCAT(Edit_URL,Tasks[[#This Row],[Ref]]),Tasks[[#This Row],[Ref]])</f>
        <v>#VALUE!</v>
      </c>
      <c r="B846" s="15" t="e" cm="1">
        <f t="array" ref="B846">_xlfn.SWITCH(LEFT(Tasks[[#This Row],[Status]],1),"O","Opened","C","Completed","S","Signed Off", "V", "Signed Off","ERROR")</f>
        <v>#VALUE!</v>
      </c>
      <c r="C846" s="15" t="e" cm="1">
        <f t="array" ref="C846">_xlfn.SWITCH(LEFT(Tasks[[#This Row],[Type]], 3), "Fie", "Field Report", "Con", "Contractor QC", "Gen", "Contractor QC", "Pun", "Contractor QC", "Qua", "Contractor QC", "Fin", "Punch List")</f>
        <v>#VALUE!</v>
      </c>
      <c r="D846" s="15" t="e">
        <f>_xlfn.LET(
_xlpm.leftValue, TRIM(LEFT(Tasks[[#This Row],[Description]], 45)),
IF(LEN(_xlpm.leftValue) &lt; 40, _xlpm.leftValue, _xlfn.CONCAT(_xlpm.leftValue, "…"))
)</f>
        <v>#VALUE!</v>
      </c>
      <c r="E846" s="15" t="e" cm="1">
        <f t="array" ref="E846">_xlfn.LET(
_xlpm.inTower, COUNTIF(Tower_Num_Table[Tower Rm Numbers], LEFT(Task_Summary_Table[[#This Row],[Area/Room]], 3)) &gt; 0,
_xlpm.typeResult, _xlfn.SWITCH(LEFT(Tasks[[#This Row],[Page]], 2), "Hi", "Historic", "An", "Annex", "Si", "Site", "S5", "Project Task", "SWITCH ERROR"),
IF(_xlpm.inTower, "West Tower", _xlpm.typeResult)
)</f>
        <v>#VALUE!</v>
      </c>
      <c r="F846" s="15" t="str">
        <f>IFERROR(MID(Tasks[[#This Row],[Page]], FIND("Level", Tasks[[#This Row],[Page]]), 7), IF(ISNUMBER(FIND("Roof", Tasks[[#This Row],[Page]])), "Roof",  IF(ISNUMBER(FIND("S590", Tasks[[#This Row],[Page]])), "",  IF(ISNUMBER(FIND("Site", Tasks[[#This Row],[Page]])), "", "ERROR"))))</f>
        <v>ERROR</v>
      </c>
      <c r="G846" s="15" t="e">
        <f>IF(Tasks[[#This Row],[Location]]=0, "", Tasks[[#This Row],[Location]])</f>
        <v>#VALUE!</v>
      </c>
      <c r="H846" s="15" t="e">
        <f>Tasks[[#This Row],[To Package]]</f>
        <v>#VALUE!</v>
      </c>
      <c r="I846" s="15" t="e">
        <f>Tasks[[#This Row],[To Organisation]]</f>
        <v>#VALUE!</v>
      </c>
    </row>
    <row r="847" spans="1:9" ht="15.5" x14ac:dyDescent="0.35">
      <c r="A847" s="16" t="e">
        <f>HYPERLINK(_xlfn.CONCAT(Edit_URL,Tasks[[#This Row],[Ref]]),Tasks[[#This Row],[Ref]])</f>
        <v>#VALUE!</v>
      </c>
      <c r="B847" s="15" t="e" cm="1">
        <f t="array" ref="B847">_xlfn.SWITCH(LEFT(Tasks[[#This Row],[Status]],1),"O","Opened","C","Completed","S","Signed Off", "V", "Signed Off","ERROR")</f>
        <v>#VALUE!</v>
      </c>
      <c r="C847" s="15" t="e" cm="1">
        <f t="array" ref="C847">_xlfn.SWITCH(LEFT(Tasks[[#This Row],[Type]], 3), "Fie", "Field Report", "Con", "Contractor QC", "Gen", "Contractor QC", "Pun", "Contractor QC", "Qua", "Contractor QC", "Fin", "Punch List")</f>
        <v>#VALUE!</v>
      </c>
      <c r="D847" s="15" t="e">
        <f>_xlfn.LET(
_xlpm.leftValue, TRIM(LEFT(Tasks[[#This Row],[Description]], 45)),
IF(LEN(_xlpm.leftValue) &lt; 40, _xlpm.leftValue, _xlfn.CONCAT(_xlpm.leftValue, "…"))
)</f>
        <v>#VALUE!</v>
      </c>
      <c r="E847" s="15" t="e" cm="1">
        <f t="array" ref="E847">_xlfn.LET(
_xlpm.inTower, COUNTIF(Tower_Num_Table[Tower Rm Numbers], LEFT(Task_Summary_Table[[#This Row],[Area/Room]], 3)) &gt; 0,
_xlpm.typeResult, _xlfn.SWITCH(LEFT(Tasks[[#This Row],[Page]], 2), "Hi", "Historic", "An", "Annex", "Si", "Site", "S5", "Project Task", "SWITCH ERROR"),
IF(_xlpm.inTower, "West Tower", _xlpm.typeResult)
)</f>
        <v>#VALUE!</v>
      </c>
      <c r="F847" s="15" t="str">
        <f>IFERROR(MID(Tasks[[#This Row],[Page]], FIND("Level", Tasks[[#This Row],[Page]]), 7), IF(ISNUMBER(FIND("Roof", Tasks[[#This Row],[Page]])), "Roof",  IF(ISNUMBER(FIND("S590", Tasks[[#This Row],[Page]])), "",  IF(ISNUMBER(FIND("Site", Tasks[[#This Row],[Page]])), "", "ERROR"))))</f>
        <v>ERROR</v>
      </c>
      <c r="G847" s="15" t="e">
        <f>IF(Tasks[[#This Row],[Location]]=0, "", Tasks[[#This Row],[Location]])</f>
        <v>#VALUE!</v>
      </c>
      <c r="H847" s="15" t="e">
        <f>Tasks[[#This Row],[To Package]]</f>
        <v>#VALUE!</v>
      </c>
      <c r="I847" s="15" t="e">
        <f>Tasks[[#This Row],[To Organisation]]</f>
        <v>#VALUE!</v>
      </c>
    </row>
    <row r="848" spans="1:9" ht="15.5" x14ac:dyDescent="0.35">
      <c r="A848" s="16" t="e">
        <f>HYPERLINK(_xlfn.CONCAT(Edit_URL,Tasks[[#This Row],[Ref]]),Tasks[[#This Row],[Ref]])</f>
        <v>#VALUE!</v>
      </c>
      <c r="B848" s="15" t="e" cm="1">
        <f t="array" ref="B848">_xlfn.SWITCH(LEFT(Tasks[[#This Row],[Status]],1),"O","Opened","C","Completed","S","Signed Off", "V", "Signed Off","ERROR")</f>
        <v>#VALUE!</v>
      </c>
      <c r="C848" s="15" t="e" cm="1">
        <f t="array" ref="C848">_xlfn.SWITCH(LEFT(Tasks[[#This Row],[Type]], 3), "Fie", "Field Report", "Con", "Contractor QC", "Gen", "Contractor QC", "Pun", "Contractor QC", "Qua", "Contractor QC", "Fin", "Punch List")</f>
        <v>#VALUE!</v>
      </c>
      <c r="D848" s="15" t="e">
        <f>_xlfn.LET(
_xlpm.leftValue, TRIM(LEFT(Tasks[[#This Row],[Description]], 45)),
IF(LEN(_xlpm.leftValue) &lt; 40, _xlpm.leftValue, _xlfn.CONCAT(_xlpm.leftValue, "…"))
)</f>
        <v>#VALUE!</v>
      </c>
      <c r="E848" s="15" t="e" cm="1">
        <f t="array" ref="E848">_xlfn.LET(
_xlpm.inTower, COUNTIF(Tower_Num_Table[Tower Rm Numbers], LEFT(Task_Summary_Table[[#This Row],[Area/Room]], 3)) &gt; 0,
_xlpm.typeResult, _xlfn.SWITCH(LEFT(Tasks[[#This Row],[Page]], 2), "Hi", "Historic", "An", "Annex", "Si", "Site", "S5", "Project Task", "SWITCH ERROR"),
IF(_xlpm.inTower, "West Tower", _xlpm.typeResult)
)</f>
        <v>#VALUE!</v>
      </c>
      <c r="F848" s="15" t="str">
        <f>IFERROR(MID(Tasks[[#This Row],[Page]], FIND("Level", Tasks[[#This Row],[Page]]), 7), IF(ISNUMBER(FIND("Roof", Tasks[[#This Row],[Page]])), "Roof",  IF(ISNUMBER(FIND("S590", Tasks[[#This Row],[Page]])), "",  IF(ISNUMBER(FIND("Site", Tasks[[#This Row],[Page]])), "", "ERROR"))))</f>
        <v>ERROR</v>
      </c>
      <c r="G848" s="15" t="e">
        <f>IF(Tasks[[#This Row],[Location]]=0, "", Tasks[[#This Row],[Location]])</f>
        <v>#VALUE!</v>
      </c>
      <c r="H848" s="15" t="e">
        <f>Tasks[[#This Row],[To Package]]</f>
        <v>#VALUE!</v>
      </c>
      <c r="I848" s="15" t="e">
        <f>Tasks[[#This Row],[To Organisation]]</f>
        <v>#VALUE!</v>
      </c>
    </row>
    <row r="849" spans="1:9" ht="15.5" x14ac:dyDescent="0.35">
      <c r="A849" s="16" t="e">
        <f>HYPERLINK(_xlfn.CONCAT(Edit_URL,Tasks[[#This Row],[Ref]]),Tasks[[#This Row],[Ref]])</f>
        <v>#VALUE!</v>
      </c>
      <c r="B849" s="15" t="e" cm="1">
        <f t="array" ref="B849">_xlfn.SWITCH(LEFT(Tasks[[#This Row],[Status]],1),"O","Opened","C","Completed","S","Signed Off", "V", "Signed Off","ERROR")</f>
        <v>#VALUE!</v>
      </c>
      <c r="C849" s="15" t="e" cm="1">
        <f t="array" ref="C849">_xlfn.SWITCH(LEFT(Tasks[[#This Row],[Type]], 3), "Fie", "Field Report", "Con", "Contractor QC", "Gen", "Contractor QC", "Pun", "Contractor QC", "Qua", "Contractor QC", "Fin", "Punch List")</f>
        <v>#VALUE!</v>
      </c>
      <c r="D849" s="15" t="e">
        <f>_xlfn.LET(
_xlpm.leftValue, TRIM(LEFT(Tasks[[#This Row],[Description]], 45)),
IF(LEN(_xlpm.leftValue) &lt; 40, _xlpm.leftValue, _xlfn.CONCAT(_xlpm.leftValue, "…"))
)</f>
        <v>#VALUE!</v>
      </c>
      <c r="E849" s="15" t="e" cm="1">
        <f t="array" ref="E849">_xlfn.LET(
_xlpm.inTower, COUNTIF(Tower_Num_Table[Tower Rm Numbers], LEFT(Task_Summary_Table[[#This Row],[Area/Room]], 3)) &gt; 0,
_xlpm.typeResult, _xlfn.SWITCH(LEFT(Tasks[[#This Row],[Page]], 2), "Hi", "Historic", "An", "Annex", "Si", "Site", "S5", "Project Task", "SWITCH ERROR"),
IF(_xlpm.inTower, "West Tower", _xlpm.typeResult)
)</f>
        <v>#VALUE!</v>
      </c>
      <c r="F849" s="15" t="str">
        <f>IFERROR(MID(Tasks[[#This Row],[Page]], FIND("Level", Tasks[[#This Row],[Page]]), 7), IF(ISNUMBER(FIND("Roof", Tasks[[#This Row],[Page]])), "Roof",  IF(ISNUMBER(FIND("S590", Tasks[[#This Row],[Page]])), "",  IF(ISNUMBER(FIND("Site", Tasks[[#This Row],[Page]])), "", "ERROR"))))</f>
        <v>ERROR</v>
      </c>
      <c r="G849" s="15" t="e">
        <f>IF(Tasks[[#This Row],[Location]]=0, "", Tasks[[#This Row],[Location]])</f>
        <v>#VALUE!</v>
      </c>
      <c r="H849" s="15" t="e">
        <f>Tasks[[#This Row],[To Package]]</f>
        <v>#VALUE!</v>
      </c>
      <c r="I849" s="15" t="e">
        <f>Tasks[[#This Row],[To Organisation]]</f>
        <v>#VALUE!</v>
      </c>
    </row>
    <row r="850" spans="1:9" ht="15.5" x14ac:dyDescent="0.35">
      <c r="A850" s="16" t="e">
        <f>HYPERLINK(_xlfn.CONCAT(Edit_URL,Tasks[[#This Row],[Ref]]),Tasks[[#This Row],[Ref]])</f>
        <v>#VALUE!</v>
      </c>
      <c r="B850" s="15" t="e" cm="1">
        <f t="array" ref="B850">_xlfn.SWITCH(LEFT(Tasks[[#This Row],[Status]],1),"O","Opened","C","Completed","S","Signed Off", "V", "Signed Off","ERROR")</f>
        <v>#VALUE!</v>
      </c>
      <c r="C850" s="15" t="e" cm="1">
        <f t="array" ref="C850">_xlfn.SWITCH(LEFT(Tasks[[#This Row],[Type]], 3), "Fie", "Field Report", "Con", "Contractor QC", "Gen", "Contractor QC", "Pun", "Contractor QC", "Qua", "Contractor QC", "Fin", "Punch List")</f>
        <v>#VALUE!</v>
      </c>
      <c r="D850" s="15" t="e">
        <f>_xlfn.LET(
_xlpm.leftValue, TRIM(LEFT(Tasks[[#This Row],[Description]], 45)),
IF(LEN(_xlpm.leftValue) &lt; 40, _xlpm.leftValue, _xlfn.CONCAT(_xlpm.leftValue, "…"))
)</f>
        <v>#VALUE!</v>
      </c>
      <c r="E850" s="15" t="e" cm="1">
        <f t="array" ref="E850">_xlfn.LET(
_xlpm.inTower, COUNTIF(Tower_Num_Table[Tower Rm Numbers], LEFT(Task_Summary_Table[[#This Row],[Area/Room]], 3)) &gt; 0,
_xlpm.typeResult, _xlfn.SWITCH(LEFT(Tasks[[#This Row],[Page]], 2), "Hi", "Historic", "An", "Annex", "Si", "Site", "S5", "Project Task", "SWITCH ERROR"),
IF(_xlpm.inTower, "West Tower", _xlpm.typeResult)
)</f>
        <v>#VALUE!</v>
      </c>
      <c r="F850" s="15" t="str">
        <f>IFERROR(MID(Tasks[[#This Row],[Page]], FIND("Level", Tasks[[#This Row],[Page]]), 7), IF(ISNUMBER(FIND("Roof", Tasks[[#This Row],[Page]])), "Roof",  IF(ISNUMBER(FIND("S590", Tasks[[#This Row],[Page]])), "",  IF(ISNUMBER(FIND("Site", Tasks[[#This Row],[Page]])), "", "ERROR"))))</f>
        <v>ERROR</v>
      </c>
      <c r="G850" s="15" t="e">
        <f>IF(Tasks[[#This Row],[Location]]=0, "", Tasks[[#This Row],[Location]])</f>
        <v>#VALUE!</v>
      </c>
      <c r="H850" s="15" t="e">
        <f>Tasks[[#This Row],[To Package]]</f>
        <v>#VALUE!</v>
      </c>
      <c r="I850" s="15" t="e">
        <f>Tasks[[#This Row],[To Organisation]]</f>
        <v>#VALUE!</v>
      </c>
    </row>
    <row r="851" spans="1:9" ht="15.5" x14ac:dyDescent="0.35">
      <c r="A851" s="16" t="e">
        <f>HYPERLINK(_xlfn.CONCAT(Edit_URL,Tasks[[#This Row],[Ref]]),Tasks[[#This Row],[Ref]])</f>
        <v>#VALUE!</v>
      </c>
      <c r="B851" s="15" t="e" cm="1">
        <f t="array" ref="B851">_xlfn.SWITCH(LEFT(Tasks[[#This Row],[Status]],1),"O","Opened","C","Completed","S","Signed Off", "V", "Signed Off","ERROR")</f>
        <v>#VALUE!</v>
      </c>
      <c r="C851" s="15" t="e" cm="1">
        <f t="array" ref="C851">_xlfn.SWITCH(LEFT(Tasks[[#This Row],[Type]], 3), "Fie", "Field Report", "Con", "Contractor QC", "Gen", "Contractor QC", "Pun", "Contractor QC", "Qua", "Contractor QC", "Fin", "Punch List")</f>
        <v>#VALUE!</v>
      </c>
      <c r="D851" s="15" t="e">
        <f>_xlfn.LET(
_xlpm.leftValue, TRIM(LEFT(Tasks[[#This Row],[Description]], 45)),
IF(LEN(_xlpm.leftValue) &lt; 40, _xlpm.leftValue, _xlfn.CONCAT(_xlpm.leftValue, "…"))
)</f>
        <v>#VALUE!</v>
      </c>
      <c r="E851" s="15" t="e" cm="1">
        <f t="array" ref="E851">_xlfn.LET(
_xlpm.inTower, COUNTIF(Tower_Num_Table[Tower Rm Numbers], LEFT(Task_Summary_Table[[#This Row],[Area/Room]], 3)) &gt; 0,
_xlpm.typeResult, _xlfn.SWITCH(LEFT(Tasks[[#This Row],[Page]], 2), "Hi", "Historic", "An", "Annex", "Si", "Site", "S5", "Project Task", "SWITCH ERROR"),
IF(_xlpm.inTower, "West Tower", _xlpm.typeResult)
)</f>
        <v>#VALUE!</v>
      </c>
      <c r="F851" s="15" t="str">
        <f>IFERROR(MID(Tasks[[#This Row],[Page]], FIND("Level", Tasks[[#This Row],[Page]]), 7), IF(ISNUMBER(FIND("Roof", Tasks[[#This Row],[Page]])), "Roof",  IF(ISNUMBER(FIND("S590", Tasks[[#This Row],[Page]])), "",  IF(ISNUMBER(FIND("Site", Tasks[[#This Row],[Page]])), "", "ERROR"))))</f>
        <v>ERROR</v>
      </c>
      <c r="G851" s="15" t="e">
        <f>IF(Tasks[[#This Row],[Location]]=0, "", Tasks[[#This Row],[Location]])</f>
        <v>#VALUE!</v>
      </c>
      <c r="H851" s="15" t="e">
        <f>Tasks[[#This Row],[To Package]]</f>
        <v>#VALUE!</v>
      </c>
      <c r="I851" s="15" t="e">
        <f>Tasks[[#This Row],[To Organisation]]</f>
        <v>#VALUE!</v>
      </c>
    </row>
    <row r="852" spans="1:9" ht="15.5" x14ac:dyDescent="0.35">
      <c r="A852" s="16" t="e">
        <f>HYPERLINK(_xlfn.CONCAT(Edit_URL,Tasks[[#This Row],[Ref]]),Tasks[[#This Row],[Ref]])</f>
        <v>#VALUE!</v>
      </c>
      <c r="B852" s="15" t="e" cm="1">
        <f t="array" ref="B852">_xlfn.SWITCH(LEFT(Tasks[[#This Row],[Status]],1),"O","Opened","C","Completed","S","Signed Off", "V", "Signed Off","ERROR")</f>
        <v>#VALUE!</v>
      </c>
      <c r="C852" s="15" t="e" cm="1">
        <f t="array" ref="C852">_xlfn.SWITCH(LEFT(Tasks[[#This Row],[Type]], 3), "Fie", "Field Report", "Con", "Contractor QC", "Gen", "Contractor QC", "Pun", "Contractor QC", "Qua", "Contractor QC", "Fin", "Punch List")</f>
        <v>#VALUE!</v>
      </c>
      <c r="D852" s="15" t="e">
        <f>_xlfn.LET(
_xlpm.leftValue, TRIM(LEFT(Tasks[[#This Row],[Description]], 45)),
IF(LEN(_xlpm.leftValue) &lt; 40, _xlpm.leftValue, _xlfn.CONCAT(_xlpm.leftValue, "…"))
)</f>
        <v>#VALUE!</v>
      </c>
      <c r="E852" s="15" t="e" cm="1">
        <f t="array" ref="E852">_xlfn.LET(
_xlpm.inTower, COUNTIF(Tower_Num_Table[Tower Rm Numbers], LEFT(Task_Summary_Table[[#This Row],[Area/Room]], 3)) &gt; 0,
_xlpm.typeResult, _xlfn.SWITCH(LEFT(Tasks[[#This Row],[Page]], 2), "Hi", "Historic", "An", "Annex", "Si", "Site", "S5", "Project Task", "SWITCH ERROR"),
IF(_xlpm.inTower, "West Tower", _xlpm.typeResult)
)</f>
        <v>#VALUE!</v>
      </c>
      <c r="F852" s="15" t="str">
        <f>IFERROR(MID(Tasks[[#This Row],[Page]], FIND("Level", Tasks[[#This Row],[Page]]), 7), IF(ISNUMBER(FIND("Roof", Tasks[[#This Row],[Page]])), "Roof",  IF(ISNUMBER(FIND("S590", Tasks[[#This Row],[Page]])), "",  IF(ISNUMBER(FIND("Site", Tasks[[#This Row],[Page]])), "", "ERROR"))))</f>
        <v>ERROR</v>
      </c>
      <c r="G852" s="15" t="e">
        <f>IF(Tasks[[#This Row],[Location]]=0, "", Tasks[[#This Row],[Location]])</f>
        <v>#VALUE!</v>
      </c>
      <c r="H852" s="15" t="e">
        <f>Tasks[[#This Row],[To Package]]</f>
        <v>#VALUE!</v>
      </c>
      <c r="I852" s="15" t="e">
        <f>Tasks[[#This Row],[To Organisation]]</f>
        <v>#VALUE!</v>
      </c>
    </row>
    <row r="853" spans="1:9" ht="15.5" x14ac:dyDescent="0.35">
      <c r="A853" s="16" t="e">
        <f>HYPERLINK(_xlfn.CONCAT(Edit_URL,Tasks[[#This Row],[Ref]]),Tasks[[#This Row],[Ref]])</f>
        <v>#VALUE!</v>
      </c>
      <c r="B853" s="15" t="e" cm="1">
        <f t="array" ref="B853">_xlfn.SWITCH(LEFT(Tasks[[#This Row],[Status]],1),"O","Opened","C","Completed","S","Signed Off", "V", "Signed Off","ERROR")</f>
        <v>#VALUE!</v>
      </c>
      <c r="C853" s="15" t="e" cm="1">
        <f t="array" ref="C853">_xlfn.SWITCH(LEFT(Tasks[[#This Row],[Type]], 3), "Fie", "Field Report", "Con", "Contractor QC", "Gen", "Contractor QC", "Pun", "Contractor QC", "Qua", "Contractor QC", "Fin", "Punch List")</f>
        <v>#VALUE!</v>
      </c>
      <c r="D853" s="15" t="e">
        <f>_xlfn.LET(
_xlpm.leftValue, TRIM(LEFT(Tasks[[#This Row],[Description]], 45)),
IF(LEN(_xlpm.leftValue) &lt; 40, _xlpm.leftValue, _xlfn.CONCAT(_xlpm.leftValue, "…"))
)</f>
        <v>#VALUE!</v>
      </c>
      <c r="E853" s="15" t="e" cm="1">
        <f t="array" ref="E853">_xlfn.LET(
_xlpm.inTower, COUNTIF(Tower_Num_Table[Tower Rm Numbers], LEFT(Task_Summary_Table[[#This Row],[Area/Room]], 3)) &gt; 0,
_xlpm.typeResult, _xlfn.SWITCH(LEFT(Tasks[[#This Row],[Page]], 2), "Hi", "Historic", "An", "Annex", "Si", "Site", "S5", "Project Task", "SWITCH ERROR"),
IF(_xlpm.inTower, "West Tower", _xlpm.typeResult)
)</f>
        <v>#VALUE!</v>
      </c>
      <c r="F853" s="15" t="str">
        <f>IFERROR(MID(Tasks[[#This Row],[Page]], FIND("Level", Tasks[[#This Row],[Page]]), 7), IF(ISNUMBER(FIND("Roof", Tasks[[#This Row],[Page]])), "Roof",  IF(ISNUMBER(FIND("S590", Tasks[[#This Row],[Page]])), "",  IF(ISNUMBER(FIND("Site", Tasks[[#This Row],[Page]])), "", "ERROR"))))</f>
        <v>ERROR</v>
      </c>
      <c r="G853" s="15" t="e">
        <f>IF(Tasks[[#This Row],[Location]]=0, "", Tasks[[#This Row],[Location]])</f>
        <v>#VALUE!</v>
      </c>
      <c r="H853" s="15" t="e">
        <f>Tasks[[#This Row],[To Package]]</f>
        <v>#VALUE!</v>
      </c>
      <c r="I853" s="15" t="e">
        <f>Tasks[[#This Row],[To Organisation]]</f>
        <v>#VALUE!</v>
      </c>
    </row>
    <row r="854" spans="1:9" ht="15.5" x14ac:dyDescent="0.35">
      <c r="A854" s="16" t="e">
        <f>HYPERLINK(_xlfn.CONCAT(Edit_URL,Tasks[[#This Row],[Ref]]),Tasks[[#This Row],[Ref]])</f>
        <v>#VALUE!</v>
      </c>
      <c r="B854" s="15" t="e" cm="1">
        <f t="array" ref="B854">_xlfn.SWITCH(LEFT(Tasks[[#This Row],[Status]],1),"O","Opened","C","Completed","S","Signed Off", "V", "Signed Off","ERROR")</f>
        <v>#VALUE!</v>
      </c>
      <c r="C854" s="15" t="e" cm="1">
        <f t="array" ref="C854">_xlfn.SWITCH(LEFT(Tasks[[#This Row],[Type]], 3), "Fie", "Field Report", "Con", "Contractor QC", "Gen", "Contractor QC", "Pun", "Contractor QC", "Qua", "Contractor QC", "Fin", "Punch List")</f>
        <v>#VALUE!</v>
      </c>
      <c r="D854" s="15" t="e">
        <f>_xlfn.LET(
_xlpm.leftValue, TRIM(LEFT(Tasks[[#This Row],[Description]], 45)),
IF(LEN(_xlpm.leftValue) &lt; 40, _xlpm.leftValue, _xlfn.CONCAT(_xlpm.leftValue, "…"))
)</f>
        <v>#VALUE!</v>
      </c>
      <c r="E854" s="15" t="e" cm="1">
        <f t="array" ref="E854">_xlfn.LET(
_xlpm.inTower, COUNTIF(Tower_Num_Table[Tower Rm Numbers], LEFT(Task_Summary_Table[[#This Row],[Area/Room]], 3)) &gt; 0,
_xlpm.typeResult, _xlfn.SWITCH(LEFT(Tasks[[#This Row],[Page]], 2), "Hi", "Historic", "An", "Annex", "Si", "Site", "S5", "Project Task", "SWITCH ERROR"),
IF(_xlpm.inTower, "West Tower", _xlpm.typeResult)
)</f>
        <v>#VALUE!</v>
      </c>
      <c r="F854" s="15" t="str">
        <f>IFERROR(MID(Tasks[[#This Row],[Page]], FIND("Level", Tasks[[#This Row],[Page]]), 7), IF(ISNUMBER(FIND("Roof", Tasks[[#This Row],[Page]])), "Roof",  IF(ISNUMBER(FIND("S590", Tasks[[#This Row],[Page]])), "",  IF(ISNUMBER(FIND("Site", Tasks[[#This Row],[Page]])), "", "ERROR"))))</f>
        <v>ERROR</v>
      </c>
      <c r="G854" s="15" t="e">
        <f>IF(Tasks[[#This Row],[Location]]=0, "", Tasks[[#This Row],[Location]])</f>
        <v>#VALUE!</v>
      </c>
      <c r="H854" s="15" t="e">
        <f>Tasks[[#This Row],[To Package]]</f>
        <v>#VALUE!</v>
      </c>
      <c r="I854" s="15" t="e">
        <f>Tasks[[#This Row],[To Organisation]]</f>
        <v>#VALUE!</v>
      </c>
    </row>
    <row r="855" spans="1:9" ht="15.5" x14ac:dyDescent="0.35">
      <c r="A855" s="16" t="e">
        <f>HYPERLINK(_xlfn.CONCAT(Edit_URL,Tasks[[#This Row],[Ref]]),Tasks[[#This Row],[Ref]])</f>
        <v>#VALUE!</v>
      </c>
      <c r="B855" s="15" t="e" cm="1">
        <f t="array" ref="B855">_xlfn.SWITCH(LEFT(Tasks[[#This Row],[Status]],1),"O","Opened","C","Completed","S","Signed Off", "V", "Signed Off","ERROR")</f>
        <v>#VALUE!</v>
      </c>
      <c r="C855" s="15" t="e" cm="1">
        <f t="array" ref="C855">_xlfn.SWITCH(LEFT(Tasks[[#This Row],[Type]], 3), "Fie", "Field Report", "Con", "Contractor QC", "Gen", "Contractor QC", "Pun", "Contractor QC", "Qua", "Contractor QC", "Fin", "Punch List")</f>
        <v>#VALUE!</v>
      </c>
      <c r="D855" s="15" t="e">
        <f>_xlfn.LET(
_xlpm.leftValue, TRIM(LEFT(Tasks[[#This Row],[Description]], 45)),
IF(LEN(_xlpm.leftValue) &lt; 40, _xlpm.leftValue, _xlfn.CONCAT(_xlpm.leftValue, "…"))
)</f>
        <v>#VALUE!</v>
      </c>
      <c r="E855" s="15" t="e" cm="1">
        <f t="array" ref="E855">_xlfn.LET(
_xlpm.inTower, COUNTIF(Tower_Num_Table[Tower Rm Numbers], LEFT(Task_Summary_Table[[#This Row],[Area/Room]], 3)) &gt; 0,
_xlpm.typeResult, _xlfn.SWITCH(LEFT(Tasks[[#This Row],[Page]], 2), "Hi", "Historic", "An", "Annex", "Si", "Site", "S5", "Project Task", "SWITCH ERROR"),
IF(_xlpm.inTower, "West Tower", _xlpm.typeResult)
)</f>
        <v>#VALUE!</v>
      </c>
      <c r="F855" s="15" t="str">
        <f>IFERROR(MID(Tasks[[#This Row],[Page]], FIND("Level", Tasks[[#This Row],[Page]]), 7), IF(ISNUMBER(FIND("Roof", Tasks[[#This Row],[Page]])), "Roof",  IF(ISNUMBER(FIND("S590", Tasks[[#This Row],[Page]])), "",  IF(ISNUMBER(FIND("Site", Tasks[[#This Row],[Page]])), "", "ERROR"))))</f>
        <v>ERROR</v>
      </c>
      <c r="G855" s="15" t="e">
        <f>IF(Tasks[[#This Row],[Location]]=0, "", Tasks[[#This Row],[Location]])</f>
        <v>#VALUE!</v>
      </c>
      <c r="H855" s="15" t="e">
        <f>Tasks[[#This Row],[To Package]]</f>
        <v>#VALUE!</v>
      </c>
      <c r="I855" s="15" t="e">
        <f>Tasks[[#This Row],[To Organisation]]</f>
        <v>#VALUE!</v>
      </c>
    </row>
    <row r="856" spans="1:9" ht="15.5" x14ac:dyDescent="0.35">
      <c r="A856" s="16" t="e">
        <f>HYPERLINK(_xlfn.CONCAT(Edit_URL,Tasks[[#This Row],[Ref]]),Tasks[[#This Row],[Ref]])</f>
        <v>#VALUE!</v>
      </c>
      <c r="B856" s="15" t="e" cm="1">
        <f t="array" ref="B856">_xlfn.SWITCH(LEFT(Tasks[[#This Row],[Status]],1),"O","Opened","C","Completed","S","Signed Off", "V", "Signed Off","ERROR")</f>
        <v>#VALUE!</v>
      </c>
      <c r="C856" s="15" t="e" cm="1">
        <f t="array" ref="C856">_xlfn.SWITCH(LEFT(Tasks[[#This Row],[Type]], 3), "Fie", "Field Report", "Con", "Contractor QC", "Gen", "Contractor QC", "Pun", "Contractor QC", "Qua", "Contractor QC", "Fin", "Punch List")</f>
        <v>#VALUE!</v>
      </c>
      <c r="D856" s="15" t="e">
        <f>_xlfn.LET(
_xlpm.leftValue, TRIM(LEFT(Tasks[[#This Row],[Description]], 45)),
IF(LEN(_xlpm.leftValue) &lt; 40, _xlpm.leftValue, _xlfn.CONCAT(_xlpm.leftValue, "…"))
)</f>
        <v>#VALUE!</v>
      </c>
      <c r="E856" s="15" t="e" cm="1">
        <f t="array" ref="E856">_xlfn.LET(
_xlpm.inTower, COUNTIF(Tower_Num_Table[Tower Rm Numbers], LEFT(Task_Summary_Table[[#This Row],[Area/Room]], 3)) &gt; 0,
_xlpm.typeResult, _xlfn.SWITCH(LEFT(Tasks[[#This Row],[Page]], 2), "Hi", "Historic", "An", "Annex", "Si", "Site", "S5", "Project Task", "SWITCH ERROR"),
IF(_xlpm.inTower, "West Tower", _xlpm.typeResult)
)</f>
        <v>#VALUE!</v>
      </c>
      <c r="F856" s="15" t="str">
        <f>IFERROR(MID(Tasks[[#This Row],[Page]], FIND("Level", Tasks[[#This Row],[Page]]), 7), IF(ISNUMBER(FIND("Roof", Tasks[[#This Row],[Page]])), "Roof",  IF(ISNUMBER(FIND("S590", Tasks[[#This Row],[Page]])), "",  IF(ISNUMBER(FIND("Site", Tasks[[#This Row],[Page]])), "", "ERROR"))))</f>
        <v>ERROR</v>
      </c>
      <c r="G856" s="15" t="e">
        <f>IF(Tasks[[#This Row],[Location]]=0, "", Tasks[[#This Row],[Location]])</f>
        <v>#VALUE!</v>
      </c>
      <c r="H856" s="15" t="e">
        <f>Tasks[[#This Row],[To Package]]</f>
        <v>#VALUE!</v>
      </c>
      <c r="I856" s="15" t="e">
        <f>Tasks[[#This Row],[To Organisation]]</f>
        <v>#VALUE!</v>
      </c>
    </row>
    <row r="857" spans="1:9" ht="15.5" x14ac:dyDescent="0.35">
      <c r="A857" s="16" t="e">
        <f>HYPERLINK(_xlfn.CONCAT(Edit_URL,Tasks[[#This Row],[Ref]]),Tasks[[#This Row],[Ref]])</f>
        <v>#VALUE!</v>
      </c>
      <c r="B857" s="15" t="e" cm="1">
        <f t="array" ref="B857">_xlfn.SWITCH(LEFT(Tasks[[#This Row],[Status]],1),"O","Opened","C","Completed","S","Signed Off", "V", "Signed Off","ERROR")</f>
        <v>#VALUE!</v>
      </c>
      <c r="C857" s="15" t="e" cm="1">
        <f t="array" ref="C857">_xlfn.SWITCH(LEFT(Tasks[[#This Row],[Type]], 3), "Fie", "Field Report", "Con", "Contractor QC", "Gen", "Contractor QC", "Pun", "Contractor QC", "Qua", "Contractor QC", "Fin", "Punch List")</f>
        <v>#VALUE!</v>
      </c>
      <c r="D857" s="15" t="e">
        <f>_xlfn.LET(
_xlpm.leftValue, TRIM(LEFT(Tasks[[#This Row],[Description]], 45)),
IF(LEN(_xlpm.leftValue) &lt; 40, _xlpm.leftValue, _xlfn.CONCAT(_xlpm.leftValue, "…"))
)</f>
        <v>#VALUE!</v>
      </c>
      <c r="E857" s="15" t="e" cm="1">
        <f t="array" ref="E857">_xlfn.LET(
_xlpm.inTower, COUNTIF(Tower_Num_Table[Tower Rm Numbers], LEFT(Task_Summary_Table[[#This Row],[Area/Room]], 3)) &gt; 0,
_xlpm.typeResult, _xlfn.SWITCH(LEFT(Tasks[[#This Row],[Page]], 2), "Hi", "Historic", "An", "Annex", "Si", "Site", "S5", "Project Task", "SWITCH ERROR"),
IF(_xlpm.inTower, "West Tower", _xlpm.typeResult)
)</f>
        <v>#VALUE!</v>
      </c>
      <c r="F857" s="15" t="str">
        <f>IFERROR(MID(Tasks[[#This Row],[Page]], FIND("Level", Tasks[[#This Row],[Page]]), 7), IF(ISNUMBER(FIND("Roof", Tasks[[#This Row],[Page]])), "Roof",  IF(ISNUMBER(FIND("S590", Tasks[[#This Row],[Page]])), "",  IF(ISNUMBER(FIND("Site", Tasks[[#This Row],[Page]])), "", "ERROR"))))</f>
        <v>ERROR</v>
      </c>
      <c r="G857" s="15" t="e">
        <f>IF(Tasks[[#This Row],[Location]]=0, "", Tasks[[#This Row],[Location]])</f>
        <v>#VALUE!</v>
      </c>
      <c r="H857" s="15" t="e">
        <f>Tasks[[#This Row],[To Package]]</f>
        <v>#VALUE!</v>
      </c>
      <c r="I857" s="15" t="e">
        <f>Tasks[[#This Row],[To Organisation]]</f>
        <v>#VALUE!</v>
      </c>
    </row>
    <row r="858" spans="1:9" ht="15.5" x14ac:dyDescent="0.35">
      <c r="A858" s="16" t="e">
        <f>HYPERLINK(_xlfn.CONCAT(Edit_URL,Tasks[[#This Row],[Ref]]),Tasks[[#This Row],[Ref]])</f>
        <v>#VALUE!</v>
      </c>
      <c r="B858" s="15" t="e" cm="1">
        <f t="array" ref="B858">_xlfn.SWITCH(LEFT(Tasks[[#This Row],[Status]],1),"O","Opened","C","Completed","S","Signed Off", "V", "Signed Off","ERROR")</f>
        <v>#VALUE!</v>
      </c>
      <c r="C858" s="15" t="e" cm="1">
        <f t="array" ref="C858">_xlfn.SWITCH(LEFT(Tasks[[#This Row],[Type]], 3), "Fie", "Field Report", "Con", "Contractor QC", "Gen", "Contractor QC", "Pun", "Contractor QC", "Qua", "Contractor QC", "Fin", "Punch List")</f>
        <v>#VALUE!</v>
      </c>
      <c r="D858" s="15" t="e">
        <f>_xlfn.LET(
_xlpm.leftValue, TRIM(LEFT(Tasks[[#This Row],[Description]], 45)),
IF(LEN(_xlpm.leftValue) &lt; 40, _xlpm.leftValue, _xlfn.CONCAT(_xlpm.leftValue, "…"))
)</f>
        <v>#VALUE!</v>
      </c>
      <c r="E858" s="15" t="e" cm="1">
        <f t="array" ref="E858">_xlfn.LET(
_xlpm.inTower, COUNTIF(Tower_Num_Table[Tower Rm Numbers], LEFT(Task_Summary_Table[[#This Row],[Area/Room]], 3)) &gt; 0,
_xlpm.typeResult, _xlfn.SWITCH(LEFT(Tasks[[#This Row],[Page]], 2), "Hi", "Historic", "An", "Annex", "Si", "Site", "S5", "Project Task", "SWITCH ERROR"),
IF(_xlpm.inTower, "West Tower", _xlpm.typeResult)
)</f>
        <v>#VALUE!</v>
      </c>
      <c r="F858" s="15" t="str">
        <f>IFERROR(MID(Tasks[[#This Row],[Page]], FIND("Level", Tasks[[#This Row],[Page]]), 7), IF(ISNUMBER(FIND("Roof", Tasks[[#This Row],[Page]])), "Roof",  IF(ISNUMBER(FIND("S590", Tasks[[#This Row],[Page]])), "",  IF(ISNUMBER(FIND("Site", Tasks[[#This Row],[Page]])), "", "ERROR"))))</f>
        <v>ERROR</v>
      </c>
      <c r="G858" s="15" t="e">
        <f>IF(Tasks[[#This Row],[Location]]=0, "", Tasks[[#This Row],[Location]])</f>
        <v>#VALUE!</v>
      </c>
      <c r="H858" s="15" t="e">
        <f>Tasks[[#This Row],[To Package]]</f>
        <v>#VALUE!</v>
      </c>
      <c r="I858" s="15" t="e">
        <f>Tasks[[#This Row],[To Organisation]]</f>
        <v>#VALUE!</v>
      </c>
    </row>
    <row r="859" spans="1:9" ht="15.5" x14ac:dyDescent="0.35">
      <c r="A859" s="16" t="e">
        <f>HYPERLINK(_xlfn.CONCAT(Edit_URL,Tasks[[#This Row],[Ref]]),Tasks[[#This Row],[Ref]])</f>
        <v>#VALUE!</v>
      </c>
      <c r="B859" s="15" t="e" cm="1">
        <f t="array" ref="B859">_xlfn.SWITCH(LEFT(Tasks[[#This Row],[Status]],1),"O","Opened","C","Completed","S","Signed Off", "V", "Signed Off","ERROR")</f>
        <v>#VALUE!</v>
      </c>
      <c r="C859" s="15" t="e" cm="1">
        <f t="array" ref="C859">_xlfn.SWITCH(LEFT(Tasks[[#This Row],[Type]], 3), "Fie", "Field Report", "Con", "Contractor QC", "Gen", "Contractor QC", "Pun", "Contractor QC", "Qua", "Contractor QC", "Fin", "Punch List")</f>
        <v>#VALUE!</v>
      </c>
      <c r="D859" s="15" t="e">
        <f>_xlfn.LET(
_xlpm.leftValue, TRIM(LEFT(Tasks[[#This Row],[Description]], 45)),
IF(LEN(_xlpm.leftValue) &lt; 40, _xlpm.leftValue, _xlfn.CONCAT(_xlpm.leftValue, "…"))
)</f>
        <v>#VALUE!</v>
      </c>
      <c r="E859" s="15" t="e" cm="1">
        <f t="array" ref="E859">_xlfn.LET(
_xlpm.inTower, COUNTIF(Tower_Num_Table[Tower Rm Numbers], LEFT(Task_Summary_Table[[#This Row],[Area/Room]], 3)) &gt; 0,
_xlpm.typeResult, _xlfn.SWITCH(LEFT(Tasks[[#This Row],[Page]], 2), "Hi", "Historic", "An", "Annex", "Si", "Site", "S5", "Project Task", "SWITCH ERROR"),
IF(_xlpm.inTower, "West Tower", _xlpm.typeResult)
)</f>
        <v>#VALUE!</v>
      </c>
      <c r="F859" s="15" t="str">
        <f>IFERROR(MID(Tasks[[#This Row],[Page]], FIND("Level", Tasks[[#This Row],[Page]]), 7), IF(ISNUMBER(FIND("Roof", Tasks[[#This Row],[Page]])), "Roof",  IF(ISNUMBER(FIND("S590", Tasks[[#This Row],[Page]])), "",  IF(ISNUMBER(FIND("Site", Tasks[[#This Row],[Page]])), "", "ERROR"))))</f>
        <v>ERROR</v>
      </c>
      <c r="G859" s="15" t="e">
        <f>IF(Tasks[[#This Row],[Location]]=0, "", Tasks[[#This Row],[Location]])</f>
        <v>#VALUE!</v>
      </c>
      <c r="H859" s="15" t="e">
        <f>Tasks[[#This Row],[To Package]]</f>
        <v>#VALUE!</v>
      </c>
      <c r="I859" s="15" t="e">
        <f>Tasks[[#This Row],[To Organisation]]</f>
        <v>#VALUE!</v>
      </c>
    </row>
    <row r="860" spans="1:9" ht="15.5" x14ac:dyDescent="0.35">
      <c r="A860" s="16" t="e">
        <f>HYPERLINK(_xlfn.CONCAT(Edit_URL,Tasks[[#This Row],[Ref]]),Tasks[[#This Row],[Ref]])</f>
        <v>#VALUE!</v>
      </c>
      <c r="B860" s="15" t="e" cm="1">
        <f t="array" ref="B860">_xlfn.SWITCH(LEFT(Tasks[[#This Row],[Status]],1),"O","Opened","C","Completed","S","Signed Off", "V", "Signed Off","ERROR")</f>
        <v>#VALUE!</v>
      </c>
      <c r="C860" s="15" t="e" cm="1">
        <f t="array" ref="C860">_xlfn.SWITCH(LEFT(Tasks[[#This Row],[Type]], 3), "Fie", "Field Report", "Con", "Contractor QC", "Gen", "Contractor QC", "Pun", "Contractor QC", "Qua", "Contractor QC", "Fin", "Punch List")</f>
        <v>#VALUE!</v>
      </c>
      <c r="D860" s="15" t="e">
        <f>_xlfn.LET(
_xlpm.leftValue, TRIM(LEFT(Tasks[[#This Row],[Description]], 45)),
IF(LEN(_xlpm.leftValue) &lt; 40, _xlpm.leftValue, _xlfn.CONCAT(_xlpm.leftValue, "…"))
)</f>
        <v>#VALUE!</v>
      </c>
      <c r="E860" s="15" t="e" cm="1">
        <f t="array" ref="E860">_xlfn.LET(
_xlpm.inTower, COUNTIF(Tower_Num_Table[Tower Rm Numbers], LEFT(Task_Summary_Table[[#This Row],[Area/Room]], 3)) &gt; 0,
_xlpm.typeResult, _xlfn.SWITCH(LEFT(Tasks[[#This Row],[Page]], 2), "Hi", "Historic", "An", "Annex", "Si", "Site", "S5", "Project Task", "SWITCH ERROR"),
IF(_xlpm.inTower, "West Tower", _xlpm.typeResult)
)</f>
        <v>#VALUE!</v>
      </c>
      <c r="F860" s="15" t="str">
        <f>IFERROR(MID(Tasks[[#This Row],[Page]], FIND("Level", Tasks[[#This Row],[Page]]), 7), IF(ISNUMBER(FIND("Roof", Tasks[[#This Row],[Page]])), "Roof",  IF(ISNUMBER(FIND("S590", Tasks[[#This Row],[Page]])), "",  IF(ISNUMBER(FIND("Site", Tasks[[#This Row],[Page]])), "", "ERROR"))))</f>
        <v>ERROR</v>
      </c>
      <c r="G860" s="15" t="e">
        <f>IF(Tasks[[#This Row],[Location]]=0, "", Tasks[[#This Row],[Location]])</f>
        <v>#VALUE!</v>
      </c>
      <c r="H860" s="15" t="e">
        <f>Tasks[[#This Row],[To Package]]</f>
        <v>#VALUE!</v>
      </c>
      <c r="I860" s="15" t="e">
        <f>Tasks[[#This Row],[To Organisation]]</f>
        <v>#VALUE!</v>
      </c>
    </row>
    <row r="861" spans="1:9" ht="15.5" x14ac:dyDescent="0.35">
      <c r="A861" s="16" t="e">
        <f>HYPERLINK(_xlfn.CONCAT(Edit_URL,Tasks[[#This Row],[Ref]]),Tasks[[#This Row],[Ref]])</f>
        <v>#VALUE!</v>
      </c>
      <c r="B861" s="15" t="e" cm="1">
        <f t="array" ref="B861">_xlfn.SWITCH(LEFT(Tasks[[#This Row],[Status]],1),"O","Opened","C","Completed","S","Signed Off", "V", "Signed Off","ERROR")</f>
        <v>#VALUE!</v>
      </c>
      <c r="C861" s="15" t="e" cm="1">
        <f t="array" ref="C861">_xlfn.SWITCH(LEFT(Tasks[[#This Row],[Type]], 3), "Fie", "Field Report", "Con", "Contractor QC", "Gen", "Contractor QC", "Pun", "Contractor QC", "Qua", "Contractor QC", "Fin", "Punch List")</f>
        <v>#VALUE!</v>
      </c>
      <c r="D861" s="15" t="e">
        <f>_xlfn.LET(
_xlpm.leftValue, TRIM(LEFT(Tasks[[#This Row],[Description]], 45)),
IF(LEN(_xlpm.leftValue) &lt; 40, _xlpm.leftValue, _xlfn.CONCAT(_xlpm.leftValue, "…"))
)</f>
        <v>#VALUE!</v>
      </c>
      <c r="E861" s="15" t="e" cm="1">
        <f t="array" ref="E861">_xlfn.LET(
_xlpm.inTower, COUNTIF(Tower_Num_Table[Tower Rm Numbers], LEFT(Task_Summary_Table[[#This Row],[Area/Room]], 3)) &gt; 0,
_xlpm.typeResult, _xlfn.SWITCH(LEFT(Tasks[[#This Row],[Page]], 2), "Hi", "Historic", "An", "Annex", "Si", "Site", "S5", "Project Task", "SWITCH ERROR"),
IF(_xlpm.inTower, "West Tower", _xlpm.typeResult)
)</f>
        <v>#VALUE!</v>
      </c>
      <c r="F861" s="15" t="str">
        <f>IFERROR(MID(Tasks[[#This Row],[Page]], FIND("Level", Tasks[[#This Row],[Page]]), 7), IF(ISNUMBER(FIND("Roof", Tasks[[#This Row],[Page]])), "Roof",  IF(ISNUMBER(FIND("S590", Tasks[[#This Row],[Page]])), "",  IF(ISNUMBER(FIND("Site", Tasks[[#This Row],[Page]])), "", "ERROR"))))</f>
        <v>ERROR</v>
      </c>
      <c r="G861" s="15" t="e">
        <f>IF(Tasks[[#This Row],[Location]]=0, "", Tasks[[#This Row],[Location]])</f>
        <v>#VALUE!</v>
      </c>
      <c r="H861" s="15" t="e">
        <f>Tasks[[#This Row],[To Package]]</f>
        <v>#VALUE!</v>
      </c>
      <c r="I861" s="15" t="e">
        <f>Tasks[[#This Row],[To Organisation]]</f>
        <v>#VALUE!</v>
      </c>
    </row>
    <row r="862" spans="1:9" ht="15.5" x14ac:dyDescent="0.35">
      <c r="A862" s="16" t="e">
        <f>HYPERLINK(_xlfn.CONCAT(Edit_URL,Tasks[[#This Row],[Ref]]),Tasks[[#This Row],[Ref]])</f>
        <v>#VALUE!</v>
      </c>
      <c r="B862" s="15" t="e" cm="1">
        <f t="array" ref="B862">_xlfn.SWITCH(LEFT(Tasks[[#This Row],[Status]],1),"O","Opened","C","Completed","S","Signed Off", "V", "Signed Off","ERROR")</f>
        <v>#VALUE!</v>
      </c>
      <c r="C862" s="15" t="e" cm="1">
        <f t="array" ref="C862">_xlfn.SWITCH(LEFT(Tasks[[#This Row],[Type]], 3), "Fie", "Field Report", "Con", "Contractor QC", "Gen", "Contractor QC", "Pun", "Contractor QC", "Qua", "Contractor QC", "Fin", "Punch List")</f>
        <v>#VALUE!</v>
      </c>
      <c r="D862" s="15" t="e">
        <f>_xlfn.LET(
_xlpm.leftValue, TRIM(LEFT(Tasks[[#This Row],[Description]], 45)),
IF(LEN(_xlpm.leftValue) &lt; 40, _xlpm.leftValue, _xlfn.CONCAT(_xlpm.leftValue, "…"))
)</f>
        <v>#VALUE!</v>
      </c>
      <c r="E862" s="15" t="e" cm="1">
        <f t="array" ref="E862">_xlfn.LET(
_xlpm.inTower, COUNTIF(Tower_Num_Table[Tower Rm Numbers], LEFT(Task_Summary_Table[[#This Row],[Area/Room]], 3)) &gt; 0,
_xlpm.typeResult, _xlfn.SWITCH(LEFT(Tasks[[#This Row],[Page]], 2), "Hi", "Historic", "An", "Annex", "Si", "Site", "S5", "Project Task", "SWITCH ERROR"),
IF(_xlpm.inTower, "West Tower", _xlpm.typeResult)
)</f>
        <v>#VALUE!</v>
      </c>
      <c r="F862" s="15" t="str">
        <f>IFERROR(MID(Tasks[[#This Row],[Page]], FIND("Level", Tasks[[#This Row],[Page]]), 7), IF(ISNUMBER(FIND("Roof", Tasks[[#This Row],[Page]])), "Roof",  IF(ISNUMBER(FIND("S590", Tasks[[#This Row],[Page]])), "",  IF(ISNUMBER(FIND("Site", Tasks[[#This Row],[Page]])), "", "ERROR"))))</f>
        <v>ERROR</v>
      </c>
      <c r="G862" s="15" t="e">
        <f>IF(Tasks[[#This Row],[Location]]=0, "", Tasks[[#This Row],[Location]])</f>
        <v>#VALUE!</v>
      </c>
      <c r="H862" s="15" t="e">
        <f>Tasks[[#This Row],[To Package]]</f>
        <v>#VALUE!</v>
      </c>
      <c r="I862" s="15" t="e">
        <f>Tasks[[#This Row],[To Organisation]]</f>
        <v>#VALUE!</v>
      </c>
    </row>
    <row r="863" spans="1:9" ht="15.5" x14ac:dyDescent="0.35">
      <c r="A863" s="16" t="e">
        <f>HYPERLINK(_xlfn.CONCAT(Edit_URL,Tasks[[#This Row],[Ref]]),Tasks[[#This Row],[Ref]])</f>
        <v>#VALUE!</v>
      </c>
      <c r="B863" s="15" t="e" cm="1">
        <f t="array" ref="B863">_xlfn.SWITCH(LEFT(Tasks[[#This Row],[Status]],1),"O","Opened","C","Completed","S","Signed Off", "V", "Signed Off","ERROR")</f>
        <v>#VALUE!</v>
      </c>
      <c r="C863" s="15" t="e" cm="1">
        <f t="array" ref="C863">_xlfn.SWITCH(LEFT(Tasks[[#This Row],[Type]], 3), "Fie", "Field Report", "Con", "Contractor QC", "Gen", "Contractor QC", "Pun", "Contractor QC", "Qua", "Contractor QC", "Fin", "Punch List")</f>
        <v>#VALUE!</v>
      </c>
      <c r="D863" s="15" t="e">
        <f>_xlfn.LET(
_xlpm.leftValue, TRIM(LEFT(Tasks[[#This Row],[Description]], 45)),
IF(LEN(_xlpm.leftValue) &lt; 40, _xlpm.leftValue, _xlfn.CONCAT(_xlpm.leftValue, "…"))
)</f>
        <v>#VALUE!</v>
      </c>
      <c r="E863" s="15" t="e" cm="1">
        <f t="array" ref="E863">_xlfn.LET(
_xlpm.inTower, COUNTIF(Tower_Num_Table[Tower Rm Numbers], LEFT(Task_Summary_Table[[#This Row],[Area/Room]], 3)) &gt; 0,
_xlpm.typeResult, _xlfn.SWITCH(LEFT(Tasks[[#This Row],[Page]], 2), "Hi", "Historic", "An", "Annex", "Si", "Site", "S5", "Project Task", "SWITCH ERROR"),
IF(_xlpm.inTower, "West Tower", _xlpm.typeResult)
)</f>
        <v>#VALUE!</v>
      </c>
      <c r="F863" s="15" t="str">
        <f>IFERROR(MID(Tasks[[#This Row],[Page]], FIND("Level", Tasks[[#This Row],[Page]]), 7), IF(ISNUMBER(FIND("Roof", Tasks[[#This Row],[Page]])), "Roof",  IF(ISNUMBER(FIND("S590", Tasks[[#This Row],[Page]])), "",  IF(ISNUMBER(FIND("Site", Tasks[[#This Row],[Page]])), "", "ERROR"))))</f>
        <v>ERROR</v>
      </c>
      <c r="G863" s="15" t="e">
        <f>IF(Tasks[[#This Row],[Location]]=0, "", Tasks[[#This Row],[Location]])</f>
        <v>#VALUE!</v>
      </c>
      <c r="H863" s="15" t="e">
        <f>Tasks[[#This Row],[To Package]]</f>
        <v>#VALUE!</v>
      </c>
      <c r="I863" s="15" t="e">
        <f>Tasks[[#This Row],[To Organisation]]</f>
        <v>#VALUE!</v>
      </c>
    </row>
    <row r="864" spans="1:9" ht="15.5" x14ac:dyDescent="0.35">
      <c r="A864" s="16" t="e">
        <f>HYPERLINK(_xlfn.CONCAT(Edit_URL,Tasks[[#This Row],[Ref]]),Tasks[[#This Row],[Ref]])</f>
        <v>#VALUE!</v>
      </c>
      <c r="B864" s="15" t="e" cm="1">
        <f t="array" ref="B864">_xlfn.SWITCH(LEFT(Tasks[[#This Row],[Status]],1),"O","Opened","C","Completed","S","Signed Off", "V", "Signed Off","ERROR")</f>
        <v>#VALUE!</v>
      </c>
      <c r="C864" s="15" t="e" cm="1">
        <f t="array" ref="C864">_xlfn.SWITCH(LEFT(Tasks[[#This Row],[Type]], 3), "Fie", "Field Report", "Con", "Contractor QC", "Gen", "Contractor QC", "Pun", "Contractor QC", "Qua", "Contractor QC", "Fin", "Punch List")</f>
        <v>#VALUE!</v>
      </c>
      <c r="D864" s="15" t="e">
        <f>_xlfn.LET(
_xlpm.leftValue, TRIM(LEFT(Tasks[[#This Row],[Description]], 45)),
IF(LEN(_xlpm.leftValue) &lt; 40, _xlpm.leftValue, _xlfn.CONCAT(_xlpm.leftValue, "…"))
)</f>
        <v>#VALUE!</v>
      </c>
      <c r="E864" s="15" t="e" cm="1">
        <f t="array" ref="E864">_xlfn.LET(
_xlpm.inTower, COUNTIF(Tower_Num_Table[Tower Rm Numbers], LEFT(Task_Summary_Table[[#This Row],[Area/Room]], 3)) &gt; 0,
_xlpm.typeResult, _xlfn.SWITCH(LEFT(Tasks[[#This Row],[Page]], 2), "Hi", "Historic", "An", "Annex", "Si", "Site", "S5", "Project Task", "SWITCH ERROR"),
IF(_xlpm.inTower, "West Tower", _xlpm.typeResult)
)</f>
        <v>#VALUE!</v>
      </c>
      <c r="F864" s="15" t="str">
        <f>IFERROR(MID(Tasks[[#This Row],[Page]], FIND("Level", Tasks[[#This Row],[Page]]), 7), IF(ISNUMBER(FIND("Roof", Tasks[[#This Row],[Page]])), "Roof",  IF(ISNUMBER(FIND("S590", Tasks[[#This Row],[Page]])), "",  IF(ISNUMBER(FIND("Site", Tasks[[#This Row],[Page]])), "", "ERROR"))))</f>
        <v>ERROR</v>
      </c>
      <c r="G864" s="15" t="e">
        <f>IF(Tasks[[#This Row],[Location]]=0, "", Tasks[[#This Row],[Location]])</f>
        <v>#VALUE!</v>
      </c>
      <c r="H864" s="15" t="e">
        <f>Tasks[[#This Row],[To Package]]</f>
        <v>#VALUE!</v>
      </c>
      <c r="I864" s="15" t="e">
        <f>Tasks[[#This Row],[To Organisation]]</f>
        <v>#VALUE!</v>
      </c>
    </row>
    <row r="865" spans="1:9" ht="15.5" x14ac:dyDescent="0.35">
      <c r="A865" s="16" t="e">
        <f>HYPERLINK(_xlfn.CONCAT(Edit_URL,Tasks[[#This Row],[Ref]]),Tasks[[#This Row],[Ref]])</f>
        <v>#VALUE!</v>
      </c>
      <c r="B865" s="15" t="e" cm="1">
        <f t="array" ref="B865">_xlfn.SWITCH(LEFT(Tasks[[#This Row],[Status]],1),"O","Opened","C","Completed","S","Signed Off", "V", "Signed Off","ERROR")</f>
        <v>#VALUE!</v>
      </c>
      <c r="C865" s="15" t="e" cm="1">
        <f t="array" ref="C865">_xlfn.SWITCH(LEFT(Tasks[[#This Row],[Type]], 3), "Fie", "Field Report", "Con", "Contractor QC", "Gen", "Contractor QC", "Pun", "Contractor QC", "Qua", "Contractor QC", "Fin", "Punch List")</f>
        <v>#VALUE!</v>
      </c>
      <c r="D865" s="15" t="e">
        <f>_xlfn.LET(
_xlpm.leftValue, TRIM(LEFT(Tasks[[#This Row],[Description]], 45)),
IF(LEN(_xlpm.leftValue) &lt; 40, _xlpm.leftValue, _xlfn.CONCAT(_xlpm.leftValue, "…"))
)</f>
        <v>#VALUE!</v>
      </c>
      <c r="E865" s="15" t="e" cm="1">
        <f t="array" ref="E865">_xlfn.LET(
_xlpm.inTower, COUNTIF(Tower_Num_Table[Tower Rm Numbers], LEFT(Task_Summary_Table[[#This Row],[Area/Room]], 3)) &gt; 0,
_xlpm.typeResult, _xlfn.SWITCH(LEFT(Tasks[[#This Row],[Page]], 2), "Hi", "Historic", "An", "Annex", "Si", "Site", "S5", "Project Task", "SWITCH ERROR"),
IF(_xlpm.inTower, "West Tower", _xlpm.typeResult)
)</f>
        <v>#VALUE!</v>
      </c>
      <c r="F865" s="15" t="str">
        <f>IFERROR(MID(Tasks[[#This Row],[Page]], FIND("Level", Tasks[[#This Row],[Page]]), 7), IF(ISNUMBER(FIND("Roof", Tasks[[#This Row],[Page]])), "Roof",  IF(ISNUMBER(FIND("S590", Tasks[[#This Row],[Page]])), "",  IF(ISNUMBER(FIND("Site", Tasks[[#This Row],[Page]])), "", "ERROR"))))</f>
        <v>ERROR</v>
      </c>
      <c r="G865" s="15" t="e">
        <f>IF(Tasks[[#This Row],[Location]]=0, "", Tasks[[#This Row],[Location]])</f>
        <v>#VALUE!</v>
      </c>
      <c r="H865" s="15" t="e">
        <f>Tasks[[#This Row],[To Package]]</f>
        <v>#VALUE!</v>
      </c>
      <c r="I865" s="15" t="e">
        <f>Tasks[[#This Row],[To Organisation]]</f>
        <v>#VALUE!</v>
      </c>
    </row>
    <row r="866" spans="1:9" ht="15.5" x14ac:dyDescent="0.35">
      <c r="A866" s="16" t="e">
        <f>HYPERLINK(_xlfn.CONCAT(Edit_URL,Tasks[[#This Row],[Ref]]),Tasks[[#This Row],[Ref]])</f>
        <v>#VALUE!</v>
      </c>
      <c r="B866" s="15" t="e" cm="1">
        <f t="array" ref="B866">_xlfn.SWITCH(LEFT(Tasks[[#This Row],[Status]],1),"O","Opened","C","Completed","S","Signed Off", "V", "Signed Off","ERROR")</f>
        <v>#VALUE!</v>
      </c>
      <c r="C866" s="15" t="e" cm="1">
        <f t="array" ref="C866">_xlfn.SWITCH(LEFT(Tasks[[#This Row],[Type]], 3), "Fie", "Field Report", "Con", "Contractor QC", "Gen", "Contractor QC", "Pun", "Contractor QC", "Qua", "Contractor QC", "Fin", "Punch List")</f>
        <v>#VALUE!</v>
      </c>
      <c r="D866" s="15" t="e">
        <f>_xlfn.LET(
_xlpm.leftValue, TRIM(LEFT(Tasks[[#This Row],[Description]], 45)),
IF(LEN(_xlpm.leftValue) &lt; 40, _xlpm.leftValue, _xlfn.CONCAT(_xlpm.leftValue, "…"))
)</f>
        <v>#VALUE!</v>
      </c>
      <c r="E866" s="15" t="e" cm="1">
        <f t="array" ref="E866">_xlfn.LET(
_xlpm.inTower, COUNTIF(Tower_Num_Table[Tower Rm Numbers], LEFT(Task_Summary_Table[[#This Row],[Area/Room]], 3)) &gt; 0,
_xlpm.typeResult, _xlfn.SWITCH(LEFT(Tasks[[#This Row],[Page]], 2), "Hi", "Historic", "An", "Annex", "Si", "Site", "S5", "Project Task", "SWITCH ERROR"),
IF(_xlpm.inTower, "West Tower", _xlpm.typeResult)
)</f>
        <v>#VALUE!</v>
      </c>
      <c r="F866" s="15" t="str">
        <f>IFERROR(MID(Tasks[[#This Row],[Page]], FIND("Level", Tasks[[#This Row],[Page]]), 7), IF(ISNUMBER(FIND("Roof", Tasks[[#This Row],[Page]])), "Roof",  IF(ISNUMBER(FIND("S590", Tasks[[#This Row],[Page]])), "",  IF(ISNUMBER(FIND("Site", Tasks[[#This Row],[Page]])), "", "ERROR"))))</f>
        <v>ERROR</v>
      </c>
      <c r="G866" s="15" t="e">
        <f>IF(Tasks[[#This Row],[Location]]=0, "", Tasks[[#This Row],[Location]])</f>
        <v>#VALUE!</v>
      </c>
      <c r="H866" s="15" t="e">
        <f>Tasks[[#This Row],[To Package]]</f>
        <v>#VALUE!</v>
      </c>
      <c r="I866" s="15" t="e">
        <f>Tasks[[#This Row],[To Organisation]]</f>
        <v>#VALUE!</v>
      </c>
    </row>
    <row r="867" spans="1:9" ht="15.5" x14ac:dyDescent="0.35">
      <c r="A867" s="16" t="e">
        <f>HYPERLINK(_xlfn.CONCAT(Edit_URL,Tasks[[#This Row],[Ref]]),Tasks[[#This Row],[Ref]])</f>
        <v>#VALUE!</v>
      </c>
      <c r="B867" s="15" t="e" cm="1">
        <f t="array" ref="B867">_xlfn.SWITCH(LEFT(Tasks[[#This Row],[Status]],1),"O","Opened","C","Completed","S","Signed Off", "V", "Signed Off","ERROR")</f>
        <v>#VALUE!</v>
      </c>
      <c r="C867" s="15" t="e" cm="1">
        <f t="array" ref="C867">_xlfn.SWITCH(LEFT(Tasks[[#This Row],[Type]], 3), "Fie", "Field Report", "Con", "Contractor QC", "Gen", "Contractor QC", "Pun", "Contractor QC", "Qua", "Contractor QC", "Fin", "Punch List")</f>
        <v>#VALUE!</v>
      </c>
      <c r="D867" s="15" t="e">
        <f>_xlfn.LET(
_xlpm.leftValue, TRIM(LEFT(Tasks[[#This Row],[Description]], 45)),
IF(LEN(_xlpm.leftValue) &lt; 40, _xlpm.leftValue, _xlfn.CONCAT(_xlpm.leftValue, "…"))
)</f>
        <v>#VALUE!</v>
      </c>
      <c r="E867" s="15" t="e" cm="1">
        <f t="array" ref="E867">_xlfn.LET(
_xlpm.inTower, COUNTIF(Tower_Num_Table[Tower Rm Numbers], LEFT(Task_Summary_Table[[#This Row],[Area/Room]], 3)) &gt; 0,
_xlpm.typeResult, _xlfn.SWITCH(LEFT(Tasks[[#This Row],[Page]], 2), "Hi", "Historic", "An", "Annex", "Si", "Site", "S5", "Project Task", "SWITCH ERROR"),
IF(_xlpm.inTower, "West Tower", _xlpm.typeResult)
)</f>
        <v>#VALUE!</v>
      </c>
      <c r="F867" s="15" t="str">
        <f>IFERROR(MID(Tasks[[#This Row],[Page]], FIND("Level", Tasks[[#This Row],[Page]]), 7), IF(ISNUMBER(FIND("Roof", Tasks[[#This Row],[Page]])), "Roof",  IF(ISNUMBER(FIND("S590", Tasks[[#This Row],[Page]])), "",  IF(ISNUMBER(FIND("Site", Tasks[[#This Row],[Page]])), "", "ERROR"))))</f>
        <v>ERROR</v>
      </c>
      <c r="G867" s="15" t="e">
        <f>IF(Tasks[[#This Row],[Location]]=0, "", Tasks[[#This Row],[Location]])</f>
        <v>#VALUE!</v>
      </c>
      <c r="H867" s="15" t="e">
        <f>Tasks[[#This Row],[To Package]]</f>
        <v>#VALUE!</v>
      </c>
      <c r="I867" s="15" t="e">
        <f>Tasks[[#This Row],[To Organisation]]</f>
        <v>#VALUE!</v>
      </c>
    </row>
    <row r="868" spans="1:9" ht="15.5" x14ac:dyDescent="0.35">
      <c r="A868" s="16" t="e">
        <f>HYPERLINK(_xlfn.CONCAT(Edit_URL,Tasks[[#This Row],[Ref]]),Tasks[[#This Row],[Ref]])</f>
        <v>#VALUE!</v>
      </c>
      <c r="B868" s="15" t="e" cm="1">
        <f t="array" ref="B868">_xlfn.SWITCH(LEFT(Tasks[[#This Row],[Status]],1),"O","Opened","C","Completed","S","Signed Off", "V", "Signed Off","ERROR")</f>
        <v>#VALUE!</v>
      </c>
      <c r="C868" s="15" t="e" cm="1">
        <f t="array" ref="C868">_xlfn.SWITCH(LEFT(Tasks[[#This Row],[Type]], 3), "Fie", "Field Report", "Con", "Contractor QC", "Gen", "Contractor QC", "Pun", "Contractor QC", "Qua", "Contractor QC", "Fin", "Punch List")</f>
        <v>#VALUE!</v>
      </c>
      <c r="D868" s="15" t="e">
        <f>_xlfn.LET(
_xlpm.leftValue, TRIM(LEFT(Tasks[[#This Row],[Description]], 45)),
IF(LEN(_xlpm.leftValue) &lt; 40, _xlpm.leftValue, _xlfn.CONCAT(_xlpm.leftValue, "…"))
)</f>
        <v>#VALUE!</v>
      </c>
      <c r="E868" s="15" t="e" cm="1">
        <f t="array" ref="E868">_xlfn.LET(
_xlpm.inTower, COUNTIF(Tower_Num_Table[Tower Rm Numbers], LEFT(Task_Summary_Table[[#This Row],[Area/Room]], 3)) &gt; 0,
_xlpm.typeResult, _xlfn.SWITCH(LEFT(Tasks[[#This Row],[Page]], 2), "Hi", "Historic", "An", "Annex", "Si", "Site", "S5", "Project Task", "SWITCH ERROR"),
IF(_xlpm.inTower, "West Tower", _xlpm.typeResult)
)</f>
        <v>#VALUE!</v>
      </c>
      <c r="F868" s="15" t="str">
        <f>IFERROR(MID(Tasks[[#This Row],[Page]], FIND("Level", Tasks[[#This Row],[Page]]), 7), IF(ISNUMBER(FIND("Roof", Tasks[[#This Row],[Page]])), "Roof",  IF(ISNUMBER(FIND("S590", Tasks[[#This Row],[Page]])), "",  IF(ISNUMBER(FIND("Site", Tasks[[#This Row],[Page]])), "", "ERROR"))))</f>
        <v>ERROR</v>
      </c>
      <c r="G868" s="15" t="e">
        <f>IF(Tasks[[#This Row],[Location]]=0, "", Tasks[[#This Row],[Location]])</f>
        <v>#VALUE!</v>
      </c>
      <c r="H868" s="15" t="e">
        <f>Tasks[[#This Row],[To Package]]</f>
        <v>#VALUE!</v>
      </c>
      <c r="I868" s="15" t="e">
        <f>Tasks[[#This Row],[To Organisation]]</f>
        <v>#VALUE!</v>
      </c>
    </row>
    <row r="869" spans="1:9" ht="15.5" x14ac:dyDescent="0.35">
      <c r="A869" s="16" t="e">
        <f>HYPERLINK(_xlfn.CONCAT(Edit_URL,Tasks[[#This Row],[Ref]]),Tasks[[#This Row],[Ref]])</f>
        <v>#VALUE!</v>
      </c>
      <c r="B869" s="15" t="e" cm="1">
        <f t="array" ref="B869">_xlfn.SWITCH(LEFT(Tasks[[#This Row],[Status]],1),"O","Opened","C","Completed","S","Signed Off", "V", "Signed Off","ERROR")</f>
        <v>#VALUE!</v>
      </c>
      <c r="C869" s="15" t="e" cm="1">
        <f t="array" ref="C869">_xlfn.SWITCH(LEFT(Tasks[[#This Row],[Type]], 3), "Fie", "Field Report", "Con", "Contractor QC", "Gen", "Contractor QC", "Pun", "Contractor QC", "Qua", "Contractor QC", "Fin", "Punch List")</f>
        <v>#VALUE!</v>
      </c>
      <c r="D869" s="15" t="e">
        <f>_xlfn.LET(
_xlpm.leftValue, TRIM(LEFT(Tasks[[#This Row],[Description]], 45)),
IF(LEN(_xlpm.leftValue) &lt; 40, _xlpm.leftValue, _xlfn.CONCAT(_xlpm.leftValue, "…"))
)</f>
        <v>#VALUE!</v>
      </c>
      <c r="E869" s="15" t="e" cm="1">
        <f t="array" ref="E869">_xlfn.LET(
_xlpm.inTower, COUNTIF(Tower_Num_Table[Tower Rm Numbers], LEFT(Task_Summary_Table[[#This Row],[Area/Room]], 3)) &gt; 0,
_xlpm.typeResult, _xlfn.SWITCH(LEFT(Tasks[[#This Row],[Page]], 2), "Hi", "Historic", "An", "Annex", "Si", "Site", "S5", "Project Task", "SWITCH ERROR"),
IF(_xlpm.inTower, "West Tower", _xlpm.typeResult)
)</f>
        <v>#VALUE!</v>
      </c>
      <c r="F869" s="15" t="str">
        <f>IFERROR(MID(Tasks[[#This Row],[Page]], FIND("Level", Tasks[[#This Row],[Page]]), 7), IF(ISNUMBER(FIND("Roof", Tasks[[#This Row],[Page]])), "Roof",  IF(ISNUMBER(FIND("S590", Tasks[[#This Row],[Page]])), "",  IF(ISNUMBER(FIND("Site", Tasks[[#This Row],[Page]])), "", "ERROR"))))</f>
        <v>ERROR</v>
      </c>
      <c r="G869" s="15" t="e">
        <f>IF(Tasks[[#This Row],[Location]]=0, "", Tasks[[#This Row],[Location]])</f>
        <v>#VALUE!</v>
      </c>
      <c r="H869" s="15" t="e">
        <f>Tasks[[#This Row],[To Package]]</f>
        <v>#VALUE!</v>
      </c>
      <c r="I869" s="15" t="e">
        <f>Tasks[[#This Row],[To Organisation]]</f>
        <v>#VALUE!</v>
      </c>
    </row>
    <row r="870" spans="1:9" ht="15.5" x14ac:dyDescent="0.35">
      <c r="A870" s="16" t="e">
        <f>HYPERLINK(_xlfn.CONCAT(Edit_URL,Tasks[[#This Row],[Ref]]),Tasks[[#This Row],[Ref]])</f>
        <v>#VALUE!</v>
      </c>
      <c r="B870" s="15" t="e" cm="1">
        <f t="array" ref="B870">_xlfn.SWITCH(LEFT(Tasks[[#This Row],[Status]],1),"O","Opened","C","Completed","S","Signed Off", "V", "Signed Off","ERROR")</f>
        <v>#VALUE!</v>
      </c>
      <c r="C870" s="15" t="e" cm="1">
        <f t="array" ref="C870">_xlfn.SWITCH(LEFT(Tasks[[#This Row],[Type]], 3), "Fie", "Field Report", "Con", "Contractor QC", "Gen", "Contractor QC", "Pun", "Contractor QC", "Qua", "Contractor QC", "Fin", "Punch List")</f>
        <v>#VALUE!</v>
      </c>
      <c r="D870" s="15" t="e">
        <f>_xlfn.LET(
_xlpm.leftValue, TRIM(LEFT(Tasks[[#This Row],[Description]], 45)),
IF(LEN(_xlpm.leftValue) &lt; 40, _xlpm.leftValue, _xlfn.CONCAT(_xlpm.leftValue, "…"))
)</f>
        <v>#VALUE!</v>
      </c>
      <c r="E870" s="15" t="e" cm="1">
        <f t="array" ref="E870">_xlfn.LET(
_xlpm.inTower, COUNTIF(Tower_Num_Table[Tower Rm Numbers], LEFT(Task_Summary_Table[[#This Row],[Area/Room]], 3)) &gt; 0,
_xlpm.typeResult, _xlfn.SWITCH(LEFT(Tasks[[#This Row],[Page]], 2), "Hi", "Historic", "An", "Annex", "Si", "Site", "S5", "Project Task", "SWITCH ERROR"),
IF(_xlpm.inTower, "West Tower", _xlpm.typeResult)
)</f>
        <v>#VALUE!</v>
      </c>
      <c r="F870" s="15" t="str">
        <f>IFERROR(MID(Tasks[[#This Row],[Page]], FIND("Level", Tasks[[#This Row],[Page]]), 7), IF(ISNUMBER(FIND("Roof", Tasks[[#This Row],[Page]])), "Roof",  IF(ISNUMBER(FIND("S590", Tasks[[#This Row],[Page]])), "",  IF(ISNUMBER(FIND("Site", Tasks[[#This Row],[Page]])), "", "ERROR"))))</f>
        <v>ERROR</v>
      </c>
      <c r="G870" s="15" t="e">
        <f>IF(Tasks[[#This Row],[Location]]=0, "", Tasks[[#This Row],[Location]])</f>
        <v>#VALUE!</v>
      </c>
      <c r="H870" s="15" t="e">
        <f>Tasks[[#This Row],[To Package]]</f>
        <v>#VALUE!</v>
      </c>
      <c r="I870" s="15" t="e">
        <f>Tasks[[#This Row],[To Organisation]]</f>
        <v>#VALUE!</v>
      </c>
    </row>
    <row r="871" spans="1:9" ht="15.5" x14ac:dyDescent="0.35">
      <c r="A871" s="16" t="e">
        <f>HYPERLINK(_xlfn.CONCAT(Edit_URL,Tasks[[#This Row],[Ref]]),Tasks[[#This Row],[Ref]])</f>
        <v>#VALUE!</v>
      </c>
      <c r="B871" s="15" t="e" cm="1">
        <f t="array" ref="B871">_xlfn.SWITCH(LEFT(Tasks[[#This Row],[Status]],1),"O","Opened","C","Completed","S","Signed Off", "V", "Signed Off","ERROR")</f>
        <v>#VALUE!</v>
      </c>
      <c r="C871" s="15" t="e" cm="1">
        <f t="array" ref="C871">_xlfn.SWITCH(LEFT(Tasks[[#This Row],[Type]], 3), "Fie", "Field Report", "Con", "Contractor QC", "Gen", "Contractor QC", "Pun", "Contractor QC", "Qua", "Contractor QC", "Fin", "Punch List")</f>
        <v>#VALUE!</v>
      </c>
      <c r="D871" s="15" t="e">
        <f>_xlfn.LET(
_xlpm.leftValue, TRIM(LEFT(Tasks[[#This Row],[Description]], 45)),
IF(LEN(_xlpm.leftValue) &lt; 40, _xlpm.leftValue, _xlfn.CONCAT(_xlpm.leftValue, "…"))
)</f>
        <v>#VALUE!</v>
      </c>
      <c r="E871" s="15" t="e" cm="1">
        <f t="array" ref="E871">_xlfn.LET(
_xlpm.inTower, COUNTIF(Tower_Num_Table[Tower Rm Numbers], LEFT(Task_Summary_Table[[#This Row],[Area/Room]], 3)) &gt; 0,
_xlpm.typeResult, _xlfn.SWITCH(LEFT(Tasks[[#This Row],[Page]], 2), "Hi", "Historic", "An", "Annex", "Si", "Site", "S5", "Project Task", "SWITCH ERROR"),
IF(_xlpm.inTower, "West Tower", _xlpm.typeResult)
)</f>
        <v>#VALUE!</v>
      </c>
      <c r="F871" s="15" t="str">
        <f>IFERROR(MID(Tasks[[#This Row],[Page]], FIND("Level", Tasks[[#This Row],[Page]]), 7), IF(ISNUMBER(FIND("Roof", Tasks[[#This Row],[Page]])), "Roof",  IF(ISNUMBER(FIND("S590", Tasks[[#This Row],[Page]])), "",  IF(ISNUMBER(FIND("Site", Tasks[[#This Row],[Page]])), "", "ERROR"))))</f>
        <v>ERROR</v>
      </c>
      <c r="G871" s="15" t="e">
        <f>IF(Tasks[[#This Row],[Location]]=0, "", Tasks[[#This Row],[Location]])</f>
        <v>#VALUE!</v>
      </c>
      <c r="H871" s="15" t="e">
        <f>Tasks[[#This Row],[To Package]]</f>
        <v>#VALUE!</v>
      </c>
      <c r="I871" s="15" t="e">
        <f>Tasks[[#This Row],[To Organisation]]</f>
        <v>#VALUE!</v>
      </c>
    </row>
    <row r="872" spans="1:9" ht="15.5" x14ac:dyDescent="0.35">
      <c r="A872" s="16" t="e">
        <f>HYPERLINK(_xlfn.CONCAT(Edit_URL,Tasks[[#This Row],[Ref]]),Tasks[[#This Row],[Ref]])</f>
        <v>#VALUE!</v>
      </c>
      <c r="B872" s="15" t="e" cm="1">
        <f t="array" ref="B872">_xlfn.SWITCH(LEFT(Tasks[[#This Row],[Status]],1),"O","Opened","C","Completed","S","Signed Off", "V", "Signed Off","ERROR")</f>
        <v>#VALUE!</v>
      </c>
      <c r="C872" s="15" t="e" cm="1">
        <f t="array" ref="C872">_xlfn.SWITCH(LEFT(Tasks[[#This Row],[Type]], 3), "Fie", "Field Report", "Con", "Contractor QC", "Gen", "Contractor QC", "Pun", "Contractor QC", "Qua", "Contractor QC", "Fin", "Punch List")</f>
        <v>#VALUE!</v>
      </c>
      <c r="D872" s="15" t="e">
        <f>_xlfn.LET(
_xlpm.leftValue, TRIM(LEFT(Tasks[[#This Row],[Description]], 45)),
IF(LEN(_xlpm.leftValue) &lt; 40, _xlpm.leftValue, _xlfn.CONCAT(_xlpm.leftValue, "…"))
)</f>
        <v>#VALUE!</v>
      </c>
      <c r="E872" s="15" t="e" cm="1">
        <f t="array" ref="E872">_xlfn.LET(
_xlpm.inTower, COUNTIF(Tower_Num_Table[Tower Rm Numbers], LEFT(Task_Summary_Table[[#This Row],[Area/Room]], 3)) &gt; 0,
_xlpm.typeResult, _xlfn.SWITCH(LEFT(Tasks[[#This Row],[Page]], 2), "Hi", "Historic", "An", "Annex", "Si", "Site", "S5", "Project Task", "SWITCH ERROR"),
IF(_xlpm.inTower, "West Tower", _xlpm.typeResult)
)</f>
        <v>#VALUE!</v>
      </c>
      <c r="F872" s="15" t="str">
        <f>IFERROR(MID(Tasks[[#This Row],[Page]], FIND("Level", Tasks[[#This Row],[Page]]), 7), IF(ISNUMBER(FIND("Roof", Tasks[[#This Row],[Page]])), "Roof",  IF(ISNUMBER(FIND("S590", Tasks[[#This Row],[Page]])), "",  IF(ISNUMBER(FIND("Site", Tasks[[#This Row],[Page]])), "", "ERROR"))))</f>
        <v>ERROR</v>
      </c>
      <c r="G872" s="15" t="e">
        <f>IF(Tasks[[#This Row],[Location]]=0, "", Tasks[[#This Row],[Location]])</f>
        <v>#VALUE!</v>
      </c>
      <c r="H872" s="15" t="e">
        <f>Tasks[[#This Row],[To Package]]</f>
        <v>#VALUE!</v>
      </c>
      <c r="I872" s="15" t="e">
        <f>Tasks[[#This Row],[To Organisation]]</f>
        <v>#VALUE!</v>
      </c>
    </row>
    <row r="873" spans="1:9" ht="15.5" x14ac:dyDescent="0.35">
      <c r="A873" s="16" t="e">
        <f>HYPERLINK(_xlfn.CONCAT(Edit_URL,Tasks[[#This Row],[Ref]]),Tasks[[#This Row],[Ref]])</f>
        <v>#VALUE!</v>
      </c>
      <c r="B873" s="15" t="e" cm="1">
        <f t="array" ref="B873">_xlfn.SWITCH(LEFT(Tasks[[#This Row],[Status]],1),"O","Opened","C","Completed","S","Signed Off", "V", "Signed Off","ERROR")</f>
        <v>#VALUE!</v>
      </c>
      <c r="C873" s="15" t="e" cm="1">
        <f t="array" ref="C873">_xlfn.SWITCH(LEFT(Tasks[[#This Row],[Type]], 3), "Fie", "Field Report", "Con", "Contractor QC", "Gen", "Contractor QC", "Pun", "Contractor QC", "Qua", "Contractor QC", "Fin", "Punch List")</f>
        <v>#VALUE!</v>
      </c>
      <c r="D873" s="15" t="e">
        <f>_xlfn.LET(
_xlpm.leftValue, TRIM(LEFT(Tasks[[#This Row],[Description]], 45)),
IF(LEN(_xlpm.leftValue) &lt; 40, _xlpm.leftValue, _xlfn.CONCAT(_xlpm.leftValue, "…"))
)</f>
        <v>#VALUE!</v>
      </c>
      <c r="E873" s="15" t="e" cm="1">
        <f t="array" ref="E873">_xlfn.LET(
_xlpm.inTower, COUNTIF(Tower_Num_Table[Tower Rm Numbers], LEFT(Task_Summary_Table[[#This Row],[Area/Room]], 3)) &gt; 0,
_xlpm.typeResult, _xlfn.SWITCH(LEFT(Tasks[[#This Row],[Page]], 2), "Hi", "Historic", "An", "Annex", "Si", "Site", "S5", "Project Task", "SWITCH ERROR"),
IF(_xlpm.inTower, "West Tower", _xlpm.typeResult)
)</f>
        <v>#VALUE!</v>
      </c>
      <c r="F873" s="15" t="str">
        <f>IFERROR(MID(Tasks[[#This Row],[Page]], FIND("Level", Tasks[[#This Row],[Page]]), 7), IF(ISNUMBER(FIND("Roof", Tasks[[#This Row],[Page]])), "Roof",  IF(ISNUMBER(FIND("S590", Tasks[[#This Row],[Page]])), "",  IF(ISNUMBER(FIND("Site", Tasks[[#This Row],[Page]])), "", "ERROR"))))</f>
        <v>ERROR</v>
      </c>
      <c r="G873" s="15" t="e">
        <f>IF(Tasks[[#This Row],[Location]]=0, "", Tasks[[#This Row],[Location]])</f>
        <v>#VALUE!</v>
      </c>
      <c r="H873" s="15" t="e">
        <f>Tasks[[#This Row],[To Package]]</f>
        <v>#VALUE!</v>
      </c>
      <c r="I873" s="15" t="e">
        <f>Tasks[[#This Row],[To Organisation]]</f>
        <v>#VALUE!</v>
      </c>
    </row>
    <row r="874" spans="1:9" ht="15.5" x14ac:dyDescent="0.35">
      <c r="A874" s="16" t="e">
        <f>HYPERLINK(_xlfn.CONCAT(Edit_URL,Tasks[[#This Row],[Ref]]),Tasks[[#This Row],[Ref]])</f>
        <v>#VALUE!</v>
      </c>
      <c r="B874" s="15" t="e" cm="1">
        <f t="array" ref="B874">_xlfn.SWITCH(LEFT(Tasks[[#This Row],[Status]],1),"O","Opened","C","Completed","S","Signed Off", "V", "Signed Off","ERROR")</f>
        <v>#VALUE!</v>
      </c>
      <c r="C874" s="15" t="e" cm="1">
        <f t="array" ref="C874">_xlfn.SWITCH(LEFT(Tasks[[#This Row],[Type]], 3), "Fie", "Field Report", "Con", "Contractor QC", "Gen", "Contractor QC", "Pun", "Contractor QC", "Qua", "Contractor QC", "Fin", "Punch List")</f>
        <v>#VALUE!</v>
      </c>
      <c r="D874" s="15" t="e">
        <f>_xlfn.LET(
_xlpm.leftValue, TRIM(LEFT(Tasks[[#This Row],[Description]], 45)),
IF(LEN(_xlpm.leftValue) &lt; 40, _xlpm.leftValue, _xlfn.CONCAT(_xlpm.leftValue, "…"))
)</f>
        <v>#VALUE!</v>
      </c>
      <c r="E874" s="15" t="e" cm="1">
        <f t="array" ref="E874">_xlfn.LET(
_xlpm.inTower, COUNTIF(Tower_Num_Table[Tower Rm Numbers], LEFT(Task_Summary_Table[[#This Row],[Area/Room]], 3)) &gt; 0,
_xlpm.typeResult, _xlfn.SWITCH(LEFT(Tasks[[#This Row],[Page]], 2), "Hi", "Historic", "An", "Annex", "Si", "Site", "S5", "Project Task", "SWITCH ERROR"),
IF(_xlpm.inTower, "West Tower", _xlpm.typeResult)
)</f>
        <v>#VALUE!</v>
      </c>
      <c r="F874" s="15" t="str">
        <f>IFERROR(MID(Tasks[[#This Row],[Page]], FIND("Level", Tasks[[#This Row],[Page]]), 7), IF(ISNUMBER(FIND("Roof", Tasks[[#This Row],[Page]])), "Roof",  IF(ISNUMBER(FIND("S590", Tasks[[#This Row],[Page]])), "",  IF(ISNUMBER(FIND("Site", Tasks[[#This Row],[Page]])), "", "ERROR"))))</f>
        <v>ERROR</v>
      </c>
      <c r="G874" s="15" t="e">
        <f>IF(Tasks[[#This Row],[Location]]=0, "", Tasks[[#This Row],[Location]])</f>
        <v>#VALUE!</v>
      </c>
      <c r="H874" s="15" t="e">
        <f>Tasks[[#This Row],[To Package]]</f>
        <v>#VALUE!</v>
      </c>
      <c r="I874" s="15" t="e">
        <f>Tasks[[#This Row],[To Organisation]]</f>
        <v>#VALUE!</v>
      </c>
    </row>
    <row r="875" spans="1:9" ht="15.5" x14ac:dyDescent="0.35">
      <c r="A875" s="16" t="e">
        <f>HYPERLINK(_xlfn.CONCAT(Edit_URL,Tasks[[#This Row],[Ref]]),Tasks[[#This Row],[Ref]])</f>
        <v>#VALUE!</v>
      </c>
      <c r="B875" s="15" t="e" cm="1">
        <f t="array" ref="B875">_xlfn.SWITCH(LEFT(Tasks[[#This Row],[Status]],1),"O","Opened","C","Completed","S","Signed Off", "V", "Signed Off","ERROR")</f>
        <v>#VALUE!</v>
      </c>
      <c r="C875" s="15" t="e" cm="1">
        <f t="array" ref="C875">_xlfn.SWITCH(LEFT(Tasks[[#This Row],[Type]], 3), "Fie", "Field Report", "Con", "Contractor QC", "Gen", "Contractor QC", "Pun", "Contractor QC", "Qua", "Contractor QC", "Fin", "Punch List")</f>
        <v>#VALUE!</v>
      </c>
      <c r="D875" s="15" t="e">
        <f>_xlfn.LET(
_xlpm.leftValue, TRIM(LEFT(Tasks[[#This Row],[Description]], 45)),
IF(LEN(_xlpm.leftValue) &lt; 40, _xlpm.leftValue, _xlfn.CONCAT(_xlpm.leftValue, "…"))
)</f>
        <v>#VALUE!</v>
      </c>
      <c r="E875" s="15" t="e" cm="1">
        <f t="array" ref="E875">_xlfn.LET(
_xlpm.inTower, COUNTIF(Tower_Num_Table[Tower Rm Numbers], LEFT(Task_Summary_Table[[#This Row],[Area/Room]], 3)) &gt; 0,
_xlpm.typeResult, _xlfn.SWITCH(LEFT(Tasks[[#This Row],[Page]], 2), "Hi", "Historic", "An", "Annex", "Si", "Site", "S5", "Project Task", "SWITCH ERROR"),
IF(_xlpm.inTower, "West Tower", _xlpm.typeResult)
)</f>
        <v>#VALUE!</v>
      </c>
      <c r="F875" s="15" t="str">
        <f>IFERROR(MID(Tasks[[#This Row],[Page]], FIND("Level", Tasks[[#This Row],[Page]]), 7), IF(ISNUMBER(FIND("Roof", Tasks[[#This Row],[Page]])), "Roof",  IF(ISNUMBER(FIND("S590", Tasks[[#This Row],[Page]])), "",  IF(ISNUMBER(FIND("Site", Tasks[[#This Row],[Page]])), "", "ERROR"))))</f>
        <v>ERROR</v>
      </c>
      <c r="G875" s="15" t="e">
        <f>IF(Tasks[[#This Row],[Location]]=0, "", Tasks[[#This Row],[Location]])</f>
        <v>#VALUE!</v>
      </c>
      <c r="H875" s="15" t="e">
        <f>Tasks[[#This Row],[To Package]]</f>
        <v>#VALUE!</v>
      </c>
      <c r="I875" s="15" t="e">
        <f>Tasks[[#This Row],[To Organisation]]</f>
        <v>#VALUE!</v>
      </c>
    </row>
    <row r="876" spans="1:9" ht="15.5" x14ac:dyDescent="0.35">
      <c r="A876" s="16" t="e">
        <f>HYPERLINK(_xlfn.CONCAT(Edit_URL,Tasks[[#This Row],[Ref]]),Tasks[[#This Row],[Ref]])</f>
        <v>#VALUE!</v>
      </c>
      <c r="B876" s="15" t="e" cm="1">
        <f t="array" ref="B876">_xlfn.SWITCH(LEFT(Tasks[[#This Row],[Status]],1),"O","Opened","C","Completed","S","Signed Off", "V", "Signed Off","ERROR")</f>
        <v>#VALUE!</v>
      </c>
      <c r="C876" s="15" t="e" cm="1">
        <f t="array" ref="C876">_xlfn.SWITCH(LEFT(Tasks[[#This Row],[Type]], 3), "Fie", "Field Report", "Con", "Contractor QC", "Gen", "Contractor QC", "Pun", "Contractor QC", "Qua", "Contractor QC", "Fin", "Punch List")</f>
        <v>#VALUE!</v>
      </c>
      <c r="D876" s="15" t="e">
        <f>_xlfn.LET(
_xlpm.leftValue, TRIM(LEFT(Tasks[[#This Row],[Description]], 45)),
IF(LEN(_xlpm.leftValue) &lt; 40, _xlpm.leftValue, _xlfn.CONCAT(_xlpm.leftValue, "…"))
)</f>
        <v>#VALUE!</v>
      </c>
      <c r="E876" s="15" t="e" cm="1">
        <f t="array" ref="E876">_xlfn.LET(
_xlpm.inTower, COUNTIF(Tower_Num_Table[Tower Rm Numbers], LEFT(Task_Summary_Table[[#This Row],[Area/Room]], 3)) &gt; 0,
_xlpm.typeResult, _xlfn.SWITCH(LEFT(Tasks[[#This Row],[Page]], 2), "Hi", "Historic", "An", "Annex", "Si", "Site", "S5", "Project Task", "SWITCH ERROR"),
IF(_xlpm.inTower, "West Tower", _xlpm.typeResult)
)</f>
        <v>#VALUE!</v>
      </c>
      <c r="F876" s="15" t="str">
        <f>IFERROR(MID(Tasks[[#This Row],[Page]], FIND("Level", Tasks[[#This Row],[Page]]), 7), IF(ISNUMBER(FIND("Roof", Tasks[[#This Row],[Page]])), "Roof",  IF(ISNUMBER(FIND("S590", Tasks[[#This Row],[Page]])), "",  IF(ISNUMBER(FIND("Site", Tasks[[#This Row],[Page]])), "", "ERROR"))))</f>
        <v>ERROR</v>
      </c>
      <c r="G876" s="15" t="e">
        <f>IF(Tasks[[#This Row],[Location]]=0, "", Tasks[[#This Row],[Location]])</f>
        <v>#VALUE!</v>
      </c>
      <c r="H876" s="15" t="e">
        <f>Tasks[[#This Row],[To Package]]</f>
        <v>#VALUE!</v>
      </c>
      <c r="I876" s="15" t="e">
        <f>Tasks[[#This Row],[To Organisation]]</f>
        <v>#VALUE!</v>
      </c>
    </row>
    <row r="877" spans="1:9" ht="15.5" x14ac:dyDescent="0.35">
      <c r="A877" s="16" t="e">
        <f>HYPERLINK(_xlfn.CONCAT(Edit_URL,Tasks[[#This Row],[Ref]]),Tasks[[#This Row],[Ref]])</f>
        <v>#VALUE!</v>
      </c>
      <c r="B877" s="15" t="e" cm="1">
        <f t="array" ref="B877">_xlfn.SWITCH(LEFT(Tasks[[#This Row],[Status]],1),"O","Opened","C","Completed","S","Signed Off", "V", "Signed Off","ERROR")</f>
        <v>#VALUE!</v>
      </c>
      <c r="C877" s="15" t="e" cm="1">
        <f t="array" ref="C877">_xlfn.SWITCH(LEFT(Tasks[[#This Row],[Type]], 3), "Fie", "Field Report", "Con", "Contractor QC", "Gen", "Contractor QC", "Pun", "Contractor QC", "Qua", "Contractor QC", "Fin", "Punch List")</f>
        <v>#VALUE!</v>
      </c>
      <c r="D877" s="15" t="e">
        <f>_xlfn.LET(
_xlpm.leftValue, TRIM(LEFT(Tasks[[#This Row],[Description]], 45)),
IF(LEN(_xlpm.leftValue) &lt; 40, _xlpm.leftValue, _xlfn.CONCAT(_xlpm.leftValue, "…"))
)</f>
        <v>#VALUE!</v>
      </c>
      <c r="E877" s="15" t="e" cm="1">
        <f t="array" ref="E877">_xlfn.LET(
_xlpm.inTower, COUNTIF(Tower_Num_Table[Tower Rm Numbers], LEFT(Task_Summary_Table[[#This Row],[Area/Room]], 3)) &gt; 0,
_xlpm.typeResult, _xlfn.SWITCH(LEFT(Tasks[[#This Row],[Page]], 2), "Hi", "Historic", "An", "Annex", "Si", "Site", "S5", "Project Task", "SWITCH ERROR"),
IF(_xlpm.inTower, "West Tower", _xlpm.typeResult)
)</f>
        <v>#VALUE!</v>
      </c>
      <c r="F877" s="15" t="str">
        <f>IFERROR(MID(Tasks[[#This Row],[Page]], FIND("Level", Tasks[[#This Row],[Page]]), 7), IF(ISNUMBER(FIND("Roof", Tasks[[#This Row],[Page]])), "Roof",  IF(ISNUMBER(FIND("S590", Tasks[[#This Row],[Page]])), "",  IF(ISNUMBER(FIND("Site", Tasks[[#This Row],[Page]])), "", "ERROR"))))</f>
        <v>ERROR</v>
      </c>
      <c r="G877" s="15" t="e">
        <f>IF(Tasks[[#This Row],[Location]]=0, "", Tasks[[#This Row],[Location]])</f>
        <v>#VALUE!</v>
      </c>
      <c r="H877" s="15" t="e">
        <f>Tasks[[#This Row],[To Package]]</f>
        <v>#VALUE!</v>
      </c>
      <c r="I877" s="15" t="e">
        <f>Tasks[[#This Row],[To Organisation]]</f>
        <v>#VALUE!</v>
      </c>
    </row>
    <row r="878" spans="1:9" ht="15.5" x14ac:dyDescent="0.35">
      <c r="A878" s="16" t="e">
        <f>HYPERLINK(_xlfn.CONCAT(Edit_URL,Tasks[[#This Row],[Ref]]),Tasks[[#This Row],[Ref]])</f>
        <v>#VALUE!</v>
      </c>
      <c r="B878" s="15" t="e" cm="1">
        <f t="array" ref="B878">_xlfn.SWITCH(LEFT(Tasks[[#This Row],[Status]],1),"O","Opened","C","Completed","S","Signed Off", "V", "Signed Off","ERROR")</f>
        <v>#VALUE!</v>
      </c>
      <c r="C878" s="15" t="e" cm="1">
        <f t="array" ref="C878">_xlfn.SWITCH(LEFT(Tasks[[#This Row],[Type]], 3), "Fie", "Field Report", "Con", "Contractor QC", "Gen", "Contractor QC", "Pun", "Contractor QC", "Qua", "Contractor QC", "Fin", "Punch List")</f>
        <v>#VALUE!</v>
      </c>
      <c r="D878" s="15" t="e">
        <f>_xlfn.LET(
_xlpm.leftValue, TRIM(LEFT(Tasks[[#This Row],[Description]], 45)),
IF(LEN(_xlpm.leftValue) &lt; 40, _xlpm.leftValue, _xlfn.CONCAT(_xlpm.leftValue, "…"))
)</f>
        <v>#VALUE!</v>
      </c>
      <c r="E878" s="15" t="e" cm="1">
        <f t="array" ref="E878">_xlfn.LET(
_xlpm.inTower, COUNTIF(Tower_Num_Table[Tower Rm Numbers], LEFT(Task_Summary_Table[[#This Row],[Area/Room]], 3)) &gt; 0,
_xlpm.typeResult, _xlfn.SWITCH(LEFT(Tasks[[#This Row],[Page]], 2), "Hi", "Historic", "An", "Annex", "Si", "Site", "S5", "Project Task", "SWITCH ERROR"),
IF(_xlpm.inTower, "West Tower", _xlpm.typeResult)
)</f>
        <v>#VALUE!</v>
      </c>
      <c r="F878" s="15" t="str">
        <f>IFERROR(MID(Tasks[[#This Row],[Page]], FIND("Level", Tasks[[#This Row],[Page]]), 7), IF(ISNUMBER(FIND("Roof", Tasks[[#This Row],[Page]])), "Roof",  IF(ISNUMBER(FIND("S590", Tasks[[#This Row],[Page]])), "",  IF(ISNUMBER(FIND("Site", Tasks[[#This Row],[Page]])), "", "ERROR"))))</f>
        <v>ERROR</v>
      </c>
      <c r="G878" s="15" t="e">
        <f>IF(Tasks[[#This Row],[Location]]=0, "", Tasks[[#This Row],[Location]])</f>
        <v>#VALUE!</v>
      </c>
      <c r="H878" s="15" t="e">
        <f>Tasks[[#This Row],[To Package]]</f>
        <v>#VALUE!</v>
      </c>
      <c r="I878" s="15" t="e">
        <f>Tasks[[#This Row],[To Organisation]]</f>
        <v>#VALUE!</v>
      </c>
    </row>
    <row r="879" spans="1:9" ht="15.5" x14ac:dyDescent="0.35">
      <c r="A879" s="16" t="e">
        <f>HYPERLINK(_xlfn.CONCAT(Edit_URL,Tasks[[#This Row],[Ref]]),Tasks[[#This Row],[Ref]])</f>
        <v>#VALUE!</v>
      </c>
      <c r="B879" s="15" t="e" cm="1">
        <f t="array" ref="B879">_xlfn.SWITCH(LEFT(Tasks[[#This Row],[Status]],1),"O","Opened","C","Completed","S","Signed Off", "V", "Signed Off","ERROR")</f>
        <v>#VALUE!</v>
      </c>
      <c r="C879" s="15" t="e" cm="1">
        <f t="array" ref="C879">_xlfn.SWITCH(LEFT(Tasks[[#This Row],[Type]], 3), "Fie", "Field Report", "Con", "Contractor QC", "Gen", "Contractor QC", "Pun", "Contractor QC", "Qua", "Contractor QC", "Fin", "Punch List")</f>
        <v>#VALUE!</v>
      </c>
      <c r="D879" s="15" t="e">
        <f>_xlfn.LET(
_xlpm.leftValue, TRIM(LEFT(Tasks[[#This Row],[Description]], 45)),
IF(LEN(_xlpm.leftValue) &lt; 40, _xlpm.leftValue, _xlfn.CONCAT(_xlpm.leftValue, "…"))
)</f>
        <v>#VALUE!</v>
      </c>
      <c r="E879" s="15" t="e" cm="1">
        <f t="array" ref="E879">_xlfn.LET(
_xlpm.inTower, COUNTIF(Tower_Num_Table[Tower Rm Numbers], LEFT(Task_Summary_Table[[#This Row],[Area/Room]], 3)) &gt; 0,
_xlpm.typeResult, _xlfn.SWITCH(LEFT(Tasks[[#This Row],[Page]], 2), "Hi", "Historic", "An", "Annex", "Si", "Site", "S5", "Project Task", "SWITCH ERROR"),
IF(_xlpm.inTower, "West Tower", _xlpm.typeResult)
)</f>
        <v>#VALUE!</v>
      </c>
      <c r="F879" s="15" t="str">
        <f>IFERROR(MID(Tasks[[#This Row],[Page]], FIND("Level", Tasks[[#This Row],[Page]]), 7), IF(ISNUMBER(FIND("Roof", Tasks[[#This Row],[Page]])), "Roof",  IF(ISNUMBER(FIND("S590", Tasks[[#This Row],[Page]])), "",  IF(ISNUMBER(FIND("Site", Tasks[[#This Row],[Page]])), "", "ERROR"))))</f>
        <v>ERROR</v>
      </c>
      <c r="G879" s="15" t="e">
        <f>IF(Tasks[[#This Row],[Location]]=0, "", Tasks[[#This Row],[Location]])</f>
        <v>#VALUE!</v>
      </c>
      <c r="H879" s="15" t="e">
        <f>Tasks[[#This Row],[To Package]]</f>
        <v>#VALUE!</v>
      </c>
      <c r="I879" s="15" t="e">
        <f>Tasks[[#This Row],[To Organisation]]</f>
        <v>#VALUE!</v>
      </c>
    </row>
    <row r="880" spans="1:9" ht="15.5" x14ac:dyDescent="0.35">
      <c r="A880" s="16" t="e">
        <f>HYPERLINK(_xlfn.CONCAT(Edit_URL,Tasks[[#This Row],[Ref]]),Tasks[[#This Row],[Ref]])</f>
        <v>#VALUE!</v>
      </c>
      <c r="B880" s="15" t="e" cm="1">
        <f t="array" ref="B880">_xlfn.SWITCH(LEFT(Tasks[[#This Row],[Status]],1),"O","Opened","C","Completed","S","Signed Off", "V", "Signed Off","ERROR")</f>
        <v>#VALUE!</v>
      </c>
      <c r="C880" s="15" t="e" cm="1">
        <f t="array" ref="C880">_xlfn.SWITCH(LEFT(Tasks[[#This Row],[Type]], 3), "Fie", "Field Report", "Con", "Contractor QC", "Gen", "Contractor QC", "Pun", "Contractor QC", "Qua", "Contractor QC", "Fin", "Punch List")</f>
        <v>#VALUE!</v>
      </c>
      <c r="D880" s="15" t="e">
        <f>_xlfn.LET(
_xlpm.leftValue, TRIM(LEFT(Tasks[[#This Row],[Description]], 45)),
IF(LEN(_xlpm.leftValue) &lt; 40, _xlpm.leftValue, _xlfn.CONCAT(_xlpm.leftValue, "…"))
)</f>
        <v>#VALUE!</v>
      </c>
      <c r="E880" s="15" t="e" cm="1">
        <f t="array" ref="E880">_xlfn.LET(
_xlpm.inTower, COUNTIF(Tower_Num_Table[Tower Rm Numbers], LEFT(Task_Summary_Table[[#This Row],[Area/Room]], 3)) &gt; 0,
_xlpm.typeResult, _xlfn.SWITCH(LEFT(Tasks[[#This Row],[Page]], 2), "Hi", "Historic", "An", "Annex", "Si", "Site", "S5", "Project Task", "SWITCH ERROR"),
IF(_xlpm.inTower, "West Tower", _xlpm.typeResult)
)</f>
        <v>#VALUE!</v>
      </c>
      <c r="F880" s="15" t="str">
        <f>IFERROR(MID(Tasks[[#This Row],[Page]], FIND("Level", Tasks[[#This Row],[Page]]), 7), IF(ISNUMBER(FIND("Roof", Tasks[[#This Row],[Page]])), "Roof",  IF(ISNUMBER(FIND("S590", Tasks[[#This Row],[Page]])), "",  IF(ISNUMBER(FIND("Site", Tasks[[#This Row],[Page]])), "", "ERROR"))))</f>
        <v>ERROR</v>
      </c>
      <c r="G880" s="15" t="e">
        <f>IF(Tasks[[#This Row],[Location]]=0, "", Tasks[[#This Row],[Location]])</f>
        <v>#VALUE!</v>
      </c>
      <c r="H880" s="15" t="e">
        <f>Tasks[[#This Row],[To Package]]</f>
        <v>#VALUE!</v>
      </c>
      <c r="I880" s="15" t="e">
        <f>Tasks[[#This Row],[To Organisation]]</f>
        <v>#VALUE!</v>
      </c>
    </row>
    <row r="881" spans="1:9" ht="15.5" x14ac:dyDescent="0.35">
      <c r="A881" s="16" t="e">
        <f>HYPERLINK(_xlfn.CONCAT(Edit_URL,Tasks[[#This Row],[Ref]]),Tasks[[#This Row],[Ref]])</f>
        <v>#VALUE!</v>
      </c>
      <c r="B881" s="15" t="e" cm="1">
        <f t="array" ref="B881">_xlfn.SWITCH(LEFT(Tasks[[#This Row],[Status]],1),"O","Opened","C","Completed","S","Signed Off", "V", "Signed Off","ERROR")</f>
        <v>#VALUE!</v>
      </c>
      <c r="C881" s="15" t="e" cm="1">
        <f t="array" ref="C881">_xlfn.SWITCH(LEFT(Tasks[[#This Row],[Type]], 3), "Fie", "Field Report", "Con", "Contractor QC", "Gen", "Contractor QC", "Pun", "Contractor QC", "Qua", "Contractor QC", "Fin", "Punch List")</f>
        <v>#VALUE!</v>
      </c>
      <c r="D881" s="15" t="e">
        <f>_xlfn.LET(
_xlpm.leftValue, TRIM(LEFT(Tasks[[#This Row],[Description]], 45)),
IF(LEN(_xlpm.leftValue) &lt; 40, _xlpm.leftValue, _xlfn.CONCAT(_xlpm.leftValue, "…"))
)</f>
        <v>#VALUE!</v>
      </c>
      <c r="E881" s="15" t="e" cm="1">
        <f t="array" ref="E881">_xlfn.LET(
_xlpm.inTower, COUNTIF(Tower_Num_Table[Tower Rm Numbers], LEFT(Task_Summary_Table[[#This Row],[Area/Room]], 3)) &gt; 0,
_xlpm.typeResult, _xlfn.SWITCH(LEFT(Tasks[[#This Row],[Page]], 2), "Hi", "Historic", "An", "Annex", "Si", "Site", "S5", "Project Task", "SWITCH ERROR"),
IF(_xlpm.inTower, "West Tower", _xlpm.typeResult)
)</f>
        <v>#VALUE!</v>
      </c>
      <c r="F881" s="15" t="str">
        <f>IFERROR(MID(Tasks[[#This Row],[Page]], FIND("Level", Tasks[[#This Row],[Page]]), 7), IF(ISNUMBER(FIND("Roof", Tasks[[#This Row],[Page]])), "Roof",  IF(ISNUMBER(FIND("S590", Tasks[[#This Row],[Page]])), "",  IF(ISNUMBER(FIND("Site", Tasks[[#This Row],[Page]])), "", "ERROR"))))</f>
        <v>ERROR</v>
      </c>
      <c r="G881" s="15" t="e">
        <f>IF(Tasks[[#This Row],[Location]]=0, "", Tasks[[#This Row],[Location]])</f>
        <v>#VALUE!</v>
      </c>
      <c r="H881" s="15" t="e">
        <f>Tasks[[#This Row],[To Package]]</f>
        <v>#VALUE!</v>
      </c>
      <c r="I881" s="15" t="e">
        <f>Tasks[[#This Row],[To Organisation]]</f>
        <v>#VALUE!</v>
      </c>
    </row>
    <row r="882" spans="1:9" ht="15.5" x14ac:dyDescent="0.35">
      <c r="A882" s="16" t="e">
        <f>HYPERLINK(_xlfn.CONCAT(Edit_URL,Tasks[[#This Row],[Ref]]),Tasks[[#This Row],[Ref]])</f>
        <v>#VALUE!</v>
      </c>
      <c r="B882" s="15" t="e" cm="1">
        <f t="array" ref="B882">_xlfn.SWITCH(LEFT(Tasks[[#This Row],[Status]],1),"O","Opened","C","Completed","S","Signed Off", "V", "Signed Off","ERROR")</f>
        <v>#VALUE!</v>
      </c>
      <c r="C882" s="15" t="e" cm="1">
        <f t="array" ref="C882">_xlfn.SWITCH(LEFT(Tasks[[#This Row],[Type]], 3), "Fie", "Field Report", "Con", "Contractor QC", "Gen", "Contractor QC", "Pun", "Contractor QC", "Qua", "Contractor QC", "Fin", "Punch List")</f>
        <v>#VALUE!</v>
      </c>
      <c r="D882" s="15" t="e">
        <f>_xlfn.LET(
_xlpm.leftValue, TRIM(LEFT(Tasks[[#This Row],[Description]], 45)),
IF(LEN(_xlpm.leftValue) &lt; 40, _xlpm.leftValue, _xlfn.CONCAT(_xlpm.leftValue, "…"))
)</f>
        <v>#VALUE!</v>
      </c>
      <c r="E882" s="15" t="e" cm="1">
        <f t="array" ref="E882">_xlfn.LET(
_xlpm.inTower, COUNTIF(Tower_Num_Table[Tower Rm Numbers], LEFT(Task_Summary_Table[[#This Row],[Area/Room]], 3)) &gt; 0,
_xlpm.typeResult, _xlfn.SWITCH(LEFT(Tasks[[#This Row],[Page]], 2), "Hi", "Historic", "An", "Annex", "Si", "Site", "S5", "Project Task", "SWITCH ERROR"),
IF(_xlpm.inTower, "West Tower", _xlpm.typeResult)
)</f>
        <v>#VALUE!</v>
      </c>
      <c r="F882" s="15" t="str">
        <f>IFERROR(MID(Tasks[[#This Row],[Page]], FIND("Level", Tasks[[#This Row],[Page]]), 7), IF(ISNUMBER(FIND("Roof", Tasks[[#This Row],[Page]])), "Roof",  IF(ISNUMBER(FIND("S590", Tasks[[#This Row],[Page]])), "",  IF(ISNUMBER(FIND("Site", Tasks[[#This Row],[Page]])), "", "ERROR"))))</f>
        <v>ERROR</v>
      </c>
      <c r="G882" s="15" t="e">
        <f>IF(Tasks[[#This Row],[Location]]=0, "", Tasks[[#This Row],[Location]])</f>
        <v>#VALUE!</v>
      </c>
      <c r="H882" s="15" t="e">
        <f>Tasks[[#This Row],[To Package]]</f>
        <v>#VALUE!</v>
      </c>
      <c r="I882" s="15" t="e">
        <f>Tasks[[#This Row],[To Organisation]]</f>
        <v>#VALUE!</v>
      </c>
    </row>
    <row r="883" spans="1:9" ht="15.5" x14ac:dyDescent="0.35">
      <c r="A883" s="16" t="e">
        <f>HYPERLINK(_xlfn.CONCAT(Edit_URL,Tasks[[#This Row],[Ref]]),Tasks[[#This Row],[Ref]])</f>
        <v>#VALUE!</v>
      </c>
      <c r="B883" s="15" t="e" cm="1">
        <f t="array" ref="B883">_xlfn.SWITCH(LEFT(Tasks[[#This Row],[Status]],1),"O","Opened","C","Completed","S","Signed Off", "V", "Signed Off","ERROR")</f>
        <v>#VALUE!</v>
      </c>
      <c r="C883" s="15" t="e" cm="1">
        <f t="array" ref="C883">_xlfn.SWITCH(LEFT(Tasks[[#This Row],[Type]], 3), "Fie", "Field Report", "Con", "Contractor QC", "Gen", "Contractor QC", "Pun", "Contractor QC", "Qua", "Contractor QC", "Fin", "Punch List")</f>
        <v>#VALUE!</v>
      </c>
      <c r="D883" s="15" t="e">
        <f>_xlfn.LET(
_xlpm.leftValue, TRIM(LEFT(Tasks[[#This Row],[Description]], 45)),
IF(LEN(_xlpm.leftValue) &lt; 40, _xlpm.leftValue, _xlfn.CONCAT(_xlpm.leftValue, "…"))
)</f>
        <v>#VALUE!</v>
      </c>
      <c r="E883" s="15" t="e" cm="1">
        <f t="array" ref="E883">_xlfn.LET(
_xlpm.inTower, COUNTIF(Tower_Num_Table[Tower Rm Numbers], LEFT(Task_Summary_Table[[#This Row],[Area/Room]], 3)) &gt; 0,
_xlpm.typeResult, _xlfn.SWITCH(LEFT(Tasks[[#This Row],[Page]], 2), "Hi", "Historic", "An", "Annex", "Si", "Site", "S5", "Project Task", "SWITCH ERROR"),
IF(_xlpm.inTower, "West Tower", _xlpm.typeResult)
)</f>
        <v>#VALUE!</v>
      </c>
      <c r="F883" s="15" t="str">
        <f>IFERROR(MID(Tasks[[#This Row],[Page]], FIND("Level", Tasks[[#This Row],[Page]]), 7), IF(ISNUMBER(FIND("Roof", Tasks[[#This Row],[Page]])), "Roof",  IF(ISNUMBER(FIND("S590", Tasks[[#This Row],[Page]])), "",  IF(ISNUMBER(FIND("Site", Tasks[[#This Row],[Page]])), "", "ERROR"))))</f>
        <v>ERROR</v>
      </c>
      <c r="G883" s="15" t="e">
        <f>IF(Tasks[[#This Row],[Location]]=0, "", Tasks[[#This Row],[Location]])</f>
        <v>#VALUE!</v>
      </c>
      <c r="H883" s="15" t="e">
        <f>Tasks[[#This Row],[To Package]]</f>
        <v>#VALUE!</v>
      </c>
      <c r="I883" s="15" t="e">
        <f>Tasks[[#This Row],[To Organisation]]</f>
        <v>#VALUE!</v>
      </c>
    </row>
    <row r="884" spans="1:9" ht="15.5" x14ac:dyDescent="0.35">
      <c r="A884" s="16" t="e">
        <f>HYPERLINK(_xlfn.CONCAT(Edit_URL,Tasks[[#This Row],[Ref]]),Tasks[[#This Row],[Ref]])</f>
        <v>#VALUE!</v>
      </c>
      <c r="B884" s="15" t="e" cm="1">
        <f t="array" ref="B884">_xlfn.SWITCH(LEFT(Tasks[[#This Row],[Status]],1),"O","Opened","C","Completed","S","Signed Off", "V", "Signed Off","ERROR")</f>
        <v>#VALUE!</v>
      </c>
      <c r="C884" s="15" t="e" cm="1">
        <f t="array" ref="C884">_xlfn.SWITCH(LEFT(Tasks[[#This Row],[Type]], 3), "Fie", "Field Report", "Con", "Contractor QC", "Gen", "Contractor QC", "Pun", "Contractor QC", "Qua", "Contractor QC", "Fin", "Punch List")</f>
        <v>#VALUE!</v>
      </c>
      <c r="D884" s="15" t="e">
        <f>_xlfn.LET(
_xlpm.leftValue, TRIM(LEFT(Tasks[[#This Row],[Description]], 45)),
IF(LEN(_xlpm.leftValue) &lt; 40, _xlpm.leftValue, _xlfn.CONCAT(_xlpm.leftValue, "…"))
)</f>
        <v>#VALUE!</v>
      </c>
      <c r="E884" s="15" t="e" cm="1">
        <f t="array" ref="E884">_xlfn.LET(
_xlpm.inTower, COUNTIF(Tower_Num_Table[Tower Rm Numbers], LEFT(Task_Summary_Table[[#This Row],[Area/Room]], 3)) &gt; 0,
_xlpm.typeResult, _xlfn.SWITCH(LEFT(Tasks[[#This Row],[Page]], 2), "Hi", "Historic", "An", "Annex", "Si", "Site", "S5", "Project Task", "SWITCH ERROR"),
IF(_xlpm.inTower, "West Tower", _xlpm.typeResult)
)</f>
        <v>#VALUE!</v>
      </c>
      <c r="F884" s="15" t="str">
        <f>IFERROR(MID(Tasks[[#This Row],[Page]], FIND("Level", Tasks[[#This Row],[Page]]), 7), IF(ISNUMBER(FIND("Roof", Tasks[[#This Row],[Page]])), "Roof",  IF(ISNUMBER(FIND("S590", Tasks[[#This Row],[Page]])), "",  IF(ISNUMBER(FIND("Site", Tasks[[#This Row],[Page]])), "", "ERROR"))))</f>
        <v>ERROR</v>
      </c>
      <c r="G884" s="15" t="e">
        <f>IF(Tasks[[#This Row],[Location]]=0, "", Tasks[[#This Row],[Location]])</f>
        <v>#VALUE!</v>
      </c>
      <c r="H884" s="15" t="e">
        <f>Tasks[[#This Row],[To Package]]</f>
        <v>#VALUE!</v>
      </c>
      <c r="I884" s="15" t="e">
        <f>Tasks[[#This Row],[To Organisation]]</f>
        <v>#VALUE!</v>
      </c>
    </row>
    <row r="885" spans="1:9" ht="15.5" x14ac:dyDescent="0.35">
      <c r="A885" s="16" t="e">
        <f>HYPERLINK(_xlfn.CONCAT(Edit_URL,Tasks[[#This Row],[Ref]]),Tasks[[#This Row],[Ref]])</f>
        <v>#VALUE!</v>
      </c>
      <c r="B885" s="15" t="e" cm="1">
        <f t="array" ref="B885">_xlfn.SWITCH(LEFT(Tasks[[#This Row],[Status]],1),"O","Opened","C","Completed","S","Signed Off", "V", "Signed Off","ERROR")</f>
        <v>#VALUE!</v>
      </c>
      <c r="C885" s="15" t="e" cm="1">
        <f t="array" ref="C885">_xlfn.SWITCH(LEFT(Tasks[[#This Row],[Type]], 3), "Fie", "Field Report", "Con", "Contractor QC", "Gen", "Contractor QC", "Pun", "Contractor QC", "Qua", "Contractor QC", "Fin", "Punch List")</f>
        <v>#VALUE!</v>
      </c>
      <c r="D885" s="15" t="e">
        <f>_xlfn.LET(
_xlpm.leftValue, TRIM(LEFT(Tasks[[#This Row],[Description]], 45)),
IF(LEN(_xlpm.leftValue) &lt; 40, _xlpm.leftValue, _xlfn.CONCAT(_xlpm.leftValue, "…"))
)</f>
        <v>#VALUE!</v>
      </c>
      <c r="E885" s="15" t="e" cm="1">
        <f t="array" ref="E885">_xlfn.LET(
_xlpm.inTower, COUNTIF(Tower_Num_Table[Tower Rm Numbers], LEFT(Task_Summary_Table[[#This Row],[Area/Room]], 3)) &gt; 0,
_xlpm.typeResult, _xlfn.SWITCH(LEFT(Tasks[[#This Row],[Page]], 2), "Hi", "Historic", "An", "Annex", "Si", "Site", "S5", "Project Task", "SWITCH ERROR"),
IF(_xlpm.inTower, "West Tower", _xlpm.typeResult)
)</f>
        <v>#VALUE!</v>
      </c>
      <c r="F885" s="15" t="str">
        <f>IFERROR(MID(Tasks[[#This Row],[Page]], FIND("Level", Tasks[[#This Row],[Page]]), 7), IF(ISNUMBER(FIND("Roof", Tasks[[#This Row],[Page]])), "Roof",  IF(ISNUMBER(FIND("S590", Tasks[[#This Row],[Page]])), "",  IF(ISNUMBER(FIND("Site", Tasks[[#This Row],[Page]])), "", "ERROR"))))</f>
        <v>ERROR</v>
      </c>
      <c r="G885" s="15" t="e">
        <f>IF(Tasks[[#This Row],[Location]]=0, "", Tasks[[#This Row],[Location]])</f>
        <v>#VALUE!</v>
      </c>
      <c r="H885" s="15" t="e">
        <f>Tasks[[#This Row],[To Package]]</f>
        <v>#VALUE!</v>
      </c>
      <c r="I885" s="15" t="e">
        <f>Tasks[[#This Row],[To Organisation]]</f>
        <v>#VALUE!</v>
      </c>
    </row>
    <row r="886" spans="1:9" ht="15.5" x14ac:dyDescent="0.35">
      <c r="A886" s="16" t="e">
        <f>HYPERLINK(_xlfn.CONCAT(Edit_URL,Tasks[[#This Row],[Ref]]),Tasks[[#This Row],[Ref]])</f>
        <v>#VALUE!</v>
      </c>
      <c r="B886" s="15" t="e" cm="1">
        <f t="array" ref="B886">_xlfn.SWITCH(LEFT(Tasks[[#This Row],[Status]],1),"O","Opened","C","Completed","S","Signed Off", "V", "Signed Off","ERROR")</f>
        <v>#VALUE!</v>
      </c>
      <c r="C886" s="15" t="e" cm="1">
        <f t="array" ref="C886">_xlfn.SWITCH(LEFT(Tasks[[#This Row],[Type]], 3), "Fie", "Field Report", "Con", "Contractor QC", "Gen", "Contractor QC", "Pun", "Contractor QC", "Qua", "Contractor QC", "Fin", "Punch List")</f>
        <v>#VALUE!</v>
      </c>
      <c r="D886" s="15" t="e">
        <f>_xlfn.LET(
_xlpm.leftValue, TRIM(LEFT(Tasks[[#This Row],[Description]], 45)),
IF(LEN(_xlpm.leftValue) &lt; 40, _xlpm.leftValue, _xlfn.CONCAT(_xlpm.leftValue, "…"))
)</f>
        <v>#VALUE!</v>
      </c>
      <c r="E886" s="15" t="e" cm="1">
        <f t="array" ref="E886">_xlfn.LET(
_xlpm.inTower, COUNTIF(Tower_Num_Table[Tower Rm Numbers], LEFT(Task_Summary_Table[[#This Row],[Area/Room]], 3)) &gt; 0,
_xlpm.typeResult, _xlfn.SWITCH(LEFT(Tasks[[#This Row],[Page]], 2), "Hi", "Historic", "An", "Annex", "Si", "Site", "S5", "Project Task", "SWITCH ERROR"),
IF(_xlpm.inTower, "West Tower", _xlpm.typeResult)
)</f>
        <v>#VALUE!</v>
      </c>
      <c r="F886" s="15" t="str">
        <f>IFERROR(MID(Tasks[[#This Row],[Page]], FIND("Level", Tasks[[#This Row],[Page]]), 7), IF(ISNUMBER(FIND("Roof", Tasks[[#This Row],[Page]])), "Roof",  IF(ISNUMBER(FIND("S590", Tasks[[#This Row],[Page]])), "",  IF(ISNUMBER(FIND("Site", Tasks[[#This Row],[Page]])), "", "ERROR"))))</f>
        <v>ERROR</v>
      </c>
      <c r="G886" s="15" t="e">
        <f>IF(Tasks[[#This Row],[Location]]=0, "", Tasks[[#This Row],[Location]])</f>
        <v>#VALUE!</v>
      </c>
      <c r="H886" s="15" t="e">
        <f>Tasks[[#This Row],[To Package]]</f>
        <v>#VALUE!</v>
      </c>
      <c r="I886" s="15" t="e">
        <f>Tasks[[#This Row],[To Organisation]]</f>
        <v>#VALUE!</v>
      </c>
    </row>
    <row r="887" spans="1:9" ht="15.5" x14ac:dyDescent="0.35">
      <c r="A887" s="16" t="e">
        <f>HYPERLINK(_xlfn.CONCAT(Edit_URL,Tasks[[#This Row],[Ref]]),Tasks[[#This Row],[Ref]])</f>
        <v>#VALUE!</v>
      </c>
      <c r="B887" s="15" t="e" cm="1">
        <f t="array" ref="B887">_xlfn.SWITCH(LEFT(Tasks[[#This Row],[Status]],1),"O","Opened","C","Completed","S","Signed Off", "V", "Signed Off","ERROR")</f>
        <v>#VALUE!</v>
      </c>
      <c r="C887" s="15" t="e" cm="1">
        <f t="array" ref="C887">_xlfn.SWITCH(LEFT(Tasks[[#This Row],[Type]], 3), "Fie", "Field Report", "Con", "Contractor QC", "Gen", "Contractor QC", "Pun", "Contractor QC", "Qua", "Contractor QC", "Fin", "Punch List")</f>
        <v>#VALUE!</v>
      </c>
      <c r="D887" s="15" t="e">
        <f>_xlfn.LET(
_xlpm.leftValue, TRIM(LEFT(Tasks[[#This Row],[Description]], 45)),
IF(LEN(_xlpm.leftValue) &lt; 40, _xlpm.leftValue, _xlfn.CONCAT(_xlpm.leftValue, "…"))
)</f>
        <v>#VALUE!</v>
      </c>
      <c r="E887" s="15" t="e" cm="1">
        <f t="array" ref="E887">_xlfn.LET(
_xlpm.inTower, COUNTIF(Tower_Num_Table[Tower Rm Numbers], LEFT(Task_Summary_Table[[#This Row],[Area/Room]], 3)) &gt; 0,
_xlpm.typeResult, _xlfn.SWITCH(LEFT(Tasks[[#This Row],[Page]], 2), "Hi", "Historic", "An", "Annex", "Si", "Site", "S5", "Project Task", "SWITCH ERROR"),
IF(_xlpm.inTower, "West Tower", _xlpm.typeResult)
)</f>
        <v>#VALUE!</v>
      </c>
      <c r="F887" s="15" t="str">
        <f>IFERROR(MID(Tasks[[#This Row],[Page]], FIND("Level", Tasks[[#This Row],[Page]]), 7), IF(ISNUMBER(FIND("Roof", Tasks[[#This Row],[Page]])), "Roof",  IF(ISNUMBER(FIND("S590", Tasks[[#This Row],[Page]])), "",  IF(ISNUMBER(FIND("Site", Tasks[[#This Row],[Page]])), "", "ERROR"))))</f>
        <v>ERROR</v>
      </c>
      <c r="G887" s="15" t="e">
        <f>IF(Tasks[[#This Row],[Location]]=0, "", Tasks[[#This Row],[Location]])</f>
        <v>#VALUE!</v>
      </c>
      <c r="H887" s="15" t="e">
        <f>Tasks[[#This Row],[To Package]]</f>
        <v>#VALUE!</v>
      </c>
      <c r="I887" s="15" t="e">
        <f>Tasks[[#This Row],[To Organisation]]</f>
        <v>#VALUE!</v>
      </c>
    </row>
    <row r="888" spans="1:9" ht="15.5" x14ac:dyDescent="0.35">
      <c r="A888" s="16" t="e">
        <f>HYPERLINK(_xlfn.CONCAT(Edit_URL,Tasks[[#This Row],[Ref]]),Tasks[[#This Row],[Ref]])</f>
        <v>#VALUE!</v>
      </c>
      <c r="B888" s="15" t="e" cm="1">
        <f t="array" ref="B888">_xlfn.SWITCH(LEFT(Tasks[[#This Row],[Status]],1),"O","Opened","C","Completed","S","Signed Off", "V", "Signed Off","ERROR")</f>
        <v>#VALUE!</v>
      </c>
      <c r="C888" s="15" t="e" cm="1">
        <f t="array" ref="C888">_xlfn.SWITCH(LEFT(Tasks[[#This Row],[Type]], 3), "Fie", "Field Report", "Con", "Contractor QC", "Gen", "Contractor QC", "Pun", "Contractor QC", "Qua", "Contractor QC", "Fin", "Punch List")</f>
        <v>#VALUE!</v>
      </c>
      <c r="D888" s="15" t="e">
        <f>_xlfn.LET(
_xlpm.leftValue, TRIM(LEFT(Tasks[[#This Row],[Description]], 45)),
IF(LEN(_xlpm.leftValue) &lt; 40, _xlpm.leftValue, _xlfn.CONCAT(_xlpm.leftValue, "…"))
)</f>
        <v>#VALUE!</v>
      </c>
      <c r="E888" s="15" t="e" cm="1">
        <f t="array" ref="E888">_xlfn.LET(
_xlpm.inTower, COUNTIF(Tower_Num_Table[Tower Rm Numbers], LEFT(Task_Summary_Table[[#This Row],[Area/Room]], 3)) &gt; 0,
_xlpm.typeResult, _xlfn.SWITCH(LEFT(Tasks[[#This Row],[Page]], 2), "Hi", "Historic", "An", "Annex", "Si", "Site", "S5", "Project Task", "SWITCH ERROR"),
IF(_xlpm.inTower, "West Tower", _xlpm.typeResult)
)</f>
        <v>#VALUE!</v>
      </c>
      <c r="F888" s="15" t="str">
        <f>IFERROR(MID(Tasks[[#This Row],[Page]], FIND("Level", Tasks[[#This Row],[Page]]), 7), IF(ISNUMBER(FIND("Roof", Tasks[[#This Row],[Page]])), "Roof",  IF(ISNUMBER(FIND("S590", Tasks[[#This Row],[Page]])), "",  IF(ISNUMBER(FIND("Site", Tasks[[#This Row],[Page]])), "", "ERROR"))))</f>
        <v>ERROR</v>
      </c>
      <c r="G888" s="15" t="e">
        <f>IF(Tasks[[#This Row],[Location]]=0, "", Tasks[[#This Row],[Location]])</f>
        <v>#VALUE!</v>
      </c>
      <c r="H888" s="15" t="e">
        <f>Tasks[[#This Row],[To Package]]</f>
        <v>#VALUE!</v>
      </c>
      <c r="I888" s="15" t="e">
        <f>Tasks[[#This Row],[To Organisation]]</f>
        <v>#VALUE!</v>
      </c>
    </row>
    <row r="889" spans="1:9" ht="15.5" x14ac:dyDescent="0.35">
      <c r="A889" s="16" t="e">
        <f>HYPERLINK(_xlfn.CONCAT(Edit_URL,Tasks[[#This Row],[Ref]]),Tasks[[#This Row],[Ref]])</f>
        <v>#VALUE!</v>
      </c>
      <c r="B889" s="15" t="e" cm="1">
        <f t="array" ref="B889">_xlfn.SWITCH(LEFT(Tasks[[#This Row],[Status]],1),"O","Opened","C","Completed","S","Signed Off", "V", "Signed Off","ERROR")</f>
        <v>#VALUE!</v>
      </c>
      <c r="C889" s="15" t="e" cm="1">
        <f t="array" ref="C889">_xlfn.SWITCH(LEFT(Tasks[[#This Row],[Type]], 3), "Fie", "Field Report", "Con", "Contractor QC", "Gen", "Contractor QC", "Pun", "Contractor QC", "Qua", "Contractor QC", "Fin", "Punch List")</f>
        <v>#VALUE!</v>
      </c>
      <c r="D889" s="15" t="e">
        <f>_xlfn.LET(
_xlpm.leftValue, TRIM(LEFT(Tasks[[#This Row],[Description]], 45)),
IF(LEN(_xlpm.leftValue) &lt; 40, _xlpm.leftValue, _xlfn.CONCAT(_xlpm.leftValue, "…"))
)</f>
        <v>#VALUE!</v>
      </c>
      <c r="E889" s="15" t="e" cm="1">
        <f t="array" ref="E889">_xlfn.LET(
_xlpm.inTower, COUNTIF(Tower_Num_Table[Tower Rm Numbers], LEFT(Task_Summary_Table[[#This Row],[Area/Room]], 3)) &gt; 0,
_xlpm.typeResult, _xlfn.SWITCH(LEFT(Tasks[[#This Row],[Page]], 2), "Hi", "Historic", "An", "Annex", "Si", "Site", "S5", "Project Task", "SWITCH ERROR"),
IF(_xlpm.inTower, "West Tower", _xlpm.typeResult)
)</f>
        <v>#VALUE!</v>
      </c>
      <c r="F889" s="15" t="str">
        <f>IFERROR(MID(Tasks[[#This Row],[Page]], FIND("Level", Tasks[[#This Row],[Page]]), 7), IF(ISNUMBER(FIND("Roof", Tasks[[#This Row],[Page]])), "Roof",  IF(ISNUMBER(FIND("S590", Tasks[[#This Row],[Page]])), "",  IF(ISNUMBER(FIND("Site", Tasks[[#This Row],[Page]])), "", "ERROR"))))</f>
        <v>ERROR</v>
      </c>
      <c r="G889" s="15" t="e">
        <f>IF(Tasks[[#This Row],[Location]]=0, "", Tasks[[#This Row],[Location]])</f>
        <v>#VALUE!</v>
      </c>
      <c r="H889" s="15" t="e">
        <f>Tasks[[#This Row],[To Package]]</f>
        <v>#VALUE!</v>
      </c>
      <c r="I889" s="15" t="e">
        <f>Tasks[[#This Row],[To Organisation]]</f>
        <v>#VALUE!</v>
      </c>
    </row>
    <row r="890" spans="1:9" ht="15.5" x14ac:dyDescent="0.35">
      <c r="A890" s="16" t="e">
        <f>HYPERLINK(_xlfn.CONCAT(Edit_URL,Tasks[[#This Row],[Ref]]),Tasks[[#This Row],[Ref]])</f>
        <v>#VALUE!</v>
      </c>
      <c r="B890" s="15" t="e" cm="1">
        <f t="array" ref="B890">_xlfn.SWITCH(LEFT(Tasks[[#This Row],[Status]],1),"O","Opened","C","Completed","S","Signed Off", "V", "Signed Off","ERROR")</f>
        <v>#VALUE!</v>
      </c>
      <c r="C890" s="15" t="e" cm="1">
        <f t="array" ref="C890">_xlfn.SWITCH(LEFT(Tasks[[#This Row],[Type]], 3), "Fie", "Field Report", "Con", "Contractor QC", "Gen", "Contractor QC", "Pun", "Contractor QC", "Qua", "Contractor QC", "Fin", "Punch List")</f>
        <v>#VALUE!</v>
      </c>
      <c r="D890" s="15" t="e">
        <f>_xlfn.LET(
_xlpm.leftValue, TRIM(LEFT(Tasks[[#This Row],[Description]], 45)),
IF(LEN(_xlpm.leftValue) &lt; 40, _xlpm.leftValue, _xlfn.CONCAT(_xlpm.leftValue, "…"))
)</f>
        <v>#VALUE!</v>
      </c>
      <c r="E890" s="15" t="e" cm="1">
        <f t="array" ref="E890">_xlfn.LET(
_xlpm.inTower, COUNTIF(Tower_Num_Table[Tower Rm Numbers], LEFT(Task_Summary_Table[[#This Row],[Area/Room]], 3)) &gt; 0,
_xlpm.typeResult, _xlfn.SWITCH(LEFT(Tasks[[#This Row],[Page]], 2), "Hi", "Historic", "An", "Annex", "Si", "Site", "S5", "Project Task", "SWITCH ERROR"),
IF(_xlpm.inTower, "West Tower", _xlpm.typeResult)
)</f>
        <v>#VALUE!</v>
      </c>
      <c r="F890" s="15" t="str">
        <f>IFERROR(MID(Tasks[[#This Row],[Page]], FIND("Level", Tasks[[#This Row],[Page]]), 7), IF(ISNUMBER(FIND("Roof", Tasks[[#This Row],[Page]])), "Roof",  IF(ISNUMBER(FIND("S590", Tasks[[#This Row],[Page]])), "",  IF(ISNUMBER(FIND("Site", Tasks[[#This Row],[Page]])), "", "ERROR"))))</f>
        <v>ERROR</v>
      </c>
      <c r="G890" s="15" t="e">
        <f>IF(Tasks[[#This Row],[Location]]=0, "", Tasks[[#This Row],[Location]])</f>
        <v>#VALUE!</v>
      </c>
      <c r="H890" s="15" t="e">
        <f>Tasks[[#This Row],[To Package]]</f>
        <v>#VALUE!</v>
      </c>
      <c r="I890" s="15" t="e">
        <f>Tasks[[#This Row],[To Organisation]]</f>
        <v>#VALUE!</v>
      </c>
    </row>
    <row r="891" spans="1:9" ht="15.5" x14ac:dyDescent="0.35">
      <c r="A891" s="16" t="e">
        <f>HYPERLINK(_xlfn.CONCAT(Edit_URL,Tasks[[#This Row],[Ref]]),Tasks[[#This Row],[Ref]])</f>
        <v>#VALUE!</v>
      </c>
      <c r="B891" s="15" t="e" cm="1">
        <f t="array" ref="B891">_xlfn.SWITCH(LEFT(Tasks[[#This Row],[Status]],1),"O","Opened","C","Completed","S","Signed Off", "V", "Signed Off","ERROR")</f>
        <v>#VALUE!</v>
      </c>
      <c r="C891" s="15" t="e" cm="1">
        <f t="array" ref="C891">_xlfn.SWITCH(LEFT(Tasks[[#This Row],[Type]], 3), "Fie", "Field Report", "Con", "Contractor QC", "Gen", "Contractor QC", "Pun", "Contractor QC", "Qua", "Contractor QC", "Fin", "Punch List")</f>
        <v>#VALUE!</v>
      </c>
      <c r="D891" s="15" t="e">
        <f>_xlfn.LET(
_xlpm.leftValue, TRIM(LEFT(Tasks[[#This Row],[Description]], 45)),
IF(LEN(_xlpm.leftValue) &lt; 40, _xlpm.leftValue, _xlfn.CONCAT(_xlpm.leftValue, "…"))
)</f>
        <v>#VALUE!</v>
      </c>
      <c r="E891" s="15" t="e" cm="1">
        <f t="array" ref="E891">_xlfn.LET(
_xlpm.inTower, COUNTIF(Tower_Num_Table[Tower Rm Numbers], LEFT(Task_Summary_Table[[#This Row],[Area/Room]], 3)) &gt; 0,
_xlpm.typeResult, _xlfn.SWITCH(LEFT(Tasks[[#This Row],[Page]], 2), "Hi", "Historic", "An", "Annex", "Si", "Site", "S5", "Project Task", "SWITCH ERROR"),
IF(_xlpm.inTower, "West Tower", _xlpm.typeResult)
)</f>
        <v>#VALUE!</v>
      </c>
      <c r="F891" s="15" t="str">
        <f>IFERROR(MID(Tasks[[#This Row],[Page]], FIND("Level", Tasks[[#This Row],[Page]]), 7), IF(ISNUMBER(FIND("Roof", Tasks[[#This Row],[Page]])), "Roof",  IF(ISNUMBER(FIND("S590", Tasks[[#This Row],[Page]])), "",  IF(ISNUMBER(FIND("Site", Tasks[[#This Row],[Page]])), "", "ERROR"))))</f>
        <v>ERROR</v>
      </c>
      <c r="G891" s="15" t="e">
        <f>IF(Tasks[[#This Row],[Location]]=0, "", Tasks[[#This Row],[Location]])</f>
        <v>#VALUE!</v>
      </c>
      <c r="H891" s="15" t="e">
        <f>Tasks[[#This Row],[To Package]]</f>
        <v>#VALUE!</v>
      </c>
      <c r="I891" s="15" t="e">
        <f>Tasks[[#This Row],[To Organisation]]</f>
        <v>#VALUE!</v>
      </c>
    </row>
    <row r="892" spans="1:9" ht="15.5" x14ac:dyDescent="0.35">
      <c r="A892" s="16" t="e">
        <f>HYPERLINK(_xlfn.CONCAT(Edit_URL,Tasks[[#This Row],[Ref]]),Tasks[[#This Row],[Ref]])</f>
        <v>#VALUE!</v>
      </c>
      <c r="B892" s="15" t="e" cm="1">
        <f t="array" ref="B892">_xlfn.SWITCH(LEFT(Tasks[[#This Row],[Status]],1),"O","Opened","C","Completed","S","Signed Off", "V", "Signed Off","ERROR")</f>
        <v>#VALUE!</v>
      </c>
      <c r="C892" s="15" t="e" cm="1">
        <f t="array" ref="C892">_xlfn.SWITCH(LEFT(Tasks[[#This Row],[Type]], 3), "Fie", "Field Report", "Con", "Contractor QC", "Gen", "Contractor QC", "Pun", "Contractor QC", "Qua", "Contractor QC", "Fin", "Punch List")</f>
        <v>#VALUE!</v>
      </c>
      <c r="D892" s="15" t="e">
        <f>_xlfn.LET(
_xlpm.leftValue, TRIM(LEFT(Tasks[[#This Row],[Description]], 45)),
IF(LEN(_xlpm.leftValue) &lt; 40, _xlpm.leftValue, _xlfn.CONCAT(_xlpm.leftValue, "…"))
)</f>
        <v>#VALUE!</v>
      </c>
      <c r="E892" s="15" t="e" cm="1">
        <f t="array" ref="E892">_xlfn.LET(
_xlpm.inTower, COUNTIF(Tower_Num_Table[Tower Rm Numbers], LEFT(Task_Summary_Table[[#This Row],[Area/Room]], 3)) &gt; 0,
_xlpm.typeResult, _xlfn.SWITCH(LEFT(Tasks[[#This Row],[Page]], 2), "Hi", "Historic", "An", "Annex", "Si", "Site", "S5", "Project Task", "SWITCH ERROR"),
IF(_xlpm.inTower, "West Tower", _xlpm.typeResult)
)</f>
        <v>#VALUE!</v>
      </c>
      <c r="F892" s="15" t="str">
        <f>IFERROR(MID(Tasks[[#This Row],[Page]], FIND("Level", Tasks[[#This Row],[Page]]), 7), IF(ISNUMBER(FIND("Roof", Tasks[[#This Row],[Page]])), "Roof",  IF(ISNUMBER(FIND("S590", Tasks[[#This Row],[Page]])), "",  IF(ISNUMBER(FIND("Site", Tasks[[#This Row],[Page]])), "", "ERROR"))))</f>
        <v>ERROR</v>
      </c>
      <c r="G892" s="15" t="e">
        <f>IF(Tasks[[#This Row],[Location]]=0, "", Tasks[[#This Row],[Location]])</f>
        <v>#VALUE!</v>
      </c>
      <c r="H892" s="15" t="e">
        <f>Tasks[[#This Row],[To Package]]</f>
        <v>#VALUE!</v>
      </c>
      <c r="I892" s="15" t="e">
        <f>Tasks[[#This Row],[To Organisation]]</f>
        <v>#VALUE!</v>
      </c>
    </row>
    <row r="893" spans="1:9" ht="15.5" x14ac:dyDescent="0.35">
      <c r="A893" s="16" t="e">
        <f>HYPERLINK(_xlfn.CONCAT(Edit_URL,Tasks[[#This Row],[Ref]]),Tasks[[#This Row],[Ref]])</f>
        <v>#VALUE!</v>
      </c>
      <c r="B893" s="15" t="e" cm="1">
        <f t="array" ref="B893">_xlfn.SWITCH(LEFT(Tasks[[#This Row],[Status]],1),"O","Opened","C","Completed","S","Signed Off", "V", "Signed Off","ERROR")</f>
        <v>#VALUE!</v>
      </c>
      <c r="C893" s="15" t="e" cm="1">
        <f t="array" ref="C893">_xlfn.SWITCH(LEFT(Tasks[[#This Row],[Type]], 3), "Fie", "Field Report", "Con", "Contractor QC", "Gen", "Contractor QC", "Pun", "Contractor QC", "Qua", "Contractor QC", "Fin", "Punch List")</f>
        <v>#VALUE!</v>
      </c>
      <c r="D893" s="15" t="e">
        <f>_xlfn.LET(
_xlpm.leftValue, TRIM(LEFT(Tasks[[#This Row],[Description]], 45)),
IF(LEN(_xlpm.leftValue) &lt; 40, _xlpm.leftValue, _xlfn.CONCAT(_xlpm.leftValue, "…"))
)</f>
        <v>#VALUE!</v>
      </c>
      <c r="E893" s="15" t="e" cm="1">
        <f t="array" ref="E893">_xlfn.LET(
_xlpm.inTower, COUNTIF(Tower_Num_Table[Tower Rm Numbers], LEFT(Task_Summary_Table[[#This Row],[Area/Room]], 3)) &gt; 0,
_xlpm.typeResult, _xlfn.SWITCH(LEFT(Tasks[[#This Row],[Page]], 2), "Hi", "Historic", "An", "Annex", "Si", "Site", "S5", "Project Task", "SWITCH ERROR"),
IF(_xlpm.inTower, "West Tower", _xlpm.typeResult)
)</f>
        <v>#VALUE!</v>
      </c>
      <c r="F893" s="15" t="str">
        <f>IFERROR(MID(Tasks[[#This Row],[Page]], FIND("Level", Tasks[[#This Row],[Page]]), 7), IF(ISNUMBER(FIND("Roof", Tasks[[#This Row],[Page]])), "Roof",  IF(ISNUMBER(FIND("S590", Tasks[[#This Row],[Page]])), "",  IF(ISNUMBER(FIND("Site", Tasks[[#This Row],[Page]])), "", "ERROR"))))</f>
        <v>ERROR</v>
      </c>
      <c r="G893" s="15" t="e">
        <f>IF(Tasks[[#This Row],[Location]]=0, "", Tasks[[#This Row],[Location]])</f>
        <v>#VALUE!</v>
      </c>
      <c r="H893" s="15" t="e">
        <f>Tasks[[#This Row],[To Package]]</f>
        <v>#VALUE!</v>
      </c>
      <c r="I893" s="15" t="e">
        <f>Tasks[[#This Row],[To Organisation]]</f>
        <v>#VALUE!</v>
      </c>
    </row>
    <row r="894" spans="1:9" ht="15.5" x14ac:dyDescent="0.35">
      <c r="A894" s="16" t="e">
        <f>HYPERLINK(_xlfn.CONCAT(Edit_URL,Tasks[[#This Row],[Ref]]),Tasks[[#This Row],[Ref]])</f>
        <v>#VALUE!</v>
      </c>
      <c r="B894" s="15" t="e" cm="1">
        <f t="array" ref="B894">_xlfn.SWITCH(LEFT(Tasks[[#This Row],[Status]],1),"O","Opened","C","Completed","S","Signed Off", "V", "Signed Off","ERROR")</f>
        <v>#VALUE!</v>
      </c>
      <c r="C894" s="15" t="e" cm="1">
        <f t="array" ref="C894">_xlfn.SWITCH(LEFT(Tasks[[#This Row],[Type]], 3), "Fie", "Field Report", "Con", "Contractor QC", "Gen", "Contractor QC", "Pun", "Contractor QC", "Qua", "Contractor QC", "Fin", "Punch List")</f>
        <v>#VALUE!</v>
      </c>
      <c r="D894" s="15" t="e">
        <f>_xlfn.LET(
_xlpm.leftValue, TRIM(LEFT(Tasks[[#This Row],[Description]], 45)),
IF(LEN(_xlpm.leftValue) &lt; 40, _xlpm.leftValue, _xlfn.CONCAT(_xlpm.leftValue, "…"))
)</f>
        <v>#VALUE!</v>
      </c>
      <c r="E894" s="15" t="e" cm="1">
        <f t="array" ref="E894">_xlfn.LET(
_xlpm.inTower, COUNTIF(Tower_Num_Table[Tower Rm Numbers], LEFT(Task_Summary_Table[[#This Row],[Area/Room]], 3)) &gt; 0,
_xlpm.typeResult, _xlfn.SWITCH(LEFT(Tasks[[#This Row],[Page]], 2), "Hi", "Historic", "An", "Annex", "Si", "Site", "S5", "Project Task", "SWITCH ERROR"),
IF(_xlpm.inTower, "West Tower", _xlpm.typeResult)
)</f>
        <v>#VALUE!</v>
      </c>
      <c r="F894" s="15" t="str">
        <f>IFERROR(MID(Tasks[[#This Row],[Page]], FIND("Level", Tasks[[#This Row],[Page]]), 7), IF(ISNUMBER(FIND("Roof", Tasks[[#This Row],[Page]])), "Roof",  IF(ISNUMBER(FIND("S590", Tasks[[#This Row],[Page]])), "",  IF(ISNUMBER(FIND("Site", Tasks[[#This Row],[Page]])), "", "ERROR"))))</f>
        <v>ERROR</v>
      </c>
      <c r="G894" s="15" t="e">
        <f>IF(Tasks[[#This Row],[Location]]=0, "", Tasks[[#This Row],[Location]])</f>
        <v>#VALUE!</v>
      </c>
      <c r="H894" s="15" t="e">
        <f>Tasks[[#This Row],[To Package]]</f>
        <v>#VALUE!</v>
      </c>
      <c r="I894" s="15" t="e">
        <f>Tasks[[#This Row],[To Organisation]]</f>
        <v>#VALUE!</v>
      </c>
    </row>
    <row r="895" spans="1:9" ht="15.5" x14ac:dyDescent="0.35">
      <c r="A895" s="16" t="e">
        <f>HYPERLINK(_xlfn.CONCAT(Edit_URL,Tasks[[#This Row],[Ref]]),Tasks[[#This Row],[Ref]])</f>
        <v>#VALUE!</v>
      </c>
      <c r="B895" s="15" t="e" cm="1">
        <f t="array" ref="B895">_xlfn.SWITCH(LEFT(Tasks[[#This Row],[Status]],1),"O","Opened","C","Completed","S","Signed Off", "V", "Signed Off","ERROR")</f>
        <v>#VALUE!</v>
      </c>
      <c r="C895" s="15" t="e" cm="1">
        <f t="array" ref="C895">_xlfn.SWITCH(LEFT(Tasks[[#This Row],[Type]], 3), "Fie", "Field Report", "Con", "Contractor QC", "Gen", "Contractor QC", "Pun", "Contractor QC", "Qua", "Contractor QC", "Fin", "Punch List")</f>
        <v>#VALUE!</v>
      </c>
      <c r="D895" s="15" t="e">
        <f>_xlfn.LET(
_xlpm.leftValue, TRIM(LEFT(Tasks[[#This Row],[Description]], 45)),
IF(LEN(_xlpm.leftValue) &lt; 40, _xlpm.leftValue, _xlfn.CONCAT(_xlpm.leftValue, "…"))
)</f>
        <v>#VALUE!</v>
      </c>
      <c r="E895" s="15" t="e" cm="1">
        <f t="array" ref="E895">_xlfn.LET(
_xlpm.inTower, COUNTIF(Tower_Num_Table[Tower Rm Numbers], LEFT(Task_Summary_Table[[#This Row],[Area/Room]], 3)) &gt; 0,
_xlpm.typeResult, _xlfn.SWITCH(LEFT(Tasks[[#This Row],[Page]], 2), "Hi", "Historic", "An", "Annex", "Si", "Site", "S5", "Project Task", "SWITCH ERROR"),
IF(_xlpm.inTower, "West Tower", _xlpm.typeResult)
)</f>
        <v>#VALUE!</v>
      </c>
      <c r="F895" s="15" t="str">
        <f>IFERROR(MID(Tasks[[#This Row],[Page]], FIND("Level", Tasks[[#This Row],[Page]]), 7), IF(ISNUMBER(FIND("Roof", Tasks[[#This Row],[Page]])), "Roof",  IF(ISNUMBER(FIND("S590", Tasks[[#This Row],[Page]])), "",  IF(ISNUMBER(FIND("Site", Tasks[[#This Row],[Page]])), "", "ERROR"))))</f>
        <v>ERROR</v>
      </c>
      <c r="G895" s="15" t="e">
        <f>IF(Tasks[[#This Row],[Location]]=0, "", Tasks[[#This Row],[Location]])</f>
        <v>#VALUE!</v>
      </c>
      <c r="H895" s="15" t="e">
        <f>Tasks[[#This Row],[To Package]]</f>
        <v>#VALUE!</v>
      </c>
      <c r="I895" s="15" t="e">
        <f>Tasks[[#This Row],[To Organisation]]</f>
        <v>#VALUE!</v>
      </c>
    </row>
    <row r="896" spans="1:9" ht="15.5" x14ac:dyDescent="0.35">
      <c r="A896" s="16" t="e">
        <f>HYPERLINK(_xlfn.CONCAT(Edit_URL,Tasks[[#This Row],[Ref]]),Tasks[[#This Row],[Ref]])</f>
        <v>#VALUE!</v>
      </c>
      <c r="B896" s="15" t="e" cm="1">
        <f t="array" ref="B896">_xlfn.SWITCH(LEFT(Tasks[[#This Row],[Status]],1),"O","Opened","C","Completed","S","Signed Off", "V", "Signed Off","ERROR")</f>
        <v>#VALUE!</v>
      </c>
      <c r="C896" s="15" t="e" cm="1">
        <f t="array" ref="C896">_xlfn.SWITCH(LEFT(Tasks[[#This Row],[Type]], 3), "Fie", "Field Report", "Con", "Contractor QC", "Gen", "Contractor QC", "Pun", "Contractor QC", "Qua", "Contractor QC", "Fin", "Punch List")</f>
        <v>#VALUE!</v>
      </c>
      <c r="D896" s="15" t="e">
        <f>_xlfn.LET(
_xlpm.leftValue, TRIM(LEFT(Tasks[[#This Row],[Description]], 45)),
IF(LEN(_xlpm.leftValue) &lt; 40, _xlpm.leftValue, _xlfn.CONCAT(_xlpm.leftValue, "…"))
)</f>
        <v>#VALUE!</v>
      </c>
      <c r="E896" s="15" t="e" cm="1">
        <f t="array" ref="E896">_xlfn.LET(
_xlpm.inTower, COUNTIF(Tower_Num_Table[Tower Rm Numbers], LEFT(Task_Summary_Table[[#This Row],[Area/Room]], 3)) &gt; 0,
_xlpm.typeResult, _xlfn.SWITCH(LEFT(Tasks[[#This Row],[Page]], 2), "Hi", "Historic", "An", "Annex", "Si", "Site", "S5", "Project Task", "SWITCH ERROR"),
IF(_xlpm.inTower, "West Tower", _xlpm.typeResult)
)</f>
        <v>#VALUE!</v>
      </c>
      <c r="F896" s="15" t="str">
        <f>IFERROR(MID(Tasks[[#This Row],[Page]], FIND("Level", Tasks[[#This Row],[Page]]), 7), IF(ISNUMBER(FIND("Roof", Tasks[[#This Row],[Page]])), "Roof",  IF(ISNUMBER(FIND("S590", Tasks[[#This Row],[Page]])), "",  IF(ISNUMBER(FIND("Site", Tasks[[#This Row],[Page]])), "", "ERROR"))))</f>
        <v>ERROR</v>
      </c>
      <c r="G896" s="15" t="e">
        <f>IF(Tasks[[#This Row],[Location]]=0, "", Tasks[[#This Row],[Location]])</f>
        <v>#VALUE!</v>
      </c>
      <c r="H896" s="15" t="e">
        <f>Tasks[[#This Row],[To Package]]</f>
        <v>#VALUE!</v>
      </c>
      <c r="I896" s="15" t="e">
        <f>Tasks[[#This Row],[To Organisation]]</f>
        <v>#VALUE!</v>
      </c>
    </row>
    <row r="897" spans="1:9" ht="15.5" x14ac:dyDescent="0.35">
      <c r="A897" s="16" t="e">
        <f>HYPERLINK(_xlfn.CONCAT(Edit_URL,Tasks[[#This Row],[Ref]]),Tasks[[#This Row],[Ref]])</f>
        <v>#VALUE!</v>
      </c>
      <c r="B897" s="15" t="e" cm="1">
        <f t="array" ref="B897">_xlfn.SWITCH(LEFT(Tasks[[#This Row],[Status]],1),"O","Opened","C","Completed","S","Signed Off", "V", "Signed Off","ERROR")</f>
        <v>#VALUE!</v>
      </c>
      <c r="C897" s="15" t="e" cm="1">
        <f t="array" ref="C897">_xlfn.SWITCH(LEFT(Tasks[[#This Row],[Type]], 3), "Fie", "Field Report", "Con", "Contractor QC", "Gen", "Contractor QC", "Pun", "Contractor QC", "Qua", "Contractor QC", "Fin", "Punch List")</f>
        <v>#VALUE!</v>
      </c>
      <c r="D897" s="15" t="e">
        <f>_xlfn.LET(
_xlpm.leftValue, TRIM(LEFT(Tasks[[#This Row],[Description]], 45)),
IF(LEN(_xlpm.leftValue) &lt; 40, _xlpm.leftValue, _xlfn.CONCAT(_xlpm.leftValue, "…"))
)</f>
        <v>#VALUE!</v>
      </c>
      <c r="E897" s="15" t="e" cm="1">
        <f t="array" ref="E897">_xlfn.LET(
_xlpm.inTower, COUNTIF(Tower_Num_Table[Tower Rm Numbers], LEFT(Task_Summary_Table[[#This Row],[Area/Room]], 3)) &gt; 0,
_xlpm.typeResult, _xlfn.SWITCH(LEFT(Tasks[[#This Row],[Page]], 2), "Hi", "Historic", "An", "Annex", "Si", "Site", "S5", "Project Task", "SWITCH ERROR"),
IF(_xlpm.inTower, "West Tower", _xlpm.typeResult)
)</f>
        <v>#VALUE!</v>
      </c>
      <c r="F897" s="15" t="str">
        <f>IFERROR(MID(Tasks[[#This Row],[Page]], FIND("Level", Tasks[[#This Row],[Page]]), 7), IF(ISNUMBER(FIND("Roof", Tasks[[#This Row],[Page]])), "Roof",  IF(ISNUMBER(FIND("S590", Tasks[[#This Row],[Page]])), "",  IF(ISNUMBER(FIND("Site", Tasks[[#This Row],[Page]])), "", "ERROR"))))</f>
        <v>ERROR</v>
      </c>
      <c r="G897" s="15" t="e">
        <f>IF(Tasks[[#This Row],[Location]]=0, "", Tasks[[#This Row],[Location]])</f>
        <v>#VALUE!</v>
      </c>
      <c r="H897" s="15" t="e">
        <f>Tasks[[#This Row],[To Package]]</f>
        <v>#VALUE!</v>
      </c>
      <c r="I897" s="15" t="e">
        <f>Tasks[[#This Row],[To Organisation]]</f>
        <v>#VALUE!</v>
      </c>
    </row>
    <row r="898" spans="1:9" ht="15.5" x14ac:dyDescent="0.35">
      <c r="A898" s="16" t="e">
        <f>HYPERLINK(_xlfn.CONCAT(Edit_URL,Tasks[[#This Row],[Ref]]),Tasks[[#This Row],[Ref]])</f>
        <v>#VALUE!</v>
      </c>
      <c r="B898" s="15" t="e" cm="1">
        <f t="array" ref="B898">_xlfn.SWITCH(LEFT(Tasks[[#This Row],[Status]],1),"O","Opened","C","Completed","S","Signed Off", "V", "Signed Off","ERROR")</f>
        <v>#VALUE!</v>
      </c>
      <c r="C898" s="15" t="e" cm="1">
        <f t="array" ref="C898">_xlfn.SWITCH(LEFT(Tasks[[#This Row],[Type]], 3), "Fie", "Field Report", "Con", "Contractor QC", "Gen", "Contractor QC", "Pun", "Contractor QC", "Qua", "Contractor QC", "Fin", "Punch List")</f>
        <v>#VALUE!</v>
      </c>
      <c r="D898" s="15" t="e">
        <f>_xlfn.LET(
_xlpm.leftValue, TRIM(LEFT(Tasks[[#This Row],[Description]], 45)),
IF(LEN(_xlpm.leftValue) &lt; 40, _xlpm.leftValue, _xlfn.CONCAT(_xlpm.leftValue, "…"))
)</f>
        <v>#VALUE!</v>
      </c>
      <c r="E898" s="15" t="e" cm="1">
        <f t="array" ref="E898">_xlfn.LET(
_xlpm.inTower, COUNTIF(Tower_Num_Table[Tower Rm Numbers], LEFT(Task_Summary_Table[[#This Row],[Area/Room]], 3)) &gt; 0,
_xlpm.typeResult, _xlfn.SWITCH(LEFT(Tasks[[#This Row],[Page]], 2), "Hi", "Historic", "An", "Annex", "Si", "Site", "S5", "Project Task", "SWITCH ERROR"),
IF(_xlpm.inTower, "West Tower", _xlpm.typeResult)
)</f>
        <v>#VALUE!</v>
      </c>
      <c r="F898" s="15" t="str">
        <f>IFERROR(MID(Tasks[[#This Row],[Page]], FIND("Level", Tasks[[#This Row],[Page]]), 7), IF(ISNUMBER(FIND("Roof", Tasks[[#This Row],[Page]])), "Roof",  IF(ISNUMBER(FIND("S590", Tasks[[#This Row],[Page]])), "",  IF(ISNUMBER(FIND("Site", Tasks[[#This Row],[Page]])), "", "ERROR"))))</f>
        <v>ERROR</v>
      </c>
      <c r="G898" s="15" t="e">
        <f>IF(Tasks[[#This Row],[Location]]=0, "", Tasks[[#This Row],[Location]])</f>
        <v>#VALUE!</v>
      </c>
      <c r="H898" s="15" t="e">
        <f>Tasks[[#This Row],[To Package]]</f>
        <v>#VALUE!</v>
      </c>
      <c r="I898" s="15" t="e">
        <f>Tasks[[#This Row],[To Organisation]]</f>
        <v>#VALUE!</v>
      </c>
    </row>
    <row r="899" spans="1:9" ht="15.5" x14ac:dyDescent="0.35">
      <c r="A899" s="16" t="e">
        <f>HYPERLINK(_xlfn.CONCAT(Edit_URL,Tasks[[#This Row],[Ref]]),Tasks[[#This Row],[Ref]])</f>
        <v>#VALUE!</v>
      </c>
      <c r="B899" s="15" t="e" cm="1">
        <f t="array" ref="B899">_xlfn.SWITCH(LEFT(Tasks[[#This Row],[Status]],1),"O","Opened","C","Completed","S","Signed Off", "V", "Signed Off","ERROR")</f>
        <v>#VALUE!</v>
      </c>
      <c r="C899" s="15" t="e" cm="1">
        <f t="array" ref="C899">_xlfn.SWITCH(LEFT(Tasks[[#This Row],[Type]], 3), "Fie", "Field Report", "Con", "Contractor QC", "Gen", "Contractor QC", "Pun", "Contractor QC", "Qua", "Contractor QC", "Fin", "Punch List")</f>
        <v>#VALUE!</v>
      </c>
      <c r="D899" s="15" t="e">
        <f>_xlfn.LET(
_xlpm.leftValue, TRIM(LEFT(Tasks[[#This Row],[Description]], 45)),
IF(LEN(_xlpm.leftValue) &lt; 40, _xlpm.leftValue, _xlfn.CONCAT(_xlpm.leftValue, "…"))
)</f>
        <v>#VALUE!</v>
      </c>
      <c r="E899" s="15" t="e" cm="1">
        <f t="array" ref="E899">_xlfn.LET(
_xlpm.inTower, COUNTIF(Tower_Num_Table[Tower Rm Numbers], LEFT(Task_Summary_Table[[#This Row],[Area/Room]], 3)) &gt; 0,
_xlpm.typeResult, _xlfn.SWITCH(LEFT(Tasks[[#This Row],[Page]], 2), "Hi", "Historic", "An", "Annex", "Si", "Site", "S5", "Project Task", "SWITCH ERROR"),
IF(_xlpm.inTower, "West Tower", _xlpm.typeResult)
)</f>
        <v>#VALUE!</v>
      </c>
      <c r="F899" s="15" t="str">
        <f>IFERROR(MID(Tasks[[#This Row],[Page]], FIND("Level", Tasks[[#This Row],[Page]]), 7), IF(ISNUMBER(FIND("Roof", Tasks[[#This Row],[Page]])), "Roof",  IF(ISNUMBER(FIND("S590", Tasks[[#This Row],[Page]])), "",  IF(ISNUMBER(FIND("Site", Tasks[[#This Row],[Page]])), "", "ERROR"))))</f>
        <v>ERROR</v>
      </c>
      <c r="G899" s="15" t="e">
        <f>IF(Tasks[[#This Row],[Location]]=0, "", Tasks[[#This Row],[Location]])</f>
        <v>#VALUE!</v>
      </c>
      <c r="H899" s="15" t="e">
        <f>Tasks[[#This Row],[To Package]]</f>
        <v>#VALUE!</v>
      </c>
      <c r="I899" s="15" t="e">
        <f>Tasks[[#This Row],[To Organisation]]</f>
        <v>#VALUE!</v>
      </c>
    </row>
    <row r="900" spans="1:9" ht="15.5" x14ac:dyDescent="0.35">
      <c r="A900" s="16" t="e">
        <f>HYPERLINK(_xlfn.CONCAT(Edit_URL,Tasks[[#This Row],[Ref]]),Tasks[[#This Row],[Ref]])</f>
        <v>#VALUE!</v>
      </c>
      <c r="B900" s="15" t="e" cm="1">
        <f t="array" ref="B900">_xlfn.SWITCH(LEFT(Tasks[[#This Row],[Status]],1),"O","Opened","C","Completed","S","Signed Off", "V", "Signed Off","ERROR")</f>
        <v>#VALUE!</v>
      </c>
      <c r="C900" s="15" t="e" cm="1">
        <f t="array" ref="C900">_xlfn.SWITCH(LEFT(Tasks[[#This Row],[Type]], 3), "Fie", "Field Report", "Con", "Contractor QC", "Gen", "Contractor QC", "Pun", "Contractor QC", "Qua", "Contractor QC", "Fin", "Punch List")</f>
        <v>#VALUE!</v>
      </c>
      <c r="D900" s="15" t="e">
        <f>_xlfn.LET(
_xlpm.leftValue, TRIM(LEFT(Tasks[[#This Row],[Description]], 45)),
IF(LEN(_xlpm.leftValue) &lt; 40, _xlpm.leftValue, _xlfn.CONCAT(_xlpm.leftValue, "…"))
)</f>
        <v>#VALUE!</v>
      </c>
      <c r="E900" s="15" t="e" cm="1">
        <f t="array" ref="E900">_xlfn.LET(
_xlpm.inTower, COUNTIF(Tower_Num_Table[Tower Rm Numbers], LEFT(Task_Summary_Table[[#This Row],[Area/Room]], 3)) &gt; 0,
_xlpm.typeResult, _xlfn.SWITCH(LEFT(Tasks[[#This Row],[Page]], 2), "Hi", "Historic", "An", "Annex", "Si", "Site", "S5", "Project Task", "SWITCH ERROR"),
IF(_xlpm.inTower, "West Tower", _xlpm.typeResult)
)</f>
        <v>#VALUE!</v>
      </c>
      <c r="F900" s="15" t="str">
        <f>IFERROR(MID(Tasks[[#This Row],[Page]], FIND("Level", Tasks[[#This Row],[Page]]), 7), IF(ISNUMBER(FIND("Roof", Tasks[[#This Row],[Page]])), "Roof",  IF(ISNUMBER(FIND("S590", Tasks[[#This Row],[Page]])), "",  IF(ISNUMBER(FIND("Site", Tasks[[#This Row],[Page]])), "", "ERROR"))))</f>
        <v>ERROR</v>
      </c>
      <c r="G900" s="15" t="e">
        <f>IF(Tasks[[#This Row],[Location]]=0, "", Tasks[[#This Row],[Location]])</f>
        <v>#VALUE!</v>
      </c>
      <c r="H900" s="15" t="e">
        <f>Tasks[[#This Row],[To Package]]</f>
        <v>#VALUE!</v>
      </c>
      <c r="I900" s="15" t="e">
        <f>Tasks[[#This Row],[To Organisation]]</f>
        <v>#VALUE!</v>
      </c>
    </row>
    <row r="901" spans="1:9" ht="15.5" x14ac:dyDescent="0.35">
      <c r="A901" s="16" t="e">
        <f>HYPERLINK(_xlfn.CONCAT(Edit_URL,Tasks[[#This Row],[Ref]]),Tasks[[#This Row],[Ref]])</f>
        <v>#VALUE!</v>
      </c>
      <c r="B901" s="15" t="e" cm="1">
        <f t="array" ref="B901">_xlfn.SWITCH(LEFT(Tasks[[#This Row],[Status]],1),"O","Opened","C","Completed","S","Signed Off", "V", "Signed Off","ERROR")</f>
        <v>#VALUE!</v>
      </c>
      <c r="C901" s="15" t="e" cm="1">
        <f t="array" ref="C901">_xlfn.SWITCH(LEFT(Tasks[[#This Row],[Type]], 3), "Fie", "Field Report", "Con", "Contractor QC", "Gen", "Contractor QC", "Pun", "Contractor QC", "Qua", "Contractor QC", "Fin", "Punch List")</f>
        <v>#VALUE!</v>
      </c>
      <c r="D901" s="15" t="e">
        <f>_xlfn.LET(
_xlpm.leftValue, TRIM(LEFT(Tasks[[#This Row],[Description]], 45)),
IF(LEN(_xlpm.leftValue) &lt; 40, _xlpm.leftValue, _xlfn.CONCAT(_xlpm.leftValue, "…"))
)</f>
        <v>#VALUE!</v>
      </c>
      <c r="E901" s="15" t="e" cm="1">
        <f t="array" ref="E901">_xlfn.LET(
_xlpm.inTower, COUNTIF(Tower_Num_Table[Tower Rm Numbers], LEFT(Task_Summary_Table[[#This Row],[Area/Room]], 3)) &gt; 0,
_xlpm.typeResult, _xlfn.SWITCH(LEFT(Tasks[[#This Row],[Page]], 2), "Hi", "Historic", "An", "Annex", "Si", "Site", "S5", "Project Task", "SWITCH ERROR"),
IF(_xlpm.inTower, "West Tower", _xlpm.typeResult)
)</f>
        <v>#VALUE!</v>
      </c>
      <c r="F901" s="15" t="str">
        <f>IFERROR(MID(Tasks[[#This Row],[Page]], FIND("Level", Tasks[[#This Row],[Page]]), 7), IF(ISNUMBER(FIND("Roof", Tasks[[#This Row],[Page]])), "Roof",  IF(ISNUMBER(FIND("S590", Tasks[[#This Row],[Page]])), "",  IF(ISNUMBER(FIND("Site", Tasks[[#This Row],[Page]])), "", "ERROR"))))</f>
        <v>ERROR</v>
      </c>
      <c r="G901" s="15" t="e">
        <f>IF(Tasks[[#This Row],[Location]]=0, "", Tasks[[#This Row],[Location]])</f>
        <v>#VALUE!</v>
      </c>
      <c r="H901" s="15" t="e">
        <f>Tasks[[#This Row],[To Package]]</f>
        <v>#VALUE!</v>
      </c>
      <c r="I901" s="15" t="e">
        <f>Tasks[[#This Row],[To Organisation]]</f>
        <v>#VALUE!</v>
      </c>
    </row>
    <row r="902" spans="1:9" ht="15.5" x14ac:dyDescent="0.35">
      <c r="A902" s="16" t="e">
        <f>HYPERLINK(_xlfn.CONCAT(Edit_URL,Tasks[[#This Row],[Ref]]),Tasks[[#This Row],[Ref]])</f>
        <v>#VALUE!</v>
      </c>
      <c r="B902" s="15" t="e" cm="1">
        <f t="array" ref="B902">_xlfn.SWITCH(LEFT(Tasks[[#This Row],[Status]],1),"O","Opened","C","Completed","S","Signed Off", "V", "Signed Off","ERROR")</f>
        <v>#VALUE!</v>
      </c>
      <c r="C902" s="15" t="e" cm="1">
        <f t="array" ref="C902">_xlfn.SWITCH(LEFT(Tasks[[#This Row],[Type]], 3), "Fie", "Field Report", "Con", "Contractor QC", "Gen", "Contractor QC", "Pun", "Contractor QC", "Qua", "Contractor QC", "Fin", "Punch List")</f>
        <v>#VALUE!</v>
      </c>
      <c r="D902" s="15" t="e">
        <f>_xlfn.LET(
_xlpm.leftValue, TRIM(LEFT(Tasks[[#This Row],[Description]], 45)),
IF(LEN(_xlpm.leftValue) &lt; 40, _xlpm.leftValue, _xlfn.CONCAT(_xlpm.leftValue, "…"))
)</f>
        <v>#VALUE!</v>
      </c>
      <c r="E902" s="15" t="e" cm="1">
        <f t="array" ref="E902">_xlfn.LET(
_xlpm.inTower, COUNTIF(Tower_Num_Table[Tower Rm Numbers], LEFT(Task_Summary_Table[[#This Row],[Area/Room]], 3)) &gt; 0,
_xlpm.typeResult, _xlfn.SWITCH(LEFT(Tasks[[#This Row],[Page]], 2), "Hi", "Historic", "An", "Annex", "Si", "Site", "S5", "Project Task", "SWITCH ERROR"),
IF(_xlpm.inTower, "West Tower", _xlpm.typeResult)
)</f>
        <v>#VALUE!</v>
      </c>
      <c r="F902" s="15" t="str">
        <f>IFERROR(MID(Tasks[[#This Row],[Page]], FIND("Level", Tasks[[#This Row],[Page]]), 7), IF(ISNUMBER(FIND("Roof", Tasks[[#This Row],[Page]])), "Roof",  IF(ISNUMBER(FIND("S590", Tasks[[#This Row],[Page]])), "",  IF(ISNUMBER(FIND("Site", Tasks[[#This Row],[Page]])), "", "ERROR"))))</f>
        <v>ERROR</v>
      </c>
      <c r="G902" s="15" t="e">
        <f>IF(Tasks[[#This Row],[Location]]=0, "", Tasks[[#This Row],[Location]])</f>
        <v>#VALUE!</v>
      </c>
      <c r="H902" s="15" t="e">
        <f>Tasks[[#This Row],[To Package]]</f>
        <v>#VALUE!</v>
      </c>
      <c r="I902" s="15" t="e">
        <f>Tasks[[#This Row],[To Organisation]]</f>
        <v>#VALUE!</v>
      </c>
    </row>
    <row r="903" spans="1:9" ht="15.5" x14ac:dyDescent="0.35">
      <c r="A903" s="16" t="e">
        <f>HYPERLINK(_xlfn.CONCAT(Edit_URL,Tasks[[#This Row],[Ref]]),Tasks[[#This Row],[Ref]])</f>
        <v>#VALUE!</v>
      </c>
      <c r="B903" s="15" t="e" cm="1">
        <f t="array" ref="B903">_xlfn.SWITCH(LEFT(Tasks[[#This Row],[Status]],1),"O","Opened","C","Completed","S","Signed Off", "V", "Signed Off","ERROR")</f>
        <v>#VALUE!</v>
      </c>
      <c r="C903" s="15" t="e" cm="1">
        <f t="array" ref="C903">_xlfn.SWITCH(LEFT(Tasks[[#This Row],[Type]], 3), "Fie", "Field Report", "Con", "Contractor QC", "Gen", "Contractor QC", "Pun", "Contractor QC", "Qua", "Contractor QC", "Fin", "Punch List")</f>
        <v>#VALUE!</v>
      </c>
      <c r="D903" s="15" t="e">
        <f>_xlfn.LET(
_xlpm.leftValue, TRIM(LEFT(Tasks[[#This Row],[Description]], 45)),
IF(LEN(_xlpm.leftValue) &lt; 40, _xlpm.leftValue, _xlfn.CONCAT(_xlpm.leftValue, "…"))
)</f>
        <v>#VALUE!</v>
      </c>
      <c r="E903" s="15" t="e" cm="1">
        <f t="array" ref="E903">_xlfn.LET(
_xlpm.inTower, COUNTIF(Tower_Num_Table[Tower Rm Numbers], LEFT(Task_Summary_Table[[#This Row],[Area/Room]], 3)) &gt; 0,
_xlpm.typeResult, _xlfn.SWITCH(LEFT(Tasks[[#This Row],[Page]], 2), "Hi", "Historic", "An", "Annex", "Si", "Site", "S5", "Project Task", "SWITCH ERROR"),
IF(_xlpm.inTower, "West Tower", _xlpm.typeResult)
)</f>
        <v>#VALUE!</v>
      </c>
      <c r="F903" s="15" t="str">
        <f>IFERROR(MID(Tasks[[#This Row],[Page]], FIND("Level", Tasks[[#This Row],[Page]]), 7), IF(ISNUMBER(FIND("Roof", Tasks[[#This Row],[Page]])), "Roof",  IF(ISNUMBER(FIND("S590", Tasks[[#This Row],[Page]])), "",  IF(ISNUMBER(FIND("Site", Tasks[[#This Row],[Page]])), "", "ERROR"))))</f>
        <v>ERROR</v>
      </c>
      <c r="G903" s="15" t="e">
        <f>IF(Tasks[[#This Row],[Location]]=0, "", Tasks[[#This Row],[Location]])</f>
        <v>#VALUE!</v>
      </c>
      <c r="H903" s="15" t="e">
        <f>Tasks[[#This Row],[To Package]]</f>
        <v>#VALUE!</v>
      </c>
      <c r="I903" s="15" t="e">
        <f>Tasks[[#This Row],[To Organisation]]</f>
        <v>#VALUE!</v>
      </c>
    </row>
    <row r="904" spans="1:9" ht="15.5" x14ac:dyDescent="0.35">
      <c r="A904" s="16" t="e">
        <f>HYPERLINK(_xlfn.CONCAT(Edit_URL,Tasks[[#This Row],[Ref]]),Tasks[[#This Row],[Ref]])</f>
        <v>#VALUE!</v>
      </c>
      <c r="B904" s="15" t="e" cm="1">
        <f t="array" ref="B904">_xlfn.SWITCH(LEFT(Tasks[[#This Row],[Status]],1),"O","Opened","C","Completed","S","Signed Off", "V", "Signed Off","ERROR")</f>
        <v>#VALUE!</v>
      </c>
      <c r="C904" s="15" t="e" cm="1">
        <f t="array" ref="C904">_xlfn.SWITCH(LEFT(Tasks[[#This Row],[Type]], 3), "Fie", "Field Report", "Con", "Contractor QC", "Gen", "Contractor QC", "Pun", "Contractor QC", "Qua", "Contractor QC", "Fin", "Punch List")</f>
        <v>#VALUE!</v>
      </c>
      <c r="D904" s="15" t="e">
        <f>_xlfn.LET(
_xlpm.leftValue, TRIM(LEFT(Tasks[[#This Row],[Description]], 45)),
IF(LEN(_xlpm.leftValue) &lt; 40, _xlpm.leftValue, _xlfn.CONCAT(_xlpm.leftValue, "…"))
)</f>
        <v>#VALUE!</v>
      </c>
      <c r="E904" s="15" t="e" cm="1">
        <f t="array" ref="E904">_xlfn.LET(
_xlpm.inTower, COUNTIF(Tower_Num_Table[Tower Rm Numbers], LEFT(Task_Summary_Table[[#This Row],[Area/Room]], 3)) &gt; 0,
_xlpm.typeResult, _xlfn.SWITCH(LEFT(Tasks[[#This Row],[Page]], 2), "Hi", "Historic", "An", "Annex", "Si", "Site", "S5", "Project Task", "SWITCH ERROR"),
IF(_xlpm.inTower, "West Tower", _xlpm.typeResult)
)</f>
        <v>#VALUE!</v>
      </c>
      <c r="F904" s="15" t="str">
        <f>IFERROR(MID(Tasks[[#This Row],[Page]], FIND("Level", Tasks[[#This Row],[Page]]), 7), IF(ISNUMBER(FIND("Roof", Tasks[[#This Row],[Page]])), "Roof",  IF(ISNUMBER(FIND("S590", Tasks[[#This Row],[Page]])), "",  IF(ISNUMBER(FIND("Site", Tasks[[#This Row],[Page]])), "", "ERROR"))))</f>
        <v>ERROR</v>
      </c>
      <c r="G904" s="15" t="e">
        <f>IF(Tasks[[#This Row],[Location]]=0, "", Tasks[[#This Row],[Location]])</f>
        <v>#VALUE!</v>
      </c>
      <c r="H904" s="15" t="e">
        <f>Tasks[[#This Row],[To Package]]</f>
        <v>#VALUE!</v>
      </c>
      <c r="I904" s="15" t="e">
        <f>Tasks[[#This Row],[To Organisation]]</f>
        <v>#VALUE!</v>
      </c>
    </row>
    <row r="905" spans="1:9" ht="15.5" x14ac:dyDescent="0.35">
      <c r="A905" s="16" t="e">
        <f>HYPERLINK(_xlfn.CONCAT(Edit_URL,Tasks[[#This Row],[Ref]]),Tasks[[#This Row],[Ref]])</f>
        <v>#VALUE!</v>
      </c>
      <c r="B905" s="15" t="e" cm="1">
        <f t="array" ref="B905">_xlfn.SWITCH(LEFT(Tasks[[#This Row],[Status]],1),"O","Opened","C","Completed","S","Signed Off", "V", "Signed Off","ERROR")</f>
        <v>#VALUE!</v>
      </c>
      <c r="C905" s="15" t="e" cm="1">
        <f t="array" ref="C905">_xlfn.SWITCH(LEFT(Tasks[[#This Row],[Type]], 3), "Fie", "Field Report", "Con", "Contractor QC", "Gen", "Contractor QC", "Pun", "Contractor QC", "Qua", "Contractor QC", "Fin", "Punch List")</f>
        <v>#VALUE!</v>
      </c>
      <c r="D905" s="15" t="e">
        <f>_xlfn.LET(
_xlpm.leftValue, TRIM(LEFT(Tasks[[#This Row],[Description]], 45)),
IF(LEN(_xlpm.leftValue) &lt; 40, _xlpm.leftValue, _xlfn.CONCAT(_xlpm.leftValue, "…"))
)</f>
        <v>#VALUE!</v>
      </c>
      <c r="E905" s="15" t="e" cm="1">
        <f t="array" ref="E905">_xlfn.LET(
_xlpm.inTower, COUNTIF(Tower_Num_Table[Tower Rm Numbers], LEFT(Task_Summary_Table[[#This Row],[Area/Room]], 3)) &gt; 0,
_xlpm.typeResult, _xlfn.SWITCH(LEFT(Tasks[[#This Row],[Page]], 2), "Hi", "Historic", "An", "Annex", "Si", "Site", "S5", "Project Task", "SWITCH ERROR"),
IF(_xlpm.inTower, "West Tower", _xlpm.typeResult)
)</f>
        <v>#VALUE!</v>
      </c>
      <c r="F905" s="15" t="str">
        <f>IFERROR(MID(Tasks[[#This Row],[Page]], FIND("Level", Tasks[[#This Row],[Page]]), 7), IF(ISNUMBER(FIND("Roof", Tasks[[#This Row],[Page]])), "Roof",  IF(ISNUMBER(FIND("S590", Tasks[[#This Row],[Page]])), "",  IF(ISNUMBER(FIND("Site", Tasks[[#This Row],[Page]])), "", "ERROR"))))</f>
        <v>ERROR</v>
      </c>
      <c r="G905" s="15" t="e">
        <f>IF(Tasks[[#This Row],[Location]]=0, "", Tasks[[#This Row],[Location]])</f>
        <v>#VALUE!</v>
      </c>
      <c r="H905" s="15" t="e">
        <f>Tasks[[#This Row],[To Package]]</f>
        <v>#VALUE!</v>
      </c>
      <c r="I905" s="15" t="e">
        <f>Tasks[[#This Row],[To Organisation]]</f>
        <v>#VALUE!</v>
      </c>
    </row>
    <row r="906" spans="1:9" ht="15.5" x14ac:dyDescent="0.35">
      <c r="A906" s="16" t="e">
        <f>HYPERLINK(_xlfn.CONCAT(Edit_URL,Tasks[[#This Row],[Ref]]),Tasks[[#This Row],[Ref]])</f>
        <v>#VALUE!</v>
      </c>
      <c r="B906" s="15" t="e" cm="1">
        <f t="array" ref="B906">_xlfn.SWITCH(LEFT(Tasks[[#This Row],[Status]],1),"O","Opened","C","Completed","S","Signed Off", "V", "Signed Off","ERROR")</f>
        <v>#VALUE!</v>
      </c>
      <c r="C906" s="15" t="e" cm="1">
        <f t="array" ref="C906">_xlfn.SWITCH(LEFT(Tasks[[#This Row],[Type]], 3), "Fie", "Field Report", "Con", "Contractor QC", "Gen", "Contractor QC", "Pun", "Contractor QC", "Qua", "Contractor QC", "Fin", "Punch List")</f>
        <v>#VALUE!</v>
      </c>
      <c r="D906" s="15" t="e">
        <f>_xlfn.LET(
_xlpm.leftValue, TRIM(LEFT(Tasks[[#This Row],[Description]], 45)),
IF(LEN(_xlpm.leftValue) &lt; 40, _xlpm.leftValue, _xlfn.CONCAT(_xlpm.leftValue, "…"))
)</f>
        <v>#VALUE!</v>
      </c>
      <c r="E906" s="15" t="e" cm="1">
        <f t="array" ref="E906">_xlfn.LET(
_xlpm.inTower, COUNTIF(Tower_Num_Table[Tower Rm Numbers], LEFT(Task_Summary_Table[[#This Row],[Area/Room]], 3)) &gt; 0,
_xlpm.typeResult, _xlfn.SWITCH(LEFT(Tasks[[#This Row],[Page]], 2), "Hi", "Historic", "An", "Annex", "Si", "Site", "S5", "Project Task", "SWITCH ERROR"),
IF(_xlpm.inTower, "West Tower", _xlpm.typeResult)
)</f>
        <v>#VALUE!</v>
      </c>
      <c r="F906" s="15" t="str">
        <f>IFERROR(MID(Tasks[[#This Row],[Page]], FIND("Level", Tasks[[#This Row],[Page]]), 7), IF(ISNUMBER(FIND("Roof", Tasks[[#This Row],[Page]])), "Roof",  IF(ISNUMBER(FIND("S590", Tasks[[#This Row],[Page]])), "",  IF(ISNUMBER(FIND("Site", Tasks[[#This Row],[Page]])), "", "ERROR"))))</f>
        <v>ERROR</v>
      </c>
      <c r="G906" s="15" t="e">
        <f>IF(Tasks[[#This Row],[Location]]=0, "", Tasks[[#This Row],[Location]])</f>
        <v>#VALUE!</v>
      </c>
      <c r="H906" s="15" t="e">
        <f>Tasks[[#This Row],[To Package]]</f>
        <v>#VALUE!</v>
      </c>
      <c r="I906" s="15" t="e">
        <f>Tasks[[#This Row],[To Organisation]]</f>
        <v>#VALUE!</v>
      </c>
    </row>
    <row r="907" spans="1:9" ht="15.5" x14ac:dyDescent="0.35">
      <c r="A907" s="16" t="e">
        <f>HYPERLINK(_xlfn.CONCAT(Edit_URL,Tasks[[#This Row],[Ref]]),Tasks[[#This Row],[Ref]])</f>
        <v>#VALUE!</v>
      </c>
      <c r="B907" s="15" t="e" cm="1">
        <f t="array" ref="B907">_xlfn.SWITCH(LEFT(Tasks[[#This Row],[Status]],1),"O","Opened","C","Completed","S","Signed Off", "V", "Signed Off","ERROR")</f>
        <v>#VALUE!</v>
      </c>
      <c r="C907" s="15" t="e" cm="1">
        <f t="array" ref="C907">_xlfn.SWITCH(LEFT(Tasks[[#This Row],[Type]], 3), "Fie", "Field Report", "Con", "Contractor QC", "Gen", "Contractor QC", "Pun", "Contractor QC", "Qua", "Contractor QC", "Fin", "Punch List")</f>
        <v>#VALUE!</v>
      </c>
      <c r="D907" s="15" t="e">
        <f>_xlfn.LET(
_xlpm.leftValue, TRIM(LEFT(Tasks[[#This Row],[Description]], 45)),
IF(LEN(_xlpm.leftValue) &lt; 40, _xlpm.leftValue, _xlfn.CONCAT(_xlpm.leftValue, "…"))
)</f>
        <v>#VALUE!</v>
      </c>
      <c r="E907" s="15" t="e" cm="1">
        <f t="array" ref="E907">_xlfn.LET(
_xlpm.inTower, COUNTIF(Tower_Num_Table[Tower Rm Numbers], LEFT(Task_Summary_Table[[#This Row],[Area/Room]], 3)) &gt; 0,
_xlpm.typeResult, _xlfn.SWITCH(LEFT(Tasks[[#This Row],[Page]], 2), "Hi", "Historic", "An", "Annex", "Si", "Site", "S5", "Project Task", "SWITCH ERROR"),
IF(_xlpm.inTower, "West Tower", _xlpm.typeResult)
)</f>
        <v>#VALUE!</v>
      </c>
      <c r="F907" s="15" t="str">
        <f>IFERROR(MID(Tasks[[#This Row],[Page]], FIND("Level", Tasks[[#This Row],[Page]]), 7), IF(ISNUMBER(FIND("Roof", Tasks[[#This Row],[Page]])), "Roof",  IF(ISNUMBER(FIND("S590", Tasks[[#This Row],[Page]])), "",  IF(ISNUMBER(FIND("Site", Tasks[[#This Row],[Page]])), "", "ERROR"))))</f>
        <v>ERROR</v>
      </c>
      <c r="G907" s="15" t="e">
        <f>IF(Tasks[[#This Row],[Location]]=0, "", Tasks[[#This Row],[Location]])</f>
        <v>#VALUE!</v>
      </c>
      <c r="H907" s="15" t="e">
        <f>Tasks[[#This Row],[To Package]]</f>
        <v>#VALUE!</v>
      </c>
      <c r="I907" s="15" t="e">
        <f>Tasks[[#This Row],[To Organisation]]</f>
        <v>#VALUE!</v>
      </c>
    </row>
    <row r="908" spans="1:9" ht="15.5" x14ac:dyDescent="0.35">
      <c r="A908" s="16" t="e">
        <f>HYPERLINK(_xlfn.CONCAT(Edit_URL,Tasks[[#This Row],[Ref]]),Tasks[[#This Row],[Ref]])</f>
        <v>#VALUE!</v>
      </c>
      <c r="B908" s="15" t="e" cm="1">
        <f t="array" ref="B908">_xlfn.SWITCH(LEFT(Tasks[[#This Row],[Status]],1),"O","Opened","C","Completed","S","Signed Off", "V", "Signed Off","ERROR")</f>
        <v>#VALUE!</v>
      </c>
      <c r="C908" s="15" t="e" cm="1">
        <f t="array" ref="C908">_xlfn.SWITCH(LEFT(Tasks[[#This Row],[Type]], 3), "Fie", "Field Report", "Con", "Contractor QC", "Gen", "Contractor QC", "Pun", "Contractor QC", "Qua", "Contractor QC", "Fin", "Punch List")</f>
        <v>#VALUE!</v>
      </c>
      <c r="D908" s="15" t="e">
        <f>_xlfn.LET(
_xlpm.leftValue, TRIM(LEFT(Tasks[[#This Row],[Description]], 45)),
IF(LEN(_xlpm.leftValue) &lt; 40, _xlpm.leftValue, _xlfn.CONCAT(_xlpm.leftValue, "…"))
)</f>
        <v>#VALUE!</v>
      </c>
      <c r="E908" s="15" t="e" cm="1">
        <f t="array" ref="E908">_xlfn.LET(
_xlpm.inTower, COUNTIF(Tower_Num_Table[Tower Rm Numbers], LEFT(Task_Summary_Table[[#This Row],[Area/Room]], 3)) &gt; 0,
_xlpm.typeResult, _xlfn.SWITCH(LEFT(Tasks[[#This Row],[Page]], 2), "Hi", "Historic", "An", "Annex", "Si", "Site", "S5", "Project Task", "SWITCH ERROR"),
IF(_xlpm.inTower, "West Tower", _xlpm.typeResult)
)</f>
        <v>#VALUE!</v>
      </c>
      <c r="F908" s="15" t="str">
        <f>IFERROR(MID(Tasks[[#This Row],[Page]], FIND("Level", Tasks[[#This Row],[Page]]), 7), IF(ISNUMBER(FIND("Roof", Tasks[[#This Row],[Page]])), "Roof",  IF(ISNUMBER(FIND("S590", Tasks[[#This Row],[Page]])), "",  IF(ISNUMBER(FIND("Site", Tasks[[#This Row],[Page]])), "", "ERROR"))))</f>
        <v>ERROR</v>
      </c>
      <c r="G908" s="15" t="e">
        <f>IF(Tasks[[#This Row],[Location]]=0, "", Tasks[[#This Row],[Location]])</f>
        <v>#VALUE!</v>
      </c>
      <c r="H908" s="15" t="e">
        <f>Tasks[[#This Row],[To Package]]</f>
        <v>#VALUE!</v>
      </c>
      <c r="I908" s="15" t="e">
        <f>Tasks[[#This Row],[To Organisation]]</f>
        <v>#VALUE!</v>
      </c>
    </row>
    <row r="909" spans="1:9" ht="15.5" x14ac:dyDescent="0.35">
      <c r="A909" s="16" t="e">
        <f>HYPERLINK(_xlfn.CONCAT(Edit_URL,Tasks[[#This Row],[Ref]]),Tasks[[#This Row],[Ref]])</f>
        <v>#VALUE!</v>
      </c>
      <c r="B909" s="15" t="e" cm="1">
        <f t="array" ref="B909">_xlfn.SWITCH(LEFT(Tasks[[#This Row],[Status]],1),"O","Opened","C","Completed","S","Signed Off", "V", "Signed Off","ERROR")</f>
        <v>#VALUE!</v>
      </c>
      <c r="C909" s="15" t="e" cm="1">
        <f t="array" ref="C909">_xlfn.SWITCH(LEFT(Tasks[[#This Row],[Type]], 3), "Fie", "Field Report", "Con", "Contractor QC", "Gen", "Contractor QC", "Pun", "Contractor QC", "Qua", "Contractor QC", "Fin", "Punch List")</f>
        <v>#VALUE!</v>
      </c>
      <c r="D909" s="15" t="e">
        <f>_xlfn.LET(
_xlpm.leftValue, TRIM(LEFT(Tasks[[#This Row],[Description]], 45)),
IF(LEN(_xlpm.leftValue) &lt; 40, _xlpm.leftValue, _xlfn.CONCAT(_xlpm.leftValue, "…"))
)</f>
        <v>#VALUE!</v>
      </c>
      <c r="E909" s="15" t="e" cm="1">
        <f t="array" ref="E909">_xlfn.LET(
_xlpm.inTower, COUNTIF(Tower_Num_Table[Tower Rm Numbers], LEFT(Task_Summary_Table[[#This Row],[Area/Room]], 3)) &gt; 0,
_xlpm.typeResult, _xlfn.SWITCH(LEFT(Tasks[[#This Row],[Page]], 2), "Hi", "Historic", "An", "Annex", "Si", "Site", "S5", "Project Task", "SWITCH ERROR"),
IF(_xlpm.inTower, "West Tower", _xlpm.typeResult)
)</f>
        <v>#VALUE!</v>
      </c>
      <c r="F909" s="15" t="str">
        <f>IFERROR(MID(Tasks[[#This Row],[Page]], FIND("Level", Tasks[[#This Row],[Page]]), 7), IF(ISNUMBER(FIND("Roof", Tasks[[#This Row],[Page]])), "Roof",  IF(ISNUMBER(FIND("S590", Tasks[[#This Row],[Page]])), "",  IF(ISNUMBER(FIND("Site", Tasks[[#This Row],[Page]])), "", "ERROR"))))</f>
        <v>ERROR</v>
      </c>
      <c r="G909" s="15" t="e">
        <f>IF(Tasks[[#This Row],[Location]]=0, "", Tasks[[#This Row],[Location]])</f>
        <v>#VALUE!</v>
      </c>
      <c r="H909" s="15" t="e">
        <f>Tasks[[#This Row],[To Package]]</f>
        <v>#VALUE!</v>
      </c>
      <c r="I909" s="15" t="e">
        <f>Tasks[[#This Row],[To Organisation]]</f>
        <v>#VALUE!</v>
      </c>
    </row>
    <row r="910" spans="1:9" ht="15.5" x14ac:dyDescent="0.35">
      <c r="A910" s="16" t="e">
        <f>HYPERLINK(_xlfn.CONCAT(Edit_URL,Tasks[[#This Row],[Ref]]),Tasks[[#This Row],[Ref]])</f>
        <v>#VALUE!</v>
      </c>
      <c r="B910" s="15" t="e" cm="1">
        <f t="array" ref="B910">_xlfn.SWITCH(LEFT(Tasks[[#This Row],[Status]],1),"O","Opened","C","Completed","S","Signed Off", "V", "Signed Off","ERROR")</f>
        <v>#VALUE!</v>
      </c>
      <c r="C910" s="15" t="e" cm="1">
        <f t="array" ref="C910">_xlfn.SWITCH(LEFT(Tasks[[#This Row],[Type]], 3), "Fie", "Field Report", "Con", "Contractor QC", "Gen", "Contractor QC", "Pun", "Contractor QC", "Qua", "Contractor QC", "Fin", "Punch List")</f>
        <v>#VALUE!</v>
      </c>
      <c r="D910" s="15" t="e">
        <f>_xlfn.LET(
_xlpm.leftValue, TRIM(LEFT(Tasks[[#This Row],[Description]], 45)),
IF(LEN(_xlpm.leftValue) &lt; 40, _xlpm.leftValue, _xlfn.CONCAT(_xlpm.leftValue, "…"))
)</f>
        <v>#VALUE!</v>
      </c>
      <c r="E910" s="15" t="e" cm="1">
        <f t="array" ref="E910">_xlfn.LET(
_xlpm.inTower, COUNTIF(Tower_Num_Table[Tower Rm Numbers], LEFT(Task_Summary_Table[[#This Row],[Area/Room]], 3)) &gt; 0,
_xlpm.typeResult, _xlfn.SWITCH(LEFT(Tasks[[#This Row],[Page]], 2), "Hi", "Historic", "An", "Annex", "Si", "Site", "S5", "Project Task", "SWITCH ERROR"),
IF(_xlpm.inTower, "West Tower", _xlpm.typeResult)
)</f>
        <v>#VALUE!</v>
      </c>
      <c r="F910" s="15" t="str">
        <f>IFERROR(MID(Tasks[[#This Row],[Page]], FIND("Level", Tasks[[#This Row],[Page]]), 7), IF(ISNUMBER(FIND("Roof", Tasks[[#This Row],[Page]])), "Roof",  IF(ISNUMBER(FIND("S590", Tasks[[#This Row],[Page]])), "",  IF(ISNUMBER(FIND("Site", Tasks[[#This Row],[Page]])), "", "ERROR"))))</f>
        <v>ERROR</v>
      </c>
      <c r="G910" s="15" t="e">
        <f>IF(Tasks[[#This Row],[Location]]=0, "", Tasks[[#This Row],[Location]])</f>
        <v>#VALUE!</v>
      </c>
      <c r="H910" s="15" t="e">
        <f>Tasks[[#This Row],[To Package]]</f>
        <v>#VALUE!</v>
      </c>
      <c r="I910" s="15" t="e">
        <f>Tasks[[#This Row],[To Organisation]]</f>
        <v>#VALUE!</v>
      </c>
    </row>
    <row r="911" spans="1:9" ht="15.5" x14ac:dyDescent="0.35">
      <c r="A911" s="16" t="e">
        <f>HYPERLINK(_xlfn.CONCAT(Edit_URL,Tasks[[#This Row],[Ref]]),Tasks[[#This Row],[Ref]])</f>
        <v>#VALUE!</v>
      </c>
      <c r="B911" s="15" t="e" cm="1">
        <f t="array" ref="B911">_xlfn.SWITCH(LEFT(Tasks[[#This Row],[Status]],1),"O","Opened","C","Completed","S","Signed Off", "V", "Signed Off","ERROR")</f>
        <v>#VALUE!</v>
      </c>
      <c r="C911" s="15" t="e" cm="1">
        <f t="array" ref="C911">_xlfn.SWITCH(LEFT(Tasks[[#This Row],[Type]], 3), "Fie", "Field Report", "Con", "Contractor QC", "Gen", "Contractor QC", "Pun", "Contractor QC", "Qua", "Contractor QC", "Fin", "Punch List")</f>
        <v>#VALUE!</v>
      </c>
      <c r="D911" s="15" t="e">
        <f>_xlfn.LET(
_xlpm.leftValue, TRIM(LEFT(Tasks[[#This Row],[Description]], 45)),
IF(LEN(_xlpm.leftValue) &lt; 40, _xlpm.leftValue, _xlfn.CONCAT(_xlpm.leftValue, "…"))
)</f>
        <v>#VALUE!</v>
      </c>
      <c r="E911" s="15" t="e" cm="1">
        <f t="array" ref="E911">_xlfn.LET(
_xlpm.inTower, COUNTIF(Tower_Num_Table[Tower Rm Numbers], LEFT(Task_Summary_Table[[#This Row],[Area/Room]], 3)) &gt; 0,
_xlpm.typeResult, _xlfn.SWITCH(LEFT(Tasks[[#This Row],[Page]], 2), "Hi", "Historic", "An", "Annex", "Si", "Site", "S5", "Project Task", "SWITCH ERROR"),
IF(_xlpm.inTower, "West Tower", _xlpm.typeResult)
)</f>
        <v>#VALUE!</v>
      </c>
      <c r="F911" s="15" t="str">
        <f>IFERROR(MID(Tasks[[#This Row],[Page]], FIND("Level", Tasks[[#This Row],[Page]]), 7), IF(ISNUMBER(FIND("Roof", Tasks[[#This Row],[Page]])), "Roof",  IF(ISNUMBER(FIND("S590", Tasks[[#This Row],[Page]])), "",  IF(ISNUMBER(FIND("Site", Tasks[[#This Row],[Page]])), "", "ERROR"))))</f>
        <v>ERROR</v>
      </c>
      <c r="G911" s="15" t="e">
        <f>IF(Tasks[[#This Row],[Location]]=0, "", Tasks[[#This Row],[Location]])</f>
        <v>#VALUE!</v>
      </c>
      <c r="H911" s="15" t="e">
        <f>Tasks[[#This Row],[To Package]]</f>
        <v>#VALUE!</v>
      </c>
      <c r="I911" s="15" t="e">
        <f>Tasks[[#This Row],[To Organisation]]</f>
        <v>#VALUE!</v>
      </c>
    </row>
    <row r="912" spans="1:9" ht="15.5" x14ac:dyDescent="0.35">
      <c r="A912" s="16" t="e">
        <f>HYPERLINK(_xlfn.CONCAT(Edit_URL,Tasks[[#This Row],[Ref]]),Tasks[[#This Row],[Ref]])</f>
        <v>#VALUE!</v>
      </c>
      <c r="B912" s="15" t="e" cm="1">
        <f t="array" ref="B912">_xlfn.SWITCH(LEFT(Tasks[[#This Row],[Status]],1),"O","Opened","C","Completed","S","Signed Off", "V", "Signed Off","ERROR")</f>
        <v>#VALUE!</v>
      </c>
      <c r="C912" s="15" t="e" cm="1">
        <f t="array" ref="C912">_xlfn.SWITCH(LEFT(Tasks[[#This Row],[Type]], 3), "Fie", "Field Report", "Con", "Contractor QC", "Gen", "Contractor QC", "Pun", "Contractor QC", "Qua", "Contractor QC", "Fin", "Punch List")</f>
        <v>#VALUE!</v>
      </c>
      <c r="D912" s="15" t="e">
        <f>_xlfn.LET(
_xlpm.leftValue, TRIM(LEFT(Tasks[[#This Row],[Description]], 45)),
IF(LEN(_xlpm.leftValue) &lt; 40, _xlpm.leftValue, _xlfn.CONCAT(_xlpm.leftValue, "…"))
)</f>
        <v>#VALUE!</v>
      </c>
      <c r="E912" s="15" t="e" cm="1">
        <f t="array" ref="E912">_xlfn.LET(
_xlpm.inTower, COUNTIF(Tower_Num_Table[Tower Rm Numbers], LEFT(Task_Summary_Table[[#This Row],[Area/Room]], 3)) &gt; 0,
_xlpm.typeResult, _xlfn.SWITCH(LEFT(Tasks[[#This Row],[Page]], 2), "Hi", "Historic", "An", "Annex", "Si", "Site", "S5", "Project Task", "SWITCH ERROR"),
IF(_xlpm.inTower, "West Tower", _xlpm.typeResult)
)</f>
        <v>#VALUE!</v>
      </c>
      <c r="F912" s="15" t="str">
        <f>IFERROR(MID(Tasks[[#This Row],[Page]], FIND("Level", Tasks[[#This Row],[Page]]), 7), IF(ISNUMBER(FIND("Roof", Tasks[[#This Row],[Page]])), "Roof",  IF(ISNUMBER(FIND("S590", Tasks[[#This Row],[Page]])), "",  IF(ISNUMBER(FIND("Site", Tasks[[#This Row],[Page]])), "", "ERROR"))))</f>
        <v>ERROR</v>
      </c>
      <c r="G912" s="15" t="e">
        <f>IF(Tasks[[#This Row],[Location]]=0, "", Tasks[[#This Row],[Location]])</f>
        <v>#VALUE!</v>
      </c>
      <c r="H912" s="15" t="e">
        <f>Tasks[[#This Row],[To Package]]</f>
        <v>#VALUE!</v>
      </c>
      <c r="I912" s="15" t="e">
        <f>Tasks[[#This Row],[To Organisation]]</f>
        <v>#VALUE!</v>
      </c>
    </row>
    <row r="913" spans="1:9" ht="15.5" x14ac:dyDescent="0.35">
      <c r="A913" s="16" t="e">
        <f>HYPERLINK(_xlfn.CONCAT(Edit_URL,Tasks[[#This Row],[Ref]]),Tasks[[#This Row],[Ref]])</f>
        <v>#VALUE!</v>
      </c>
      <c r="B913" s="15" t="e" cm="1">
        <f t="array" ref="B913">_xlfn.SWITCH(LEFT(Tasks[[#This Row],[Status]],1),"O","Opened","C","Completed","S","Signed Off", "V", "Signed Off","ERROR")</f>
        <v>#VALUE!</v>
      </c>
      <c r="C913" s="15" t="e" cm="1">
        <f t="array" ref="C913">_xlfn.SWITCH(LEFT(Tasks[[#This Row],[Type]], 3), "Fie", "Field Report", "Con", "Contractor QC", "Gen", "Contractor QC", "Pun", "Contractor QC", "Qua", "Contractor QC", "Fin", "Punch List")</f>
        <v>#VALUE!</v>
      </c>
      <c r="D913" s="15" t="e">
        <f>_xlfn.LET(
_xlpm.leftValue, TRIM(LEFT(Tasks[[#This Row],[Description]], 45)),
IF(LEN(_xlpm.leftValue) &lt; 40, _xlpm.leftValue, _xlfn.CONCAT(_xlpm.leftValue, "…"))
)</f>
        <v>#VALUE!</v>
      </c>
      <c r="E913" s="15" t="e" cm="1">
        <f t="array" ref="E913">_xlfn.LET(
_xlpm.inTower, COUNTIF(Tower_Num_Table[Tower Rm Numbers], LEFT(Task_Summary_Table[[#This Row],[Area/Room]], 3)) &gt; 0,
_xlpm.typeResult, _xlfn.SWITCH(LEFT(Tasks[[#This Row],[Page]], 2), "Hi", "Historic", "An", "Annex", "Si", "Site", "S5", "Project Task", "SWITCH ERROR"),
IF(_xlpm.inTower, "West Tower", _xlpm.typeResult)
)</f>
        <v>#VALUE!</v>
      </c>
      <c r="F913" s="15" t="str">
        <f>IFERROR(MID(Tasks[[#This Row],[Page]], FIND("Level", Tasks[[#This Row],[Page]]), 7), IF(ISNUMBER(FIND("Roof", Tasks[[#This Row],[Page]])), "Roof",  IF(ISNUMBER(FIND("S590", Tasks[[#This Row],[Page]])), "",  IF(ISNUMBER(FIND("Site", Tasks[[#This Row],[Page]])), "", "ERROR"))))</f>
        <v>ERROR</v>
      </c>
      <c r="G913" s="15" t="e">
        <f>IF(Tasks[[#This Row],[Location]]=0, "", Tasks[[#This Row],[Location]])</f>
        <v>#VALUE!</v>
      </c>
      <c r="H913" s="15" t="e">
        <f>Tasks[[#This Row],[To Package]]</f>
        <v>#VALUE!</v>
      </c>
      <c r="I913" s="15" t="e">
        <f>Tasks[[#This Row],[To Organisation]]</f>
        <v>#VALUE!</v>
      </c>
    </row>
    <row r="914" spans="1:9" ht="15.5" x14ac:dyDescent="0.35">
      <c r="A914" s="16" t="e">
        <f>HYPERLINK(_xlfn.CONCAT(Edit_URL,Tasks[[#This Row],[Ref]]),Tasks[[#This Row],[Ref]])</f>
        <v>#VALUE!</v>
      </c>
      <c r="B914" s="15" t="e" cm="1">
        <f t="array" ref="B914">_xlfn.SWITCH(LEFT(Tasks[[#This Row],[Status]],1),"O","Opened","C","Completed","S","Signed Off", "V", "Signed Off","ERROR")</f>
        <v>#VALUE!</v>
      </c>
      <c r="C914" s="15" t="e" cm="1">
        <f t="array" ref="C914">_xlfn.SWITCH(LEFT(Tasks[[#This Row],[Type]], 3), "Fie", "Field Report", "Con", "Contractor QC", "Gen", "Contractor QC", "Pun", "Contractor QC", "Qua", "Contractor QC", "Fin", "Punch List")</f>
        <v>#VALUE!</v>
      </c>
      <c r="D914" s="15" t="e">
        <f>_xlfn.LET(
_xlpm.leftValue, TRIM(LEFT(Tasks[[#This Row],[Description]], 45)),
IF(LEN(_xlpm.leftValue) &lt; 40, _xlpm.leftValue, _xlfn.CONCAT(_xlpm.leftValue, "…"))
)</f>
        <v>#VALUE!</v>
      </c>
      <c r="E914" s="15" t="e" cm="1">
        <f t="array" ref="E914">_xlfn.LET(
_xlpm.inTower, COUNTIF(Tower_Num_Table[Tower Rm Numbers], LEFT(Task_Summary_Table[[#This Row],[Area/Room]], 3)) &gt; 0,
_xlpm.typeResult, _xlfn.SWITCH(LEFT(Tasks[[#This Row],[Page]], 2), "Hi", "Historic", "An", "Annex", "Si", "Site", "S5", "Project Task", "SWITCH ERROR"),
IF(_xlpm.inTower, "West Tower", _xlpm.typeResult)
)</f>
        <v>#VALUE!</v>
      </c>
      <c r="F914" s="15" t="str">
        <f>IFERROR(MID(Tasks[[#This Row],[Page]], FIND("Level", Tasks[[#This Row],[Page]]), 7), IF(ISNUMBER(FIND("Roof", Tasks[[#This Row],[Page]])), "Roof",  IF(ISNUMBER(FIND("S590", Tasks[[#This Row],[Page]])), "",  IF(ISNUMBER(FIND("Site", Tasks[[#This Row],[Page]])), "", "ERROR"))))</f>
        <v>ERROR</v>
      </c>
      <c r="G914" s="15" t="e">
        <f>IF(Tasks[[#This Row],[Location]]=0, "", Tasks[[#This Row],[Location]])</f>
        <v>#VALUE!</v>
      </c>
      <c r="H914" s="15" t="e">
        <f>Tasks[[#This Row],[To Package]]</f>
        <v>#VALUE!</v>
      </c>
      <c r="I914" s="15" t="e">
        <f>Tasks[[#This Row],[To Organisation]]</f>
        <v>#VALUE!</v>
      </c>
    </row>
    <row r="915" spans="1:9" ht="15.5" x14ac:dyDescent="0.35">
      <c r="A915" s="16" t="e">
        <f>HYPERLINK(_xlfn.CONCAT(Edit_URL,Tasks[[#This Row],[Ref]]),Tasks[[#This Row],[Ref]])</f>
        <v>#VALUE!</v>
      </c>
      <c r="B915" s="15" t="e" cm="1">
        <f t="array" ref="B915">_xlfn.SWITCH(LEFT(Tasks[[#This Row],[Status]],1),"O","Opened","C","Completed","S","Signed Off", "V", "Signed Off","ERROR")</f>
        <v>#VALUE!</v>
      </c>
      <c r="C915" s="15" t="e" cm="1">
        <f t="array" ref="C915">_xlfn.SWITCH(LEFT(Tasks[[#This Row],[Type]], 3), "Fie", "Field Report", "Con", "Contractor QC", "Gen", "Contractor QC", "Pun", "Contractor QC", "Qua", "Contractor QC", "Fin", "Punch List")</f>
        <v>#VALUE!</v>
      </c>
      <c r="D915" s="15" t="e">
        <f>_xlfn.LET(
_xlpm.leftValue, TRIM(LEFT(Tasks[[#This Row],[Description]], 45)),
IF(LEN(_xlpm.leftValue) &lt; 40, _xlpm.leftValue, _xlfn.CONCAT(_xlpm.leftValue, "…"))
)</f>
        <v>#VALUE!</v>
      </c>
      <c r="E915" s="15" t="e" cm="1">
        <f t="array" ref="E915">_xlfn.LET(
_xlpm.inTower, COUNTIF(Tower_Num_Table[Tower Rm Numbers], LEFT(Task_Summary_Table[[#This Row],[Area/Room]], 3)) &gt; 0,
_xlpm.typeResult, _xlfn.SWITCH(LEFT(Tasks[[#This Row],[Page]], 2), "Hi", "Historic", "An", "Annex", "Si", "Site", "S5", "Project Task", "SWITCH ERROR"),
IF(_xlpm.inTower, "West Tower", _xlpm.typeResult)
)</f>
        <v>#VALUE!</v>
      </c>
      <c r="F915" s="15" t="str">
        <f>IFERROR(MID(Tasks[[#This Row],[Page]], FIND("Level", Tasks[[#This Row],[Page]]), 7), IF(ISNUMBER(FIND("Roof", Tasks[[#This Row],[Page]])), "Roof",  IF(ISNUMBER(FIND("S590", Tasks[[#This Row],[Page]])), "",  IF(ISNUMBER(FIND("Site", Tasks[[#This Row],[Page]])), "", "ERROR"))))</f>
        <v>ERROR</v>
      </c>
      <c r="G915" s="15" t="e">
        <f>IF(Tasks[[#This Row],[Location]]=0, "", Tasks[[#This Row],[Location]])</f>
        <v>#VALUE!</v>
      </c>
      <c r="H915" s="15" t="e">
        <f>Tasks[[#This Row],[To Package]]</f>
        <v>#VALUE!</v>
      </c>
      <c r="I915" s="15" t="e">
        <f>Tasks[[#This Row],[To Organisation]]</f>
        <v>#VALUE!</v>
      </c>
    </row>
    <row r="916" spans="1:9" ht="15.5" x14ac:dyDescent="0.35">
      <c r="A916" s="16" t="e">
        <f>HYPERLINK(_xlfn.CONCAT(Edit_URL,Tasks[[#This Row],[Ref]]),Tasks[[#This Row],[Ref]])</f>
        <v>#VALUE!</v>
      </c>
      <c r="B916" s="15" t="e" cm="1">
        <f t="array" ref="B916">_xlfn.SWITCH(LEFT(Tasks[[#This Row],[Status]],1),"O","Opened","C","Completed","S","Signed Off", "V", "Signed Off","ERROR")</f>
        <v>#VALUE!</v>
      </c>
      <c r="C916" s="15" t="e" cm="1">
        <f t="array" ref="C916">_xlfn.SWITCH(LEFT(Tasks[[#This Row],[Type]], 3), "Fie", "Field Report", "Con", "Contractor QC", "Gen", "Contractor QC", "Pun", "Contractor QC", "Qua", "Contractor QC", "Fin", "Punch List")</f>
        <v>#VALUE!</v>
      </c>
      <c r="D916" s="15" t="e">
        <f>_xlfn.LET(
_xlpm.leftValue, TRIM(LEFT(Tasks[[#This Row],[Description]], 45)),
IF(LEN(_xlpm.leftValue) &lt; 40, _xlpm.leftValue, _xlfn.CONCAT(_xlpm.leftValue, "…"))
)</f>
        <v>#VALUE!</v>
      </c>
      <c r="E916" s="15" t="e" cm="1">
        <f t="array" ref="E916">_xlfn.LET(
_xlpm.inTower, COUNTIF(Tower_Num_Table[Tower Rm Numbers], LEFT(Task_Summary_Table[[#This Row],[Area/Room]], 3)) &gt; 0,
_xlpm.typeResult, _xlfn.SWITCH(LEFT(Tasks[[#This Row],[Page]], 2), "Hi", "Historic", "An", "Annex", "Si", "Site", "S5", "Project Task", "SWITCH ERROR"),
IF(_xlpm.inTower, "West Tower", _xlpm.typeResult)
)</f>
        <v>#VALUE!</v>
      </c>
      <c r="F916" s="15" t="str">
        <f>IFERROR(MID(Tasks[[#This Row],[Page]], FIND("Level", Tasks[[#This Row],[Page]]), 7), IF(ISNUMBER(FIND("Roof", Tasks[[#This Row],[Page]])), "Roof",  IF(ISNUMBER(FIND("S590", Tasks[[#This Row],[Page]])), "",  IF(ISNUMBER(FIND("Site", Tasks[[#This Row],[Page]])), "", "ERROR"))))</f>
        <v>ERROR</v>
      </c>
      <c r="G916" s="15" t="e">
        <f>IF(Tasks[[#This Row],[Location]]=0, "", Tasks[[#This Row],[Location]])</f>
        <v>#VALUE!</v>
      </c>
      <c r="H916" s="15" t="e">
        <f>Tasks[[#This Row],[To Package]]</f>
        <v>#VALUE!</v>
      </c>
      <c r="I916" s="15" t="e">
        <f>Tasks[[#This Row],[To Organisation]]</f>
        <v>#VALUE!</v>
      </c>
    </row>
    <row r="917" spans="1:9" ht="15.5" x14ac:dyDescent="0.35">
      <c r="A917" s="16" t="e">
        <f>HYPERLINK(_xlfn.CONCAT(Edit_URL,Tasks[[#This Row],[Ref]]),Tasks[[#This Row],[Ref]])</f>
        <v>#VALUE!</v>
      </c>
      <c r="B917" s="15" t="e" cm="1">
        <f t="array" ref="B917">_xlfn.SWITCH(LEFT(Tasks[[#This Row],[Status]],1),"O","Opened","C","Completed","S","Signed Off", "V", "Signed Off","ERROR")</f>
        <v>#VALUE!</v>
      </c>
      <c r="C917" s="15" t="e" cm="1">
        <f t="array" ref="C917">_xlfn.SWITCH(LEFT(Tasks[[#This Row],[Type]], 3), "Fie", "Field Report", "Con", "Contractor QC", "Gen", "Contractor QC", "Pun", "Contractor QC", "Qua", "Contractor QC", "Fin", "Punch List")</f>
        <v>#VALUE!</v>
      </c>
      <c r="D917" s="15" t="e">
        <f>_xlfn.LET(
_xlpm.leftValue, TRIM(LEFT(Tasks[[#This Row],[Description]], 45)),
IF(LEN(_xlpm.leftValue) &lt; 40, _xlpm.leftValue, _xlfn.CONCAT(_xlpm.leftValue, "…"))
)</f>
        <v>#VALUE!</v>
      </c>
      <c r="E917" s="15" t="e" cm="1">
        <f t="array" ref="E917">_xlfn.LET(
_xlpm.inTower, COUNTIF(Tower_Num_Table[Tower Rm Numbers], LEFT(Task_Summary_Table[[#This Row],[Area/Room]], 3)) &gt; 0,
_xlpm.typeResult, _xlfn.SWITCH(LEFT(Tasks[[#This Row],[Page]], 2), "Hi", "Historic", "An", "Annex", "Si", "Site", "S5", "Project Task", "SWITCH ERROR"),
IF(_xlpm.inTower, "West Tower", _xlpm.typeResult)
)</f>
        <v>#VALUE!</v>
      </c>
      <c r="F917" s="15" t="str">
        <f>IFERROR(MID(Tasks[[#This Row],[Page]], FIND("Level", Tasks[[#This Row],[Page]]), 7), IF(ISNUMBER(FIND("Roof", Tasks[[#This Row],[Page]])), "Roof",  IF(ISNUMBER(FIND("S590", Tasks[[#This Row],[Page]])), "",  IF(ISNUMBER(FIND("Site", Tasks[[#This Row],[Page]])), "", "ERROR"))))</f>
        <v>ERROR</v>
      </c>
      <c r="G917" s="15" t="e">
        <f>IF(Tasks[[#This Row],[Location]]=0, "", Tasks[[#This Row],[Location]])</f>
        <v>#VALUE!</v>
      </c>
      <c r="H917" s="15" t="e">
        <f>Tasks[[#This Row],[To Package]]</f>
        <v>#VALUE!</v>
      </c>
      <c r="I917" s="15" t="e">
        <f>Tasks[[#This Row],[To Organisation]]</f>
        <v>#VALUE!</v>
      </c>
    </row>
    <row r="918" spans="1:9" ht="15.5" x14ac:dyDescent="0.35">
      <c r="A918" s="16" t="e">
        <f>HYPERLINK(_xlfn.CONCAT(Edit_URL,Tasks[[#This Row],[Ref]]),Tasks[[#This Row],[Ref]])</f>
        <v>#VALUE!</v>
      </c>
      <c r="B918" s="15" t="e" cm="1">
        <f t="array" ref="B918">_xlfn.SWITCH(LEFT(Tasks[[#This Row],[Status]],1),"O","Opened","C","Completed","S","Signed Off", "V", "Signed Off","ERROR")</f>
        <v>#VALUE!</v>
      </c>
      <c r="C918" s="15" t="e" cm="1">
        <f t="array" ref="C918">_xlfn.SWITCH(LEFT(Tasks[[#This Row],[Type]], 3), "Fie", "Field Report", "Con", "Contractor QC", "Gen", "Contractor QC", "Pun", "Contractor QC", "Qua", "Contractor QC", "Fin", "Punch List")</f>
        <v>#VALUE!</v>
      </c>
      <c r="D918" s="15" t="e">
        <f>_xlfn.LET(
_xlpm.leftValue, TRIM(LEFT(Tasks[[#This Row],[Description]], 45)),
IF(LEN(_xlpm.leftValue) &lt; 40, _xlpm.leftValue, _xlfn.CONCAT(_xlpm.leftValue, "…"))
)</f>
        <v>#VALUE!</v>
      </c>
      <c r="E918" s="15" t="e" cm="1">
        <f t="array" ref="E918">_xlfn.LET(
_xlpm.inTower, COUNTIF(Tower_Num_Table[Tower Rm Numbers], LEFT(Task_Summary_Table[[#This Row],[Area/Room]], 3)) &gt; 0,
_xlpm.typeResult, _xlfn.SWITCH(LEFT(Tasks[[#This Row],[Page]], 2), "Hi", "Historic", "An", "Annex", "Si", "Site", "S5", "Project Task", "SWITCH ERROR"),
IF(_xlpm.inTower, "West Tower", _xlpm.typeResult)
)</f>
        <v>#VALUE!</v>
      </c>
      <c r="F918" s="15" t="str">
        <f>IFERROR(MID(Tasks[[#This Row],[Page]], FIND("Level", Tasks[[#This Row],[Page]]), 7), IF(ISNUMBER(FIND("Roof", Tasks[[#This Row],[Page]])), "Roof",  IF(ISNUMBER(FIND("S590", Tasks[[#This Row],[Page]])), "",  IF(ISNUMBER(FIND("Site", Tasks[[#This Row],[Page]])), "", "ERROR"))))</f>
        <v>ERROR</v>
      </c>
      <c r="G918" s="15" t="e">
        <f>IF(Tasks[[#This Row],[Location]]=0, "", Tasks[[#This Row],[Location]])</f>
        <v>#VALUE!</v>
      </c>
      <c r="H918" s="15" t="e">
        <f>Tasks[[#This Row],[To Package]]</f>
        <v>#VALUE!</v>
      </c>
      <c r="I918" s="15" t="e">
        <f>Tasks[[#This Row],[To Organisation]]</f>
        <v>#VALUE!</v>
      </c>
    </row>
    <row r="919" spans="1:9" ht="15.5" x14ac:dyDescent="0.35">
      <c r="A919" s="16" t="e">
        <f>HYPERLINK(_xlfn.CONCAT(Edit_URL,Tasks[[#This Row],[Ref]]),Tasks[[#This Row],[Ref]])</f>
        <v>#VALUE!</v>
      </c>
      <c r="B919" s="15" t="e" cm="1">
        <f t="array" ref="B919">_xlfn.SWITCH(LEFT(Tasks[[#This Row],[Status]],1),"O","Opened","C","Completed","S","Signed Off", "V", "Signed Off","ERROR")</f>
        <v>#VALUE!</v>
      </c>
      <c r="C919" s="15" t="e" cm="1">
        <f t="array" ref="C919">_xlfn.SWITCH(LEFT(Tasks[[#This Row],[Type]], 3), "Fie", "Field Report", "Con", "Contractor QC", "Gen", "Contractor QC", "Pun", "Contractor QC", "Qua", "Contractor QC", "Fin", "Punch List")</f>
        <v>#VALUE!</v>
      </c>
      <c r="D919" s="15" t="e">
        <f>_xlfn.LET(
_xlpm.leftValue, TRIM(LEFT(Tasks[[#This Row],[Description]], 45)),
IF(LEN(_xlpm.leftValue) &lt; 40, _xlpm.leftValue, _xlfn.CONCAT(_xlpm.leftValue, "…"))
)</f>
        <v>#VALUE!</v>
      </c>
      <c r="E919" s="15" t="e" cm="1">
        <f t="array" ref="E919">_xlfn.LET(
_xlpm.inTower, COUNTIF(Tower_Num_Table[Tower Rm Numbers], LEFT(Task_Summary_Table[[#This Row],[Area/Room]], 3)) &gt; 0,
_xlpm.typeResult, _xlfn.SWITCH(LEFT(Tasks[[#This Row],[Page]], 2), "Hi", "Historic", "An", "Annex", "Si", "Site", "S5", "Project Task", "SWITCH ERROR"),
IF(_xlpm.inTower, "West Tower", _xlpm.typeResult)
)</f>
        <v>#VALUE!</v>
      </c>
      <c r="F919" s="15" t="str">
        <f>IFERROR(MID(Tasks[[#This Row],[Page]], FIND("Level", Tasks[[#This Row],[Page]]), 7), IF(ISNUMBER(FIND("Roof", Tasks[[#This Row],[Page]])), "Roof",  IF(ISNUMBER(FIND("S590", Tasks[[#This Row],[Page]])), "",  IF(ISNUMBER(FIND("Site", Tasks[[#This Row],[Page]])), "", "ERROR"))))</f>
        <v>ERROR</v>
      </c>
      <c r="G919" s="15" t="e">
        <f>IF(Tasks[[#This Row],[Location]]=0, "", Tasks[[#This Row],[Location]])</f>
        <v>#VALUE!</v>
      </c>
      <c r="H919" s="15" t="e">
        <f>Tasks[[#This Row],[To Package]]</f>
        <v>#VALUE!</v>
      </c>
      <c r="I919" s="15" t="e">
        <f>Tasks[[#This Row],[To Organisation]]</f>
        <v>#VALUE!</v>
      </c>
    </row>
    <row r="920" spans="1:9" ht="15.5" x14ac:dyDescent="0.35">
      <c r="A920" s="16" t="e">
        <f>HYPERLINK(_xlfn.CONCAT(Edit_URL,Tasks[[#This Row],[Ref]]),Tasks[[#This Row],[Ref]])</f>
        <v>#VALUE!</v>
      </c>
      <c r="B920" s="15" t="e" cm="1">
        <f t="array" ref="B920">_xlfn.SWITCH(LEFT(Tasks[[#This Row],[Status]],1),"O","Opened","C","Completed","S","Signed Off", "V", "Signed Off","ERROR")</f>
        <v>#VALUE!</v>
      </c>
      <c r="C920" s="15" t="e" cm="1">
        <f t="array" ref="C920">_xlfn.SWITCH(LEFT(Tasks[[#This Row],[Type]], 3), "Fie", "Field Report", "Con", "Contractor QC", "Gen", "Contractor QC", "Pun", "Contractor QC", "Qua", "Contractor QC", "Fin", "Punch List")</f>
        <v>#VALUE!</v>
      </c>
      <c r="D920" s="15" t="e">
        <f>_xlfn.LET(
_xlpm.leftValue, TRIM(LEFT(Tasks[[#This Row],[Description]], 45)),
IF(LEN(_xlpm.leftValue) &lt; 40, _xlpm.leftValue, _xlfn.CONCAT(_xlpm.leftValue, "…"))
)</f>
        <v>#VALUE!</v>
      </c>
      <c r="E920" s="15" t="e" cm="1">
        <f t="array" ref="E920">_xlfn.LET(
_xlpm.inTower, COUNTIF(Tower_Num_Table[Tower Rm Numbers], LEFT(Task_Summary_Table[[#This Row],[Area/Room]], 3)) &gt; 0,
_xlpm.typeResult, _xlfn.SWITCH(LEFT(Tasks[[#This Row],[Page]], 2), "Hi", "Historic", "An", "Annex", "Si", "Site", "S5", "Project Task", "SWITCH ERROR"),
IF(_xlpm.inTower, "West Tower", _xlpm.typeResult)
)</f>
        <v>#VALUE!</v>
      </c>
      <c r="F920" s="15" t="str">
        <f>IFERROR(MID(Tasks[[#This Row],[Page]], FIND("Level", Tasks[[#This Row],[Page]]), 7), IF(ISNUMBER(FIND("Roof", Tasks[[#This Row],[Page]])), "Roof",  IF(ISNUMBER(FIND("S590", Tasks[[#This Row],[Page]])), "",  IF(ISNUMBER(FIND("Site", Tasks[[#This Row],[Page]])), "", "ERROR"))))</f>
        <v>ERROR</v>
      </c>
      <c r="G920" s="15" t="e">
        <f>IF(Tasks[[#This Row],[Location]]=0, "", Tasks[[#This Row],[Location]])</f>
        <v>#VALUE!</v>
      </c>
      <c r="H920" s="15" t="e">
        <f>Tasks[[#This Row],[To Package]]</f>
        <v>#VALUE!</v>
      </c>
      <c r="I920" s="15" t="e">
        <f>Tasks[[#This Row],[To Organisation]]</f>
        <v>#VALUE!</v>
      </c>
    </row>
    <row r="921" spans="1:9" ht="15.5" x14ac:dyDescent="0.35">
      <c r="A921" s="16" t="e">
        <f>HYPERLINK(_xlfn.CONCAT(Edit_URL,Tasks[[#This Row],[Ref]]),Tasks[[#This Row],[Ref]])</f>
        <v>#VALUE!</v>
      </c>
      <c r="B921" s="15" t="e" cm="1">
        <f t="array" ref="B921">_xlfn.SWITCH(LEFT(Tasks[[#This Row],[Status]],1),"O","Opened","C","Completed","S","Signed Off", "V", "Signed Off","ERROR")</f>
        <v>#VALUE!</v>
      </c>
      <c r="C921" s="15" t="e" cm="1">
        <f t="array" ref="C921">_xlfn.SWITCH(LEFT(Tasks[[#This Row],[Type]], 3), "Fie", "Field Report", "Con", "Contractor QC", "Gen", "Contractor QC", "Pun", "Contractor QC", "Qua", "Contractor QC", "Fin", "Punch List")</f>
        <v>#VALUE!</v>
      </c>
      <c r="D921" s="15" t="e">
        <f>_xlfn.LET(
_xlpm.leftValue, TRIM(LEFT(Tasks[[#This Row],[Description]], 45)),
IF(LEN(_xlpm.leftValue) &lt; 40, _xlpm.leftValue, _xlfn.CONCAT(_xlpm.leftValue, "…"))
)</f>
        <v>#VALUE!</v>
      </c>
      <c r="E921" s="15" t="e" cm="1">
        <f t="array" ref="E921">_xlfn.LET(
_xlpm.inTower, COUNTIF(Tower_Num_Table[Tower Rm Numbers], LEFT(Task_Summary_Table[[#This Row],[Area/Room]], 3)) &gt; 0,
_xlpm.typeResult, _xlfn.SWITCH(LEFT(Tasks[[#This Row],[Page]], 2), "Hi", "Historic", "An", "Annex", "Si", "Site", "S5", "Project Task", "SWITCH ERROR"),
IF(_xlpm.inTower, "West Tower", _xlpm.typeResult)
)</f>
        <v>#VALUE!</v>
      </c>
      <c r="F921" s="15" t="str">
        <f>IFERROR(MID(Tasks[[#This Row],[Page]], FIND("Level", Tasks[[#This Row],[Page]]), 7), IF(ISNUMBER(FIND("Roof", Tasks[[#This Row],[Page]])), "Roof",  IF(ISNUMBER(FIND("S590", Tasks[[#This Row],[Page]])), "",  IF(ISNUMBER(FIND("Site", Tasks[[#This Row],[Page]])), "", "ERROR"))))</f>
        <v>ERROR</v>
      </c>
      <c r="G921" s="15" t="e">
        <f>IF(Tasks[[#This Row],[Location]]=0, "", Tasks[[#This Row],[Location]])</f>
        <v>#VALUE!</v>
      </c>
      <c r="H921" s="15" t="e">
        <f>Tasks[[#This Row],[To Package]]</f>
        <v>#VALUE!</v>
      </c>
      <c r="I921" s="15" t="e">
        <f>Tasks[[#This Row],[To Organisation]]</f>
        <v>#VALUE!</v>
      </c>
    </row>
    <row r="922" spans="1:9" ht="15.5" x14ac:dyDescent="0.35">
      <c r="A922" s="16" t="e">
        <f>HYPERLINK(_xlfn.CONCAT(Edit_URL,Tasks[[#This Row],[Ref]]),Tasks[[#This Row],[Ref]])</f>
        <v>#VALUE!</v>
      </c>
      <c r="B922" s="15" t="e" cm="1">
        <f t="array" ref="B922">_xlfn.SWITCH(LEFT(Tasks[[#This Row],[Status]],1),"O","Opened","C","Completed","S","Signed Off", "V", "Signed Off","ERROR")</f>
        <v>#VALUE!</v>
      </c>
      <c r="C922" s="15" t="e" cm="1">
        <f t="array" ref="C922">_xlfn.SWITCH(LEFT(Tasks[[#This Row],[Type]], 3), "Fie", "Field Report", "Con", "Contractor QC", "Gen", "Contractor QC", "Pun", "Contractor QC", "Qua", "Contractor QC", "Fin", "Punch List")</f>
        <v>#VALUE!</v>
      </c>
      <c r="D922" s="15" t="e">
        <f>_xlfn.LET(
_xlpm.leftValue, TRIM(LEFT(Tasks[[#This Row],[Description]], 45)),
IF(LEN(_xlpm.leftValue) &lt; 40, _xlpm.leftValue, _xlfn.CONCAT(_xlpm.leftValue, "…"))
)</f>
        <v>#VALUE!</v>
      </c>
      <c r="E922" s="15" t="e" cm="1">
        <f t="array" ref="E922">_xlfn.LET(
_xlpm.inTower, COUNTIF(Tower_Num_Table[Tower Rm Numbers], LEFT(Task_Summary_Table[[#This Row],[Area/Room]], 3)) &gt; 0,
_xlpm.typeResult, _xlfn.SWITCH(LEFT(Tasks[[#This Row],[Page]], 2), "Hi", "Historic", "An", "Annex", "Si", "Site", "S5", "Project Task", "SWITCH ERROR"),
IF(_xlpm.inTower, "West Tower", _xlpm.typeResult)
)</f>
        <v>#VALUE!</v>
      </c>
      <c r="F922" s="15" t="str">
        <f>IFERROR(MID(Tasks[[#This Row],[Page]], FIND("Level", Tasks[[#This Row],[Page]]), 7), IF(ISNUMBER(FIND("Roof", Tasks[[#This Row],[Page]])), "Roof",  IF(ISNUMBER(FIND("S590", Tasks[[#This Row],[Page]])), "",  IF(ISNUMBER(FIND("Site", Tasks[[#This Row],[Page]])), "", "ERROR"))))</f>
        <v>ERROR</v>
      </c>
      <c r="G922" s="15" t="e">
        <f>IF(Tasks[[#This Row],[Location]]=0, "", Tasks[[#This Row],[Location]])</f>
        <v>#VALUE!</v>
      </c>
      <c r="H922" s="15" t="e">
        <f>Tasks[[#This Row],[To Package]]</f>
        <v>#VALUE!</v>
      </c>
      <c r="I922" s="15" t="e">
        <f>Tasks[[#This Row],[To Organisation]]</f>
        <v>#VALUE!</v>
      </c>
    </row>
    <row r="923" spans="1:9" ht="15.5" x14ac:dyDescent="0.35">
      <c r="A923" s="16" t="e">
        <f>HYPERLINK(_xlfn.CONCAT(Edit_URL,Tasks[[#This Row],[Ref]]),Tasks[[#This Row],[Ref]])</f>
        <v>#VALUE!</v>
      </c>
      <c r="B923" s="15" t="e" cm="1">
        <f t="array" ref="B923">_xlfn.SWITCH(LEFT(Tasks[[#This Row],[Status]],1),"O","Opened","C","Completed","S","Signed Off", "V", "Signed Off","ERROR")</f>
        <v>#VALUE!</v>
      </c>
      <c r="C923" s="15" t="e" cm="1">
        <f t="array" ref="C923">_xlfn.SWITCH(LEFT(Tasks[[#This Row],[Type]], 3), "Fie", "Field Report", "Con", "Contractor QC", "Gen", "Contractor QC", "Pun", "Contractor QC", "Qua", "Contractor QC", "Fin", "Punch List")</f>
        <v>#VALUE!</v>
      </c>
      <c r="D923" s="15" t="e">
        <f>_xlfn.LET(
_xlpm.leftValue, TRIM(LEFT(Tasks[[#This Row],[Description]], 45)),
IF(LEN(_xlpm.leftValue) &lt; 40, _xlpm.leftValue, _xlfn.CONCAT(_xlpm.leftValue, "…"))
)</f>
        <v>#VALUE!</v>
      </c>
      <c r="E923" s="15" t="e" cm="1">
        <f t="array" ref="E923">_xlfn.LET(
_xlpm.inTower, COUNTIF(Tower_Num_Table[Tower Rm Numbers], LEFT(Task_Summary_Table[[#This Row],[Area/Room]], 3)) &gt; 0,
_xlpm.typeResult, _xlfn.SWITCH(LEFT(Tasks[[#This Row],[Page]], 2), "Hi", "Historic", "An", "Annex", "Si", "Site", "S5", "Project Task", "SWITCH ERROR"),
IF(_xlpm.inTower, "West Tower", _xlpm.typeResult)
)</f>
        <v>#VALUE!</v>
      </c>
      <c r="F923" s="15" t="str">
        <f>IFERROR(MID(Tasks[[#This Row],[Page]], FIND("Level", Tasks[[#This Row],[Page]]), 7), IF(ISNUMBER(FIND("Roof", Tasks[[#This Row],[Page]])), "Roof",  IF(ISNUMBER(FIND("S590", Tasks[[#This Row],[Page]])), "",  IF(ISNUMBER(FIND("Site", Tasks[[#This Row],[Page]])), "", "ERROR"))))</f>
        <v>ERROR</v>
      </c>
      <c r="G923" s="15" t="e">
        <f>IF(Tasks[[#This Row],[Location]]=0, "", Tasks[[#This Row],[Location]])</f>
        <v>#VALUE!</v>
      </c>
      <c r="H923" s="15" t="e">
        <f>Tasks[[#This Row],[To Package]]</f>
        <v>#VALUE!</v>
      </c>
      <c r="I923" s="15" t="e">
        <f>Tasks[[#This Row],[To Organisation]]</f>
        <v>#VALUE!</v>
      </c>
    </row>
    <row r="924" spans="1:9" ht="15.5" x14ac:dyDescent="0.35">
      <c r="A924" s="16" t="e">
        <f>HYPERLINK(_xlfn.CONCAT(Edit_URL,Tasks[[#This Row],[Ref]]),Tasks[[#This Row],[Ref]])</f>
        <v>#VALUE!</v>
      </c>
      <c r="B924" s="15" t="e" cm="1">
        <f t="array" ref="B924">_xlfn.SWITCH(LEFT(Tasks[[#This Row],[Status]],1),"O","Opened","C","Completed","S","Signed Off", "V", "Signed Off","ERROR")</f>
        <v>#VALUE!</v>
      </c>
      <c r="C924" s="15" t="e" cm="1">
        <f t="array" ref="C924">_xlfn.SWITCH(LEFT(Tasks[[#This Row],[Type]], 3), "Fie", "Field Report", "Con", "Contractor QC", "Gen", "Contractor QC", "Pun", "Contractor QC", "Qua", "Contractor QC", "Fin", "Punch List")</f>
        <v>#VALUE!</v>
      </c>
      <c r="D924" s="15" t="e">
        <f>_xlfn.LET(
_xlpm.leftValue, TRIM(LEFT(Tasks[[#This Row],[Description]], 45)),
IF(LEN(_xlpm.leftValue) &lt; 40, _xlpm.leftValue, _xlfn.CONCAT(_xlpm.leftValue, "…"))
)</f>
        <v>#VALUE!</v>
      </c>
      <c r="E924" s="15" t="e" cm="1">
        <f t="array" ref="E924">_xlfn.LET(
_xlpm.inTower, COUNTIF(Tower_Num_Table[Tower Rm Numbers], LEFT(Task_Summary_Table[[#This Row],[Area/Room]], 3)) &gt; 0,
_xlpm.typeResult, _xlfn.SWITCH(LEFT(Tasks[[#This Row],[Page]], 2), "Hi", "Historic", "An", "Annex", "Si", "Site", "S5", "Project Task", "SWITCH ERROR"),
IF(_xlpm.inTower, "West Tower", _xlpm.typeResult)
)</f>
        <v>#VALUE!</v>
      </c>
      <c r="F924" s="15" t="str">
        <f>IFERROR(MID(Tasks[[#This Row],[Page]], FIND("Level", Tasks[[#This Row],[Page]]), 7), IF(ISNUMBER(FIND("Roof", Tasks[[#This Row],[Page]])), "Roof",  IF(ISNUMBER(FIND("S590", Tasks[[#This Row],[Page]])), "",  IF(ISNUMBER(FIND("Site", Tasks[[#This Row],[Page]])), "", "ERROR"))))</f>
        <v>ERROR</v>
      </c>
      <c r="G924" s="15" t="e">
        <f>IF(Tasks[[#This Row],[Location]]=0, "", Tasks[[#This Row],[Location]])</f>
        <v>#VALUE!</v>
      </c>
      <c r="H924" s="15" t="e">
        <f>Tasks[[#This Row],[To Package]]</f>
        <v>#VALUE!</v>
      </c>
      <c r="I924" s="15" t="e">
        <f>Tasks[[#This Row],[To Organisation]]</f>
        <v>#VALUE!</v>
      </c>
    </row>
    <row r="925" spans="1:9" ht="15.5" x14ac:dyDescent="0.35">
      <c r="A925" s="16" t="e">
        <f>HYPERLINK(_xlfn.CONCAT(Edit_URL,Tasks[[#This Row],[Ref]]),Tasks[[#This Row],[Ref]])</f>
        <v>#VALUE!</v>
      </c>
      <c r="B925" s="15" t="e" cm="1">
        <f t="array" ref="B925">_xlfn.SWITCH(LEFT(Tasks[[#This Row],[Status]],1),"O","Opened","C","Completed","S","Signed Off", "V", "Signed Off","ERROR")</f>
        <v>#VALUE!</v>
      </c>
      <c r="C925" s="15" t="e" cm="1">
        <f t="array" ref="C925">_xlfn.SWITCH(LEFT(Tasks[[#This Row],[Type]], 3), "Fie", "Field Report", "Con", "Contractor QC", "Gen", "Contractor QC", "Pun", "Contractor QC", "Qua", "Contractor QC", "Fin", "Punch List")</f>
        <v>#VALUE!</v>
      </c>
      <c r="D925" s="15" t="e">
        <f>_xlfn.LET(
_xlpm.leftValue, TRIM(LEFT(Tasks[[#This Row],[Description]], 45)),
IF(LEN(_xlpm.leftValue) &lt; 40, _xlpm.leftValue, _xlfn.CONCAT(_xlpm.leftValue, "…"))
)</f>
        <v>#VALUE!</v>
      </c>
      <c r="E925" s="15" t="e" cm="1">
        <f t="array" ref="E925">_xlfn.LET(
_xlpm.inTower, COUNTIF(Tower_Num_Table[Tower Rm Numbers], LEFT(Task_Summary_Table[[#This Row],[Area/Room]], 3)) &gt; 0,
_xlpm.typeResult, _xlfn.SWITCH(LEFT(Tasks[[#This Row],[Page]], 2), "Hi", "Historic", "An", "Annex", "Si", "Site", "S5", "Project Task", "SWITCH ERROR"),
IF(_xlpm.inTower, "West Tower", _xlpm.typeResult)
)</f>
        <v>#VALUE!</v>
      </c>
      <c r="F925" s="15" t="str">
        <f>IFERROR(MID(Tasks[[#This Row],[Page]], FIND("Level", Tasks[[#This Row],[Page]]), 7), IF(ISNUMBER(FIND("Roof", Tasks[[#This Row],[Page]])), "Roof",  IF(ISNUMBER(FIND("S590", Tasks[[#This Row],[Page]])), "",  IF(ISNUMBER(FIND("Site", Tasks[[#This Row],[Page]])), "", "ERROR"))))</f>
        <v>ERROR</v>
      </c>
      <c r="G925" s="15" t="e">
        <f>IF(Tasks[[#This Row],[Location]]=0, "", Tasks[[#This Row],[Location]])</f>
        <v>#VALUE!</v>
      </c>
      <c r="H925" s="15" t="e">
        <f>Tasks[[#This Row],[To Package]]</f>
        <v>#VALUE!</v>
      </c>
      <c r="I925" s="15" t="e">
        <f>Tasks[[#This Row],[To Organisation]]</f>
        <v>#VALUE!</v>
      </c>
    </row>
    <row r="926" spans="1:9" ht="15.5" x14ac:dyDescent="0.35">
      <c r="A926" s="16" t="e">
        <f>HYPERLINK(_xlfn.CONCAT(Edit_URL,Tasks[[#This Row],[Ref]]),Tasks[[#This Row],[Ref]])</f>
        <v>#VALUE!</v>
      </c>
      <c r="B926" s="15" t="e" cm="1">
        <f t="array" ref="B926">_xlfn.SWITCH(LEFT(Tasks[[#This Row],[Status]],1),"O","Opened","C","Completed","S","Signed Off", "V", "Signed Off","ERROR")</f>
        <v>#VALUE!</v>
      </c>
      <c r="C926" s="15" t="e" cm="1">
        <f t="array" ref="C926">_xlfn.SWITCH(LEFT(Tasks[[#This Row],[Type]], 3), "Fie", "Field Report", "Con", "Contractor QC", "Gen", "Contractor QC", "Pun", "Contractor QC", "Qua", "Contractor QC", "Fin", "Punch List")</f>
        <v>#VALUE!</v>
      </c>
      <c r="D926" s="15" t="e">
        <f>_xlfn.LET(
_xlpm.leftValue, TRIM(LEFT(Tasks[[#This Row],[Description]], 45)),
IF(LEN(_xlpm.leftValue) &lt; 40, _xlpm.leftValue, _xlfn.CONCAT(_xlpm.leftValue, "…"))
)</f>
        <v>#VALUE!</v>
      </c>
      <c r="E926" s="15" t="e" cm="1">
        <f t="array" ref="E926">_xlfn.LET(
_xlpm.inTower, COUNTIF(Tower_Num_Table[Tower Rm Numbers], LEFT(Task_Summary_Table[[#This Row],[Area/Room]], 3)) &gt; 0,
_xlpm.typeResult, _xlfn.SWITCH(LEFT(Tasks[[#This Row],[Page]], 2), "Hi", "Historic", "An", "Annex", "Si", "Site", "S5", "Project Task", "SWITCH ERROR"),
IF(_xlpm.inTower, "West Tower", _xlpm.typeResult)
)</f>
        <v>#VALUE!</v>
      </c>
      <c r="F926" s="15" t="str">
        <f>IFERROR(MID(Tasks[[#This Row],[Page]], FIND("Level", Tasks[[#This Row],[Page]]), 7), IF(ISNUMBER(FIND("Roof", Tasks[[#This Row],[Page]])), "Roof",  IF(ISNUMBER(FIND("S590", Tasks[[#This Row],[Page]])), "",  IF(ISNUMBER(FIND("Site", Tasks[[#This Row],[Page]])), "", "ERROR"))))</f>
        <v>ERROR</v>
      </c>
      <c r="G926" s="15" t="e">
        <f>IF(Tasks[[#This Row],[Location]]=0, "", Tasks[[#This Row],[Location]])</f>
        <v>#VALUE!</v>
      </c>
      <c r="H926" s="15" t="e">
        <f>Tasks[[#This Row],[To Package]]</f>
        <v>#VALUE!</v>
      </c>
      <c r="I926" s="15" t="e">
        <f>Tasks[[#This Row],[To Organisation]]</f>
        <v>#VALUE!</v>
      </c>
    </row>
    <row r="927" spans="1:9" ht="15.5" x14ac:dyDescent="0.35">
      <c r="A927" s="16" t="e">
        <f>HYPERLINK(_xlfn.CONCAT(Edit_URL,Tasks[[#This Row],[Ref]]),Tasks[[#This Row],[Ref]])</f>
        <v>#VALUE!</v>
      </c>
      <c r="B927" s="15" t="e" cm="1">
        <f t="array" ref="B927">_xlfn.SWITCH(LEFT(Tasks[[#This Row],[Status]],1),"O","Opened","C","Completed","S","Signed Off", "V", "Signed Off","ERROR")</f>
        <v>#VALUE!</v>
      </c>
      <c r="C927" s="15" t="e" cm="1">
        <f t="array" ref="C927">_xlfn.SWITCH(LEFT(Tasks[[#This Row],[Type]], 3), "Fie", "Field Report", "Con", "Contractor QC", "Gen", "Contractor QC", "Pun", "Contractor QC", "Qua", "Contractor QC", "Fin", "Punch List")</f>
        <v>#VALUE!</v>
      </c>
      <c r="D927" s="15" t="e">
        <f>_xlfn.LET(
_xlpm.leftValue, TRIM(LEFT(Tasks[[#This Row],[Description]], 45)),
IF(LEN(_xlpm.leftValue) &lt; 40, _xlpm.leftValue, _xlfn.CONCAT(_xlpm.leftValue, "…"))
)</f>
        <v>#VALUE!</v>
      </c>
      <c r="E927" s="15" t="e" cm="1">
        <f t="array" ref="E927">_xlfn.LET(
_xlpm.inTower, COUNTIF(Tower_Num_Table[Tower Rm Numbers], LEFT(Task_Summary_Table[[#This Row],[Area/Room]], 3)) &gt; 0,
_xlpm.typeResult, _xlfn.SWITCH(LEFT(Tasks[[#This Row],[Page]], 2), "Hi", "Historic", "An", "Annex", "Si", "Site", "S5", "Project Task", "SWITCH ERROR"),
IF(_xlpm.inTower, "West Tower", _xlpm.typeResult)
)</f>
        <v>#VALUE!</v>
      </c>
      <c r="F927" s="15" t="str">
        <f>IFERROR(MID(Tasks[[#This Row],[Page]], FIND("Level", Tasks[[#This Row],[Page]]), 7), IF(ISNUMBER(FIND("Roof", Tasks[[#This Row],[Page]])), "Roof",  IF(ISNUMBER(FIND("S590", Tasks[[#This Row],[Page]])), "",  IF(ISNUMBER(FIND("Site", Tasks[[#This Row],[Page]])), "", "ERROR"))))</f>
        <v>ERROR</v>
      </c>
      <c r="G927" s="15" t="e">
        <f>IF(Tasks[[#This Row],[Location]]=0, "", Tasks[[#This Row],[Location]])</f>
        <v>#VALUE!</v>
      </c>
      <c r="H927" s="15" t="e">
        <f>Tasks[[#This Row],[To Package]]</f>
        <v>#VALUE!</v>
      </c>
      <c r="I927" s="15" t="e">
        <f>Tasks[[#This Row],[To Organisation]]</f>
        <v>#VALUE!</v>
      </c>
    </row>
    <row r="928" spans="1:9" ht="15.5" x14ac:dyDescent="0.35">
      <c r="A928" s="16" t="e">
        <f>HYPERLINK(_xlfn.CONCAT(Edit_URL,Tasks[[#This Row],[Ref]]),Tasks[[#This Row],[Ref]])</f>
        <v>#VALUE!</v>
      </c>
      <c r="B928" s="15" t="e" cm="1">
        <f t="array" ref="B928">_xlfn.SWITCH(LEFT(Tasks[[#This Row],[Status]],1),"O","Opened","C","Completed","S","Signed Off", "V", "Signed Off","ERROR")</f>
        <v>#VALUE!</v>
      </c>
      <c r="C928" s="15" t="e" cm="1">
        <f t="array" ref="C928">_xlfn.SWITCH(LEFT(Tasks[[#This Row],[Type]], 3), "Fie", "Field Report", "Con", "Contractor QC", "Gen", "Contractor QC", "Pun", "Contractor QC", "Qua", "Contractor QC", "Fin", "Punch List")</f>
        <v>#VALUE!</v>
      </c>
      <c r="D928" s="15" t="e">
        <f>_xlfn.LET(
_xlpm.leftValue, TRIM(LEFT(Tasks[[#This Row],[Description]], 45)),
IF(LEN(_xlpm.leftValue) &lt; 40, _xlpm.leftValue, _xlfn.CONCAT(_xlpm.leftValue, "…"))
)</f>
        <v>#VALUE!</v>
      </c>
      <c r="E928" s="15" t="e" cm="1">
        <f t="array" ref="E928">_xlfn.LET(
_xlpm.inTower, COUNTIF(Tower_Num_Table[Tower Rm Numbers], LEFT(Task_Summary_Table[[#This Row],[Area/Room]], 3)) &gt; 0,
_xlpm.typeResult, _xlfn.SWITCH(LEFT(Tasks[[#This Row],[Page]], 2), "Hi", "Historic", "An", "Annex", "Si", "Site", "S5", "Project Task", "SWITCH ERROR"),
IF(_xlpm.inTower, "West Tower", _xlpm.typeResult)
)</f>
        <v>#VALUE!</v>
      </c>
      <c r="F928" s="15" t="str">
        <f>IFERROR(MID(Tasks[[#This Row],[Page]], FIND("Level", Tasks[[#This Row],[Page]]), 7), IF(ISNUMBER(FIND("Roof", Tasks[[#This Row],[Page]])), "Roof",  IF(ISNUMBER(FIND("S590", Tasks[[#This Row],[Page]])), "",  IF(ISNUMBER(FIND("Site", Tasks[[#This Row],[Page]])), "", "ERROR"))))</f>
        <v>ERROR</v>
      </c>
      <c r="G928" s="15" t="e">
        <f>IF(Tasks[[#This Row],[Location]]=0, "", Tasks[[#This Row],[Location]])</f>
        <v>#VALUE!</v>
      </c>
      <c r="H928" s="15" t="e">
        <f>Tasks[[#This Row],[To Package]]</f>
        <v>#VALUE!</v>
      </c>
      <c r="I928" s="15" t="e">
        <f>Tasks[[#This Row],[To Organisation]]</f>
        <v>#VALUE!</v>
      </c>
    </row>
    <row r="929" spans="1:9" ht="15.5" x14ac:dyDescent="0.35">
      <c r="A929" s="16" t="e">
        <f>HYPERLINK(_xlfn.CONCAT(Edit_URL,Tasks[[#This Row],[Ref]]),Tasks[[#This Row],[Ref]])</f>
        <v>#VALUE!</v>
      </c>
      <c r="B929" s="15" t="e" cm="1">
        <f t="array" ref="B929">_xlfn.SWITCH(LEFT(Tasks[[#This Row],[Status]],1),"O","Opened","C","Completed","S","Signed Off", "V", "Signed Off","ERROR")</f>
        <v>#VALUE!</v>
      </c>
      <c r="C929" s="15" t="e" cm="1">
        <f t="array" ref="C929">_xlfn.SWITCH(LEFT(Tasks[[#This Row],[Type]], 3), "Fie", "Field Report", "Con", "Contractor QC", "Gen", "Contractor QC", "Pun", "Contractor QC", "Qua", "Contractor QC", "Fin", "Punch List")</f>
        <v>#VALUE!</v>
      </c>
      <c r="D929" s="15" t="e">
        <f>_xlfn.LET(
_xlpm.leftValue, TRIM(LEFT(Tasks[[#This Row],[Description]], 45)),
IF(LEN(_xlpm.leftValue) &lt; 40, _xlpm.leftValue, _xlfn.CONCAT(_xlpm.leftValue, "…"))
)</f>
        <v>#VALUE!</v>
      </c>
      <c r="E929" s="15" t="e" cm="1">
        <f t="array" ref="E929">_xlfn.LET(
_xlpm.inTower, COUNTIF(Tower_Num_Table[Tower Rm Numbers], LEFT(Task_Summary_Table[[#This Row],[Area/Room]], 3)) &gt; 0,
_xlpm.typeResult, _xlfn.SWITCH(LEFT(Tasks[[#This Row],[Page]], 2), "Hi", "Historic", "An", "Annex", "Si", "Site", "S5", "Project Task", "SWITCH ERROR"),
IF(_xlpm.inTower, "West Tower", _xlpm.typeResult)
)</f>
        <v>#VALUE!</v>
      </c>
      <c r="F929" s="15" t="str">
        <f>IFERROR(MID(Tasks[[#This Row],[Page]], FIND("Level", Tasks[[#This Row],[Page]]), 7), IF(ISNUMBER(FIND("Roof", Tasks[[#This Row],[Page]])), "Roof",  IF(ISNUMBER(FIND("S590", Tasks[[#This Row],[Page]])), "",  IF(ISNUMBER(FIND("Site", Tasks[[#This Row],[Page]])), "", "ERROR"))))</f>
        <v>ERROR</v>
      </c>
      <c r="G929" s="15" t="e">
        <f>IF(Tasks[[#This Row],[Location]]=0, "", Tasks[[#This Row],[Location]])</f>
        <v>#VALUE!</v>
      </c>
      <c r="H929" s="15" t="e">
        <f>Tasks[[#This Row],[To Package]]</f>
        <v>#VALUE!</v>
      </c>
      <c r="I929" s="15" t="e">
        <f>Tasks[[#This Row],[To Organisation]]</f>
        <v>#VALUE!</v>
      </c>
    </row>
    <row r="930" spans="1:9" ht="15.5" x14ac:dyDescent="0.35">
      <c r="A930" s="16" t="e">
        <f>HYPERLINK(_xlfn.CONCAT(Edit_URL,Tasks[[#This Row],[Ref]]),Tasks[[#This Row],[Ref]])</f>
        <v>#VALUE!</v>
      </c>
      <c r="B930" s="15" t="e" cm="1">
        <f t="array" ref="B930">_xlfn.SWITCH(LEFT(Tasks[[#This Row],[Status]],1),"O","Opened","C","Completed","S","Signed Off", "V", "Signed Off","ERROR")</f>
        <v>#VALUE!</v>
      </c>
      <c r="C930" s="15" t="e" cm="1">
        <f t="array" ref="C930">_xlfn.SWITCH(LEFT(Tasks[[#This Row],[Type]], 3), "Fie", "Field Report", "Con", "Contractor QC", "Gen", "Contractor QC", "Pun", "Contractor QC", "Qua", "Contractor QC", "Fin", "Punch List")</f>
        <v>#VALUE!</v>
      </c>
      <c r="D930" s="15" t="e">
        <f>_xlfn.LET(
_xlpm.leftValue, TRIM(LEFT(Tasks[[#This Row],[Description]], 45)),
IF(LEN(_xlpm.leftValue) &lt; 40, _xlpm.leftValue, _xlfn.CONCAT(_xlpm.leftValue, "…"))
)</f>
        <v>#VALUE!</v>
      </c>
      <c r="E930" s="15" t="e" cm="1">
        <f t="array" ref="E930">_xlfn.LET(
_xlpm.inTower, COUNTIF(Tower_Num_Table[Tower Rm Numbers], LEFT(Task_Summary_Table[[#This Row],[Area/Room]], 3)) &gt; 0,
_xlpm.typeResult, _xlfn.SWITCH(LEFT(Tasks[[#This Row],[Page]], 2), "Hi", "Historic", "An", "Annex", "Si", "Site", "S5", "Project Task", "SWITCH ERROR"),
IF(_xlpm.inTower, "West Tower", _xlpm.typeResult)
)</f>
        <v>#VALUE!</v>
      </c>
      <c r="F930" s="15" t="str">
        <f>IFERROR(MID(Tasks[[#This Row],[Page]], FIND("Level", Tasks[[#This Row],[Page]]), 7), IF(ISNUMBER(FIND("Roof", Tasks[[#This Row],[Page]])), "Roof",  IF(ISNUMBER(FIND("S590", Tasks[[#This Row],[Page]])), "",  IF(ISNUMBER(FIND("Site", Tasks[[#This Row],[Page]])), "", "ERROR"))))</f>
        <v>ERROR</v>
      </c>
      <c r="G930" s="15" t="e">
        <f>IF(Tasks[[#This Row],[Location]]=0, "", Tasks[[#This Row],[Location]])</f>
        <v>#VALUE!</v>
      </c>
      <c r="H930" s="15" t="e">
        <f>Tasks[[#This Row],[To Package]]</f>
        <v>#VALUE!</v>
      </c>
      <c r="I930" s="15" t="e">
        <f>Tasks[[#This Row],[To Organisation]]</f>
        <v>#VALUE!</v>
      </c>
    </row>
    <row r="931" spans="1:9" ht="15.5" x14ac:dyDescent="0.35">
      <c r="A931" s="16" t="e">
        <f>HYPERLINK(_xlfn.CONCAT(Edit_URL,Tasks[[#This Row],[Ref]]),Tasks[[#This Row],[Ref]])</f>
        <v>#VALUE!</v>
      </c>
      <c r="B931" s="15" t="e" cm="1">
        <f t="array" ref="B931">_xlfn.SWITCH(LEFT(Tasks[[#This Row],[Status]],1),"O","Opened","C","Completed","S","Signed Off", "V", "Signed Off","ERROR")</f>
        <v>#VALUE!</v>
      </c>
      <c r="C931" s="15" t="e" cm="1">
        <f t="array" ref="C931">_xlfn.SWITCH(LEFT(Tasks[[#This Row],[Type]], 3), "Fie", "Field Report", "Con", "Contractor QC", "Gen", "Contractor QC", "Pun", "Contractor QC", "Qua", "Contractor QC", "Fin", "Punch List")</f>
        <v>#VALUE!</v>
      </c>
      <c r="D931" s="15" t="e">
        <f>_xlfn.LET(
_xlpm.leftValue, TRIM(LEFT(Tasks[[#This Row],[Description]], 45)),
IF(LEN(_xlpm.leftValue) &lt; 40, _xlpm.leftValue, _xlfn.CONCAT(_xlpm.leftValue, "…"))
)</f>
        <v>#VALUE!</v>
      </c>
      <c r="E931" s="15" t="e" cm="1">
        <f t="array" ref="E931">_xlfn.LET(
_xlpm.inTower, COUNTIF(Tower_Num_Table[Tower Rm Numbers], LEFT(Task_Summary_Table[[#This Row],[Area/Room]], 3)) &gt; 0,
_xlpm.typeResult, _xlfn.SWITCH(LEFT(Tasks[[#This Row],[Page]], 2), "Hi", "Historic", "An", "Annex", "Si", "Site", "S5", "Project Task", "SWITCH ERROR"),
IF(_xlpm.inTower, "West Tower", _xlpm.typeResult)
)</f>
        <v>#VALUE!</v>
      </c>
      <c r="F931" s="15" t="str">
        <f>IFERROR(MID(Tasks[[#This Row],[Page]], FIND("Level", Tasks[[#This Row],[Page]]), 7), IF(ISNUMBER(FIND("Roof", Tasks[[#This Row],[Page]])), "Roof",  IF(ISNUMBER(FIND("S590", Tasks[[#This Row],[Page]])), "",  IF(ISNUMBER(FIND("Site", Tasks[[#This Row],[Page]])), "", "ERROR"))))</f>
        <v>ERROR</v>
      </c>
      <c r="G931" s="15" t="e">
        <f>IF(Tasks[[#This Row],[Location]]=0, "", Tasks[[#This Row],[Location]])</f>
        <v>#VALUE!</v>
      </c>
      <c r="H931" s="15" t="e">
        <f>Tasks[[#This Row],[To Package]]</f>
        <v>#VALUE!</v>
      </c>
      <c r="I931" s="15" t="e">
        <f>Tasks[[#This Row],[To Organisation]]</f>
        <v>#VALUE!</v>
      </c>
    </row>
    <row r="932" spans="1:9" ht="15.5" x14ac:dyDescent="0.35">
      <c r="A932" s="16" t="e">
        <f>HYPERLINK(_xlfn.CONCAT(Edit_URL,Tasks[[#This Row],[Ref]]),Tasks[[#This Row],[Ref]])</f>
        <v>#VALUE!</v>
      </c>
      <c r="B932" s="15" t="e" cm="1">
        <f t="array" ref="B932">_xlfn.SWITCH(LEFT(Tasks[[#This Row],[Status]],1),"O","Opened","C","Completed","S","Signed Off", "V", "Signed Off","ERROR")</f>
        <v>#VALUE!</v>
      </c>
      <c r="C932" s="15" t="e" cm="1">
        <f t="array" ref="C932">_xlfn.SWITCH(LEFT(Tasks[[#This Row],[Type]], 3), "Fie", "Field Report", "Con", "Contractor QC", "Gen", "Contractor QC", "Pun", "Contractor QC", "Qua", "Contractor QC", "Fin", "Punch List")</f>
        <v>#VALUE!</v>
      </c>
      <c r="D932" s="15" t="e">
        <f>_xlfn.LET(
_xlpm.leftValue, TRIM(LEFT(Tasks[[#This Row],[Description]], 45)),
IF(LEN(_xlpm.leftValue) &lt; 40, _xlpm.leftValue, _xlfn.CONCAT(_xlpm.leftValue, "…"))
)</f>
        <v>#VALUE!</v>
      </c>
      <c r="E932" s="15" t="e" cm="1">
        <f t="array" ref="E932">_xlfn.LET(
_xlpm.inTower, COUNTIF(Tower_Num_Table[Tower Rm Numbers], LEFT(Task_Summary_Table[[#This Row],[Area/Room]], 3)) &gt; 0,
_xlpm.typeResult, _xlfn.SWITCH(LEFT(Tasks[[#This Row],[Page]], 2), "Hi", "Historic", "An", "Annex", "Si", "Site", "S5", "Project Task", "SWITCH ERROR"),
IF(_xlpm.inTower, "West Tower", _xlpm.typeResult)
)</f>
        <v>#VALUE!</v>
      </c>
      <c r="F932" s="15" t="str">
        <f>IFERROR(MID(Tasks[[#This Row],[Page]], FIND("Level", Tasks[[#This Row],[Page]]), 7), IF(ISNUMBER(FIND("Roof", Tasks[[#This Row],[Page]])), "Roof",  IF(ISNUMBER(FIND("S590", Tasks[[#This Row],[Page]])), "",  IF(ISNUMBER(FIND("Site", Tasks[[#This Row],[Page]])), "", "ERROR"))))</f>
        <v>ERROR</v>
      </c>
      <c r="G932" s="15" t="e">
        <f>IF(Tasks[[#This Row],[Location]]=0, "", Tasks[[#This Row],[Location]])</f>
        <v>#VALUE!</v>
      </c>
      <c r="H932" s="15" t="e">
        <f>Tasks[[#This Row],[To Package]]</f>
        <v>#VALUE!</v>
      </c>
      <c r="I932" s="15" t="e">
        <f>Tasks[[#This Row],[To Organisation]]</f>
        <v>#VALUE!</v>
      </c>
    </row>
    <row r="933" spans="1:9" ht="15.5" x14ac:dyDescent="0.35">
      <c r="A933" s="16" t="e">
        <f>HYPERLINK(_xlfn.CONCAT(Edit_URL,Tasks[[#This Row],[Ref]]),Tasks[[#This Row],[Ref]])</f>
        <v>#VALUE!</v>
      </c>
      <c r="B933" s="15" t="e" cm="1">
        <f t="array" ref="B933">_xlfn.SWITCH(LEFT(Tasks[[#This Row],[Status]],1),"O","Opened","C","Completed","S","Signed Off", "V", "Signed Off","ERROR")</f>
        <v>#VALUE!</v>
      </c>
      <c r="C933" s="15" t="e" cm="1">
        <f t="array" ref="C933">_xlfn.SWITCH(LEFT(Tasks[[#This Row],[Type]], 3), "Fie", "Field Report", "Con", "Contractor QC", "Gen", "Contractor QC", "Pun", "Contractor QC", "Qua", "Contractor QC", "Fin", "Punch List")</f>
        <v>#VALUE!</v>
      </c>
      <c r="D933" s="15" t="e">
        <f>_xlfn.LET(
_xlpm.leftValue, TRIM(LEFT(Tasks[[#This Row],[Description]], 45)),
IF(LEN(_xlpm.leftValue) &lt; 40, _xlpm.leftValue, _xlfn.CONCAT(_xlpm.leftValue, "…"))
)</f>
        <v>#VALUE!</v>
      </c>
      <c r="E933" s="15" t="e" cm="1">
        <f t="array" ref="E933">_xlfn.LET(
_xlpm.inTower, COUNTIF(Tower_Num_Table[Tower Rm Numbers], LEFT(Task_Summary_Table[[#This Row],[Area/Room]], 3)) &gt; 0,
_xlpm.typeResult, _xlfn.SWITCH(LEFT(Tasks[[#This Row],[Page]], 2), "Hi", "Historic", "An", "Annex", "Si", "Site", "S5", "Project Task", "SWITCH ERROR"),
IF(_xlpm.inTower, "West Tower", _xlpm.typeResult)
)</f>
        <v>#VALUE!</v>
      </c>
      <c r="F933" s="15" t="str">
        <f>IFERROR(MID(Tasks[[#This Row],[Page]], FIND("Level", Tasks[[#This Row],[Page]]), 7), IF(ISNUMBER(FIND("Roof", Tasks[[#This Row],[Page]])), "Roof",  IF(ISNUMBER(FIND("S590", Tasks[[#This Row],[Page]])), "",  IF(ISNUMBER(FIND("Site", Tasks[[#This Row],[Page]])), "", "ERROR"))))</f>
        <v>ERROR</v>
      </c>
      <c r="G933" s="15" t="e">
        <f>IF(Tasks[[#This Row],[Location]]=0, "", Tasks[[#This Row],[Location]])</f>
        <v>#VALUE!</v>
      </c>
      <c r="H933" s="15" t="e">
        <f>Tasks[[#This Row],[To Package]]</f>
        <v>#VALUE!</v>
      </c>
      <c r="I933" s="15" t="e">
        <f>Tasks[[#This Row],[To Organisation]]</f>
        <v>#VALUE!</v>
      </c>
    </row>
    <row r="934" spans="1:9" ht="15.5" x14ac:dyDescent="0.35">
      <c r="A934" s="16" t="e">
        <f>HYPERLINK(_xlfn.CONCAT(Edit_URL,Tasks[[#This Row],[Ref]]),Tasks[[#This Row],[Ref]])</f>
        <v>#VALUE!</v>
      </c>
      <c r="B934" s="15" t="e" cm="1">
        <f t="array" ref="B934">_xlfn.SWITCH(LEFT(Tasks[[#This Row],[Status]],1),"O","Opened","C","Completed","S","Signed Off", "V", "Signed Off","ERROR")</f>
        <v>#VALUE!</v>
      </c>
      <c r="C934" s="15" t="e" cm="1">
        <f t="array" ref="C934">_xlfn.SWITCH(LEFT(Tasks[[#This Row],[Type]], 3), "Fie", "Field Report", "Con", "Contractor QC", "Gen", "Contractor QC", "Pun", "Contractor QC", "Qua", "Contractor QC", "Fin", "Punch List")</f>
        <v>#VALUE!</v>
      </c>
      <c r="D934" s="15" t="e">
        <f>_xlfn.LET(
_xlpm.leftValue, TRIM(LEFT(Tasks[[#This Row],[Description]], 45)),
IF(LEN(_xlpm.leftValue) &lt; 40, _xlpm.leftValue, _xlfn.CONCAT(_xlpm.leftValue, "…"))
)</f>
        <v>#VALUE!</v>
      </c>
      <c r="E934" s="15" t="e" cm="1">
        <f t="array" ref="E934">_xlfn.LET(
_xlpm.inTower, COUNTIF(Tower_Num_Table[Tower Rm Numbers], LEFT(Task_Summary_Table[[#This Row],[Area/Room]], 3)) &gt; 0,
_xlpm.typeResult, _xlfn.SWITCH(LEFT(Tasks[[#This Row],[Page]], 2), "Hi", "Historic", "An", "Annex", "Si", "Site", "S5", "Project Task", "SWITCH ERROR"),
IF(_xlpm.inTower, "West Tower", _xlpm.typeResult)
)</f>
        <v>#VALUE!</v>
      </c>
      <c r="F934" s="15" t="str">
        <f>IFERROR(MID(Tasks[[#This Row],[Page]], FIND("Level", Tasks[[#This Row],[Page]]), 7), IF(ISNUMBER(FIND("Roof", Tasks[[#This Row],[Page]])), "Roof",  IF(ISNUMBER(FIND("S590", Tasks[[#This Row],[Page]])), "",  IF(ISNUMBER(FIND("Site", Tasks[[#This Row],[Page]])), "", "ERROR"))))</f>
        <v>ERROR</v>
      </c>
      <c r="G934" s="15" t="e">
        <f>IF(Tasks[[#This Row],[Location]]=0, "", Tasks[[#This Row],[Location]])</f>
        <v>#VALUE!</v>
      </c>
      <c r="H934" s="15" t="e">
        <f>Tasks[[#This Row],[To Package]]</f>
        <v>#VALUE!</v>
      </c>
      <c r="I934" s="15" t="e">
        <f>Tasks[[#This Row],[To Organisation]]</f>
        <v>#VALUE!</v>
      </c>
    </row>
    <row r="935" spans="1:9" ht="15.5" x14ac:dyDescent="0.35">
      <c r="A935" s="16" t="e">
        <f>HYPERLINK(_xlfn.CONCAT(Edit_URL,Tasks[[#This Row],[Ref]]),Tasks[[#This Row],[Ref]])</f>
        <v>#VALUE!</v>
      </c>
      <c r="B935" s="15" t="e" cm="1">
        <f t="array" ref="B935">_xlfn.SWITCH(LEFT(Tasks[[#This Row],[Status]],1),"O","Opened","C","Completed","S","Signed Off", "V", "Signed Off","ERROR")</f>
        <v>#VALUE!</v>
      </c>
      <c r="C935" s="15" t="e" cm="1">
        <f t="array" ref="C935">_xlfn.SWITCH(LEFT(Tasks[[#This Row],[Type]], 3), "Fie", "Field Report", "Con", "Contractor QC", "Gen", "Contractor QC", "Pun", "Contractor QC", "Qua", "Contractor QC", "Fin", "Punch List")</f>
        <v>#VALUE!</v>
      </c>
      <c r="D935" s="15" t="e">
        <f>_xlfn.LET(
_xlpm.leftValue, TRIM(LEFT(Tasks[[#This Row],[Description]], 45)),
IF(LEN(_xlpm.leftValue) &lt; 40, _xlpm.leftValue, _xlfn.CONCAT(_xlpm.leftValue, "…"))
)</f>
        <v>#VALUE!</v>
      </c>
      <c r="E935" s="15" t="e" cm="1">
        <f t="array" ref="E935">_xlfn.LET(
_xlpm.inTower, COUNTIF(Tower_Num_Table[Tower Rm Numbers], LEFT(Task_Summary_Table[[#This Row],[Area/Room]], 3)) &gt; 0,
_xlpm.typeResult, _xlfn.SWITCH(LEFT(Tasks[[#This Row],[Page]], 2), "Hi", "Historic", "An", "Annex", "Si", "Site", "S5", "Project Task", "SWITCH ERROR"),
IF(_xlpm.inTower, "West Tower", _xlpm.typeResult)
)</f>
        <v>#VALUE!</v>
      </c>
      <c r="F935" s="15" t="str">
        <f>IFERROR(MID(Tasks[[#This Row],[Page]], FIND("Level", Tasks[[#This Row],[Page]]), 7), IF(ISNUMBER(FIND("Roof", Tasks[[#This Row],[Page]])), "Roof",  IF(ISNUMBER(FIND("S590", Tasks[[#This Row],[Page]])), "",  IF(ISNUMBER(FIND("Site", Tasks[[#This Row],[Page]])), "", "ERROR"))))</f>
        <v>ERROR</v>
      </c>
      <c r="G935" s="15" t="e">
        <f>IF(Tasks[[#This Row],[Location]]=0, "", Tasks[[#This Row],[Location]])</f>
        <v>#VALUE!</v>
      </c>
      <c r="H935" s="15" t="e">
        <f>Tasks[[#This Row],[To Package]]</f>
        <v>#VALUE!</v>
      </c>
      <c r="I935" s="15" t="e">
        <f>Tasks[[#This Row],[To Organisation]]</f>
        <v>#VALUE!</v>
      </c>
    </row>
    <row r="936" spans="1:9" ht="15.5" x14ac:dyDescent="0.35">
      <c r="A936" s="16" t="e">
        <f>HYPERLINK(_xlfn.CONCAT(Edit_URL,Tasks[[#This Row],[Ref]]),Tasks[[#This Row],[Ref]])</f>
        <v>#VALUE!</v>
      </c>
      <c r="B936" s="15" t="e" cm="1">
        <f t="array" ref="B936">_xlfn.SWITCH(LEFT(Tasks[[#This Row],[Status]],1),"O","Opened","C","Completed","S","Signed Off", "V", "Signed Off","ERROR")</f>
        <v>#VALUE!</v>
      </c>
      <c r="C936" s="15" t="e" cm="1">
        <f t="array" ref="C936">_xlfn.SWITCH(LEFT(Tasks[[#This Row],[Type]], 3), "Fie", "Field Report", "Con", "Contractor QC", "Gen", "Contractor QC", "Pun", "Contractor QC", "Qua", "Contractor QC", "Fin", "Punch List")</f>
        <v>#VALUE!</v>
      </c>
      <c r="D936" s="15" t="e">
        <f>_xlfn.LET(
_xlpm.leftValue, TRIM(LEFT(Tasks[[#This Row],[Description]], 45)),
IF(LEN(_xlpm.leftValue) &lt; 40, _xlpm.leftValue, _xlfn.CONCAT(_xlpm.leftValue, "…"))
)</f>
        <v>#VALUE!</v>
      </c>
      <c r="E936" s="15" t="e" cm="1">
        <f t="array" ref="E936">_xlfn.LET(
_xlpm.inTower, COUNTIF(Tower_Num_Table[Tower Rm Numbers], LEFT(Task_Summary_Table[[#This Row],[Area/Room]], 3)) &gt; 0,
_xlpm.typeResult, _xlfn.SWITCH(LEFT(Tasks[[#This Row],[Page]], 2), "Hi", "Historic", "An", "Annex", "Si", "Site", "S5", "Project Task", "SWITCH ERROR"),
IF(_xlpm.inTower, "West Tower", _xlpm.typeResult)
)</f>
        <v>#VALUE!</v>
      </c>
      <c r="F936" s="15" t="str">
        <f>IFERROR(MID(Tasks[[#This Row],[Page]], FIND("Level", Tasks[[#This Row],[Page]]), 7), IF(ISNUMBER(FIND("Roof", Tasks[[#This Row],[Page]])), "Roof",  IF(ISNUMBER(FIND("S590", Tasks[[#This Row],[Page]])), "",  IF(ISNUMBER(FIND("Site", Tasks[[#This Row],[Page]])), "", "ERROR"))))</f>
        <v>ERROR</v>
      </c>
      <c r="G936" s="15" t="e">
        <f>IF(Tasks[[#This Row],[Location]]=0, "", Tasks[[#This Row],[Location]])</f>
        <v>#VALUE!</v>
      </c>
      <c r="H936" s="15" t="e">
        <f>Tasks[[#This Row],[To Package]]</f>
        <v>#VALUE!</v>
      </c>
      <c r="I936" s="15" t="e">
        <f>Tasks[[#This Row],[To Organisation]]</f>
        <v>#VALUE!</v>
      </c>
    </row>
    <row r="937" spans="1:9" ht="15.5" x14ac:dyDescent="0.35">
      <c r="A937" s="16" t="e">
        <f>HYPERLINK(_xlfn.CONCAT(Edit_URL,Tasks[[#This Row],[Ref]]),Tasks[[#This Row],[Ref]])</f>
        <v>#VALUE!</v>
      </c>
      <c r="B937" s="15" t="e" cm="1">
        <f t="array" ref="B937">_xlfn.SWITCH(LEFT(Tasks[[#This Row],[Status]],1),"O","Opened","C","Completed","S","Signed Off", "V", "Signed Off","ERROR")</f>
        <v>#VALUE!</v>
      </c>
      <c r="C937" s="15" t="e" cm="1">
        <f t="array" ref="C937">_xlfn.SWITCH(LEFT(Tasks[[#This Row],[Type]], 3), "Fie", "Field Report", "Con", "Contractor QC", "Gen", "Contractor QC", "Pun", "Contractor QC", "Qua", "Contractor QC", "Fin", "Punch List")</f>
        <v>#VALUE!</v>
      </c>
      <c r="D937" s="15" t="e">
        <f>_xlfn.LET(
_xlpm.leftValue, TRIM(LEFT(Tasks[[#This Row],[Description]], 45)),
IF(LEN(_xlpm.leftValue) &lt; 40, _xlpm.leftValue, _xlfn.CONCAT(_xlpm.leftValue, "…"))
)</f>
        <v>#VALUE!</v>
      </c>
      <c r="E937" s="15" t="e" cm="1">
        <f t="array" ref="E937">_xlfn.LET(
_xlpm.inTower, COUNTIF(Tower_Num_Table[Tower Rm Numbers], LEFT(Task_Summary_Table[[#This Row],[Area/Room]], 3)) &gt; 0,
_xlpm.typeResult, _xlfn.SWITCH(LEFT(Tasks[[#This Row],[Page]], 2), "Hi", "Historic", "An", "Annex", "Si", "Site", "S5", "Project Task", "SWITCH ERROR"),
IF(_xlpm.inTower, "West Tower", _xlpm.typeResult)
)</f>
        <v>#VALUE!</v>
      </c>
      <c r="F937" s="15" t="str">
        <f>IFERROR(MID(Tasks[[#This Row],[Page]], FIND("Level", Tasks[[#This Row],[Page]]), 7), IF(ISNUMBER(FIND("Roof", Tasks[[#This Row],[Page]])), "Roof",  IF(ISNUMBER(FIND("S590", Tasks[[#This Row],[Page]])), "",  IF(ISNUMBER(FIND("Site", Tasks[[#This Row],[Page]])), "", "ERROR"))))</f>
        <v>ERROR</v>
      </c>
      <c r="G937" s="15" t="e">
        <f>IF(Tasks[[#This Row],[Location]]=0, "", Tasks[[#This Row],[Location]])</f>
        <v>#VALUE!</v>
      </c>
      <c r="H937" s="15" t="e">
        <f>Tasks[[#This Row],[To Package]]</f>
        <v>#VALUE!</v>
      </c>
      <c r="I937" s="15" t="e">
        <f>Tasks[[#This Row],[To Organisation]]</f>
        <v>#VALUE!</v>
      </c>
    </row>
    <row r="938" spans="1:9" ht="15.5" x14ac:dyDescent="0.35">
      <c r="A938" s="16" t="e">
        <f>HYPERLINK(_xlfn.CONCAT(Edit_URL,Tasks[[#This Row],[Ref]]),Tasks[[#This Row],[Ref]])</f>
        <v>#VALUE!</v>
      </c>
      <c r="B938" s="15" t="e" cm="1">
        <f t="array" ref="B938">_xlfn.SWITCH(LEFT(Tasks[[#This Row],[Status]],1),"O","Opened","C","Completed","S","Signed Off", "V", "Signed Off","ERROR")</f>
        <v>#VALUE!</v>
      </c>
      <c r="C938" s="15" t="e" cm="1">
        <f t="array" ref="C938">_xlfn.SWITCH(LEFT(Tasks[[#This Row],[Type]], 3), "Fie", "Field Report", "Con", "Contractor QC", "Gen", "Contractor QC", "Pun", "Contractor QC", "Qua", "Contractor QC", "Fin", "Punch List")</f>
        <v>#VALUE!</v>
      </c>
      <c r="D938" s="15" t="e">
        <f>_xlfn.LET(
_xlpm.leftValue, TRIM(LEFT(Tasks[[#This Row],[Description]], 45)),
IF(LEN(_xlpm.leftValue) &lt; 40, _xlpm.leftValue, _xlfn.CONCAT(_xlpm.leftValue, "…"))
)</f>
        <v>#VALUE!</v>
      </c>
      <c r="E938" s="15" t="e" cm="1">
        <f t="array" ref="E938">_xlfn.LET(
_xlpm.inTower, COUNTIF(Tower_Num_Table[Tower Rm Numbers], LEFT(Task_Summary_Table[[#This Row],[Area/Room]], 3)) &gt; 0,
_xlpm.typeResult, _xlfn.SWITCH(LEFT(Tasks[[#This Row],[Page]], 2), "Hi", "Historic", "An", "Annex", "Si", "Site", "S5", "Project Task", "SWITCH ERROR"),
IF(_xlpm.inTower, "West Tower", _xlpm.typeResult)
)</f>
        <v>#VALUE!</v>
      </c>
      <c r="F938" s="15" t="str">
        <f>IFERROR(MID(Tasks[[#This Row],[Page]], FIND("Level", Tasks[[#This Row],[Page]]), 7), IF(ISNUMBER(FIND("Roof", Tasks[[#This Row],[Page]])), "Roof",  IF(ISNUMBER(FIND("S590", Tasks[[#This Row],[Page]])), "",  IF(ISNUMBER(FIND("Site", Tasks[[#This Row],[Page]])), "", "ERROR"))))</f>
        <v>ERROR</v>
      </c>
      <c r="G938" s="15" t="e">
        <f>IF(Tasks[[#This Row],[Location]]=0, "", Tasks[[#This Row],[Location]])</f>
        <v>#VALUE!</v>
      </c>
      <c r="H938" s="15" t="e">
        <f>Tasks[[#This Row],[To Package]]</f>
        <v>#VALUE!</v>
      </c>
      <c r="I938" s="15" t="e">
        <f>Tasks[[#This Row],[To Organisation]]</f>
        <v>#VALUE!</v>
      </c>
    </row>
    <row r="939" spans="1:9" ht="15.5" x14ac:dyDescent="0.35">
      <c r="A939" s="16" t="e">
        <f>HYPERLINK(_xlfn.CONCAT(Edit_URL,Tasks[[#This Row],[Ref]]),Tasks[[#This Row],[Ref]])</f>
        <v>#VALUE!</v>
      </c>
      <c r="B939" s="15" t="e" cm="1">
        <f t="array" ref="B939">_xlfn.SWITCH(LEFT(Tasks[[#This Row],[Status]],1),"O","Opened","C","Completed","S","Signed Off", "V", "Signed Off","ERROR")</f>
        <v>#VALUE!</v>
      </c>
      <c r="C939" s="15" t="e" cm="1">
        <f t="array" ref="C939">_xlfn.SWITCH(LEFT(Tasks[[#This Row],[Type]], 3), "Fie", "Field Report", "Con", "Contractor QC", "Gen", "Contractor QC", "Pun", "Contractor QC", "Qua", "Contractor QC", "Fin", "Punch List")</f>
        <v>#VALUE!</v>
      </c>
      <c r="D939" s="15" t="e">
        <f>_xlfn.LET(
_xlpm.leftValue, TRIM(LEFT(Tasks[[#This Row],[Description]], 45)),
IF(LEN(_xlpm.leftValue) &lt; 40, _xlpm.leftValue, _xlfn.CONCAT(_xlpm.leftValue, "…"))
)</f>
        <v>#VALUE!</v>
      </c>
      <c r="E939" s="15" t="e" cm="1">
        <f t="array" ref="E939">_xlfn.LET(
_xlpm.inTower, COUNTIF(Tower_Num_Table[Tower Rm Numbers], LEFT(Task_Summary_Table[[#This Row],[Area/Room]], 3)) &gt; 0,
_xlpm.typeResult, _xlfn.SWITCH(LEFT(Tasks[[#This Row],[Page]], 2), "Hi", "Historic", "An", "Annex", "Si", "Site", "S5", "Project Task", "SWITCH ERROR"),
IF(_xlpm.inTower, "West Tower", _xlpm.typeResult)
)</f>
        <v>#VALUE!</v>
      </c>
      <c r="F939" s="15" t="str">
        <f>IFERROR(MID(Tasks[[#This Row],[Page]], FIND("Level", Tasks[[#This Row],[Page]]), 7), IF(ISNUMBER(FIND("Roof", Tasks[[#This Row],[Page]])), "Roof",  IF(ISNUMBER(FIND("S590", Tasks[[#This Row],[Page]])), "",  IF(ISNUMBER(FIND("Site", Tasks[[#This Row],[Page]])), "", "ERROR"))))</f>
        <v>ERROR</v>
      </c>
      <c r="G939" s="15" t="e">
        <f>IF(Tasks[[#This Row],[Location]]=0, "", Tasks[[#This Row],[Location]])</f>
        <v>#VALUE!</v>
      </c>
      <c r="H939" s="15" t="e">
        <f>Tasks[[#This Row],[To Package]]</f>
        <v>#VALUE!</v>
      </c>
      <c r="I939" s="15" t="e">
        <f>Tasks[[#This Row],[To Organisation]]</f>
        <v>#VALUE!</v>
      </c>
    </row>
    <row r="940" spans="1:9" ht="15.5" x14ac:dyDescent="0.35">
      <c r="A940" s="16" t="e">
        <f>HYPERLINK(_xlfn.CONCAT(Edit_URL,Tasks[[#This Row],[Ref]]),Tasks[[#This Row],[Ref]])</f>
        <v>#VALUE!</v>
      </c>
      <c r="B940" s="15" t="e" cm="1">
        <f t="array" ref="B940">_xlfn.SWITCH(LEFT(Tasks[[#This Row],[Status]],1),"O","Opened","C","Completed","S","Signed Off", "V", "Signed Off","ERROR")</f>
        <v>#VALUE!</v>
      </c>
      <c r="C940" s="15" t="e" cm="1">
        <f t="array" ref="C940">_xlfn.SWITCH(LEFT(Tasks[[#This Row],[Type]], 3), "Fie", "Field Report", "Con", "Contractor QC", "Gen", "Contractor QC", "Pun", "Contractor QC", "Qua", "Contractor QC", "Fin", "Punch List")</f>
        <v>#VALUE!</v>
      </c>
      <c r="D940" s="15" t="e">
        <f>_xlfn.LET(
_xlpm.leftValue, TRIM(LEFT(Tasks[[#This Row],[Description]], 45)),
IF(LEN(_xlpm.leftValue) &lt; 40, _xlpm.leftValue, _xlfn.CONCAT(_xlpm.leftValue, "…"))
)</f>
        <v>#VALUE!</v>
      </c>
      <c r="E940" s="15" t="e" cm="1">
        <f t="array" ref="E940">_xlfn.LET(
_xlpm.inTower, COUNTIF(Tower_Num_Table[Tower Rm Numbers], LEFT(Task_Summary_Table[[#This Row],[Area/Room]], 3)) &gt; 0,
_xlpm.typeResult, _xlfn.SWITCH(LEFT(Tasks[[#This Row],[Page]], 2), "Hi", "Historic", "An", "Annex", "Si", "Site", "S5", "Project Task", "SWITCH ERROR"),
IF(_xlpm.inTower, "West Tower", _xlpm.typeResult)
)</f>
        <v>#VALUE!</v>
      </c>
      <c r="F940" s="15" t="str">
        <f>IFERROR(MID(Tasks[[#This Row],[Page]], FIND("Level", Tasks[[#This Row],[Page]]), 7), IF(ISNUMBER(FIND("Roof", Tasks[[#This Row],[Page]])), "Roof",  IF(ISNUMBER(FIND("S590", Tasks[[#This Row],[Page]])), "",  IF(ISNUMBER(FIND("Site", Tasks[[#This Row],[Page]])), "", "ERROR"))))</f>
        <v>ERROR</v>
      </c>
      <c r="G940" s="15" t="e">
        <f>IF(Tasks[[#This Row],[Location]]=0, "", Tasks[[#This Row],[Location]])</f>
        <v>#VALUE!</v>
      </c>
      <c r="H940" s="15" t="e">
        <f>Tasks[[#This Row],[To Package]]</f>
        <v>#VALUE!</v>
      </c>
      <c r="I940" s="15" t="e">
        <f>Tasks[[#This Row],[To Organisation]]</f>
        <v>#VALUE!</v>
      </c>
    </row>
    <row r="941" spans="1:9" ht="15.5" x14ac:dyDescent="0.35">
      <c r="A941" s="16" t="e">
        <f>HYPERLINK(_xlfn.CONCAT(Edit_URL,Tasks[[#This Row],[Ref]]),Tasks[[#This Row],[Ref]])</f>
        <v>#VALUE!</v>
      </c>
      <c r="B941" s="15" t="e" cm="1">
        <f t="array" ref="B941">_xlfn.SWITCH(LEFT(Tasks[[#This Row],[Status]],1),"O","Opened","C","Completed","S","Signed Off", "V", "Signed Off","ERROR")</f>
        <v>#VALUE!</v>
      </c>
      <c r="C941" s="15" t="e" cm="1">
        <f t="array" ref="C941">_xlfn.SWITCH(LEFT(Tasks[[#This Row],[Type]], 3), "Fie", "Field Report", "Con", "Contractor QC", "Gen", "Contractor QC", "Pun", "Contractor QC", "Qua", "Contractor QC", "Fin", "Punch List")</f>
        <v>#VALUE!</v>
      </c>
      <c r="D941" s="15" t="e">
        <f>_xlfn.LET(
_xlpm.leftValue, TRIM(LEFT(Tasks[[#This Row],[Description]], 45)),
IF(LEN(_xlpm.leftValue) &lt; 40, _xlpm.leftValue, _xlfn.CONCAT(_xlpm.leftValue, "…"))
)</f>
        <v>#VALUE!</v>
      </c>
      <c r="E941" s="15" t="e" cm="1">
        <f t="array" ref="E941">_xlfn.LET(
_xlpm.inTower, COUNTIF(Tower_Num_Table[Tower Rm Numbers], LEFT(Task_Summary_Table[[#This Row],[Area/Room]], 3)) &gt; 0,
_xlpm.typeResult, _xlfn.SWITCH(LEFT(Tasks[[#This Row],[Page]], 2), "Hi", "Historic", "An", "Annex", "Si", "Site", "S5", "Project Task", "SWITCH ERROR"),
IF(_xlpm.inTower, "West Tower", _xlpm.typeResult)
)</f>
        <v>#VALUE!</v>
      </c>
      <c r="F941" s="15" t="str">
        <f>IFERROR(MID(Tasks[[#This Row],[Page]], FIND("Level", Tasks[[#This Row],[Page]]), 7), IF(ISNUMBER(FIND("Roof", Tasks[[#This Row],[Page]])), "Roof",  IF(ISNUMBER(FIND("S590", Tasks[[#This Row],[Page]])), "",  IF(ISNUMBER(FIND("Site", Tasks[[#This Row],[Page]])), "", "ERROR"))))</f>
        <v>ERROR</v>
      </c>
      <c r="G941" s="15" t="e">
        <f>IF(Tasks[[#This Row],[Location]]=0, "", Tasks[[#This Row],[Location]])</f>
        <v>#VALUE!</v>
      </c>
      <c r="H941" s="15" t="e">
        <f>Tasks[[#This Row],[To Package]]</f>
        <v>#VALUE!</v>
      </c>
      <c r="I941" s="15" t="e">
        <f>Tasks[[#This Row],[To Organisation]]</f>
        <v>#VALUE!</v>
      </c>
    </row>
    <row r="942" spans="1:9" ht="15.5" x14ac:dyDescent="0.35">
      <c r="A942" s="16" t="e">
        <f>HYPERLINK(_xlfn.CONCAT(Edit_URL,Tasks[[#This Row],[Ref]]),Tasks[[#This Row],[Ref]])</f>
        <v>#VALUE!</v>
      </c>
      <c r="B942" s="15" t="e" cm="1">
        <f t="array" ref="B942">_xlfn.SWITCH(LEFT(Tasks[[#This Row],[Status]],1),"O","Opened","C","Completed","S","Signed Off", "V", "Signed Off","ERROR")</f>
        <v>#VALUE!</v>
      </c>
      <c r="C942" s="15" t="e" cm="1">
        <f t="array" ref="C942">_xlfn.SWITCH(LEFT(Tasks[[#This Row],[Type]], 3), "Fie", "Field Report", "Con", "Contractor QC", "Gen", "Contractor QC", "Pun", "Contractor QC", "Qua", "Contractor QC", "Fin", "Punch List")</f>
        <v>#VALUE!</v>
      </c>
      <c r="D942" s="15" t="e">
        <f>_xlfn.LET(
_xlpm.leftValue, TRIM(LEFT(Tasks[[#This Row],[Description]], 45)),
IF(LEN(_xlpm.leftValue) &lt; 40, _xlpm.leftValue, _xlfn.CONCAT(_xlpm.leftValue, "…"))
)</f>
        <v>#VALUE!</v>
      </c>
      <c r="E942" s="15" t="e" cm="1">
        <f t="array" ref="E942">_xlfn.LET(
_xlpm.inTower, COUNTIF(Tower_Num_Table[Tower Rm Numbers], LEFT(Task_Summary_Table[[#This Row],[Area/Room]], 3)) &gt; 0,
_xlpm.typeResult, _xlfn.SWITCH(LEFT(Tasks[[#This Row],[Page]], 2), "Hi", "Historic", "An", "Annex", "Si", "Site", "S5", "Project Task", "SWITCH ERROR"),
IF(_xlpm.inTower, "West Tower", _xlpm.typeResult)
)</f>
        <v>#VALUE!</v>
      </c>
      <c r="F942" s="15" t="str">
        <f>IFERROR(MID(Tasks[[#This Row],[Page]], FIND("Level", Tasks[[#This Row],[Page]]), 7), IF(ISNUMBER(FIND("Roof", Tasks[[#This Row],[Page]])), "Roof",  IF(ISNUMBER(FIND("S590", Tasks[[#This Row],[Page]])), "",  IF(ISNUMBER(FIND("Site", Tasks[[#This Row],[Page]])), "", "ERROR"))))</f>
        <v>ERROR</v>
      </c>
      <c r="G942" s="15" t="e">
        <f>IF(Tasks[[#This Row],[Location]]=0, "", Tasks[[#This Row],[Location]])</f>
        <v>#VALUE!</v>
      </c>
      <c r="H942" s="15" t="e">
        <f>Tasks[[#This Row],[To Package]]</f>
        <v>#VALUE!</v>
      </c>
      <c r="I942" s="15" t="e">
        <f>Tasks[[#This Row],[To Organisation]]</f>
        <v>#VALUE!</v>
      </c>
    </row>
    <row r="943" spans="1:9" ht="15.5" x14ac:dyDescent="0.35">
      <c r="A943" s="16" t="e">
        <f>HYPERLINK(_xlfn.CONCAT(Edit_URL,Tasks[[#This Row],[Ref]]),Tasks[[#This Row],[Ref]])</f>
        <v>#VALUE!</v>
      </c>
      <c r="B943" s="15" t="e" cm="1">
        <f t="array" ref="B943">_xlfn.SWITCH(LEFT(Tasks[[#This Row],[Status]],1),"O","Opened","C","Completed","S","Signed Off", "V", "Signed Off","ERROR")</f>
        <v>#VALUE!</v>
      </c>
      <c r="C943" s="15" t="e" cm="1">
        <f t="array" ref="C943">_xlfn.SWITCH(LEFT(Tasks[[#This Row],[Type]], 3), "Fie", "Field Report", "Con", "Contractor QC", "Gen", "Contractor QC", "Pun", "Contractor QC", "Qua", "Contractor QC", "Fin", "Punch List")</f>
        <v>#VALUE!</v>
      </c>
      <c r="D943" s="15" t="e">
        <f>_xlfn.LET(
_xlpm.leftValue, TRIM(LEFT(Tasks[[#This Row],[Description]], 45)),
IF(LEN(_xlpm.leftValue) &lt; 40, _xlpm.leftValue, _xlfn.CONCAT(_xlpm.leftValue, "…"))
)</f>
        <v>#VALUE!</v>
      </c>
      <c r="E943" s="15" t="e" cm="1">
        <f t="array" ref="E943">_xlfn.LET(
_xlpm.inTower, COUNTIF(Tower_Num_Table[Tower Rm Numbers], LEFT(Task_Summary_Table[[#This Row],[Area/Room]], 3)) &gt; 0,
_xlpm.typeResult, _xlfn.SWITCH(LEFT(Tasks[[#This Row],[Page]], 2), "Hi", "Historic", "An", "Annex", "Si", "Site", "S5", "Project Task", "SWITCH ERROR"),
IF(_xlpm.inTower, "West Tower", _xlpm.typeResult)
)</f>
        <v>#VALUE!</v>
      </c>
      <c r="F943" s="15" t="str">
        <f>IFERROR(MID(Tasks[[#This Row],[Page]], FIND("Level", Tasks[[#This Row],[Page]]), 7), IF(ISNUMBER(FIND("Roof", Tasks[[#This Row],[Page]])), "Roof",  IF(ISNUMBER(FIND("S590", Tasks[[#This Row],[Page]])), "",  IF(ISNUMBER(FIND("Site", Tasks[[#This Row],[Page]])), "", "ERROR"))))</f>
        <v>ERROR</v>
      </c>
      <c r="G943" s="15" t="e">
        <f>IF(Tasks[[#This Row],[Location]]=0, "", Tasks[[#This Row],[Location]])</f>
        <v>#VALUE!</v>
      </c>
      <c r="H943" s="15" t="e">
        <f>Tasks[[#This Row],[To Package]]</f>
        <v>#VALUE!</v>
      </c>
      <c r="I943" s="15" t="e">
        <f>Tasks[[#This Row],[To Organisation]]</f>
        <v>#VALUE!</v>
      </c>
    </row>
    <row r="944" spans="1:9" ht="15.5" x14ac:dyDescent="0.35">
      <c r="A944" s="16" t="e">
        <f>HYPERLINK(_xlfn.CONCAT(Edit_URL,Tasks[[#This Row],[Ref]]),Tasks[[#This Row],[Ref]])</f>
        <v>#VALUE!</v>
      </c>
      <c r="B944" s="15" t="e" cm="1">
        <f t="array" ref="B944">_xlfn.SWITCH(LEFT(Tasks[[#This Row],[Status]],1),"O","Opened","C","Completed","S","Signed Off", "V", "Signed Off","ERROR")</f>
        <v>#VALUE!</v>
      </c>
      <c r="C944" s="15" t="e" cm="1">
        <f t="array" ref="C944">_xlfn.SWITCH(LEFT(Tasks[[#This Row],[Type]], 3), "Fie", "Field Report", "Con", "Contractor QC", "Gen", "Contractor QC", "Pun", "Contractor QC", "Qua", "Contractor QC", "Fin", "Punch List")</f>
        <v>#VALUE!</v>
      </c>
      <c r="D944" s="15" t="e">
        <f>_xlfn.LET(
_xlpm.leftValue, TRIM(LEFT(Tasks[[#This Row],[Description]], 45)),
IF(LEN(_xlpm.leftValue) &lt; 40, _xlpm.leftValue, _xlfn.CONCAT(_xlpm.leftValue, "…"))
)</f>
        <v>#VALUE!</v>
      </c>
      <c r="E944" s="15" t="e" cm="1">
        <f t="array" ref="E944">_xlfn.LET(
_xlpm.inTower, COUNTIF(Tower_Num_Table[Tower Rm Numbers], LEFT(Task_Summary_Table[[#This Row],[Area/Room]], 3)) &gt; 0,
_xlpm.typeResult, _xlfn.SWITCH(LEFT(Tasks[[#This Row],[Page]], 2), "Hi", "Historic", "An", "Annex", "Si", "Site", "S5", "Project Task", "SWITCH ERROR"),
IF(_xlpm.inTower, "West Tower", _xlpm.typeResult)
)</f>
        <v>#VALUE!</v>
      </c>
      <c r="F944" s="15" t="str">
        <f>IFERROR(MID(Tasks[[#This Row],[Page]], FIND("Level", Tasks[[#This Row],[Page]]), 7), IF(ISNUMBER(FIND("Roof", Tasks[[#This Row],[Page]])), "Roof",  IF(ISNUMBER(FIND("S590", Tasks[[#This Row],[Page]])), "",  IF(ISNUMBER(FIND("Site", Tasks[[#This Row],[Page]])), "", "ERROR"))))</f>
        <v>ERROR</v>
      </c>
      <c r="G944" s="15" t="e">
        <f>IF(Tasks[[#This Row],[Location]]=0, "", Tasks[[#This Row],[Location]])</f>
        <v>#VALUE!</v>
      </c>
      <c r="H944" s="15" t="e">
        <f>Tasks[[#This Row],[To Package]]</f>
        <v>#VALUE!</v>
      </c>
      <c r="I944" s="15" t="e">
        <f>Tasks[[#This Row],[To Organisation]]</f>
        <v>#VALUE!</v>
      </c>
    </row>
    <row r="945" spans="1:9" ht="15.5" x14ac:dyDescent="0.35">
      <c r="A945" s="16" t="e">
        <f>HYPERLINK(_xlfn.CONCAT(Edit_URL,Tasks[[#This Row],[Ref]]),Tasks[[#This Row],[Ref]])</f>
        <v>#VALUE!</v>
      </c>
      <c r="B945" s="15" t="e" cm="1">
        <f t="array" ref="B945">_xlfn.SWITCH(LEFT(Tasks[[#This Row],[Status]],1),"O","Opened","C","Completed","S","Signed Off", "V", "Signed Off","ERROR")</f>
        <v>#VALUE!</v>
      </c>
      <c r="C945" s="15" t="e" cm="1">
        <f t="array" ref="C945">_xlfn.SWITCH(LEFT(Tasks[[#This Row],[Type]], 3), "Fie", "Field Report", "Con", "Contractor QC", "Gen", "Contractor QC", "Pun", "Contractor QC", "Qua", "Contractor QC", "Fin", "Punch List")</f>
        <v>#VALUE!</v>
      </c>
      <c r="D945" s="15" t="e">
        <f>_xlfn.LET(
_xlpm.leftValue, TRIM(LEFT(Tasks[[#This Row],[Description]], 45)),
IF(LEN(_xlpm.leftValue) &lt; 40, _xlpm.leftValue, _xlfn.CONCAT(_xlpm.leftValue, "…"))
)</f>
        <v>#VALUE!</v>
      </c>
      <c r="E945" s="15" t="e" cm="1">
        <f t="array" ref="E945">_xlfn.LET(
_xlpm.inTower, COUNTIF(Tower_Num_Table[Tower Rm Numbers], LEFT(Task_Summary_Table[[#This Row],[Area/Room]], 3)) &gt; 0,
_xlpm.typeResult, _xlfn.SWITCH(LEFT(Tasks[[#This Row],[Page]], 2), "Hi", "Historic", "An", "Annex", "Si", "Site", "S5", "Project Task", "SWITCH ERROR"),
IF(_xlpm.inTower, "West Tower", _xlpm.typeResult)
)</f>
        <v>#VALUE!</v>
      </c>
      <c r="F945" s="15" t="str">
        <f>IFERROR(MID(Tasks[[#This Row],[Page]], FIND("Level", Tasks[[#This Row],[Page]]), 7), IF(ISNUMBER(FIND("Roof", Tasks[[#This Row],[Page]])), "Roof",  IF(ISNUMBER(FIND("S590", Tasks[[#This Row],[Page]])), "",  IF(ISNUMBER(FIND("Site", Tasks[[#This Row],[Page]])), "", "ERROR"))))</f>
        <v>ERROR</v>
      </c>
      <c r="G945" s="15" t="e">
        <f>IF(Tasks[[#This Row],[Location]]=0, "", Tasks[[#This Row],[Location]])</f>
        <v>#VALUE!</v>
      </c>
      <c r="H945" s="15" t="e">
        <f>Tasks[[#This Row],[To Package]]</f>
        <v>#VALUE!</v>
      </c>
      <c r="I945" s="15" t="e">
        <f>Tasks[[#This Row],[To Organisation]]</f>
        <v>#VALUE!</v>
      </c>
    </row>
    <row r="946" spans="1:9" ht="15.5" x14ac:dyDescent="0.35">
      <c r="A946" s="16" t="e">
        <f>HYPERLINK(_xlfn.CONCAT(Edit_URL,Tasks[[#This Row],[Ref]]),Tasks[[#This Row],[Ref]])</f>
        <v>#VALUE!</v>
      </c>
      <c r="B946" s="15" t="e" cm="1">
        <f t="array" ref="B946">_xlfn.SWITCH(LEFT(Tasks[[#This Row],[Status]],1),"O","Opened","C","Completed","S","Signed Off", "V", "Signed Off","ERROR")</f>
        <v>#VALUE!</v>
      </c>
      <c r="C946" s="15" t="e" cm="1">
        <f t="array" ref="C946">_xlfn.SWITCH(LEFT(Tasks[[#This Row],[Type]], 3), "Fie", "Field Report", "Con", "Contractor QC", "Gen", "Contractor QC", "Pun", "Contractor QC", "Qua", "Contractor QC", "Fin", "Punch List")</f>
        <v>#VALUE!</v>
      </c>
      <c r="D946" s="15" t="e">
        <f>_xlfn.LET(
_xlpm.leftValue, TRIM(LEFT(Tasks[[#This Row],[Description]], 45)),
IF(LEN(_xlpm.leftValue) &lt; 40, _xlpm.leftValue, _xlfn.CONCAT(_xlpm.leftValue, "…"))
)</f>
        <v>#VALUE!</v>
      </c>
      <c r="E946" s="15" t="e" cm="1">
        <f t="array" ref="E946">_xlfn.LET(
_xlpm.inTower, COUNTIF(Tower_Num_Table[Tower Rm Numbers], LEFT(Task_Summary_Table[[#This Row],[Area/Room]], 3)) &gt; 0,
_xlpm.typeResult, _xlfn.SWITCH(LEFT(Tasks[[#This Row],[Page]], 2), "Hi", "Historic", "An", "Annex", "Si", "Site", "S5", "Project Task", "SWITCH ERROR"),
IF(_xlpm.inTower, "West Tower", _xlpm.typeResult)
)</f>
        <v>#VALUE!</v>
      </c>
      <c r="F946" s="15" t="str">
        <f>IFERROR(MID(Tasks[[#This Row],[Page]], FIND("Level", Tasks[[#This Row],[Page]]), 7), IF(ISNUMBER(FIND("Roof", Tasks[[#This Row],[Page]])), "Roof",  IF(ISNUMBER(FIND("S590", Tasks[[#This Row],[Page]])), "",  IF(ISNUMBER(FIND("Site", Tasks[[#This Row],[Page]])), "", "ERROR"))))</f>
        <v>ERROR</v>
      </c>
      <c r="G946" s="15" t="e">
        <f>IF(Tasks[[#This Row],[Location]]=0, "", Tasks[[#This Row],[Location]])</f>
        <v>#VALUE!</v>
      </c>
      <c r="H946" s="15" t="e">
        <f>Tasks[[#This Row],[To Package]]</f>
        <v>#VALUE!</v>
      </c>
      <c r="I946" s="15" t="e">
        <f>Tasks[[#This Row],[To Organisation]]</f>
        <v>#VALUE!</v>
      </c>
    </row>
    <row r="947" spans="1:9" ht="15.5" x14ac:dyDescent="0.35">
      <c r="A947" s="16" t="e">
        <f>HYPERLINK(_xlfn.CONCAT(Edit_URL,Tasks[[#This Row],[Ref]]),Tasks[[#This Row],[Ref]])</f>
        <v>#VALUE!</v>
      </c>
      <c r="B947" s="15" t="e" cm="1">
        <f t="array" ref="B947">_xlfn.SWITCH(LEFT(Tasks[[#This Row],[Status]],1),"O","Opened","C","Completed","S","Signed Off", "V", "Signed Off","ERROR")</f>
        <v>#VALUE!</v>
      </c>
      <c r="C947" s="15" t="e" cm="1">
        <f t="array" ref="C947">_xlfn.SWITCH(LEFT(Tasks[[#This Row],[Type]], 3), "Fie", "Field Report", "Con", "Contractor QC", "Gen", "Contractor QC", "Pun", "Contractor QC", "Qua", "Contractor QC", "Fin", "Punch List")</f>
        <v>#VALUE!</v>
      </c>
      <c r="D947" s="15" t="e">
        <f>_xlfn.LET(
_xlpm.leftValue, TRIM(LEFT(Tasks[[#This Row],[Description]], 45)),
IF(LEN(_xlpm.leftValue) &lt; 40, _xlpm.leftValue, _xlfn.CONCAT(_xlpm.leftValue, "…"))
)</f>
        <v>#VALUE!</v>
      </c>
      <c r="E947" s="15" t="e" cm="1">
        <f t="array" ref="E947">_xlfn.LET(
_xlpm.inTower, COUNTIF(Tower_Num_Table[Tower Rm Numbers], LEFT(Task_Summary_Table[[#This Row],[Area/Room]], 3)) &gt; 0,
_xlpm.typeResult, _xlfn.SWITCH(LEFT(Tasks[[#This Row],[Page]], 2), "Hi", "Historic", "An", "Annex", "Si", "Site", "S5", "Project Task", "SWITCH ERROR"),
IF(_xlpm.inTower, "West Tower", _xlpm.typeResult)
)</f>
        <v>#VALUE!</v>
      </c>
      <c r="F947" s="15" t="str">
        <f>IFERROR(MID(Tasks[[#This Row],[Page]], FIND("Level", Tasks[[#This Row],[Page]]), 7), IF(ISNUMBER(FIND("Roof", Tasks[[#This Row],[Page]])), "Roof",  IF(ISNUMBER(FIND("S590", Tasks[[#This Row],[Page]])), "",  IF(ISNUMBER(FIND("Site", Tasks[[#This Row],[Page]])), "", "ERROR"))))</f>
        <v>ERROR</v>
      </c>
      <c r="G947" s="15" t="e">
        <f>IF(Tasks[[#This Row],[Location]]=0, "", Tasks[[#This Row],[Location]])</f>
        <v>#VALUE!</v>
      </c>
      <c r="H947" s="15" t="e">
        <f>Tasks[[#This Row],[To Package]]</f>
        <v>#VALUE!</v>
      </c>
      <c r="I947" s="15" t="e">
        <f>Tasks[[#This Row],[To Organisation]]</f>
        <v>#VALUE!</v>
      </c>
    </row>
    <row r="948" spans="1:9" ht="15.5" x14ac:dyDescent="0.35">
      <c r="A948" s="16" t="e">
        <f>HYPERLINK(_xlfn.CONCAT(Edit_URL,Tasks[[#This Row],[Ref]]),Tasks[[#This Row],[Ref]])</f>
        <v>#VALUE!</v>
      </c>
      <c r="B948" s="15" t="e" cm="1">
        <f t="array" ref="B948">_xlfn.SWITCH(LEFT(Tasks[[#This Row],[Status]],1),"O","Opened","C","Completed","S","Signed Off", "V", "Signed Off","ERROR")</f>
        <v>#VALUE!</v>
      </c>
      <c r="C948" s="15" t="e" cm="1">
        <f t="array" ref="C948">_xlfn.SWITCH(LEFT(Tasks[[#This Row],[Type]], 3), "Fie", "Field Report", "Con", "Contractor QC", "Gen", "Contractor QC", "Pun", "Contractor QC", "Qua", "Contractor QC", "Fin", "Punch List")</f>
        <v>#VALUE!</v>
      </c>
      <c r="D948" s="15" t="e">
        <f>_xlfn.LET(
_xlpm.leftValue, TRIM(LEFT(Tasks[[#This Row],[Description]], 45)),
IF(LEN(_xlpm.leftValue) &lt; 40, _xlpm.leftValue, _xlfn.CONCAT(_xlpm.leftValue, "…"))
)</f>
        <v>#VALUE!</v>
      </c>
      <c r="E948" s="15" t="e" cm="1">
        <f t="array" ref="E948">_xlfn.LET(
_xlpm.inTower, COUNTIF(Tower_Num_Table[Tower Rm Numbers], LEFT(Task_Summary_Table[[#This Row],[Area/Room]], 3)) &gt; 0,
_xlpm.typeResult, _xlfn.SWITCH(LEFT(Tasks[[#This Row],[Page]], 2), "Hi", "Historic", "An", "Annex", "Si", "Site", "S5", "Project Task", "SWITCH ERROR"),
IF(_xlpm.inTower, "West Tower", _xlpm.typeResult)
)</f>
        <v>#VALUE!</v>
      </c>
      <c r="F948" s="15" t="str">
        <f>IFERROR(MID(Tasks[[#This Row],[Page]], FIND("Level", Tasks[[#This Row],[Page]]), 7), IF(ISNUMBER(FIND("Roof", Tasks[[#This Row],[Page]])), "Roof",  IF(ISNUMBER(FIND("S590", Tasks[[#This Row],[Page]])), "",  IF(ISNUMBER(FIND("Site", Tasks[[#This Row],[Page]])), "", "ERROR"))))</f>
        <v>ERROR</v>
      </c>
      <c r="G948" s="15" t="e">
        <f>IF(Tasks[[#This Row],[Location]]=0, "", Tasks[[#This Row],[Location]])</f>
        <v>#VALUE!</v>
      </c>
      <c r="H948" s="15" t="e">
        <f>Tasks[[#This Row],[To Package]]</f>
        <v>#VALUE!</v>
      </c>
      <c r="I948" s="15" t="e">
        <f>Tasks[[#This Row],[To Organisation]]</f>
        <v>#VALUE!</v>
      </c>
    </row>
    <row r="949" spans="1:9" ht="15.5" x14ac:dyDescent="0.35">
      <c r="A949" s="16" t="e">
        <f>HYPERLINK(_xlfn.CONCAT(Edit_URL,Tasks[[#This Row],[Ref]]),Tasks[[#This Row],[Ref]])</f>
        <v>#VALUE!</v>
      </c>
      <c r="B949" s="15" t="e" cm="1">
        <f t="array" ref="B949">_xlfn.SWITCH(LEFT(Tasks[[#This Row],[Status]],1),"O","Opened","C","Completed","S","Signed Off", "V", "Signed Off","ERROR")</f>
        <v>#VALUE!</v>
      </c>
      <c r="C949" s="15" t="e" cm="1">
        <f t="array" ref="C949">_xlfn.SWITCH(LEFT(Tasks[[#This Row],[Type]], 3), "Fie", "Field Report", "Con", "Contractor QC", "Gen", "Contractor QC", "Pun", "Contractor QC", "Qua", "Contractor QC", "Fin", "Punch List")</f>
        <v>#VALUE!</v>
      </c>
      <c r="D949" s="15" t="e">
        <f>_xlfn.LET(
_xlpm.leftValue, TRIM(LEFT(Tasks[[#This Row],[Description]], 45)),
IF(LEN(_xlpm.leftValue) &lt; 40, _xlpm.leftValue, _xlfn.CONCAT(_xlpm.leftValue, "…"))
)</f>
        <v>#VALUE!</v>
      </c>
      <c r="E949" s="15" t="e" cm="1">
        <f t="array" ref="E949">_xlfn.LET(
_xlpm.inTower, COUNTIF(Tower_Num_Table[Tower Rm Numbers], LEFT(Task_Summary_Table[[#This Row],[Area/Room]], 3)) &gt; 0,
_xlpm.typeResult, _xlfn.SWITCH(LEFT(Tasks[[#This Row],[Page]], 2), "Hi", "Historic", "An", "Annex", "Si", "Site", "S5", "Project Task", "SWITCH ERROR"),
IF(_xlpm.inTower, "West Tower", _xlpm.typeResult)
)</f>
        <v>#VALUE!</v>
      </c>
      <c r="F949" s="15" t="str">
        <f>IFERROR(MID(Tasks[[#This Row],[Page]], FIND("Level", Tasks[[#This Row],[Page]]), 7), IF(ISNUMBER(FIND("Roof", Tasks[[#This Row],[Page]])), "Roof",  IF(ISNUMBER(FIND("S590", Tasks[[#This Row],[Page]])), "",  IF(ISNUMBER(FIND("Site", Tasks[[#This Row],[Page]])), "", "ERROR"))))</f>
        <v>ERROR</v>
      </c>
      <c r="G949" s="15" t="e">
        <f>IF(Tasks[[#This Row],[Location]]=0, "", Tasks[[#This Row],[Location]])</f>
        <v>#VALUE!</v>
      </c>
      <c r="H949" s="15" t="e">
        <f>Tasks[[#This Row],[To Package]]</f>
        <v>#VALUE!</v>
      </c>
      <c r="I949" s="15" t="e">
        <f>Tasks[[#This Row],[To Organisation]]</f>
        <v>#VALUE!</v>
      </c>
    </row>
    <row r="950" spans="1:9" ht="15.5" x14ac:dyDescent="0.35">
      <c r="A950" s="16" t="e">
        <f>HYPERLINK(_xlfn.CONCAT(Edit_URL,Tasks[[#This Row],[Ref]]),Tasks[[#This Row],[Ref]])</f>
        <v>#VALUE!</v>
      </c>
      <c r="B950" s="15" t="e" cm="1">
        <f t="array" ref="B950">_xlfn.SWITCH(LEFT(Tasks[[#This Row],[Status]],1),"O","Opened","C","Completed","S","Signed Off", "V", "Signed Off","ERROR")</f>
        <v>#VALUE!</v>
      </c>
      <c r="C950" s="15" t="e" cm="1">
        <f t="array" ref="C950">_xlfn.SWITCH(LEFT(Tasks[[#This Row],[Type]], 3), "Fie", "Field Report", "Con", "Contractor QC", "Gen", "Contractor QC", "Pun", "Contractor QC", "Qua", "Contractor QC", "Fin", "Punch List")</f>
        <v>#VALUE!</v>
      </c>
      <c r="D950" s="15" t="e">
        <f>_xlfn.LET(
_xlpm.leftValue, TRIM(LEFT(Tasks[[#This Row],[Description]], 45)),
IF(LEN(_xlpm.leftValue) &lt; 40, _xlpm.leftValue, _xlfn.CONCAT(_xlpm.leftValue, "…"))
)</f>
        <v>#VALUE!</v>
      </c>
      <c r="E950" s="15" t="e" cm="1">
        <f t="array" ref="E950">_xlfn.LET(
_xlpm.inTower, COUNTIF(Tower_Num_Table[Tower Rm Numbers], LEFT(Task_Summary_Table[[#This Row],[Area/Room]], 3)) &gt; 0,
_xlpm.typeResult, _xlfn.SWITCH(LEFT(Tasks[[#This Row],[Page]], 2), "Hi", "Historic", "An", "Annex", "Si", "Site", "S5", "Project Task", "SWITCH ERROR"),
IF(_xlpm.inTower, "West Tower", _xlpm.typeResult)
)</f>
        <v>#VALUE!</v>
      </c>
      <c r="F950" s="15" t="str">
        <f>IFERROR(MID(Tasks[[#This Row],[Page]], FIND("Level", Tasks[[#This Row],[Page]]), 7), IF(ISNUMBER(FIND("Roof", Tasks[[#This Row],[Page]])), "Roof",  IF(ISNUMBER(FIND("S590", Tasks[[#This Row],[Page]])), "",  IF(ISNUMBER(FIND("Site", Tasks[[#This Row],[Page]])), "", "ERROR"))))</f>
        <v>ERROR</v>
      </c>
      <c r="G950" s="15" t="e">
        <f>IF(Tasks[[#This Row],[Location]]=0, "", Tasks[[#This Row],[Location]])</f>
        <v>#VALUE!</v>
      </c>
      <c r="H950" s="15" t="e">
        <f>Tasks[[#This Row],[To Package]]</f>
        <v>#VALUE!</v>
      </c>
      <c r="I950" s="15" t="e">
        <f>Tasks[[#This Row],[To Organisation]]</f>
        <v>#VALUE!</v>
      </c>
    </row>
    <row r="951" spans="1:9" ht="15.5" x14ac:dyDescent="0.35">
      <c r="A951" s="16" t="e">
        <f>HYPERLINK(_xlfn.CONCAT(Edit_URL,Tasks[[#This Row],[Ref]]),Tasks[[#This Row],[Ref]])</f>
        <v>#VALUE!</v>
      </c>
      <c r="B951" s="15" t="e" cm="1">
        <f t="array" ref="B951">_xlfn.SWITCH(LEFT(Tasks[[#This Row],[Status]],1),"O","Opened","C","Completed","S","Signed Off", "V", "Signed Off","ERROR")</f>
        <v>#VALUE!</v>
      </c>
      <c r="C951" s="15" t="e" cm="1">
        <f t="array" ref="C951">_xlfn.SWITCH(LEFT(Tasks[[#This Row],[Type]], 3), "Fie", "Field Report", "Con", "Contractor QC", "Gen", "Contractor QC", "Pun", "Contractor QC", "Qua", "Contractor QC", "Fin", "Punch List")</f>
        <v>#VALUE!</v>
      </c>
      <c r="D951" s="15" t="e">
        <f>_xlfn.LET(
_xlpm.leftValue, TRIM(LEFT(Tasks[[#This Row],[Description]], 45)),
IF(LEN(_xlpm.leftValue) &lt; 40, _xlpm.leftValue, _xlfn.CONCAT(_xlpm.leftValue, "…"))
)</f>
        <v>#VALUE!</v>
      </c>
      <c r="E951" s="15" t="e" cm="1">
        <f t="array" ref="E951">_xlfn.LET(
_xlpm.inTower, COUNTIF(Tower_Num_Table[Tower Rm Numbers], LEFT(Task_Summary_Table[[#This Row],[Area/Room]], 3)) &gt; 0,
_xlpm.typeResult, _xlfn.SWITCH(LEFT(Tasks[[#This Row],[Page]], 2), "Hi", "Historic", "An", "Annex", "Si", "Site", "S5", "Project Task", "SWITCH ERROR"),
IF(_xlpm.inTower, "West Tower", _xlpm.typeResult)
)</f>
        <v>#VALUE!</v>
      </c>
      <c r="F951" s="15" t="str">
        <f>IFERROR(MID(Tasks[[#This Row],[Page]], FIND("Level", Tasks[[#This Row],[Page]]), 7), IF(ISNUMBER(FIND("Roof", Tasks[[#This Row],[Page]])), "Roof",  IF(ISNUMBER(FIND("S590", Tasks[[#This Row],[Page]])), "",  IF(ISNUMBER(FIND("Site", Tasks[[#This Row],[Page]])), "", "ERROR"))))</f>
        <v>ERROR</v>
      </c>
      <c r="G951" s="15" t="e">
        <f>IF(Tasks[[#This Row],[Location]]=0, "", Tasks[[#This Row],[Location]])</f>
        <v>#VALUE!</v>
      </c>
      <c r="H951" s="15" t="e">
        <f>Tasks[[#This Row],[To Package]]</f>
        <v>#VALUE!</v>
      </c>
      <c r="I951" s="15" t="e">
        <f>Tasks[[#This Row],[To Organisation]]</f>
        <v>#VALUE!</v>
      </c>
    </row>
    <row r="952" spans="1:9" ht="15.5" x14ac:dyDescent="0.35">
      <c r="A952" s="16" t="e">
        <f>HYPERLINK(_xlfn.CONCAT(Edit_URL,Tasks[[#This Row],[Ref]]),Tasks[[#This Row],[Ref]])</f>
        <v>#VALUE!</v>
      </c>
      <c r="B952" s="15" t="e" cm="1">
        <f t="array" ref="B952">_xlfn.SWITCH(LEFT(Tasks[[#This Row],[Status]],1),"O","Opened","C","Completed","S","Signed Off", "V", "Signed Off","ERROR")</f>
        <v>#VALUE!</v>
      </c>
      <c r="C952" s="15" t="e" cm="1">
        <f t="array" ref="C952">_xlfn.SWITCH(LEFT(Tasks[[#This Row],[Type]], 3), "Fie", "Field Report", "Con", "Contractor QC", "Gen", "Contractor QC", "Pun", "Contractor QC", "Qua", "Contractor QC", "Fin", "Punch List")</f>
        <v>#VALUE!</v>
      </c>
      <c r="D952" s="15" t="e">
        <f>_xlfn.LET(
_xlpm.leftValue, TRIM(LEFT(Tasks[[#This Row],[Description]], 45)),
IF(LEN(_xlpm.leftValue) &lt; 40, _xlpm.leftValue, _xlfn.CONCAT(_xlpm.leftValue, "…"))
)</f>
        <v>#VALUE!</v>
      </c>
      <c r="E952" s="15" t="e" cm="1">
        <f t="array" ref="E952">_xlfn.LET(
_xlpm.inTower, COUNTIF(Tower_Num_Table[Tower Rm Numbers], LEFT(Task_Summary_Table[[#This Row],[Area/Room]], 3)) &gt; 0,
_xlpm.typeResult, _xlfn.SWITCH(LEFT(Tasks[[#This Row],[Page]], 2), "Hi", "Historic", "An", "Annex", "Si", "Site", "S5", "Project Task", "SWITCH ERROR"),
IF(_xlpm.inTower, "West Tower", _xlpm.typeResult)
)</f>
        <v>#VALUE!</v>
      </c>
      <c r="F952" s="15" t="str">
        <f>IFERROR(MID(Tasks[[#This Row],[Page]], FIND("Level", Tasks[[#This Row],[Page]]), 7), IF(ISNUMBER(FIND("Roof", Tasks[[#This Row],[Page]])), "Roof",  IF(ISNUMBER(FIND("S590", Tasks[[#This Row],[Page]])), "",  IF(ISNUMBER(FIND("Site", Tasks[[#This Row],[Page]])), "", "ERROR"))))</f>
        <v>ERROR</v>
      </c>
      <c r="G952" s="15" t="e">
        <f>IF(Tasks[[#This Row],[Location]]=0, "", Tasks[[#This Row],[Location]])</f>
        <v>#VALUE!</v>
      </c>
      <c r="H952" s="15" t="e">
        <f>Tasks[[#This Row],[To Package]]</f>
        <v>#VALUE!</v>
      </c>
      <c r="I952" s="15" t="e">
        <f>Tasks[[#This Row],[To Organisation]]</f>
        <v>#VALUE!</v>
      </c>
    </row>
    <row r="953" spans="1:9" ht="15.5" x14ac:dyDescent="0.35">
      <c r="A953" s="16" t="e">
        <f>HYPERLINK(_xlfn.CONCAT(Edit_URL,Tasks[[#This Row],[Ref]]),Tasks[[#This Row],[Ref]])</f>
        <v>#VALUE!</v>
      </c>
      <c r="B953" s="15" t="e" cm="1">
        <f t="array" ref="B953">_xlfn.SWITCH(LEFT(Tasks[[#This Row],[Status]],1),"O","Opened","C","Completed","S","Signed Off", "V", "Signed Off","ERROR")</f>
        <v>#VALUE!</v>
      </c>
      <c r="C953" s="15" t="e" cm="1">
        <f t="array" ref="C953">_xlfn.SWITCH(LEFT(Tasks[[#This Row],[Type]], 3), "Fie", "Field Report", "Con", "Contractor QC", "Gen", "Contractor QC", "Pun", "Contractor QC", "Qua", "Contractor QC", "Fin", "Punch List")</f>
        <v>#VALUE!</v>
      </c>
      <c r="D953" s="15" t="e">
        <f>_xlfn.LET(
_xlpm.leftValue, TRIM(LEFT(Tasks[[#This Row],[Description]], 45)),
IF(LEN(_xlpm.leftValue) &lt; 40, _xlpm.leftValue, _xlfn.CONCAT(_xlpm.leftValue, "…"))
)</f>
        <v>#VALUE!</v>
      </c>
      <c r="E953" s="15" t="e" cm="1">
        <f t="array" ref="E953">_xlfn.LET(
_xlpm.inTower, COUNTIF(Tower_Num_Table[Tower Rm Numbers], LEFT(Task_Summary_Table[[#This Row],[Area/Room]], 3)) &gt; 0,
_xlpm.typeResult, _xlfn.SWITCH(LEFT(Tasks[[#This Row],[Page]], 2), "Hi", "Historic", "An", "Annex", "Si", "Site", "S5", "Project Task", "SWITCH ERROR"),
IF(_xlpm.inTower, "West Tower", _xlpm.typeResult)
)</f>
        <v>#VALUE!</v>
      </c>
      <c r="F953" s="15" t="str">
        <f>IFERROR(MID(Tasks[[#This Row],[Page]], FIND("Level", Tasks[[#This Row],[Page]]), 7), IF(ISNUMBER(FIND("Roof", Tasks[[#This Row],[Page]])), "Roof",  IF(ISNUMBER(FIND("S590", Tasks[[#This Row],[Page]])), "",  IF(ISNUMBER(FIND("Site", Tasks[[#This Row],[Page]])), "", "ERROR"))))</f>
        <v>ERROR</v>
      </c>
      <c r="G953" s="15" t="e">
        <f>IF(Tasks[[#This Row],[Location]]=0, "", Tasks[[#This Row],[Location]])</f>
        <v>#VALUE!</v>
      </c>
      <c r="H953" s="15" t="e">
        <f>Tasks[[#This Row],[To Package]]</f>
        <v>#VALUE!</v>
      </c>
      <c r="I953" s="15" t="e">
        <f>Tasks[[#This Row],[To Organisation]]</f>
        <v>#VALUE!</v>
      </c>
    </row>
    <row r="954" spans="1:9" ht="15.5" x14ac:dyDescent="0.35">
      <c r="A954" s="16" t="e">
        <f>HYPERLINK(_xlfn.CONCAT(Edit_URL,Tasks[[#This Row],[Ref]]),Tasks[[#This Row],[Ref]])</f>
        <v>#VALUE!</v>
      </c>
      <c r="B954" s="15" t="e" cm="1">
        <f t="array" ref="B954">_xlfn.SWITCH(LEFT(Tasks[[#This Row],[Status]],1),"O","Opened","C","Completed","S","Signed Off", "V", "Signed Off","ERROR")</f>
        <v>#VALUE!</v>
      </c>
      <c r="C954" s="15" t="e" cm="1">
        <f t="array" ref="C954">_xlfn.SWITCH(LEFT(Tasks[[#This Row],[Type]], 3), "Fie", "Field Report", "Con", "Contractor QC", "Gen", "Contractor QC", "Pun", "Contractor QC", "Qua", "Contractor QC", "Fin", "Punch List")</f>
        <v>#VALUE!</v>
      </c>
      <c r="D954" s="15" t="e">
        <f>_xlfn.LET(
_xlpm.leftValue, TRIM(LEFT(Tasks[[#This Row],[Description]], 45)),
IF(LEN(_xlpm.leftValue) &lt; 40, _xlpm.leftValue, _xlfn.CONCAT(_xlpm.leftValue, "…"))
)</f>
        <v>#VALUE!</v>
      </c>
      <c r="E954" s="15" t="e" cm="1">
        <f t="array" ref="E954">_xlfn.LET(
_xlpm.inTower, COUNTIF(Tower_Num_Table[Tower Rm Numbers], LEFT(Task_Summary_Table[[#This Row],[Area/Room]], 3)) &gt; 0,
_xlpm.typeResult, _xlfn.SWITCH(LEFT(Tasks[[#This Row],[Page]], 2), "Hi", "Historic", "An", "Annex", "Si", "Site", "S5", "Project Task", "SWITCH ERROR"),
IF(_xlpm.inTower, "West Tower", _xlpm.typeResult)
)</f>
        <v>#VALUE!</v>
      </c>
      <c r="F954" s="15" t="str">
        <f>IFERROR(MID(Tasks[[#This Row],[Page]], FIND("Level", Tasks[[#This Row],[Page]]), 7), IF(ISNUMBER(FIND("Roof", Tasks[[#This Row],[Page]])), "Roof",  IF(ISNUMBER(FIND("S590", Tasks[[#This Row],[Page]])), "",  IF(ISNUMBER(FIND("Site", Tasks[[#This Row],[Page]])), "", "ERROR"))))</f>
        <v>ERROR</v>
      </c>
      <c r="G954" s="15" t="e">
        <f>IF(Tasks[[#This Row],[Location]]=0, "", Tasks[[#This Row],[Location]])</f>
        <v>#VALUE!</v>
      </c>
      <c r="H954" s="15" t="e">
        <f>Tasks[[#This Row],[To Package]]</f>
        <v>#VALUE!</v>
      </c>
      <c r="I954" s="15" t="e">
        <f>Tasks[[#This Row],[To Organisation]]</f>
        <v>#VALUE!</v>
      </c>
    </row>
    <row r="955" spans="1:9" ht="15.5" x14ac:dyDescent="0.35">
      <c r="A955" s="16" t="e">
        <f>HYPERLINK(_xlfn.CONCAT(Edit_URL,Tasks[[#This Row],[Ref]]),Tasks[[#This Row],[Ref]])</f>
        <v>#VALUE!</v>
      </c>
      <c r="B955" s="15" t="e" cm="1">
        <f t="array" ref="B955">_xlfn.SWITCH(LEFT(Tasks[[#This Row],[Status]],1),"O","Opened","C","Completed","S","Signed Off", "V", "Signed Off","ERROR")</f>
        <v>#VALUE!</v>
      </c>
      <c r="C955" s="15" t="e" cm="1">
        <f t="array" ref="C955">_xlfn.SWITCH(LEFT(Tasks[[#This Row],[Type]], 3), "Fie", "Field Report", "Con", "Contractor QC", "Gen", "Contractor QC", "Pun", "Contractor QC", "Qua", "Contractor QC", "Fin", "Punch List")</f>
        <v>#VALUE!</v>
      </c>
      <c r="D955" s="15" t="e">
        <f>_xlfn.LET(
_xlpm.leftValue, TRIM(LEFT(Tasks[[#This Row],[Description]], 45)),
IF(LEN(_xlpm.leftValue) &lt; 40, _xlpm.leftValue, _xlfn.CONCAT(_xlpm.leftValue, "…"))
)</f>
        <v>#VALUE!</v>
      </c>
      <c r="E955" s="15" t="e" cm="1">
        <f t="array" ref="E955">_xlfn.LET(
_xlpm.inTower, COUNTIF(Tower_Num_Table[Tower Rm Numbers], LEFT(Task_Summary_Table[[#This Row],[Area/Room]], 3)) &gt; 0,
_xlpm.typeResult, _xlfn.SWITCH(LEFT(Tasks[[#This Row],[Page]], 2), "Hi", "Historic", "An", "Annex", "Si", "Site", "S5", "Project Task", "SWITCH ERROR"),
IF(_xlpm.inTower, "West Tower", _xlpm.typeResult)
)</f>
        <v>#VALUE!</v>
      </c>
      <c r="F955" s="15" t="str">
        <f>IFERROR(MID(Tasks[[#This Row],[Page]], FIND("Level", Tasks[[#This Row],[Page]]), 7), IF(ISNUMBER(FIND("Roof", Tasks[[#This Row],[Page]])), "Roof",  IF(ISNUMBER(FIND("S590", Tasks[[#This Row],[Page]])), "",  IF(ISNUMBER(FIND("Site", Tasks[[#This Row],[Page]])), "", "ERROR"))))</f>
        <v>ERROR</v>
      </c>
      <c r="G955" s="15" t="e">
        <f>IF(Tasks[[#This Row],[Location]]=0, "", Tasks[[#This Row],[Location]])</f>
        <v>#VALUE!</v>
      </c>
      <c r="H955" s="15" t="e">
        <f>Tasks[[#This Row],[To Package]]</f>
        <v>#VALUE!</v>
      </c>
      <c r="I955" s="15" t="e">
        <f>Tasks[[#This Row],[To Organisation]]</f>
        <v>#VALUE!</v>
      </c>
    </row>
    <row r="956" spans="1:9" ht="15.5" x14ac:dyDescent="0.35">
      <c r="A956" s="16" t="e">
        <f>HYPERLINK(_xlfn.CONCAT(Edit_URL,Tasks[[#This Row],[Ref]]),Tasks[[#This Row],[Ref]])</f>
        <v>#VALUE!</v>
      </c>
      <c r="B956" s="15" t="e" cm="1">
        <f t="array" ref="B956">_xlfn.SWITCH(LEFT(Tasks[[#This Row],[Status]],1),"O","Opened","C","Completed","S","Signed Off", "V", "Signed Off","ERROR")</f>
        <v>#VALUE!</v>
      </c>
      <c r="C956" s="15" t="e" cm="1">
        <f t="array" ref="C956">_xlfn.SWITCH(LEFT(Tasks[[#This Row],[Type]], 3), "Fie", "Field Report", "Con", "Contractor QC", "Gen", "Contractor QC", "Pun", "Contractor QC", "Qua", "Contractor QC", "Fin", "Punch List")</f>
        <v>#VALUE!</v>
      </c>
      <c r="D956" s="15" t="e">
        <f>_xlfn.LET(
_xlpm.leftValue, TRIM(LEFT(Tasks[[#This Row],[Description]], 45)),
IF(LEN(_xlpm.leftValue) &lt; 40, _xlpm.leftValue, _xlfn.CONCAT(_xlpm.leftValue, "…"))
)</f>
        <v>#VALUE!</v>
      </c>
      <c r="E956" s="15" t="e" cm="1">
        <f t="array" ref="E956">_xlfn.LET(
_xlpm.inTower, COUNTIF(Tower_Num_Table[Tower Rm Numbers], LEFT(Task_Summary_Table[[#This Row],[Area/Room]], 3)) &gt; 0,
_xlpm.typeResult, _xlfn.SWITCH(LEFT(Tasks[[#This Row],[Page]], 2), "Hi", "Historic", "An", "Annex", "Si", "Site", "S5", "Project Task", "SWITCH ERROR"),
IF(_xlpm.inTower, "West Tower", _xlpm.typeResult)
)</f>
        <v>#VALUE!</v>
      </c>
      <c r="F956" s="15" t="str">
        <f>IFERROR(MID(Tasks[[#This Row],[Page]], FIND("Level", Tasks[[#This Row],[Page]]), 7), IF(ISNUMBER(FIND("Roof", Tasks[[#This Row],[Page]])), "Roof",  IF(ISNUMBER(FIND("S590", Tasks[[#This Row],[Page]])), "",  IF(ISNUMBER(FIND("Site", Tasks[[#This Row],[Page]])), "", "ERROR"))))</f>
        <v>ERROR</v>
      </c>
      <c r="G956" s="15" t="e">
        <f>IF(Tasks[[#This Row],[Location]]=0, "", Tasks[[#This Row],[Location]])</f>
        <v>#VALUE!</v>
      </c>
      <c r="H956" s="15" t="e">
        <f>Tasks[[#This Row],[To Package]]</f>
        <v>#VALUE!</v>
      </c>
      <c r="I956" s="15" t="e">
        <f>Tasks[[#This Row],[To Organisation]]</f>
        <v>#VALUE!</v>
      </c>
    </row>
    <row r="957" spans="1:9" ht="15.5" x14ac:dyDescent="0.35">
      <c r="A957" s="16" t="e">
        <f>HYPERLINK(_xlfn.CONCAT(Edit_URL,Tasks[[#This Row],[Ref]]),Tasks[[#This Row],[Ref]])</f>
        <v>#VALUE!</v>
      </c>
      <c r="B957" s="15" t="e" cm="1">
        <f t="array" ref="B957">_xlfn.SWITCH(LEFT(Tasks[[#This Row],[Status]],1),"O","Opened","C","Completed","S","Signed Off", "V", "Signed Off","ERROR")</f>
        <v>#VALUE!</v>
      </c>
      <c r="C957" s="15" t="e" cm="1">
        <f t="array" ref="C957">_xlfn.SWITCH(LEFT(Tasks[[#This Row],[Type]], 3), "Fie", "Field Report", "Con", "Contractor QC", "Gen", "Contractor QC", "Pun", "Contractor QC", "Qua", "Contractor QC", "Fin", "Punch List")</f>
        <v>#VALUE!</v>
      </c>
      <c r="D957" s="15" t="e">
        <f>_xlfn.LET(
_xlpm.leftValue, TRIM(LEFT(Tasks[[#This Row],[Description]], 45)),
IF(LEN(_xlpm.leftValue) &lt; 40, _xlpm.leftValue, _xlfn.CONCAT(_xlpm.leftValue, "…"))
)</f>
        <v>#VALUE!</v>
      </c>
      <c r="E957" s="15" t="e" cm="1">
        <f t="array" ref="E957">_xlfn.LET(
_xlpm.inTower, COUNTIF(Tower_Num_Table[Tower Rm Numbers], LEFT(Task_Summary_Table[[#This Row],[Area/Room]], 3)) &gt; 0,
_xlpm.typeResult, _xlfn.SWITCH(LEFT(Tasks[[#This Row],[Page]], 2), "Hi", "Historic", "An", "Annex", "Si", "Site", "S5", "Project Task", "SWITCH ERROR"),
IF(_xlpm.inTower, "West Tower", _xlpm.typeResult)
)</f>
        <v>#VALUE!</v>
      </c>
      <c r="F957" s="15" t="str">
        <f>IFERROR(MID(Tasks[[#This Row],[Page]], FIND("Level", Tasks[[#This Row],[Page]]), 7), IF(ISNUMBER(FIND("Roof", Tasks[[#This Row],[Page]])), "Roof",  IF(ISNUMBER(FIND("S590", Tasks[[#This Row],[Page]])), "",  IF(ISNUMBER(FIND("Site", Tasks[[#This Row],[Page]])), "", "ERROR"))))</f>
        <v>ERROR</v>
      </c>
      <c r="G957" s="15" t="e">
        <f>IF(Tasks[[#This Row],[Location]]=0, "", Tasks[[#This Row],[Location]])</f>
        <v>#VALUE!</v>
      </c>
      <c r="H957" s="15" t="e">
        <f>Tasks[[#This Row],[To Package]]</f>
        <v>#VALUE!</v>
      </c>
      <c r="I957" s="15" t="e">
        <f>Tasks[[#This Row],[To Organisation]]</f>
        <v>#VALUE!</v>
      </c>
    </row>
    <row r="958" spans="1:9" ht="15.5" x14ac:dyDescent="0.35">
      <c r="A958" s="16" t="e">
        <f>HYPERLINK(_xlfn.CONCAT(Edit_URL,Tasks[[#This Row],[Ref]]),Tasks[[#This Row],[Ref]])</f>
        <v>#VALUE!</v>
      </c>
      <c r="B958" s="15" t="e" cm="1">
        <f t="array" ref="B958">_xlfn.SWITCH(LEFT(Tasks[[#This Row],[Status]],1),"O","Opened","C","Completed","S","Signed Off", "V", "Signed Off","ERROR")</f>
        <v>#VALUE!</v>
      </c>
      <c r="C958" s="15" t="e" cm="1">
        <f t="array" ref="C958">_xlfn.SWITCH(LEFT(Tasks[[#This Row],[Type]], 3), "Fie", "Field Report", "Con", "Contractor QC", "Gen", "Contractor QC", "Pun", "Contractor QC", "Qua", "Contractor QC", "Fin", "Punch List")</f>
        <v>#VALUE!</v>
      </c>
      <c r="D958" s="15" t="e">
        <f>_xlfn.LET(
_xlpm.leftValue, TRIM(LEFT(Tasks[[#This Row],[Description]], 45)),
IF(LEN(_xlpm.leftValue) &lt; 40, _xlpm.leftValue, _xlfn.CONCAT(_xlpm.leftValue, "…"))
)</f>
        <v>#VALUE!</v>
      </c>
      <c r="E958" s="15" t="e" cm="1">
        <f t="array" ref="E958">_xlfn.LET(
_xlpm.inTower, COUNTIF(Tower_Num_Table[Tower Rm Numbers], LEFT(Task_Summary_Table[[#This Row],[Area/Room]], 3)) &gt; 0,
_xlpm.typeResult, _xlfn.SWITCH(LEFT(Tasks[[#This Row],[Page]], 2), "Hi", "Historic", "An", "Annex", "Si", "Site", "S5", "Project Task", "SWITCH ERROR"),
IF(_xlpm.inTower, "West Tower", _xlpm.typeResult)
)</f>
        <v>#VALUE!</v>
      </c>
      <c r="F958" s="15" t="str">
        <f>IFERROR(MID(Tasks[[#This Row],[Page]], FIND("Level", Tasks[[#This Row],[Page]]), 7), IF(ISNUMBER(FIND("Roof", Tasks[[#This Row],[Page]])), "Roof",  IF(ISNUMBER(FIND("S590", Tasks[[#This Row],[Page]])), "",  IF(ISNUMBER(FIND("Site", Tasks[[#This Row],[Page]])), "", "ERROR"))))</f>
        <v>ERROR</v>
      </c>
      <c r="G958" s="15" t="e">
        <f>IF(Tasks[[#This Row],[Location]]=0, "", Tasks[[#This Row],[Location]])</f>
        <v>#VALUE!</v>
      </c>
      <c r="H958" s="15" t="e">
        <f>Tasks[[#This Row],[To Package]]</f>
        <v>#VALUE!</v>
      </c>
      <c r="I958" s="15" t="e">
        <f>Tasks[[#This Row],[To Organisation]]</f>
        <v>#VALUE!</v>
      </c>
    </row>
    <row r="959" spans="1:9" ht="15.5" x14ac:dyDescent="0.35">
      <c r="A959" s="16" t="e">
        <f>HYPERLINK(_xlfn.CONCAT(Edit_URL,Tasks[[#This Row],[Ref]]),Tasks[[#This Row],[Ref]])</f>
        <v>#VALUE!</v>
      </c>
      <c r="B959" s="15" t="e" cm="1">
        <f t="array" ref="B959">_xlfn.SWITCH(LEFT(Tasks[[#This Row],[Status]],1),"O","Opened","C","Completed","S","Signed Off", "V", "Signed Off","ERROR")</f>
        <v>#VALUE!</v>
      </c>
      <c r="C959" s="15" t="e" cm="1">
        <f t="array" ref="C959">_xlfn.SWITCH(LEFT(Tasks[[#This Row],[Type]], 3), "Fie", "Field Report", "Con", "Contractor QC", "Gen", "Contractor QC", "Pun", "Contractor QC", "Qua", "Contractor QC", "Fin", "Punch List")</f>
        <v>#VALUE!</v>
      </c>
      <c r="D959" s="15" t="e">
        <f>_xlfn.LET(
_xlpm.leftValue, TRIM(LEFT(Tasks[[#This Row],[Description]], 45)),
IF(LEN(_xlpm.leftValue) &lt; 40, _xlpm.leftValue, _xlfn.CONCAT(_xlpm.leftValue, "…"))
)</f>
        <v>#VALUE!</v>
      </c>
      <c r="E959" s="15" t="e" cm="1">
        <f t="array" ref="E959">_xlfn.LET(
_xlpm.inTower, COUNTIF(Tower_Num_Table[Tower Rm Numbers], LEFT(Task_Summary_Table[[#This Row],[Area/Room]], 3)) &gt; 0,
_xlpm.typeResult, _xlfn.SWITCH(LEFT(Tasks[[#This Row],[Page]], 2), "Hi", "Historic", "An", "Annex", "Si", "Site", "S5", "Project Task", "SWITCH ERROR"),
IF(_xlpm.inTower, "West Tower", _xlpm.typeResult)
)</f>
        <v>#VALUE!</v>
      </c>
      <c r="F959" s="15" t="str">
        <f>IFERROR(MID(Tasks[[#This Row],[Page]], FIND("Level", Tasks[[#This Row],[Page]]), 7), IF(ISNUMBER(FIND("Roof", Tasks[[#This Row],[Page]])), "Roof",  IF(ISNUMBER(FIND("S590", Tasks[[#This Row],[Page]])), "",  IF(ISNUMBER(FIND("Site", Tasks[[#This Row],[Page]])), "", "ERROR"))))</f>
        <v>ERROR</v>
      </c>
      <c r="G959" s="15" t="e">
        <f>IF(Tasks[[#This Row],[Location]]=0, "", Tasks[[#This Row],[Location]])</f>
        <v>#VALUE!</v>
      </c>
      <c r="H959" s="15" t="e">
        <f>Tasks[[#This Row],[To Package]]</f>
        <v>#VALUE!</v>
      </c>
      <c r="I959" s="15" t="e">
        <f>Tasks[[#This Row],[To Organisation]]</f>
        <v>#VALUE!</v>
      </c>
    </row>
    <row r="960" spans="1:9" ht="15.5" x14ac:dyDescent="0.35">
      <c r="A960" s="16" t="e">
        <f>HYPERLINK(_xlfn.CONCAT(Edit_URL,Tasks[[#This Row],[Ref]]),Tasks[[#This Row],[Ref]])</f>
        <v>#VALUE!</v>
      </c>
      <c r="B960" s="15" t="e" cm="1">
        <f t="array" ref="B960">_xlfn.SWITCH(LEFT(Tasks[[#This Row],[Status]],1),"O","Opened","C","Completed","S","Signed Off", "V", "Signed Off","ERROR")</f>
        <v>#VALUE!</v>
      </c>
      <c r="C960" s="15" t="e" cm="1">
        <f t="array" ref="C960">_xlfn.SWITCH(LEFT(Tasks[[#This Row],[Type]], 3), "Fie", "Field Report", "Con", "Contractor QC", "Gen", "Contractor QC", "Pun", "Contractor QC", "Qua", "Contractor QC", "Fin", "Punch List")</f>
        <v>#VALUE!</v>
      </c>
      <c r="D960" s="15" t="e">
        <f>_xlfn.LET(
_xlpm.leftValue, TRIM(LEFT(Tasks[[#This Row],[Description]], 45)),
IF(LEN(_xlpm.leftValue) &lt; 40, _xlpm.leftValue, _xlfn.CONCAT(_xlpm.leftValue, "…"))
)</f>
        <v>#VALUE!</v>
      </c>
      <c r="E960" s="15" t="e" cm="1">
        <f t="array" ref="E960">_xlfn.LET(
_xlpm.inTower, COUNTIF(Tower_Num_Table[Tower Rm Numbers], LEFT(Task_Summary_Table[[#This Row],[Area/Room]], 3)) &gt; 0,
_xlpm.typeResult, _xlfn.SWITCH(LEFT(Tasks[[#This Row],[Page]], 2), "Hi", "Historic", "An", "Annex", "Si", "Site", "S5", "Project Task", "SWITCH ERROR"),
IF(_xlpm.inTower, "West Tower", _xlpm.typeResult)
)</f>
        <v>#VALUE!</v>
      </c>
      <c r="F960" s="15" t="str">
        <f>IFERROR(MID(Tasks[[#This Row],[Page]], FIND("Level", Tasks[[#This Row],[Page]]), 7), IF(ISNUMBER(FIND("Roof", Tasks[[#This Row],[Page]])), "Roof",  IF(ISNUMBER(FIND("S590", Tasks[[#This Row],[Page]])), "",  IF(ISNUMBER(FIND("Site", Tasks[[#This Row],[Page]])), "", "ERROR"))))</f>
        <v>ERROR</v>
      </c>
      <c r="G960" s="15" t="e">
        <f>IF(Tasks[[#This Row],[Location]]=0, "", Tasks[[#This Row],[Location]])</f>
        <v>#VALUE!</v>
      </c>
      <c r="H960" s="15" t="e">
        <f>Tasks[[#This Row],[To Package]]</f>
        <v>#VALUE!</v>
      </c>
      <c r="I960" s="15" t="e">
        <f>Tasks[[#This Row],[To Organisation]]</f>
        <v>#VALUE!</v>
      </c>
    </row>
    <row r="961" spans="1:9" ht="15.5" x14ac:dyDescent="0.35">
      <c r="A961" s="16" t="e">
        <f>HYPERLINK(_xlfn.CONCAT(Edit_URL,Tasks[[#This Row],[Ref]]),Tasks[[#This Row],[Ref]])</f>
        <v>#VALUE!</v>
      </c>
      <c r="B961" s="15" t="e" cm="1">
        <f t="array" ref="B961">_xlfn.SWITCH(LEFT(Tasks[[#This Row],[Status]],1),"O","Opened","C","Completed","S","Signed Off", "V", "Signed Off","ERROR")</f>
        <v>#VALUE!</v>
      </c>
      <c r="C961" s="15" t="e" cm="1">
        <f t="array" ref="C961">_xlfn.SWITCH(LEFT(Tasks[[#This Row],[Type]], 3), "Fie", "Field Report", "Con", "Contractor QC", "Gen", "Contractor QC", "Pun", "Contractor QC", "Qua", "Contractor QC", "Fin", "Punch List")</f>
        <v>#VALUE!</v>
      </c>
      <c r="D961" s="15" t="e">
        <f>_xlfn.LET(
_xlpm.leftValue, TRIM(LEFT(Tasks[[#This Row],[Description]], 45)),
IF(LEN(_xlpm.leftValue) &lt; 40, _xlpm.leftValue, _xlfn.CONCAT(_xlpm.leftValue, "…"))
)</f>
        <v>#VALUE!</v>
      </c>
      <c r="E961" s="15" t="e" cm="1">
        <f t="array" ref="E961">_xlfn.LET(
_xlpm.inTower, COUNTIF(Tower_Num_Table[Tower Rm Numbers], LEFT(Task_Summary_Table[[#This Row],[Area/Room]], 3)) &gt; 0,
_xlpm.typeResult, _xlfn.SWITCH(LEFT(Tasks[[#This Row],[Page]], 2), "Hi", "Historic", "An", "Annex", "Si", "Site", "S5", "Project Task", "SWITCH ERROR"),
IF(_xlpm.inTower, "West Tower", _xlpm.typeResult)
)</f>
        <v>#VALUE!</v>
      </c>
      <c r="F961" s="15" t="str">
        <f>IFERROR(MID(Tasks[[#This Row],[Page]], FIND("Level", Tasks[[#This Row],[Page]]), 7), IF(ISNUMBER(FIND("Roof", Tasks[[#This Row],[Page]])), "Roof",  IF(ISNUMBER(FIND("S590", Tasks[[#This Row],[Page]])), "",  IF(ISNUMBER(FIND("Site", Tasks[[#This Row],[Page]])), "", "ERROR"))))</f>
        <v>ERROR</v>
      </c>
      <c r="G961" s="15" t="e">
        <f>IF(Tasks[[#This Row],[Location]]=0, "", Tasks[[#This Row],[Location]])</f>
        <v>#VALUE!</v>
      </c>
      <c r="H961" s="15" t="e">
        <f>Tasks[[#This Row],[To Package]]</f>
        <v>#VALUE!</v>
      </c>
      <c r="I961" s="15" t="e">
        <f>Tasks[[#This Row],[To Organisation]]</f>
        <v>#VALUE!</v>
      </c>
    </row>
    <row r="962" spans="1:9" ht="15.5" x14ac:dyDescent="0.35">
      <c r="A962" s="16" t="e">
        <f>HYPERLINK(_xlfn.CONCAT(Edit_URL,Tasks[[#This Row],[Ref]]),Tasks[[#This Row],[Ref]])</f>
        <v>#VALUE!</v>
      </c>
      <c r="B962" s="15" t="e" cm="1">
        <f t="array" ref="B962">_xlfn.SWITCH(LEFT(Tasks[[#This Row],[Status]],1),"O","Opened","C","Completed","S","Signed Off", "V", "Signed Off","ERROR")</f>
        <v>#VALUE!</v>
      </c>
      <c r="C962" s="15" t="e" cm="1">
        <f t="array" ref="C962">_xlfn.SWITCH(LEFT(Tasks[[#This Row],[Type]], 3), "Fie", "Field Report", "Con", "Contractor QC", "Gen", "Contractor QC", "Pun", "Contractor QC", "Qua", "Contractor QC", "Fin", "Punch List")</f>
        <v>#VALUE!</v>
      </c>
      <c r="D962" s="15" t="e">
        <f>_xlfn.LET(
_xlpm.leftValue, TRIM(LEFT(Tasks[[#This Row],[Description]], 45)),
IF(LEN(_xlpm.leftValue) &lt; 40, _xlpm.leftValue, _xlfn.CONCAT(_xlpm.leftValue, "…"))
)</f>
        <v>#VALUE!</v>
      </c>
      <c r="E962" s="15" t="e" cm="1">
        <f t="array" ref="E962">_xlfn.LET(
_xlpm.inTower, COUNTIF(Tower_Num_Table[Tower Rm Numbers], LEFT(Task_Summary_Table[[#This Row],[Area/Room]], 3)) &gt; 0,
_xlpm.typeResult, _xlfn.SWITCH(LEFT(Tasks[[#This Row],[Page]], 2), "Hi", "Historic", "An", "Annex", "Si", "Site", "S5", "Project Task", "SWITCH ERROR"),
IF(_xlpm.inTower, "West Tower", _xlpm.typeResult)
)</f>
        <v>#VALUE!</v>
      </c>
      <c r="F962" s="15" t="str">
        <f>IFERROR(MID(Tasks[[#This Row],[Page]], FIND("Level", Tasks[[#This Row],[Page]]), 7), IF(ISNUMBER(FIND("Roof", Tasks[[#This Row],[Page]])), "Roof",  IF(ISNUMBER(FIND("S590", Tasks[[#This Row],[Page]])), "",  IF(ISNUMBER(FIND("Site", Tasks[[#This Row],[Page]])), "", "ERROR"))))</f>
        <v>ERROR</v>
      </c>
      <c r="G962" s="15" t="e">
        <f>IF(Tasks[[#This Row],[Location]]=0, "", Tasks[[#This Row],[Location]])</f>
        <v>#VALUE!</v>
      </c>
      <c r="H962" s="15" t="e">
        <f>Tasks[[#This Row],[To Package]]</f>
        <v>#VALUE!</v>
      </c>
      <c r="I962" s="15" t="e">
        <f>Tasks[[#This Row],[To Organisation]]</f>
        <v>#VALUE!</v>
      </c>
    </row>
    <row r="963" spans="1:9" ht="15.5" x14ac:dyDescent="0.35">
      <c r="A963" s="16" t="e">
        <f>HYPERLINK(_xlfn.CONCAT(Edit_URL,Tasks[[#This Row],[Ref]]),Tasks[[#This Row],[Ref]])</f>
        <v>#VALUE!</v>
      </c>
      <c r="B963" s="15" t="e" cm="1">
        <f t="array" ref="B963">_xlfn.SWITCH(LEFT(Tasks[[#This Row],[Status]],1),"O","Opened","C","Completed","S","Signed Off", "V", "Signed Off","ERROR")</f>
        <v>#VALUE!</v>
      </c>
      <c r="C963" s="15" t="e" cm="1">
        <f t="array" ref="C963">_xlfn.SWITCH(LEFT(Tasks[[#This Row],[Type]], 3), "Fie", "Field Report", "Con", "Contractor QC", "Gen", "Contractor QC", "Pun", "Contractor QC", "Qua", "Contractor QC", "Fin", "Punch List")</f>
        <v>#VALUE!</v>
      </c>
      <c r="D963" s="15" t="e">
        <f>_xlfn.LET(
_xlpm.leftValue, TRIM(LEFT(Tasks[[#This Row],[Description]], 45)),
IF(LEN(_xlpm.leftValue) &lt; 40, _xlpm.leftValue, _xlfn.CONCAT(_xlpm.leftValue, "…"))
)</f>
        <v>#VALUE!</v>
      </c>
      <c r="E963" s="15" t="e" cm="1">
        <f t="array" ref="E963">_xlfn.LET(
_xlpm.inTower, COUNTIF(Tower_Num_Table[Tower Rm Numbers], LEFT(Task_Summary_Table[[#This Row],[Area/Room]], 3)) &gt; 0,
_xlpm.typeResult, _xlfn.SWITCH(LEFT(Tasks[[#This Row],[Page]], 2), "Hi", "Historic", "An", "Annex", "Si", "Site", "S5", "Project Task", "SWITCH ERROR"),
IF(_xlpm.inTower, "West Tower", _xlpm.typeResult)
)</f>
        <v>#VALUE!</v>
      </c>
      <c r="F963" s="15" t="str">
        <f>IFERROR(MID(Tasks[[#This Row],[Page]], FIND("Level", Tasks[[#This Row],[Page]]), 7), IF(ISNUMBER(FIND("Roof", Tasks[[#This Row],[Page]])), "Roof",  IF(ISNUMBER(FIND("S590", Tasks[[#This Row],[Page]])), "",  IF(ISNUMBER(FIND("Site", Tasks[[#This Row],[Page]])), "", "ERROR"))))</f>
        <v>ERROR</v>
      </c>
      <c r="G963" s="15" t="e">
        <f>IF(Tasks[[#This Row],[Location]]=0, "", Tasks[[#This Row],[Location]])</f>
        <v>#VALUE!</v>
      </c>
      <c r="H963" s="15" t="e">
        <f>Tasks[[#This Row],[To Package]]</f>
        <v>#VALUE!</v>
      </c>
      <c r="I963" s="15" t="e">
        <f>Tasks[[#This Row],[To Organisation]]</f>
        <v>#VALUE!</v>
      </c>
    </row>
    <row r="964" spans="1:9" ht="15.5" x14ac:dyDescent="0.35">
      <c r="A964" s="16" t="e">
        <f>HYPERLINK(_xlfn.CONCAT(Edit_URL,Tasks[[#This Row],[Ref]]),Tasks[[#This Row],[Ref]])</f>
        <v>#VALUE!</v>
      </c>
      <c r="B964" s="15" t="e" cm="1">
        <f t="array" ref="B964">_xlfn.SWITCH(LEFT(Tasks[[#This Row],[Status]],1),"O","Opened","C","Completed","S","Signed Off", "V", "Signed Off","ERROR")</f>
        <v>#VALUE!</v>
      </c>
      <c r="C964" s="15" t="e" cm="1">
        <f t="array" ref="C964">_xlfn.SWITCH(LEFT(Tasks[[#This Row],[Type]], 3), "Fie", "Field Report", "Con", "Contractor QC", "Gen", "Contractor QC", "Pun", "Contractor QC", "Qua", "Contractor QC", "Fin", "Punch List")</f>
        <v>#VALUE!</v>
      </c>
      <c r="D964" s="15" t="e">
        <f>_xlfn.LET(
_xlpm.leftValue, TRIM(LEFT(Tasks[[#This Row],[Description]], 45)),
IF(LEN(_xlpm.leftValue) &lt; 40, _xlpm.leftValue, _xlfn.CONCAT(_xlpm.leftValue, "…"))
)</f>
        <v>#VALUE!</v>
      </c>
      <c r="E964" s="15" t="e" cm="1">
        <f t="array" ref="E964">_xlfn.LET(
_xlpm.inTower, COUNTIF(Tower_Num_Table[Tower Rm Numbers], LEFT(Task_Summary_Table[[#This Row],[Area/Room]], 3)) &gt; 0,
_xlpm.typeResult, _xlfn.SWITCH(LEFT(Tasks[[#This Row],[Page]], 2), "Hi", "Historic", "An", "Annex", "Si", "Site", "S5", "Project Task", "SWITCH ERROR"),
IF(_xlpm.inTower, "West Tower", _xlpm.typeResult)
)</f>
        <v>#VALUE!</v>
      </c>
      <c r="F964" s="15" t="str">
        <f>IFERROR(MID(Tasks[[#This Row],[Page]], FIND("Level", Tasks[[#This Row],[Page]]), 7), IF(ISNUMBER(FIND("Roof", Tasks[[#This Row],[Page]])), "Roof",  IF(ISNUMBER(FIND("S590", Tasks[[#This Row],[Page]])), "",  IF(ISNUMBER(FIND("Site", Tasks[[#This Row],[Page]])), "", "ERROR"))))</f>
        <v>ERROR</v>
      </c>
      <c r="G964" s="15" t="e">
        <f>IF(Tasks[[#This Row],[Location]]=0, "", Tasks[[#This Row],[Location]])</f>
        <v>#VALUE!</v>
      </c>
      <c r="H964" s="15" t="e">
        <f>Tasks[[#This Row],[To Package]]</f>
        <v>#VALUE!</v>
      </c>
      <c r="I964" s="15" t="e">
        <f>Tasks[[#This Row],[To Organisation]]</f>
        <v>#VALUE!</v>
      </c>
    </row>
    <row r="965" spans="1:9" ht="15.5" x14ac:dyDescent="0.35">
      <c r="A965" s="16" t="e">
        <f>HYPERLINK(_xlfn.CONCAT(Edit_URL,Tasks[[#This Row],[Ref]]),Tasks[[#This Row],[Ref]])</f>
        <v>#VALUE!</v>
      </c>
      <c r="B965" s="15" t="e" cm="1">
        <f t="array" ref="B965">_xlfn.SWITCH(LEFT(Tasks[[#This Row],[Status]],1),"O","Opened","C","Completed","S","Signed Off", "V", "Signed Off","ERROR")</f>
        <v>#VALUE!</v>
      </c>
      <c r="C965" s="15" t="e" cm="1">
        <f t="array" ref="C965">_xlfn.SWITCH(LEFT(Tasks[[#This Row],[Type]], 3), "Fie", "Field Report", "Con", "Contractor QC", "Gen", "Contractor QC", "Pun", "Contractor QC", "Qua", "Contractor QC", "Fin", "Punch List")</f>
        <v>#VALUE!</v>
      </c>
      <c r="D965" s="15" t="e">
        <f>_xlfn.LET(
_xlpm.leftValue, TRIM(LEFT(Tasks[[#This Row],[Description]], 45)),
IF(LEN(_xlpm.leftValue) &lt; 40, _xlpm.leftValue, _xlfn.CONCAT(_xlpm.leftValue, "…"))
)</f>
        <v>#VALUE!</v>
      </c>
      <c r="E965" s="15" t="e" cm="1">
        <f t="array" ref="E965">_xlfn.LET(
_xlpm.inTower, COUNTIF(Tower_Num_Table[Tower Rm Numbers], LEFT(Task_Summary_Table[[#This Row],[Area/Room]], 3)) &gt; 0,
_xlpm.typeResult, _xlfn.SWITCH(LEFT(Tasks[[#This Row],[Page]], 2), "Hi", "Historic", "An", "Annex", "Si", "Site", "S5", "Project Task", "SWITCH ERROR"),
IF(_xlpm.inTower, "West Tower", _xlpm.typeResult)
)</f>
        <v>#VALUE!</v>
      </c>
      <c r="F965" s="15" t="str">
        <f>IFERROR(MID(Tasks[[#This Row],[Page]], FIND("Level", Tasks[[#This Row],[Page]]), 7), IF(ISNUMBER(FIND("Roof", Tasks[[#This Row],[Page]])), "Roof",  IF(ISNUMBER(FIND("S590", Tasks[[#This Row],[Page]])), "",  IF(ISNUMBER(FIND("Site", Tasks[[#This Row],[Page]])), "", "ERROR"))))</f>
        <v>ERROR</v>
      </c>
      <c r="G965" s="15" t="e">
        <f>IF(Tasks[[#This Row],[Location]]=0, "", Tasks[[#This Row],[Location]])</f>
        <v>#VALUE!</v>
      </c>
      <c r="H965" s="15" t="e">
        <f>Tasks[[#This Row],[To Package]]</f>
        <v>#VALUE!</v>
      </c>
      <c r="I965" s="15" t="e">
        <f>Tasks[[#This Row],[To Organisation]]</f>
        <v>#VALUE!</v>
      </c>
    </row>
    <row r="966" spans="1:9" ht="15.5" x14ac:dyDescent="0.35">
      <c r="A966" s="16" t="e">
        <f>HYPERLINK(_xlfn.CONCAT(Edit_URL,Tasks[[#This Row],[Ref]]),Tasks[[#This Row],[Ref]])</f>
        <v>#VALUE!</v>
      </c>
      <c r="B966" s="15" t="e" cm="1">
        <f t="array" ref="B966">_xlfn.SWITCH(LEFT(Tasks[[#This Row],[Status]],1),"O","Opened","C","Completed","S","Signed Off", "V", "Signed Off","ERROR")</f>
        <v>#VALUE!</v>
      </c>
      <c r="C966" s="15" t="e" cm="1">
        <f t="array" ref="C966">_xlfn.SWITCH(LEFT(Tasks[[#This Row],[Type]], 3), "Fie", "Field Report", "Con", "Contractor QC", "Gen", "Contractor QC", "Pun", "Contractor QC", "Qua", "Contractor QC", "Fin", "Punch List")</f>
        <v>#VALUE!</v>
      </c>
      <c r="D966" s="15" t="e">
        <f>_xlfn.LET(
_xlpm.leftValue, TRIM(LEFT(Tasks[[#This Row],[Description]], 45)),
IF(LEN(_xlpm.leftValue) &lt; 40, _xlpm.leftValue, _xlfn.CONCAT(_xlpm.leftValue, "…"))
)</f>
        <v>#VALUE!</v>
      </c>
      <c r="E966" s="15" t="e" cm="1">
        <f t="array" ref="E966">_xlfn.LET(
_xlpm.inTower, COUNTIF(Tower_Num_Table[Tower Rm Numbers], LEFT(Task_Summary_Table[[#This Row],[Area/Room]], 3)) &gt; 0,
_xlpm.typeResult, _xlfn.SWITCH(LEFT(Tasks[[#This Row],[Page]], 2), "Hi", "Historic", "An", "Annex", "Si", "Site", "S5", "Project Task", "SWITCH ERROR"),
IF(_xlpm.inTower, "West Tower", _xlpm.typeResult)
)</f>
        <v>#VALUE!</v>
      </c>
      <c r="F966" s="15" t="str">
        <f>IFERROR(MID(Tasks[[#This Row],[Page]], FIND("Level", Tasks[[#This Row],[Page]]), 7), IF(ISNUMBER(FIND("Roof", Tasks[[#This Row],[Page]])), "Roof",  IF(ISNUMBER(FIND("S590", Tasks[[#This Row],[Page]])), "",  IF(ISNUMBER(FIND("Site", Tasks[[#This Row],[Page]])), "", "ERROR"))))</f>
        <v>ERROR</v>
      </c>
      <c r="G966" s="15" t="e">
        <f>IF(Tasks[[#This Row],[Location]]=0, "", Tasks[[#This Row],[Location]])</f>
        <v>#VALUE!</v>
      </c>
      <c r="H966" s="15" t="e">
        <f>Tasks[[#This Row],[To Package]]</f>
        <v>#VALUE!</v>
      </c>
      <c r="I966" s="15" t="e">
        <f>Tasks[[#This Row],[To Organisation]]</f>
        <v>#VALUE!</v>
      </c>
    </row>
    <row r="967" spans="1:9" ht="15.5" x14ac:dyDescent="0.35">
      <c r="A967" s="16" t="e">
        <f>HYPERLINK(_xlfn.CONCAT(Edit_URL,Tasks[[#This Row],[Ref]]),Tasks[[#This Row],[Ref]])</f>
        <v>#VALUE!</v>
      </c>
      <c r="B967" s="15" t="e" cm="1">
        <f t="array" ref="B967">_xlfn.SWITCH(LEFT(Tasks[[#This Row],[Status]],1),"O","Opened","C","Completed","S","Signed Off", "V", "Signed Off","ERROR")</f>
        <v>#VALUE!</v>
      </c>
      <c r="C967" s="15" t="e" cm="1">
        <f t="array" ref="C967">_xlfn.SWITCH(LEFT(Tasks[[#This Row],[Type]], 3), "Fie", "Field Report", "Con", "Contractor QC", "Gen", "Contractor QC", "Pun", "Contractor QC", "Qua", "Contractor QC", "Fin", "Punch List")</f>
        <v>#VALUE!</v>
      </c>
      <c r="D967" s="15" t="e">
        <f>_xlfn.LET(
_xlpm.leftValue, TRIM(LEFT(Tasks[[#This Row],[Description]], 45)),
IF(LEN(_xlpm.leftValue) &lt; 40, _xlpm.leftValue, _xlfn.CONCAT(_xlpm.leftValue, "…"))
)</f>
        <v>#VALUE!</v>
      </c>
      <c r="E967" s="15" t="e" cm="1">
        <f t="array" ref="E967">_xlfn.LET(
_xlpm.inTower, COUNTIF(Tower_Num_Table[Tower Rm Numbers], LEFT(Task_Summary_Table[[#This Row],[Area/Room]], 3)) &gt; 0,
_xlpm.typeResult, _xlfn.SWITCH(LEFT(Tasks[[#This Row],[Page]], 2), "Hi", "Historic", "An", "Annex", "Si", "Site", "S5", "Project Task", "SWITCH ERROR"),
IF(_xlpm.inTower, "West Tower", _xlpm.typeResult)
)</f>
        <v>#VALUE!</v>
      </c>
      <c r="F967" s="15" t="str">
        <f>IFERROR(MID(Tasks[[#This Row],[Page]], FIND("Level", Tasks[[#This Row],[Page]]), 7), IF(ISNUMBER(FIND("Roof", Tasks[[#This Row],[Page]])), "Roof",  IF(ISNUMBER(FIND("S590", Tasks[[#This Row],[Page]])), "",  IF(ISNUMBER(FIND("Site", Tasks[[#This Row],[Page]])), "", "ERROR"))))</f>
        <v>ERROR</v>
      </c>
      <c r="G967" s="15" t="e">
        <f>IF(Tasks[[#This Row],[Location]]=0, "", Tasks[[#This Row],[Location]])</f>
        <v>#VALUE!</v>
      </c>
      <c r="H967" s="15" t="e">
        <f>Tasks[[#This Row],[To Package]]</f>
        <v>#VALUE!</v>
      </c>
      <c r="I967" s="15" t="e">
        <f>Tasks[[#This Row],[To Organisation]]</f>
        <v>#VALUE!</v>
      </c>
    </row>
    <row r="968" spans="1:9" ht="15.5" x14ac:dyDescent="0.35">
      <c r="A968" s="16" t="e">
        <f>HYPERLINK(_xlfn.CONCAT(Edit_URL,Tasks[[#This Row],[Ref]]),Tasks[[#This Row],[Ref]])</f>
        <v>#VALUE!</v>
      </c>
      <c r="B968" s="15" t="e" cm="1">
        <f t="array" ref="B968">_xlfn.SWITCH(LEFT(Tasks[[#This Row],[Status]],1),"O","Opened","C","Completed","S","Signed Off", "V", "Signed Off","ERROR")</f>
        <v>#VALUE!</v>
      </c>
      <c r="C968" s="15" t="e" cm="1">
        <f t="array" ref="C968">_xlfn.SWITCH(LEFT(Tasks[[#This Row],[Type]], 3), "Fie", "Field Report", "Con", "Contractor QC", "Gen", "Contractor QC", "Pun", "Contractor QC", "Qua", "Contractor QC", "Fin", "Punch List")</f>
        <v>#VALUE!</v>
      </c>
      <c r="D968" s="15" t="e">
        <f>_xlfn.LET(
_xlpm.leftValue, TRIM(LEFT(Tasks[[#This Row],[Description]], 45)),
IF(LEN(_xlpm.leftValue) &lt; 40, _xlpm.leftValue, _xlfn.CONCAT(_xlpm.leftValue, "…"))
)</f>
        <v>#VALUE!</v>
      </c>
      <c r="E968" s="15" t="e" cm="1">
        <f t="array" ref="E968">_xlfn.LET(
_xlpm.inTower, COUNTIF(Tower_Num_Table[Tower Rm Numbers], LEFT(Task_Summary_Table[[#This Row],[Area/Room]], 3)) &gt; 0,
_xlpm.typeResult, _xlfn.SWITCH(LEFT(Tasks[[#This Row],[Page]], 2), "Hi", "Historic", "An", "Annex", "Si", "Site", "S5", "Project Task", "SWITCH ERROR"),
IF(_xlpm.inTower, "West Tower", _xlpm.typeResult)
)</f>
        <v>#VALUE!</v>
      </c>
      <c r="F968" s="15" t="str">
        <f>IFERROR(MID(Tasks[[#This Row],[Page]], FIND("Level", Tasks[[#This Row],[Page]]), 7), IF(ISNUMBER(FIND("Roof", Tasks[[#This Row],[Page]])), "Roof",  IF(ISNUMBER(FIND("S590", Tasks[[#This Row],[Page]])), "",  IF(ISNUMBER(FIND("Site", Tasks[[#This Row],[Page]])), "", "ERROR"))))</f>
        <v>ERROR</v>
      </c>
      <c r="G968" s="15" t="e">
        <f>IF(Tasks[[#This Row],[Location]]=0, "", Tasks[[#This Row],[Location]])</f>
        <v>#VALUE!</v>
      </c>
      <c r="H968" s="15" t="e">
        <f>Tasks[[#This Row],[To Package]]</f>
        <v>#VALUE!</v>
      </c>
      <c r="I968" s="15" t="e">
        <f>Tasks[[#This Row],[To Organisation]]</f>
        <v>#VALUE!</v>
      </c>
    </row>
    <row r="969" spans="1:9" ht="15.5" x14ac:dyDescent="0.35">
      <c r="A969" s="16" t="e">
        <f>HYPERLINK(_xlfn.CONCAT(Edit_URL,Tasks[[#This Row],[Ref]]),Tasks[[#This Row],[Ref]])</f>
        <v>#VALUE!</v>
      </c>
      <c r="B969" s="15" t="e" cm="1">
        <f t="array" ref="B969">_xlfn.SWITCH(LEFT(Tasks[[#This Row],[Status]],1),"O","Opened","C","Completed","S","Signed Off", "V", "Signed Off","ERROR")</f>
        <v>#VALUE!</v>
      </c>
      <c r="C969" s="15" t="e" cm="1">
        <f t="array" ref="C969">_xlfn.SWITCH(LEFT(Tasks[[#This Row],[Type]], 3), "Fie", "Field Report", "Con", "Contractor QC", "Gen", "Contractor QC", "Pun", "Contractor QC", "Qua", "Contractor QC", "Fin", "Punch List")</f>
        <v>#VALUE!</v>
      </c>
      <c r="D969" s="15" t="e">
        <f>_xlfn.LET(
_xlpm.leftValue, TRIM(LEFT(Tasks[[#This Row],[Description]], 45)),
IF(LEN(_xlpm.leftValue) &lt; 40, _xlpm.leftValue, _xlfn.CONCAT(_xlpm.leftValue, "…"))
)</f>
        <v>#VALUE!</v>
      </c>
      <c r="E969" s="15" t="e" cm="1">
        <f t="array" ref="E969">_xlfn.LET(
_xlpm.inTower, COUNTIF(Tower_Num_Table[Tower Rm Numbers], LEFT(Task_Summary_Table[[#This Row],[Area/Room]], 3)) &gt; 0,
_xlpm.typeResult, _xlfn.SWITCH(LEFT(Tasks[[#This Row],[Page]], 2), "Hi", "Historic", "An", "Annex", "Si", "Site", "S5", "Project Task", "SWITCH ERROR"),
IF(_xlpm.inTower, "West Tower", _xlpm.typeResult)
)</f>
        <v>#VALUE!</v>
      </c>
      <c r="F969" s="15" t="str">
        <f>IFERROR(MID(Tasks[[#This Row],[Page]], FIND("Level", Tasks[[#This Row],[Page]]), 7), IF(ISNUMBER(FIND("Roof", Tasks[[#This Row],[Page]])), "Roof",  IF(ISNUMBER(FIND("S590", Tasks[[#This Row],[Page]])), "",  IF(ISNUMBER(FIND("Site", Tasks[[#This Row],[Page]])), "", "ERROR"))))</f>
        <v>ERROR</v>
      </c>
      <c r="G969" s="15" t="e">
        <f>IF(Tasks[[#This Row],[Location]]=0, "", Tasks[[#This Row],[Location]])</f>
        <v>#VALUE!</v>
      </c>
      <c r="H969" s="15" t="e">
        <f>Tasks[[#This Row],[To Package]]</f>
        <v>#VALUE!</v>
      </c>
      <c r="I969" s="15" t="e">
        <f>Tasks[[#This Row],[To Organisation]]</f>
        <v>#VALUE!</v>
      </c>
    </row>
    <row r="970" spans="1:9" ht="15.5" x14ac:dyDescent="0.35">
      <c r="A970" s="16" t="e">
        <f>HYPERLINK(_xlfn.CONCAT(Edit_URL,Tasks[[#This Row],[Ref]]),Tasks[[#This Row],[Ref]])</f>
        <v>#VALUE!</v>
      </c>
      <c r="B970" s="15" t="e" cm="1">
        <f t="array" ref="B970">_xlfn.SWITCH(LEFT(Tasks[[#This Row],[Status]],1),"O","Opened","C","Completed","S","Signed Off", "V", "Signed Off","ERROR")</f>
        <v>#VALUE!</v>
      </c>
      <c r="C970" s="15" t="e" cm="1">
        <f t="array" ref="C970">_xlfn.SWITCH(LEFT(Tasks[[#This Row],[Type]], 3), "Fie", "Field Report", "Con", "Contractor QC", "Gen", "Contractor QC", "Pun", "Contractor QC", "Qua", "Contractor QC", "Fin", "Punch List")</f>
        <v>#VALUE!</v>
      </c>
      <c r="D970" s="15" t="e">
        <f>_xlfn.LET(
_xlpm.leftValue, TRIM(LEFT(Tasks[[#This Row],[Description]], 45)),
IF(LEN(_xlpm.leftValue) &lt; 40, _xlpm.leftValue, _xlfn.CONCAT(_xlpm.leftValue, "…"))
)</f>
        <v>#VALUE!</v>
      </c>
      <c r="E970" s="15" t="e" cm="1">
        <f t="array" ref="E970">_xlfn.LET(
_xlpm.inTower, COUNTIF(Tower_Num_Table[Tower Rm Numbers], LEFT(Task_Summary_Table[[#This Row],[Area/Room]], 3)) &gt; 0,
_xlpm.typeResult, _xlfn.SWITCH(LEFT(Tasks[[#This Row],[Page]], 2), "Hi", "Historic", "An", "Annex", "Si", "Site", "S5", "Project Task", "SWITCH ERROR"),
IF(_xlpm.inTower, "West Tower", _xlpm.typeResult)
)</f>
        <v>#VALUE!</v>
      </c>
      <c r="F970" s="15" t="str">
        <f>IFERROR(MID(Tasks[[#This Row],[Page]], FIND("Level", Tasks[[#This Row],[Page]]), 7), IF(ISNUMBER(FIND("Roof", Tasks[[#This Row],[Page]])), "Roof",  IF(ISNUMBER(FIND("S590", Tasks[[#This Row],[Page]])), "",  IF(ISNUMBER(FIND("Site", Tasks[[#This Row],[Page]])), "", "ERROR"))))</f>
        <v>ERROR</v>
      </c>
      <c r="G970" s="15" t="e">
        <f>IF(Tasks[[#This Row],[Location]]=0, "", Tasks[[#This Row],[Location]])</f>
        <v>#VALUE!</v>
      </c>
      <c r="H970" s="15" t="e">
        <f>Tasks[[#This Row],[To Package]]</f>
        <v>#VALUE!</v>
      </c>
      <c r="I970" s="15" t="e">
        <f>Tasks[[#This Row],[To Organisation]]</f>
        <v>#VALUE!</v>
      </c>
    </row>
    <row r="971" spans="1:9" ht="15.5" x14ac:dyDescent="0.35">
      <c r="A971" s="16" t="e">
        <f>HYPERLINK(_xlfn.CONCAT(Edit_URL,Tasks[[#This Row],[Ref]]),Tasks[[#This Row],[Ref]])</f>
        <v>#VALUE!</v>
      </c>
      <c r="B971" s="15" t="e" cm="1">
        <f t="array" ref="B971">_xlfn.SWITCH(LEFT(Tasks[[#This Row],[Status]],1),"O","Opened","C","Completed","S","Signed Off", "V", "Signed Off","ERROR")</f>
        <v>#VALUE!</v>
      </c>
      <c r="C971" s="15" t="e" cm="1">
        <f t="array" ref="C971">_xlfn.SWITCH(LEFT(Tasks[[#This Row],[Type]], 3), "Fie", "Field Report", "Con", "Contractor QC", "Gen", "Contractor QC", "Pun", "Contractor QC", "Qua", "Contractor QC", "Fin", "Punch List")</f>
        <v>#VALUE!</v>
      </c>
      <c r="D971" s="15" t="e">
        <f>_xlfn.LET(
_xlpm.leftValue, TRIM(LEFT(Tasks[[#This Row],[Description]], 45)),
IF(LEN(_xlpm.leftValue) &lt; 40, _xlpm.leftValue, _xlfn.CONCAT(_xlpm.leftValue, "…"))
)</f>
        <v>#VALUE!</v>
      </c>
      <c r="E971" s="15" t="e" cm="1">
        <f t="array" ref="E971">_xlfn.LET(
_xlpm.inTower, COUNTIF(Tower_Num_Table[Tower Rm Numbers], LEFT(Task_Summary_Table[[#This Row],[Area/Room]], 3)) &gt; 0,
_xlpm.typeResult, _xlfn.SWITCH(LEFT(Tasks[[#This Row],[Page]], 2), "Hi", "Historic", "An", "Annex", "Si", "Site", "S5", "Project Task", "SWITCH ERROR"),
IF(_xlpm.inTower, "West Tower", _xlpm.typeResult)
)</f>
        <v>#VALUE!</v>
      </c>
      <c r="F971" s="15" t="str">
        <f>IFERROR(MID(Tasks[[#This Row],[Page]], FIND("Level", Tasks[[#This Row],[Page]]), 7), IF(ISNUMBER(FIND("Roof", Tasks[[#This Row],[Page]])), "Roof",  IF(ISNUMBER(FIND("S590", Tasks[[#This Row],[Page]])), "",  IF(ISNUMBER(FIND("Site", Tasks[[#This Row],[Page]])), "", "ERROR"))))</f>
        <v>ERROR</v>
      </c>
      <c r="G971" s="15" t="e">
        <f>IF(Tasks[[#This Row],[Location]]=0, "", Tasks[[#This Row],[Location]])</f>
        <v>#VALUE!</v>
      </c>
      <c r="H971" s="15" t="e">
        <f>Tasks[[#This Row],[To Package]]</f>
        <v>#VALUE!</v>
      </c>
      <c r="I971" s="15" t="e">
        <f>Tasks[[#This Row],[To Organisation]]</f>
        <v>#VALUE!</v>
      </c>
    </row>
    <row r="972" spans="1:9" ht="15.5" x14ac:dyDescent="0.35">
      <c r="A972" s="16" t="e">
        <f>HYPERLINK(_xlfn.CONCAT(Edit_URL,Tasks[[#This Row],[Ref]]),Tasks[[#This Row],[Ref]])</f>
        <v>#VALUE!</v>
      </c>
      <c r="B972" s="15" t="e" cm="1">
        <f t="array" ref="B972">_xlfn.SWITCH(LEFT(Tasks[[#This Row],[Status]],1),"O","Opened","C","Completed","S","Signed Off", "V", "Signed Off","ERROR")</f>
        <v>#VALUE!</v>
      </c>
      <c r="C972" s="15" t="e" cm="1">
        <f t="array" ref="C972">_xlfn.SWITCH(LEFT(Tasks[[#This Row],[Type]], 3), "Fie", "Field Report", "Con", "Contractor QC", "Gen", "Contractor QC", "Pun", "Contractor QC", "Qua", "Contractor QC", "Fin", "Punch List")</f>
        <v>#VALUE!</v>
      </c>
      <c r="D972" s="15" t="e">
        <f>_xlfn.LET(
_xlpm.leftValue, TRIM(LEFT(Tasks[[#This Row],[Description]], 45)),
IF(LEN(_xlpm.leftValue) &lt; 40, _xlpm.leftValue, _xlfn.CONCAT(_xlpm.leftValue, "…"))
)</f>
        <v>#VALUE!</v>
      </c>
      <c r="E972" s="15" t="e" cm="1">
        <f t="array" ref="E972">_xlfn.LET(
_xlpm.inTower, COUNTIF(Tower_Num_Table[Tower Rm Numbers], LEFT(Task_Summary_Table[[#This Row],[Area/Room]], 3)) &gt; 0,
_xlpm.typeResult, _xlfn.SWITCH(LEFT(Tasks[[#This Row],[Page]], 2), "Hi", "Historic", "An", "Annex", "Si", "Site", "S5", "Project Task", "SWITCH ERROR"),
IF(_xlpm.inTower, "West Tower", _xlpm.typeResult)
)</f>
        <v>#VALUE!</v>
      </c>
      <c r="F972" s="15" t="str">
        <f>IFERROR(MID(Tasks[[#This Row],[Page]], FIND("Level", Tasks[[#This Row],[Page]]), 7), IF(ISNUMBER(FIND("Roof", Tasks[[#This Row],[Page]])), "Roof",  IF(ISNUMBER(FIND("S590", Tasks[[#This Row],[Page]])), "",  IF(ISNUMBER(FIND("Site", Tasks[[#This Row],[Page]])), "", "ERROR"))))</f>
        <v>ERROR</v>
      </c>
      <c r="G972" s="15" t="e">
        <f>IF(Tasks[[#This Row],[Location]]=0, "", Tasks[[#This Row],[Location]])</f>
        <v>#VALUE!</v>
      </c>
      <c r="H972" s="15" t="e">
        <f>Tasks[[#This Row],[To Package]]</f>
        <v>#VALUE!</v>
      </c>
      <c r="I972" s="15" t="e">
        <f>Tasks[[#This Row],[To Organisation]]</f>
        <v>#VALUE!</v>
      </c>
    </row>
    <row r="973" spans="1:9" ht="15.5" x14ac:dyDescent="0.35">
      <c r="A973" s="16" t="e">
        <f>HYPERLINK(_xlfn.CONCAT(Edit_URL,Tasks[[#This Row],[Ref]]),Tasks[[#This Row],[Ref]])</f>
        <v>#VALUE!</v>
      </c>
      <c r="B973" s="15" t="e" cm="1">
        <f t="array" ref="B973">_xlfn.SWITCH(LEFT(Tasks[[#This Row],[Status]],1),"O","Opened","C","Completed","S","Signed Off", "V", "Signed Off","ERROR")</f>
        <v>#VALUE!</v>
      </c>
      <c r="C973" s="15" t="e" cm="1">
        <f t="array" ref="C973">_xlfn.SWITCH(LEFT(Tasks[[#This Row],[Type]], 3), "Fie", "Field Report", "Con", "Contractor QC", "Gen", "Contractor QC", "Pun", "Contractor QC", "Qua", "Contractor QC", "Fin", "Punch List")</f>
        <v>#VALUE!</v>
      </c>
      <c r="D973" s="15" t="e">
        <f>_xlfn.LET(
_xlpm.leftValue, TRIM(LEFT(Tasks[[#This Row],[Description]], 45)),
IF(LEN(_xlpm.leftValue) &lt; 40, _xlpm.leftValue, _xlfn.CONCAT(_xlpm.leftValue, "…"))
)</f>
        <v>#VALUE!</v>
      </c>
      <c r="E973" s="15" t="e" cm="1">
        <f t="array" ref="E973">_xlfn.LET(
_xlpm.inTower, COUNTIF(Tower_Num_Table[Tower Rm Numbers], LEFT(Task_Summary_Table[[#This Row],[Area/Room]], 3)) &gt; 0,
_xlpm.typeResult, _xlfn.SWITCH(LEFT(Tasks[[#This Row],[Page]], 2), "Hi", "Historic", "An", "Annex", "Si", "Site", "S5", "Project Task", "SWITCH ERROR"),
IF(_xlpm.inTower, "West Tower", _xlpm.typeResult)
)</f>
        <v>#VALUE!</v>
      </c>
      <c r="F973" s="15" t="str">
        <f>IFERROR(MID(Tasks[[#This Row],[Page]], FIND("Level", Tasks[[#This Row],[Page]]), 7), IF(ISNUMBER(FIND("Roof", Tasks[[#This Row],[Page]])), "Roof",  IF(ISNUMBER(FIND("S590", Tasks[[#This Row],[Page]])), "",  IF(ISNUMBER(FIND("Site", Tasks[[#This Row],[Page]])), "", "ERROR"))))</f>
        <v>ERROR</v>
      </c>
      <c r="G973" s="15" t="e">
        <f>IF(Tasks[[#This Row],[Location]]=0, "", Tasks[[#This Row],[Location]])</f>
        <v>#VALUE!</v>
      </c>
      <c r="H973" s="15" t="e">
        <f>Tasks[[#This Row],[To Package]]</f>
        <v>#VALUE!</v>
      </c>
      <c r="I973" s="15" t="e">
        <f>Tasks[[#This Row],[To Organisation]]</f>
        <v>#VALUE!</v>
      </c>
    </row>
    <row r="974" spans="1:9" ht="15.5" x14ac:dyDescent="0.35">
      <c r="A974" s="16" t="e">
        <f>HYPERLINK(_xlfn.CONCAT(Edit_URL,Tasks[[#This Row],[Ref]]),Tasks[[#This Row],[Ref]])</f>
        <v>#VALUE!</v>
      </c>
      <c r="B974" s="15" t="e" cm="1">
        <f t="array" ref="B974">_xlfn.SWITCH(LEFT(Tasks[[#This Row],[Status]],1),"O","Opened","C","Completed","S","Signed Off", "V", "Signed Off","ERROR")</f>
        <v>#VALUE!</v>
      </c>
      <c r="C974" s="15" t="e" cm="1">
        <f t="array" ref="C974">_xlfn.SWITCH(LEFT(Tasks[[#This Row],[Type]], 3), "Fie", "Field Report", "Con", "Contractor QC", "Gen", "Contractor QC", "Pun", "Contractor QC", "Qua", "Contractor QC", "Fin", "Punch List")</f>
        <v>#VALUE!</v>
      </c>
      <c r="D974" s="15" t="e">
        <f>_xlfn.LET(
_xlpm.leftValue, TRIM(LEFT(Tasks[[#This Row],[Description]], 45)),
IF(LEN(_xlpm.leftValue) &lt; 40, _xlpm.leftValue, _xlfn.CONCAT(_xlpm.leftValue, "…"))
)</f>
        <v>#VALUE!</v>
      </c>
      <c r="E974" s="15" t="e" cm="1">
        <f t="array" ref="E974">_xlfn.LET(
_xlpm.inTower, COUNTIF(Tower_Num_Table[Tower Rm Numbers], LEFT(Task_Summary_Table[[#This Row],[Area/Room]], 3)) &gt; 0,
_xlpm.typeResult, _xlfn.SWITCH(LEFT(Tasks[[#This Row],[Page]], 2), "Hi", "Historic", "An", "Annex", "Si", "Site", "S5", "Project Task", "SWITCH ERROR"),
IF(_xlpm.inTower, "West Tower", _xlpm.typeResult)
)</f>
        <v>#VALUE!</v>
      </c>
      <c r="F974" s="15" t="str">
        <f>IFERROR(MID(Tasks[[#This Row],[Page]], FIND("Level", Tasks[[#This Row],[Page]]), 7), IF(ISNUMBER(FIND("Roof", Tasks[[#This Row],[Page]])), "Roof",  IF(ISNUMBER(FIND("S590", Tasks[[#This Row],[Page]])), "",  IF(ISNUMBER(FIND("Site", Tasks[[#This Row],[Page]])), "", "ERROR"))))</f>
        <v>ERROR</v>
      </c>
      <c r="G974" s="15" t="e">
        <f>IF(Tasks[[#This Row],[Location]]=0, "", Tasks[[#This Row],[Location]])</f>
        <v>#VALUE!</v>
      </c>
      <c r="H974" s="15" t="e">
        <f>Tasks[[#This Row],[To Package]]</f>
        <v>#VALUE!</v>
      </c>
      <c r="I974" s="15" t="e">
        <f>Tasks[[#This Row],[To Organisation]]</f>
        <v>#VALUE!</v>
      </c>
    </row>
    <row r="975" spans="1:9" ht="15.5" x14ac:dyDescent="0.35">
      <c r="A975" s="16" t="e">
        <f>HYPERLINK(_xlfn.CONCAT(Edit_URL,Tasks[[#This Row],[Ref]]),Tasks[[#This Row],[Ref]])</f>
        <v>#VALUE!</v>
      </c>
      <c r="B975" s="15" t="e" cm="1">
        <f t="array" ref="B975">_xlfn.SWITCH(LEFT(Tasks[[#This Row],[Status]],1),"O","Opened","C","Completed","S","Signed Off", "V", "Signed Off","ERROR")</f>
        <v>#VALUE!</v>
      </c>
      <c r="C975" s="15" t="e" cm="1">
        <f t="array" ref="C975">_xlfn.SWITCH(LEFT(Tasks[[#This Row],[Type]], 3), "Fie", "Field Report", "Con", "Contractor QC", "Gen", "Contractor QC", "Pun", "Contractor QC", "Qua", "Contractor QC", "Fin", "Punch List")</f>
        <v>#VALUE!</v>
      </c>
      <c r="D975" s="15" t="e">
        <f>_xlfn.LET(
_xlpm.leftValue, TRIM(LEFT(Tasks[[#This Row],[Description]], 45)),
IF(LEN(_xlpm.leftValue) &lt; 40, _xlpm.leftValue, _xlfn.CONCAT(_xlpm.leftValue, "…"))
)</f>
        <v>#VALUE!</v>
      </c>
      <c r="E975" s="15" t="e" cm="1">
        <f t="array" ref="E975">_xlfn.LET(
_xlpm.inTower, COUNTIF(Tower_Num_Table[Tower Rm Numbers], LEFT(Task_Summary_Table[[#This Row],[Area/Room]], 3)) &gt; 0,
_xlpm.typeResult, _xlfn.SWITCH(LEFT(Tasks[[#This Row],[Page]], 2), "Hi", "Historic", "An", "Annex", "Si", "Site", "S5", "Project Task", "SWITCH ERROR"),
IF(_xlpm.inTower, "West Tower", _xlpm.typeResult)
)</f>
        <v>#VALUE!</v>
      </c>
      <c r="F975" s="15" t="str">
        <f>IFERROR(MID(Tasks[[#This Row],[Page]], FIND("Level", Tasks[[#This Row],[Page]]), 7), IF(ISNUMBER(FIND("Roof", Tasks[[#This Row],[Page]])), "Roof",  IF(ISNUMBER(FIND("S590", Tasks[[#This Row],[Page]])), "",  IF(ISNUMBER(FIND("Site", Tasks[[#This Row],[Page]])), "", "ERROR"))))</f>
        <v>ERROR</v>
      </c>
      <c r="G975" s="15" t="e">
        <f>IF(Tasks[[#This Row],[Location]]=0, "", Tasks[[#This Row],[Location]])</f>
        <v>#VALUE!</v>
      </c>
      <c r="H975" s="15" t="e">
        <f>Tasks[[#This Row],[To Package]]</f>
        <v>#VALUE!</v>
      </c>
      <c r="I975" s="15" t="e">
        <f>Tasks[[#This Row],[To Organisation]]</f>
        <v>#VALUE!</v>
      </c>
    </row>
    <row r="976" spans="1:9" ht="15.5" x14ac:dyDescent="0.35">
      <c r="A976" s="16" t="e">
        <f>HYPERLINK(_xlfn.CONCAT(Edit_URL,Tasks[[#This Row],[Ref]]),Tasks[[#This Row],[Ref]])</f>
        <v>#VALUE!</v>
      </c>
      <c r="B976" s="15" t="e" cm="1">
        <f t="array" ref="B976">_xlfn.SWITCH(LEFT(Tasks[[#This Row],[Status]],1),"O","Opened","C","Completed","S","Signed Off", "V", "Signed Off","ERROR")</f>
        <v>#VALUE!</v>
      </c>
      <c r="C976" s="15" t="e" cm="1">
        <f t="array" ref="C976">_xlfn.SWITCH(LEFT(Tasks[[#This Row],[Type]], 3), "Fie", "Field Report", "Con", "Contractor QC", "Gen", "Contractor QC", "Pun", "Contractor QC", "Qua", "Contractor QC", "Fin", "Punch List")</f>
        <v>#VALUE!</v>
      </c>
      <c r="D976" s="15" t="e">
        <f>_xlfn.LET(
_xlpm.leftValue, TRIM(LEFT(Tasks[[#This Row],[Description]], 45)),
IF(LEN(_xlpm.leftValue) &lt; 40, _xlpm.leftValue, _xlfn.CONCAT(_xlpm.leftValue, "…"))
)</f>
        <v>#VALUE!</v>
      </c>
      <c r="E976" s="15" t="e" cm="1">
        <f t="array" ref="E976">_xlfn.LET(
_xlpm.inTower, COUNTIF(Tower_Num_Table[Tower Rm Numbers], LEFT(Task_Summary_Table[[#This Row],[Area/Room]], 3)) &gt; 0,
_xlpm.typeResult, _xlfn.SWITCH(LEFT(Tasks[[#This Row],[Page]], 2), "Hi", "Historic", "An", "Annex", "Si", "Site", "S5", "Project Task", "SWITCH ERROR"),
IF(_xlpm.inTower, "West Tower", _xlpm.typeResult)
)</f>
        <v>#VALUE!</v>
      </c>
      <c r="F976" s="15" t="str">
        <f>IFERROR(MID(Tasks[[#This Row],[Page]], FIND("Level", Tasks[[#This Row],[Page]]), 7), IF(ISNUMBER(FIND("Roof", Tasks[[#This Row],[Page]])), "Roof",  IF(ISNUMBER(FIND("S590", Tasks[[#This Row],[Page]])), "",  IF(ISNUMBER(FIND("Site", Tasks[[#This Row],[Page]])), "", "ERROR"))))</f>
        <v>ERROR</v>
      </c>
      <c r="G976" s="15" t="e">
        <f>IF(Tasks[[#This Row],[Location]]=0, "", Tasks[[#This Row],[Location]])</f>
        <v>#VALUE!</v>
      </c>
      <c r="H976" s="15" t="e">
        <f>Tasks[[#This Row],[To Package]]</f>
        <v>#VALUE!</v>
      </c>
      <c r="I976" s="15" t="e">
        <f>Tasks[[#This Row],[To Organisation]]</f>
        <v>#VALUE!</v>
      </c>
    </row>
    <row r="977" spans="1:9" ht="15.5" x14ac:dyDescent="0.35">
      <c r="A977" s="16" t="e">
        <f>HYPERLINK(_xlfn.CONCAT(Edit_URL,Tasks[[#This Row],[Ref]]),Tasks[[#This Row],[Ref]])</f>
        <v>#VALUE!</v>
      </c>
      <c r="B977" s="15" t="e" cm="1">
        <f t="array" ref="B977">_xlfn.SWITCH(LEFT(Tasks[[#This Row],[Status]],1),"O","Opened","C","Completed","S","Signed Off", "V", "Signed Off","ERROR")</f>
        <v>#VALUE!</v>
      </c>
      <c r="C977" s="15" t="e" cm="1">
        <f t="array" ref="C977">_xlfn.SWITCH(LEFT(Tasks[[#This Row],[Type]], 3), "Fie", "Field Report", "Con", "Contractor QC", "Gen", "Contractor QC", "Pun", "Contractor QC", "Qua", "Contractor QC", "Fin", "Punch List")</f>
        <v>#VALUE!</v>
      </c>
      <c r="D977" s="15" t="e">
        <f>_xlfn.LET(
_xlpm.leftValue, TRIM(LEFT(Tasks[[#This Row],[Description]], 45)),
IF(LEN(_xlpm.leftValue) &lt; 40, _xlpm.leftValue, _xlfn.CONCAT(_xlpm.leftValue, "…"))
)</f>
        <v>#VALUE!</v>
      </c>
      <c r="E977" s="15" t="e" cm="1">
        <f t="array" ref="E977">_xlfn.LET(
_xlpm.inTower, COUNTIF(Tower_Num_Table[Tower Rm Numbers], LEFT(Task_Summary_Table[[#This Row],[Area/Room]], 3)) &gt; 0,
_xlpm.typeResult, _xlfn.SWITCH(LEFT(Tasks[[#This Row],[Page]], 2), "Hi", "Historic", "An", "Annex", "Si", "Site", "S5", "Project Task", "SWITCH ERROR"),
IF(_xlpm.inTower, "West Tower", _xlpm.typeResult)
)</f>
        <v>#VALUE!</v>
      </c>
      <c r="F977" s="15" t="str">
        <f>IFERROR(MID(Tasks[[#This Row],[Page]], FIND("Level", Tasks[[#This Row],[Page]]), 7), IF(ISNUMBER(FIND("Roof", Tasks[[#This Row],[Page]])), "Roof",  IF(ISNUMBER(FIND("S590", Tasks[[#This Row],[Page]])), "",  IF(ISNUMBER(FIND("Site", Tasks[[#This Row],[Page]])), "", "ERROR"))))</f>
        <v>ERROR</v>
      </c>
      <c r="G977" s="15" t="e">
        <f>IF(Tasks[[#This Row],[Location]]=0, "", Tasks[[#This Row],[Location]])</f>
        <v>#VALUE!</v>
      </c>
      <c r="H977" s="15" t="e">
        <f>Tasks[[#This Row],[To Package]]</f>
        <v>#VALUE!</v>
      </c>
      <c r="I977" s="15" t="e">
        <f>Tasks[[#This Row],[To Organisation]]</f>
        <v>#VALUE!</v>
      </c>
    </row>
    <row r="978" spans="1:9" ht="15.5" x14ac:dyDescent="0.35">
      <c r="A978" s="16" t="e">
        <f>HYPERLINK(_xlfn.CONCAT(Edit_URL,Tasks[[#This Row],[Ref]]),Tasks[[#This Row],[Ref]])</f>
        <v>#VALUE!</v>
      </c>
      <c r="B978" s="15" t="e" cm="1">
        <f t="array" ref="B978">_xlfn.SWITCH(LEFT(Tasks[[#This Row],[Status]],1),"O","Opened","C","Completed","S","Signed Off", "V", "Signed Off","ERROR")</f>
        <v>#VALUE!</v>
      </c>
      <c r="C978" s="15" t="e" cm="1">
        <f t="array" ref="C978">_xlfn.SWITCH(LEFT(Tasks[[#This Row],[Type]], 3), "Fie", "Field Report", "Con", "Contractor QC", "Gen", "Contractor QC", "Pun", "Contractor QC", "Qua", "Contractor QC", "Fin", "Punch List")</f>
        <v>#VALUE!</v>
      </c>
      <c r="D978" s="15" t="e">
        <f>_xlfn.LET(
_xlpm.leftValue, TRIM(LEFT(Tasks[[#This Row],[Description]], 45)),
IF(LEN(_xlpm.leftValue) &lt; 40, _xlpm.leftValue, _xlfn.CONCAT(_xlpm.leftValue, "…"))
)</f>
        <v>#VALUE!</v>
      </c>
      <c r="E978" s="15" t="e" cm="1">
        <f t="array" ref="E978">_xlfn.LET(
_xlpm.inTower, COUNTIF(Tower_Num_Table[Tower Rm Numbers], LEFT(Task_Summary_Table[[#This Row],[Area/Room]], 3)) &gt; 0,
_xlpm.typeResult, _xlfn.SWITCH(LEFT(Tasks[[#This Row],[Page]], 2), "Hi", "Historic", "An", "Annex", "Si", "Site", "S5", "Project Task", "SWITCH ERROR"),
IF(_xlpm.inTower, "West Tower", _xlpm.typeResult)
)</f>
        <v>#VALUE!</v>
      </c>
      <c r="F978" s="15" t="str">
        <f>IFERROR(MID(Tasks[[#This Row],[Page]], FIND("Level", Tasks[[#This Row],[Page]]), 7), IF(ISNUMBER(FIND("Roof", Tasks[[#This Row],[Page]])), "Roof",  IF(ISNUMBER(FIND("S590", Tasks[[#This Row],[Page]])), "",  IF(ISNUMBER(FIND("Site", Tasks[[#This Row],[Page]])), "", "ERROR"))))</f>
        <v>ERROR</v>
      </c>
      <c r="G978" s="15" t="e">
        <f>IF(Tasks[[#This Row],[Location]]=0, "", Tasks[[#This Row],[Location]])</f>
        <v>#VALUE!</v>
      </c>
      <c r="H978" s="15" t="e">
        <f>Tasks[[#This Row],[To Package]]</f>
        <v>#VALUE!</v>
      </c>
      <c r="I978" s="15" t="e">
        <f>Tasks[[#This Row],[To Organisation]]</f>
        <v>#VALUE!</v>
      </c>
    </row>
    <row r="979" spans="1:9" ht="15.5" x14ac:dyDescent="0.35">
      <c r="A979" s="16" t="e">
        <f>HYPERLINK(_xlfn.CONCAT(Edit_URL,Tasks[[#This Row],[Ref]]),Tasks[[#This Row],[Ref]])</f>
        <v>#VALUE!</v>
      </c>
      <c r="B979" s="15" t="e" cm="1">
        <f t="array" ref="B979">_xlfn.SWITCH(LEFT(Tasks[[#This Row],[Status]],1),"O","Opened","C","Completed","S","Signed Off", "V", "Signed Off","ERROR")</f>
        <v>#VALUE!</v>
      </c>
      <c r="C979" s="15" t="e" cm="1">
        <f t="array" ref="C979">_xlfn.SWITCH(LEFT(Tasks[[#This Row],[Type]], 3), "Fie", "Field Report", "Con", "Contractor QC", "Gen", "Contractor QC", "Pun", "Contractor QC", "Qua", "Contractor QC", "Fin", "Punch List")</f>
        <v>#VALUE!</v>
      </c>
      <c r="D979" s="15" t="e">
        <f>_xlfn.LET(
_xlpm.leftValue, TRIM(LEFT(Tasks[[#This Row],[Description]], 45)),
IF(LEN(_xlpm.leftValue) &lt; 40, _xlpm.leftValue, _xlfn.CONCAT(_xlpm.leftValue, "…"))
)</f>
        <v>#VALUE!</v>
      </c>
      <c r="E979" s="15" t="e" cm="1">
        <f t="array" ref="E979">_xlfn.LET(
_xlpm.inTower, COUNTIF(Tower_Num_Table[Tower Rm Numbers], LEFT(Task_Summary_Table[[#This Row],[Area/Room]], 3)) &gt; 0,
_xlpm.typeResult, _xlfn.SWITCH(LEFT(Tasks[[#This Row],[Page]], 2), "Hi", "Historic", "An", "Annex", "Si", "Site", "S5", "Project Task", "SWITCH ERROR"),
IF(_xlpm.inTower, "West Tower", _xlpm.typeResult)
)</f>
        <v>#VALUE!</v>
      </c>
      <c r="F979" s="15" t="str">
        <f>IFERROR(MID(Tasks[[#This Row],[Page]], FIND("Level", Tasks[[#This Row],[Page]]), 7), IF(ISNUMBER(FIND("Roof", Tasks[[#This Row],[Page]])), "Roof",  IF(ISNUMBER(FIND("S590", Tasks[[#This Row],[Page]])), "",  IF(ISNUMBER(FIND("Site", Tasks[[#This Row],[Page]])), "", "ERROR"))))</f>
        <v>ERROR</v>
      </c>
      <c r="G979" s="15" t="e">
        <f>IF(Tasks[[#This Row],[Location]]=0, "", Tasks[[#This Row],[Location]])</f>
        <v>#VALUE!</v>
      </c>
      <c r="H979" s="15" t="e">
        <f>Tasks[[#This Row],[To Package]]</f>
        <v>#VALUE!</v>
      </c>
      <c r="I979" s="15" t="e">
        <f>Tasks[[#This Row],[To Organisation]]</f>
        <v>#VALUE!</v>
      </c>
    </row>
    <row r="980" spans="1:9" ht="15.5" x14ac:dyDescent="0.35">
      <c r="A980" s="16" t="e">
        <f>HYPERLINK(_xlfn.CONCAT(Edit_URL,Tasks[[#This Row],[Ref]]),Tasks[[#This Row],[Ref]])</f>
        <v>#VALUE!</v>
      </c>
      <c r="B980" s="15" t="e" cm="1">
        <f t="array" ref="B980">_xlfn.SWITCH(LEFT(Tasks[[#This Row],[Status]],1),"O","Opened","C","Completed","S","Signed Off", "V", "Signed Off","ERROR")</f>
        <v>#VALUE!</v>
      </c>
      <c r="C980" s="15" t="e" cm="1">
        <f t="array" ref="C980">_xlfn.SWITCH(LEFT(Tasks[[#This Row],[Type]], 3), "Fie", "Field Report", "Con", "Contractor QC", "Gen", "Contractor QC", "Pun", "Contractor QC", "Qua", "Contractor QC", "Fin", "Punch List")</f>
        <v>#VALUE!</v>
      </c>
      <c r="D980" s="15" t="e">
        <f>_xlfn.LET(
_xlpm.leftValue, TRIM(LEFT(Tasks[[#This Row],[Description]], 45)),
IF(LEN(_xlpm.leftValue) &lt; 40, _xlpm.leftValue, _xlfn.CONCAT(_xlpm.leftValue, "…"))
)</f>
        <v>#VALUE!</v>
      </c>
      <c r="E980" s="15" t="e" cm="1">
        <f t="array" ref="E980">_xlfn.LET(
_xlpm.inTower, COUNTIF(Tower_Num_Table[Tower Rm Numbers], LEFT(Task_Summary_Table[[#This Row],[Area/Room]], 3)) &gt; 0,
_xlpm.typeResult, _xlfn.SWITCH(LEFT(Tasks[[#This Row],[Page]], 2), "Hi", "Historic", "An", "Annex", "Si", "Site", "S5", "Project Task", "SWITCH ERROR"),
IF(_xlpm.inTower, "West Tower", _xlpm.typeResult)
)</f>
        <v>#VALUE!</v>
      </c>
      <c r="F980" s="15" t="str">
        <f>IFERROR(MID(Tasks[[#This Row],[Page]], FIND("Level", Tasks[[#This Row],[Page]]), 7), IF(ISNUMBER(FIND("Roof", Tasks[[#This Row],[Page]])), "Roof",  IF(ISNUMBER(FIND("S590", Tasks[[#This Row],[Page]])), "",  IF(ISNUMBER(FIND("Site", Tasks[[#This Row],[Page]])), "", "ERROR"))))</f>
        <v>ERROR</v>
      </c>
      <c r="G980" s="15" t="e">
        <f>IF(Tasks[[#This Row],[Location]]=0, "", Tasks[[#This Row],[Location]])</f>
        <v>#VALUE!</v>
      </c>
      <c r="H980" s="15" t="e">
        <f>Tasks[[#This Row],[To Package]]</f>
        <v>#VALUE!</v>
      </c>
      <c r="I980" s="15" t="e">
        <f>Tasks[[#This Row],[To Organisation]]</f>
        <v>#VALUE!</v>
      </c>
    </row>
    <row r="981" spans="1:9" ht="15.5" x14ac:dyDescent="0.35">
      <c r="A981" s="16" t="e">
        <f>HYPERLINK(_xlfn.CONCAT(Edit_URL,Tasks[[#This Row],[Ref]]),Tasks[[#This Row],[Ref]])</f>
        <v>#VALUE!</v>
      </c>
      <c r="B981" s="15" t="e" cm="1">
        <f t="array" ref="B981">_xlfn.SWITCH(LEFT(Tasks[[#This Row],[Status]],1),"O","Opened","C","Completed","S","Signed Off", "V", "Signed Off","ERROR")</f>
        <v>#VALUE!</v>
      </c>
      <c r="C981" s="15" t="e" cm="1">
        <f t="array" ref="C981">_xlfn.SWITCH(LEFT(Tasks[[#This Row],[Type]], 3), "Fie", "Field Report", "Con", "Contractor QC", "Gen", "Contractor QC", "Pun", "Contractor QC", "Qua", "Contractor QC", "Fin", "Punch List")</f>
        <v>#VALUE!</v>
      </c>
      <c r="D981" s="15" t="e">
        <f>_xlfn.LET(
_xlpm.leftValue, TRIM(LEFT(Tasks[[#This Row],[Description]], 45)),
IF(LEN(_xlpm.leftValue) &lt; 40, _xlpm.leftValue, _xlfn.CONCAT(_xlpm.leftValue, "…"))
)</f>
        <v>#VALUE!</v>
      </c>
      <c r="E981" s="15" t="e" cm="1">
        <f t="array" ref="E981">_xlfn.LET(
_xlpm.inTower, COUNTIF(Tower_Num_Table[Tower Rm Numbers], LEFT(Task_Summary_Table[[#This Row],[Area/Room]], 3)) &gt; 0,
_xlpm.typeResult, _xlfn.SWITCH(LEFT(Tasks[[#This Row],[Page]], 2), "Hi", "Historic", "An", "Annex", "Si", "Site", "S5", "Project Task", "SWITCH ERROR"),
IF(_xlpm.inTower, "West Tower", _xlpm.typeResult)
)</f>
        <v>#VALUE!</v>
      </c>
      <c r="F981" s="15" t="str">
        <f>IFERROR(MID(Tasks[[#This Row],[Page]], FIND("Level", Tasks[[#This Row],[Page]]), 7), IF(ISNUMBER(FIND("Roof", Tasks[[#This Row],[Page]])), "Roof",  IF(ISNUMBER(FIND("S590", Tasks[[#This Row],[Page]])), "",  IF(ISNUMBER(FIND("Site", Tasks[[#This Row],[Page]])), "", "ERROR"))))</f>
        <v>ERROR</v>
      </c>
      <c r="G981" s="15" t="e">
        <f>IF(Tasks[[#This Row],[Location]]=0, "", Tasks[[#This Row],[Location]])</f>
        <v>#VALUE!</v>
      </c>
      <c r="H981" s="15" t="e">
        <f>Tasks[[#This Row],[To Package]]</f>
        <v>#VALUE!</v>
      </c>
      <c r="I981" s="15" t="e">
        <f>Tasks[[#This Row],[To Organisation]]</f>
        <v>#VALUE!</v>
      </c>
    </row>
    <row r="982" spans="1:9" ht="15.5" x14ac:dyDescent="0.35">
      <c r="A982" s="16" t="e">
        <f>HYPERLINK(_xlfn.CONCAT(Edit_URL,Tasks[[#This Row],[Ref]]),Tasks[[#This Row],[Ref]])</f>
        <v>#VALUE!</v>
      </c>
      <c r="B982" s="15" t="e" cm="1">
        <f t="array" ref="B982">_xlfn.SWITCH(LEFT(Tasks[[#This Row],[Status]],1),"O","Opened","C","Completed","S","Signed Off", "V", "Signed Off","ERROR")</f>
        <v>#VALUE!</v>
      </c>
      <c r="C982" s="15" t="e" cm="1">
        <f t="array" ref="C982">_xlfn.SWITCH(LEFT(Tasks[[#This Row],[Type]], 3), "Fie", "Field Report", "Con", "Contractor QC", "Gen", "Contractor QC", "Pun", "Contractor QC", "Qua", "Contractor QC", "Fin", "Punch List")</f>
        <v>#VALUE!</v>
      </c>
      <c r="D982" s="15" t="e">
        <f>_xlfn.LET(
_xlpm.leftValue, TRIM(LEFT(Tasks[[#This Row],[Description]], 45)),
IF(LEN(_xlpm.leftValue) &lt; 40, _xlpm.leftValue, _xlfn.CONCAT(_xlpm.leftValue, "…"))
)</f>
        <v>#VALUE!</v>
      </c>
      <c r="E982" s="15" t="e" cm="1">
        <f t="array" ref="E982">_xlfn.LET(
_xlpm.inTower, COUNTIF(Tower_Num_Table[Tower Rm Numbers], LEFT(Task_Summary_Table[[#This Row],[Area/Room]], 3)) &gt; 0,
_xlpm.typeResult, _xlfn.SWITCH(LEFT(Tasks[[#This Row],[Page]], 2), "Hi", "Historic", "An", "Annex", "Si", "Site", "S5", "Project Task", "SWITCH ERROR"),
IF(_xlpm.inTower, "West Tower", _xlpm.typeResult)
)</f>
        <v>#VALUE!</v>
      </c>
      <c r="F982" s="15" t="str">
        <f>IFERROR(MID(Tasks[[#This Row],[Page]], FIND("Level", Tasks[[#This Row],[Page]]), 7), IF(ISNUMBER(FIND("Roof", Tasks[[#This Row],[Page]])), "Roof",  IF(ISNUMBER(FIND("S590", Tasks[[#This Row],[Page]])), "",  IF(ISNUMBER(FIND("Site", Tasks[[#This Row],[Page]])), "", "ERROR"))))</f>
        <v>ERROR</v>
      </c>
      <c r="G982" s="15" t="e">
        <f>IF(Tasks[[#This Row],[Location]]=0, "", Tasks[[#This Row],[Location]])</f>
        <v>#VALUE!</v>
      </c>
      <c r="H982" s="15" t="e">
        <f>Tasks[[#This Row],[To Package]]</f>
        <v>#VALUE!</v>
      </c>
      <c r="I982" s="15" t="e">
        <f>Tasks[[#This Row],[To Organisation]]</f>
        <v>#VALUE!</v>
      </c>
    </row>
    <row r="983" spans="1:9" ht="15.5" x14ac:dyDescent="0.35">
      <c r="A983" s="16" t="e">
        <f>HYPERLINK(_xlfn.CONCAT(Edit_URL,Tasks[[#This Row],[Ref]]),Tasks[[#This Row],[Ref]])</f>
        <v>#VALUE!</v>
      </c>
      <c r="B983" s="15" t="e" cm="1">
        <f t="array" ref="B983">_xlfn.SWITCH(LEFT(Tasks[[#This Row],[Status]],1),"O","Opened","C","Completed","S","Signed Off", "V", "Signed Off","ERROR")</f>
        <v>#VALUE!</v>
      </c>
      <c r="C983" s="15" t="e" cm="1">
        <f t="array" ref="C983">_xlfn.SWITCH(LEFT(Tasks[[#This Row],[Type]], 3), "Fie", "Field Report", "Con", "Contractor QC", "Gen", "Contractor QC", "Pun", "Contractor QC", "Qua", "Contractor QC", "Fin", "Punch List")</f>
        <v>#VALUE!</v>
      </c>
      <c r="D983" s="15" t="e">
        <f>_xlfn.LET(
_xlpm.leftValue, TRIM(LEFT(Tasks[[#This Row],[Description]], 45)),
IF(LEN(_xlpm.leftValue) &lt; 40, _xlpm.leftValue, _xlfn.CONCAT(_xlpm.leftValue, "…"))
)</f>
        <v>#VALUE!</v>
      </c>
      <c r="E983" s="15" t="e" cm="1">
        <f t="array" ref="E983">_xlfn.LET(
_xlpm.inTower, COUNTIF(Tower_Num_Table[Tower Rm Numbers], LEFT(Task_Summary_Table[[#This Row],[Area/Room]], 3)) &gt; 0,
_xlpm.typeResult, _xlfn.SWITCH(LEFT(Tasks[[#This Row],[Page]], 2), "Hi", "Historic", "An", "Annex", "Si", "Site", "S5", "Project Task", "SWITCH ERROR"),
IF(_xlpm.inTower, "West Tower", _xlpm.typeResult)
)</f>
        <v>#VALUE!</v>
      </c>
      <c r="F983" s="15" t="str">
        <f>IFERROR(MID(Tasks[[#This Row],[Page]], FIND("Level", Tasks[[#This Row],[Page]]), 7), IF(ISNUMBER(FIND("Roof", Tasks[[#This Row],[Page]])), "Roof",  IF(ISNUMBER(FIND("S590", Tasks[[#This Row],[Page]])), "",  IF(ISNUMBER(FIND("Site", Tasks[[#This Row],[Page]])), "", "ERROR"))))</f>
        <v>ERROR</v>
      </c>
      <c r="G983" s="15" t="e">
        <f>IF(Tasks[[#This Row],[Location]]=0, "", Tasks[[#This Row],[Location]])</f>
        <v>#VALUE!</v>
      </c>
      <c r="H983" s="15" t="e">
        <f>Tasks[[#This Row],[To Package]]</f>
        <v>#VALUE!</v>
      </c>
      <c r="I983" s="15" t="e">
        <f>Tasks[[#This Row],[To Organisation]]</f>
        <v>#VALUE!</v>
      </c>
    </row>
    <row r="984" spans="1:9" ht="15.5" x14ac:dyDescent="0.35">
      <c r="A984" s="16" t="e">
        <f>HYPERLINK(_xlfn.CONCAT(Edit_URL,Tasks[[#This Row],[Ref]]),Tasks[[#This Row],[Ref]])</f>
        <v>#VALUE!</v>
      </c>
      <c r="B984" s="15" t="e" cm="1">
        <f t="array" ref="B984">_xlfn.SWITCH(LEFT(Tasks[[#This Row],[Status]],1),"O","Opened","C","Completed","S","Signed Off", "V", "Signed Off","ERROR")</f>
        <v>#VALUE!</v>
      </c>
      <c r="C984" s="15" t="e" cm="1">
        <f t="array" ref="C984">_xlfn.SWITCH(LEFT(Tasks[[#This Row],[Type]], 3), "Fie", "Field Report", "Con", "Contractor QC", "Gen", "Contractor QC", "Pun", "Contractor QC", "Qua", "Contractor QC", "Fin", "Punch List")</f>
        <v>#VALUE!</v>
      </c>
      <c r="D984" s="15" t="e">
        <f>_xlfn.LET(
_xlpm.leftValue, TRIM(LEFT(Tasks[[#This Row],[Description]], 45)),
IF(LEN(_xlpm.leftValue) &lt; 40, _xlpm.leftValue, _xlfn.CONCAT(_xlpm.leftValue, "…"))
)</f>
        <v>#VALUE!</v>
      </c>
      <c r="E984" s="15" t="e" cm="1">
        <f t="array" ref="E984">_xlfn.LET(
_xlpm.inTower, COUNTIF(Tower_Num_Table[Tower Rm Numbers], LEFT(Task_Summary_Table[[#This Row],[Area/Room]], 3)) &gt; 0,
_xlpm.typeResult, _xlfn.SWITCH(LEFT(Tasks[[#This Row],[Page]], 2), "Hi", "Historic", "An", "Annex", "Si", "Site", "S5", "Project Task", "SWITCH ERROR"),
IF(_xlpm.inTower, "West Tower", _xlpm.typeResult)
)</f>
        <v>#VALUE!</v>
      </c>
      <c r="F984" s="15" t="str">
        <f>IFERROR(MID(Tasks[[#This Row],[Page]], FIND("Level", Tasks[[#This Row],[Page]]), 7), IF(ISNUMBER(FIND("Roof", Tasks[[#This Row],[Page]])), "Roof",  IF(ISNUMBER(FIND("S590", Tasks[[#This Row],[Page]])), "",  IF(ISNUMBER(FIND("Site", Tasks[[#This Row],[Page]])), "", "ERROR"))))</f>
        <v>ERROR</v>
      </c>
      <c r="G984" s="15" t="e">
        <f>IF(Tasks[[#This Row],[Location]]=0, "", Tasks[[#This Row],[Location]])</f>
        <v>#VALUE!</v>
      </c>
      <c r="H984" s="15" t="e">
        <f>Tasks[[#This Row],[To Package]]</f>
        <v>#VALUE!</v>
      </c>
      <c r="I984" s="15" t="e">
        <f>Tasks[[#This Row],[To Organisation]]</f>
        <v>#VALUE!</v>
      </c>
    </row>
    <row r="985" spans="1:9" ht="15.5" x14ac:dyDescent="0.35">
      <c r="A985" s="16" t="e">
        <f>HYPERLINK(_xlfn.CONCAT(Edit_URL,Tasks[[#This Row],[Ref]]),Tasks[[#This Row],[Ref]])</f>
        <v>#VALUE!</v>
      </c>
      <c r="B985" s="15" t="e" cm="1">
        <f t="array" ref="B985">_xlfn.SWITCH(LEFT(Tasks[[#This Row],[Status]],1),"O","Opened","C","Completed","S","Signed Off", "V", "Signed Off","ERROR")</f>
        <v>#VALUE!</v>
      </c>
      <c r="C985" s="15" t="e" cm="1">
        <f t="array" ref="C985">_xlfn.SWITCH(LEFT(Tasks[[#This Row],[Type]], 3), "Fie", "Field Report", "Con", "Contractor QC", "Gen", "Contractor QC", "Pun", "Contractor QC", "Qua", "Contractor QC", "Fin", "Punch List")</f>
        <v>#VALUE!</v>
      </c>
      <c r="D985" s="15" t="e">
        <f>_xlfn.LET(
_xlpm.leftValue, TRIM(LEFT(Tasks[[#This Row],[Description]], 45)),
IF(LEN(_xlpm.leftValue) &lt; 40, _xlpm.leftValue, _xlfn.CONCAT(_xlpm.leftValue, "…"))
)</f>
        <v>#VALUE!</v>
      </c>
      <c r="E985" s="15" t="e" cm="1">
        <f t="array" ref="E985">_xlfn.LET(
_xlpm.inTower, COUNTIF(Tower_Num_Table[Tower Rm Numbers], LEFT(Task_Summary_Table[[#This Row],[Area/Room]], 3)) &gt; 0,
_xlpm.typeResult, _xlfn.SWITCH(LEFT(Tasks[[#This Row],[Page]], 2), "Hi", "Historic", "An", "Annex", "Si", "Site", "S5", "Project Task", "SWITCH ERROR"),
IF(_xlpm.inTower, "West Tower", _xlpm.typeResult)
)</f>
        <v>#VALUE!</v>
      </c>
      <c r="F985" s="15" t="str">
        <f>IFERROR(MID(Tasks[[#This Row],[Page]], FIND("Level", Tasks[[#This Row],[Page]]), 7), IF(ISNUMBER(FIND("Roof", Tasks[[#This Row],[Page]])), "Roof",  IF(ISNUMBER(FIND("S590", Tasks[[#This Row],[Page]])), "",  IF(ISNUMBER(FIND("Site", Tasks[[#This Row],[Page]])), "", "ERROR"))))</f>
        <v>ERROR</v>
      </c>
      <c r="G985" s="15" t="e">
        <f>IF(Tasks[[#This Row],[Location]]=0, "", Tasks[[#This Row],[Location]])</f>
        <v>#VALUE!</v>
      </c>
      <c r="H985" s="15" t="e">
        <f>Tasks[[#This Row],[To Package]]</f>
        <v>#VALUE!</v>
      </c>
      <c r="I985" s="15" t="e">
        <f>Tasks[[#This Row],[To Organisation]]</f>
        <v>#VALUE!</v>
      </c>
    </row>
    <row r="986" spans="1:9" ht="15.5" x14ac:dyDescent="0.35">
      <c r="A986" s="16" t="e">
        <f>HYPERLINK(_xlfn.CONCAT(Edit_URL,Tasks[[#This Row],[Ref]]),Tasks[[#This Row],[Ref]])</f>
        <v>#VALUE!</v>
      </c>
      <c r="B986" s="15" t="e" cm="1">
        <f t="array" ref="B986">_xlfn.SWITCH(LEFT(Tasks[[#This Row],[Status]],1),"O","Opened","C","Completed","S","Signed Off", "V", "Signed Off","ERROR")</f>
        <v>#VALUE!</v>
      </c>
      <c r="C986" s="15" t="e" cm="1">
        <f t="array" ref="C986">_xlfn.SWITCH(LEFT(Tasks[[#This Row],[Type]], 3), "Fie", "Field Report", "Con", "Contractor QC", "Gen", "Contractor QC", "Pun", "Contractor QC", "Qua", "Contractor QC", "Fin", "Punch List")</f>
        <v>#VALUE!</v>
      </c>
      <c r="D986" s="15" t="e">
        <f>_xlfn.LET(
_xlpm.leftValue, TRIM(LEFT(Tasks[[#This Row],[Description]], 45)),
IF(LEN(_xlpm.leftValue) &lt; 40, _xlpm.leftValue, _xlfn.CONCAT(_xlpm.leftValue, "…"))
)</f>
        <v>#VALUE!</v>
      </c>
      <c r="E986" s="15" t="e" cm="1">
        <f t="array" ref="E986">_xlfn.LET(
_xlpm.inTower, COUNTIF(Tower_Num_Table[Tower Rm Numbers], LEFT(Task_Summary_Table[[#This Row],[Area/Room]], 3)) &gt; 0,
_xlpm.typeResult, _xlfn.SWITCH(LEFT(Tasks[[#This Row],[Page]], 2), "Hi", "Historic", "An", "Annex", "Si", "Site", "S5", "Project Task", "SWITCH ERROR"),
IF(_xlpm.inTower, "West Tower", _xlpm.typeResult)
)</f>
        <v>#VALUE!</v>
      </c>
      <c r="F986" s="15" t="str">
        <f>IFERROR(MID(Tasks[[#This Row],[Page]], FIND("Level", Tasks[[#This Row],[Page]]), 7), IF(ISNUMBER(FIND("Roof", Tasks[[#This Row],[Page]])), "Roof",  IF(ISNUMBER(FIND("S590", Tasks[[#This Row],[Page]])), "",  IF(ISNUMBER(FIND("Site", Tasks[[#This Row],[Page]])), "", "ERROR"))))</f>
        <v>ERROR</v>
      </c>
      <c r="G986" s="15" t="e">
        <f>IF(Tasks[[#This Row],[Location]]=0, "", Tasks[[#This Row],[Location]])</f>
        <v>#VALUE!</v>
      </c>
      <c r="H986" s="15" t="e">
        <f>Tasks[[#This Row],[To Package]]</f>
        <v>#VALUE!</v>
      </c>
      <c r="I986" s="15" t="e">
        <f>Tasks[[#This Row],[To Organisation]]</f>
        <v>#VALUE!</v>
      </c>
    </row>
    <row r="987" spans="1:9" ht="15.5" x14ac:dyDescent="0.35">
      <c r="A987" s="16" t="e">
        <f>HYPERLINK(_xlfn.CONCAT(Edit_URL,Tasks[[#This Row],[Ref]]),Tasks[[#This Row],[Ref]])</f>
        <v>#VALUE!</v>
      </c>
      <c r="B987" s="15" t="e" cm="1">
        <f t="array" ref="B987">_xlfn.SWITCH(LEFT(Tasks[[#This Row],[Status]],1),"O","Opened","C","Completed","S","Signed Off", "V", "Signed Off","ERROR")</f>
        <v>#VALUE!</v>
      </c>
      <c r="C987" s="15" t="e" cm="1">
        <f t="array" ref="C987">_xlfn.SWITCH(LEFT(Tasks[[#This Row],[Type]], 3), "Fie", "Field Report", "Con", "Contractor QC", "Gen", "Contractor QC", "Pun", "Contractor QC", "Qua", "Contractor QC", "Fin", "Punch List")</f>
        <v>#VALUE!</v>
      </c>
      <c r="D987" s="15" t="e">
        <f>_xlfn.LET(
_xlpm.leftValue, TRIM(LEFT(Tasks[[#This Row],[Description]], 45)),
IF(LEN(_xlpm.leftValue) &lt; 40, _xlpm.leftValue, _xlfn.CONCAT(_xlpm.leftValue, "…"))
)</f>
        <v>#VALUE!</v>
      </c>
      <c r="E987" s="15" t="e" cm="1">
        <f t="array" ref="E987">_xlfn.LET(
_xlpm.inTower, COUNTIF(Tower_Num_Table[Tower Rm Numbers], LEFT(Task_Summary_Table[[#This Row],[Area/Room]], 3)) &gt; 0,
_xlpm.typeResult, _xlfn.SWITCH(LEFT(Tasks[[#This Row],[Page]], 2), "Hi", "Historic", "An", "Annex", "Si", "Site", "S5", "Project Task", "SWITCH ERROR"),
IF(_xlpm.inTower, "West Tower", _xlpm.typeResult)
)</f>
        <v>#VALUE!</v>
      </c>
      <c r="F987" s="15" t="str">
        <f>IFERROR(MID(Tasks[[#This Row],[Page]], FIND("Level", Tasks[[#This Row],[Page]]), 7), IF(ISNUMBER(FIND("Roof", Tasks[[#This Row],[Page]])), "Roof",  IF(ISNUMBER(FIND("S590", Tasks[[#This Row],[Page]])), "",  IF(ISNUMBER(FIND("Site", Tasks[[#This Row],[Page]])), "", "ERROR"))))</f>
        <v>ERROR</v>
      </c>
      <c r="G987" s="15" t="e">
        <f>IF(Tasks[[#This Row],[Location]]=0, "", Tasks[[#This Row],[Location]])</f>
        <v>#VALUE!</v>
      </c>
      <c r="H987" s="15" t="e">
        <f>Tasks[[#This Row],[To Package]]</f>
        <v>#VALUE!</v>
      </c>
      <c r="I987" s="15" t="e">
        <f>Tasks[[#This Row],[To Organisation]]</f>
        <v>#VALUE!</v>
      </c>
    </row>
    <row r="988" spans="1:9" ht="15.5" x14ac:dyDescent="0.35">
      <c r="A988" s="16" t="e">
        <f>HYPERLINK(_xlfn.CONCAT(Edit_URL,Tasks[[#This Row],[Ref]]),Tasks[[#This Row],[Ref]])</f>
        <v>#VALUE!</v>
      </c>
      <c r="B988" s="15" t="e" cm="1">
        <f t="array" ref="B988">_xlfn.SWITCH(LEFT(Tasks[[#This Row],[Status]],1),"O","Opened","C","Completed","S","Signed Off", "V", "Signed Off","ERROR")</f>
        <v>#VALUE!</v>
      </c>
      <c r="C988" s="15" t="e" cm="1">
        <f t="array" ref="C988">_xlfn.SWITCH(LEFT(Tasks[[#This Row],[Type]], 3), "Fie", "Field Report", "Con", "Contractor QC", "Gen", "Contractor QC", "Pun", "Contractor QC", "Qua", "Contractor QC", "Fin", "Punch List")</f>
        <v>#VALUE!</v>
      </c>
      <c r="D988" s="15" t="e">
        <f>_xlfn.LET(
_xlpm.leftValue, TRIM(LEFT(Tasks[[#This Row],[Description]], 45)),
IF(LEN(_xlpm.leftValue) &lt; 40, _xlpm.leftValue, _xlfn.CONCAT(_xlpm.leftValue, "…"))
)</f>
        <v>#VALUE!</v>
      </c>
      <c r="E988" s="15" t="e" cm="1">
        <f t="array" ref="E988">_xlfn.LET(
_xlpm.inTower, COUNTIF(Tower_Num_Table[Tower Rm Numbers], LEFT(Task_Summary_Table[[#This Row],[Area/Room]], 3)) &gt; 0,
_xlpm.typeResult, _xlfn.SWITCH(LEFT(Tasks[[#This Row],[Page]], 2), "Hi", "Historic", "An", "Annex", "Si", "Site", "S5", "Project Task", "SWITCH ERROR"),
IF(_xlpm.inTower, "West Tower", _xlpm.typeResult)
)</f>
        <v>#VALUE!</v>
      </c>
      <c r="F988" s="15" t="str">
        <f>IFERROR(MID(Tasks[[#This Row],[Page]], FIND("Level", Tasks[[#This Row],[Page]]), 7), IF(ISNUMBER(FIND("Roof", Tasks[[#This Row],[Page]])), "Roof",  IF(ISNUMBER(FIND("S590", Tasks[[#This Row],[Page]])), "",  IF(ISNUMBER(FIND("Site", Tasks[[#This Row],[Page]])), "", "ERROR"))))</f>
        <v>ERROR</v>
      </c>
      <c r="G988" s="15" t="e">
        <f>IF(Tasks[[#This Row],[Location]]=0, "", Tasks[[#This Row],[Location]])</f>
        <v>#VALUE!</v>
      </c>
      <c r="H988" s="15" t="e">
        <f>Tasks[[#This Row],[To Package]]</f>
        <v>#VALUE!</v>
      </c>
      <c r="I988" s="15" t="e">
        <f>Tasks[[#This Row],[To Organisation]]</f>
        <v>#VALUE!</v>
      </c>
    </row>
    <row r="989" spans="1:9" ht="15.5" x14ac:dyDescent="0.35">
      <c r="A989" s="16" t="e">
        <f>HYPERLINK(_xlfn.CONCAT(Edit_URL,Tasks[[#This Row],[Ref]]),Tasks[[#This Row],[Ref]])</f>
        <v>#VALUE!</v>
      </c>
      <c r="B989" s="15" t="e" cm="1">
        <f t="array" ref="B989">_xlfn.SWITCH(LEFT(Tasks[[#This Row],[Status]],1),"O","Opened","C","Completed","S","Signed Off", "V", "Signed Off","ERROR")</f>
        <v>#VALUE!</v>
      </c>
      <c r="C989" s="15" t="e" cm="1">
        <f t="array" ref="C989">_xlfn.SWITCH(LEFT(Tasks[[#This Row],[Type]], 3), "Fie", "Field Report", "Con", "Contractor QC", "Gen", "Contractor QC", "Pun", "Contractor QC", "Qua", "Contractor QC", "Fin", "Punch List")</f>
        <v>#VALUE!</v>
      </c>
      <c r="D989" s="15" t="e">
        <f>_xlfn.LET(
_xlpm.leftValue, TRIM(LEFT(Tasks[[#This Row],[Description]], 45)),
IF(LEN(_xlpm.leftValue) &lt; 40, _xlpm.leftValue, _xlfn.CONCAT(_xlpm.leftValue, "…"))
)</f>
        <v>#VALUE!</v>
      </c>
      <c r="E989" s="15" t="e" cm="1">
        <f t="array" ref="E989">_xlfn.LET(
_xlpm.inTower, COUNTIF(Tower_Num_Table[Tower Rm Numbers], LEFT(Task_Summary_Table[[#This Row],[Area/Room]], 3)) &gt; 0,
_xlpm.typeResult, _xlfn.SWITCH(LEFT(Tasks[[#This Row],[Page]], 2), "Hi", "Historic", "An", "Annex", "Si", "Site", "S5", "Project Task", "SWITCH ERROR"),
IF(_xlpm.inTower, "West Tower", _xlpm.typeResult)
)</f>
        <v>#VALUE!</v>
      </c>
      <c r="F989" s="15" t="str">
        <f>IFERROR(MID(Tasks[[#This Row],[Page]], FIND("Level", Tasks[[#This Row],[Page]]), 7), IF(ISNUMBER(FIND("Roof", Tasks[[#This Row],[Page]])), "Roof",  IF(ISNUMBER(FIND("S590", Tasks[[#This Row],[Page]])), "",  IF(ISNUMBER(FIND("Site", Tasks[[#This Row],[Page]])), "", "ERROR"))))</f>
        <v>ERROR</v>
      </c>
      <c r="G989" s="15" t="e">
        <f>IF(Tasks[[#This Row],[Location]]=0, "", Tasks[[#This Row],[Location]])</f>
        <v>#VALUE!</v>
      </c>
      <c r="H989" s="15" t="e">
        <f>Tasks[[#This Row],[To Package]]</f>
        <v>#VALUE!</v>
      </c>
      <c r="I989" s="15" t="e">
        <f>Tasks[[#This Row],[To Organisation]]</f>
        <v>#VALUE!</v>
      </c>
    </row>
    <row r="990" spans="1:9" ht="15.5" x14ac:dyDescent="0.35">
      <c r="A990" s="16" t="e">
        <f>HYPERLINK(_xlfn.CONCAT(Edit_URL,Tasks[[#This Row],[Ref]]),Tasks[[#This Row],[Ref]])</f>
        <v>#VALUE!</v>
      </c>
      <c r="B990" s="15" t="e" cm="1">
        <f t="array" ref="B990">_xlfn.SWITCH(LEFT(Tasks[[#This Row],[Status]],1),"O","Opened","C","Completed","S","Signed Off", "V", "Signed Off","ERROR")</f>
        <v>#VALUE!</v>
      </c>
      <c r="C990" s="15" t="e" cm="1">
        <f t="array" ref="C990">_xlfn.SWITCH(LEFT(Tasks[[#This Row],[Type]], 3), "Fie", "Field Report", "Con", "Contractor QC", "Gen", "Contractor QC", "Pun", "Contractor QC", "Qua", "Contractor QC", "Fin", "Punch List")</f>
        <v>#VALUE!</v>
      </c>
      <c r="D990" s="15" t="e">
        <f>_xlfn.LET(
_xlpm.leftValue, TRIM(LEFT(Tasks[[#This Row],[Description]], 45)),
IF(LEN(_xlpm.leftValue) &lt; 40, _xlpm.leftValue, _xlfn.CONCAT(_xlpm.leftValue, "…"))
)</f>
        <v>#VALUE!</v>
      </c>
      <c r="E990" s="15" t="e" cm="1">
        <f t="array" ref="E990">_xlfn.LET(
_xlpm.inTower, COUNTIF(Tower_Num_Table[Tower Rm Numbers], LEFT(Task_Summary_Table[[#This Row],[Area/Room]], 3)) &gt; 0,
_xlpm.typeResult, _xlfn.SWITCH(LEFT(Tasks[[#This Row],[Page]], 2), "Hi", "Historic", "An", "Annex", "Si", "Site", "S5", "Project Task", "SWITCH ERROR"),
IF(_xlpm.inTower, "West Tower", _xlpm.typeResult)
)</f>
        <v>#VALUE!</v>
      </c>
      <c r="F990" s="15" t="str">
        <f>IFERROR(MID(Tasks[[#This Row],[Page]], FIND("Level", Tasks[[#This Row],[Page]]), 7), IF(ISNUMBER(FIND("Roof", Tasks[[#This Row],[Page]])), "Roof",  IF(ISNUMBER(FIND("S590", Tasks[[#This Row],[Page]])), "",  IF(ISNUMBER(FIND("Site", Tasks[[#This Row],[Page]])), "", "ERROR"))))</f>
        <v>ERROR</v>
      </c>
      <c r="G990" s="15" t="e">
        <f>IF(Tasks[[#This Row],[Location]]=0, "", Tasks[[#This Row],[Location]])</f>
        <v>#VALUE!</v>
      </c>
      <c r="H990" s="15" t="e">
        <f>Tasks[[#This Row],[To Package]]</f>
        <v>#VALUE!</v>
      </c>
      <c r="I990" s="15" t="e">
        <f>Tasks[[#This Row],[To Organisation]]</f>
        <v>#VALUE!</v>
      </c>
    </row>
    <row r="991" spans="1:9" ht="15.5" x14ac:dyDescent="0.35">
      <c r="A991" s="16" t="e">
        <f>HYPERLINK(_xlfn.CONCAT(Edit_URL,Tasks[[#This Row],[Ref]]),Tasks[[#This Row],[Ref]])</f>
        <v>#VALUE!</v>
      </c>
      <c r="B991" s="15" t="e" cm="1">
        <f t="array" ref="B991">_xlfn.SWITCH(LEFT(Tasks[[#This Row],[Status]],1),"O","Opened","C","Completed","S","Signed Off", "V", "Signed Off","ERROR")</f>
        <v>#VALUE!</v>
      </c>
      <c r="C991" s="15" t="e" cm="1">
        <f t="array" ref="C991">_xlfn.SWITCH(LEFT(Tasks[[#This Row],[Type]], 3), "Fie", "Field Report", "Con", "Contractor QC", "Gen", "Contractor QC", "Pun", "Contractor QC", "Qua", "Contractor QC", "Fin", "Punch List")</f>
        <v>#VALUE!</v>
      </c>
      <c r="D991" s="15" t="e">
        <f>_xlfn.LET(
_xlpm.leftValue, TRIM(LEFT(Tasks[[#This Row],[Description]], 45)),
IF(LEN(_xlpm.leftValue) &lt; 40, _xlpm.leftValue, _xlfn.CONCAT(_xlpm.leftValue, "…"))
)</f>
        <v>#VALUE!</v>
      </c>
      <c r="E991" s="15" t="e" cm="1">
        <f t="array" ref="E991">_xlfn.LET(
_xlpm.inTower, COUNTIF(Tower_Num_Table[Tower Rm Numbers], LEFT(Task_Summary_Table[[#This Row],[Area/Room]], 3)) &gt; 0,
_xlpm.typeResult, _xlfn.SWITCH(LEFT(Tasks[[#This Row],[Page]], 2), "Hi", "Historic", "An", "Annex", "Si", "Site", "S5", "Project Task", "SWITCH ERROR"),
IF(_xlpm.inTower, "West Tower", _xlpm.typeResult)
)</f>
        <v>#VALUE!</v>
      </c>
      <c r="F991" s="15" t="str">
        <f>IFERROR(MID(Tasks[[#This Row],[Page]], FIND("Level", Tasks[[#This Row],[Page]]), 7), IF(ISNUMBER(FIND("Roof", Tasks[[#This Row],[Page]])), "Roof",  IF(ISNUMBER(FIND("S590", Tasks[[#This Row],[Page]])), "",  IF(ISNUMBER(FIND("Site", Tasks[[#This Row],[Page]])), "", "ERROR"))))</f>
        <v>ERROR</v>
      </c>
      <c r="G991" s="15" t="e">
        <f>IF(Tasks[[#This Row],[Location]]=0, "", Tasks[[#This Row],[Location]])</f>
        <v>#VALUE!</v>
      </c>
      <c r="H991" s="15" t="e">
        <f>Tasks[[#This Row],[To Package]]</f>
        <v>#VALUE!</v>
      </c>
      <c r="I991" s="15" t="e">
        <f>Tasks[[#This Row],[To Organisation]]</f>
        <v>#VALUE!</v>
      </c>
    </row>
    <row r="992" spans="1:9" ht="15.5" x14ac:dyDescent="0.35">
      <c r="A992" s="16" t="e">
        <f>HYPERLINK(_xlfn.CONCAT(Edit_URL,Tasks[[#This Row],[Ref]]),Tasks[[#This Row],[Ref]])</f>
        <v>#VALUE!</v>
      </c>
      <c r="B992" s="15" t="e" cm="1">
        <f t="array" ref="B992">_xlfn.SWITCH(LEFT(Tasks[[#This Row],[Status]],1),"O","Opened","C","Completed","S","Signed Off", "V", "Signed Off","ERROR")</f>
        <v>#VALUE!</v>
      </c>
      <c r="C992" s="15" t="e" cm="1">
        <f t="array" ref="C992">_xlfn.SWITCH(LEFT(Tasks[[#This Row],[Type]], 3), "Fie", "Field Report", "Con", "Contractor QC", "Gen", "Contractor QC", "Pun", "Contractor QC", "Qua", "Contractor QC", "Fin", "Punch List")</f>
        <v>#VALUE!</v>
      </c>
      <c r="D992" s="15" t="e">
        <f>_xlfn.LET(
_xlpm.leftValue, TRIM(LEFT(Tasks[[#This Row],[Description]], 45)),
IF(LEN(_xlpm.leftValue) &lt; 40, _xlpm.leftValue, _xlfn.CONCAT(_xlpm.leftValue, "…"))
)</f>
        <v>#VALUE!</v>
      </c>
      <c r="E992" s="15" t="e" cm="1">
        <f t="array" ref="E992">_xlfn.LET(
_xlpm.inTower, COUNTIF(Tower_Num_Table[Tower Rm Numbers], LEFT(Task_Summary_Table[[#This Row],[Area/Room]], 3)) &gt; 0,
_xlpm.typeResult, _xlfn.SWITCH(LEFT(Tasks[[#This Row],[Page]], 2), "Hi", "Historic", "An", "Annex", "Si", "Site", "S5", "Project Task", "SWITCH ERROR"),
IF(_xlpm.inTower, "West Tower", _xlpm.typeResult)
)</f>
        <v>#VALUE!</v>
      </c>
      <c r="F992" s="15" t="str">
        <f>IFERROR(MID(Tasks[[#This Row],[Page]], FIND("Level", Tasks[[#This Row],[Page]]), 7), IF(ISNUMBER(FIND("Roof", Tasks[[#This Row],[Page]])), "Roof",  IF(ISNUMBER(FIND("S590", Tasks[[#This Row],[Page]])), "",  IF(ISNUMBER(FIND("Site", Tasks[[#This Row],[Page]])), "", "ERROR"))))</f>
        <v>ERROR</v>
      </c>
      <c r="G992" s="15" t="e">
        <f>IF(Tasks[[#This Row],[Location]]=0, "", Tasks[[#This Row],[Location]])</f>
        <v>#VALUE!</v>
      </c>
      <c r="H992" s="15" t="e">
        <f>Tasks[[#This Row],[To Package]]</f>
        <v>#VALUE!</v>
      </c>
      <c r="I992" s="15" t="e">
        <f>Tasks[[#This Row],[To Organisation]]</f>
        <v>#VALUE!</v>
      </c>
    </row>
    <row r="993" spans="1:9" ht="15.5" x14ac:dyDescent="0.35">
      <c r="A993" s="16" t="e">
        <f>HYPERLINK(_xlfn.CONCAT(Edit_URL,Tasks[[#This Row],[Ref]]),Tasks[[#This Row],[Ref]])</f>
        <v>#VALUE!</v>
      </c>
      <c r="B993" s="15" t="e" cm="1">
        <f t="array" ref="B993">_xlfn.SWITCH(LEFT(Tasks[[#This Row],[Status]],1),"O","Opened","C","Completed","S","Signed Off", "V", "Signed Off","ERROR")</f>
        <v>#VALUE!</v>
      </c>
      <c r="C993" s="15" t="e" cm="1">
        <f t="array" ref="C993">_xlfn.SWITCH(LEFT(Tasks[[#This Row],[Type]], 3), "Fie", "Field Report", "Con", "Contractor QC", "Gen", "Contractor QC", "Pun", "Contractor QC", "Qua", "Contractor QC", "Fin", "Punch List")</f>
        <v>#VALUE!</v>
      </c>
      <c r="D993" s="15" t="e">
        <f>_xlfn.LET(
_xlpm.leftValue, TRIM(LEFT(Tasks[[#This Row],[Description]], 45)),
IF(LEN(_xlpm.leftValue) &lt; 40, _xlpm.leftValue, _xlfn.CONCAT(_xlpm.leftValue, "…"))
)</f>
        <v>#VALUE!</v>
      </c>
      <c r="E993" s="15" t="e" cm="1">
        <f t="array" ref="E993">_xlfn.LET(
_xlpm.inTower, COUNTIF(Tower_Num_Table[Tower Rm Numbers], LEFT(Task_Summary_Table[[#This Row],[Area/Room]], 3)) &gt; 0,
_xlpm.typeResult, _xlfn.SWITCH(LEFT(Tasks[[#This Row],[Page]], 2), "Hi", "Historic", "An", "Annex", "Si", "Site", "S5", "Project Task", "SWITCH ERROR"),
IF(_xlpm.inTower, "West Tower", _xlpm.typeResult)
)</f>
        <v>#VALUE!</v>
      </c>
      <c r="F993" s="15" t="str">
        <f>IFERROR(MID(Tasks[[#This Row],[Page]], FIND("Level", Tasks[[#This Row],[Page]]), 7), IF(ISNUMBER(FIND("Roof", Tasks[[#This Row],[Page]])), "Roof",  IF(ISNUMBER(FIND("S590", Tasks[[#This Row],[Page]])), "",  IF(ISNUMBER(FIND("Site", Tasks[[#This Row],[Page]])), "", "ERROR"))))</f>
        <v>ERROR</v>
      </c>
      <c r="G993" s="15" t="e">
        <f>IF(Tasks[[#This Row],[Location]]=0, "", Tasks[[#This Row],[Location]])</f>
        <v>#VALUE!</v>
      </c>
      <c r="H993" s="15" t="e">
        <f>Tasks[[#This Row],[To Package]]</f>
        <v>#VALUE!</v>
      </c>
      <c r="I993" s="15" t="e">
        <f>Tasks[[#This Row],[To Organisation]]</f>
        <v>#VALUE!</v>
      </c>
    </row>
    <row r="994" spans="1:9" ht="15.5" x14ac:dyDescent="0.35">
      <c r="A994" s="16" t="e">
        <f>HYPERLINK(_xlfn.CONCAT(Edit_URL,Tasks[[#This Row],[Ref]]),Tasks[[#This Row],[Ref]])</f>
        <v>#VALUE!</v>
      </c>
      <c r="B994" s="15" t="e" cm="1">
        <f t="array" ref="B994">_xlfn.SWITCH(LEFT(Tasks[[#This Row],[Status]],1),"O","Opened","C","Completed","S","Signed Off", "V", "Signed Off","ERROR")</f>
        <v>#VALUE!</v>
      </c>
      <c r="C994" s="15" t="e" cm="1">
        <f t="array" ref="C994">_xlfn.SWITCH(LEFT(Tasks[[#This Row],[Type]], 3), "Fie", "Field Report", "Con", "Contractor QC", "Gen", "Contractor QC", "Pun", "Contractor QC", "Qua", "Contractor QC", "Fin", "Punch List")</f>
        <v>#VALUE!</v>
      </c>
      <c r="D994" s="15" t="e">
        <f>_xlfn.LET(
_xlpm.leftValue, TRIM(LEFT(Tasks[[#This Row],[Description]], 45)),
IF(LEN(_xlpm.leftValue) &lt; 40, _xlpm.leftValue, _xlfn.CONCAT(_xlpm.leftValue, "…"))
)</f>
        <v>#VALUE!</v>
      </c>
      <c r="E994" s="15" t="e" cm="1">
        <f t="array" ref="E994">_xlfn.LET(
_xlpm.inTower, COUNTIF(Tower_Num_Table[Tower Rm Numbers], LEFT(Task_Summary_Table[[#This Row],[Area/Room]], 3)) &gt; 0,
_xlpm.typeResult, _xlfn.SWITCH(LEFT(Tasks[[#This Row],[Page]], 2), "Hi", "Historic", "An", "Annex", "Si", "Site", "S5", "Project Task", "SWITCH ERROR"),
IF(_xlpm.inTower, "West Tower", _xlpm.typeResult)
)</f>
        <v>#VALUE!</v>
      </c>
      <c r="F994" s="15" t="str">
        <f>IFERROR(MID(Tasks[[#This Row],[Page]], FIND("Level", Tasks[[#This Row],[Page]]), 7), IF(ISNUMBER(FIND("Roof", Tasks[[#This Row],[Page]])), "Roof",  IF(ISNUMBER(FIND("S590", Tasks[[#This Row],[Page]])), "",  IF(ISNUMBER(FIND("Site", Tasks[[#This Row],[Page]])), "", "ERROR"))))</f>
        <v>ERROR</v>
      </c>
      <c r="G994" s="15" t="e">
        <f>IF(Tasks[[#This Row],[Location]]=0, "", Tasks[[#This Row],[Location]])</f>
        <v>#VALUE!</v>
      </c>
      <c r="H994" s="15" t="e">
        <f>Tasks[[#This Row],[To Package]]</f>
        <v>#VALUE!</v>
      </c>
      <c r="I994" s="15" t="e">
        <f>Tasks[[#This Row],[To Organisation]]</f>
        <v>#VALUE!</v>
      </c>
    </row>
    <row r="995" spans="1:9" ht="15.5" x14ac:dyDescent="0.35">
      <c r="A995" s="16" t="e">
        <f>HYPERLINK(_xlfn.CONCAT(Edit_URL,Tasks[[#This Row],[Ref]]),Tasks[[#This Row],[Ref]])</f>
        <v>#VALUE!</v>
      </c>
      <c r="B995" s="15" t="e" cm="1">
        <f t="array" ref="B995">_xlfn.SWITCH(LEFT(Tasks[[#This Row],[Status]],1),"O","Opened","C","Completed","S","Signed Off", "V", "Signed Off","ERROR")</f>
        <v>#VALUE!</v>
      </c>
      <c r="C995" s="15" t="e" cm="1">
        <f t="array" ref="C995">_xlfn.SWITCH(LEFT(Tasks[[#This Row],[Type]], 3), "Fie", "Field Report", "Con", "Contractor QC", "Gen", "Contractor QC", "Pun", "Contractor QC", "Qua", "Contractor QC", "Fin", "Punch List")</f>
        <v>#VALUE!</v>
      </c>
      <c r="D995" s="15" t="e">
        <f>_xlfn.LET(
_xlpm.leftValue, TRIM(LEFT(Tasks[[#This Row],[Description]], 45)),
IF(LEN(_xlpm.leftValue) &lt; 40, _xlpm.leftValue, _xlfn.CONCAT(_xlpm.leftValue, "…"))
)</f>
        <v>#VALUE!</v>
      </c>
      <c r="E995" s="15" t="e" cm="1">
        <f t="array" ref="E995">_xlfn.LET(
_xlpm.inTower, COUNTIF(Tower_Num_Table[Tower Rm Numbers], LEFT(Task_Summary_Table[[#This Row],[Area/Room]], 3)) &gt; 0,
_xlpm.typeResult, _xlfn.SWITCH(LEFT(Tasks[[#This Row],[Page]], 2), "Hi", "Historic", "An", "Annex", "Si", "Site", "S5", "Project Task", "SWITCH ERROR"),
IF(_xlpm.inTower, "West Tower", _xlpm.typeResult)
)</f>
        <v>#VALUE!</v>
      </c>
      <c r="F995" s="15" t="str">
        <f>IFERROR(MID(Tasks[[#This Row],[Page]], FIND("Level", Tasks[[#This Row],[Page]]), 7), IF(ISNUMBER(FIND("Roof", Tasks[[#This Row],[Page]])), "Roof",  IF(ISNUMBER(FIND("S590", Tasks[[#This Row],[Page]])), "",  IF(ISNUMBER(FIND("Site", Tasks[[#This Row],[Page]])), "", "ERROR"))))</f>
        <v>ERROR</v>
      </c>
      <c r="G995" s="15" t="e">
        <f>IF(Tasks[[#This Row],[Location]]=0, "", Tasks[[#This Row],[Location]])</f>
        <v>#VALUE!</v>
      </c>
      <c r="H995" s="15" t="e">
        <f>Tasks[[#This Row],[To Package]]</f>
        <v>#VALUE!</v>
      </c>
      <c r="I995" s="15" t="e">
        <f>Tasks[[#This Row],[To Organisation]]</f>
        <v>#VALUE!</v>
      </c>
    </row>
    <row r="996" spans="1:9" ht="15.5" x14ac:dyDescent="0.35">
      <c r="A996" s="16" t="e">
        <f>HYPERLINK(_xlfn.CONCAT(Edit_URL,Tasks[[#This Row],[Ref]]),Tasks[[#This Row],[Ref]])</f>
        <v>#VALUE!</v>
      </c>
      <c r="B996" s="15" t="e" cm="1">
        <f t="array" ref="B996">_xlfn.SWITCH(LEFT(Tasks[[#This Row],[Status]],1),"O","Opened","C","Completed","S","Signed Off", "V", "Signed Off","ERROR")</f>
        <v>#VALUE!</v>
      </c>
      <c r="C996" s="15" t="e" cm="1">
        <f t="array" ref="C996">_xlfn.SWITCH(LEFT(Tasks[[#This Row],[Type]], 3), "Fie", "Field Report", "Con", "Contractor QC", "Gen", "Contractor QC", "Pun", "Contractor QC", "Qua", "Contractor QC", "Fin", "Punch List")</f>
        <v>#VALUE!</v>
      </c>
      <c r="D996" s="15" t="e">
        <f>_xlfn.LET(
_xlpm.leftValue, TRIM(LEFT(Tasks[[#This Row],[Description]], 45)),
IF(LEN(_xlpm.leftValue) &lt; 40, _xlpm.leftValue, _xlfn.CONCAT(_xlpm.leftValue, "…"))
)</f>
        <v>#VALUE!</v>
      </c>
      <c r="E996" s="15" t="e" cm="1">
        <f t="array" ref="E996">_xlfn.LET(
_xlpm.inTower, COUNTIF(Tower_Num_Table[Tower Rm Numbers], LEFT(Task_Summary_Table[[#This Row],[Area/Room]], 3)) &gt; 0,
_xlpm.typeResult, _xlfn.SWITCH(LEFT(Tasks[[#This Row],[Page]], 2), "Hi", "Historic", "An", "Annex", "Si", "Site", "S5", "Project Task", "SWITCH ERROR"),
IF(_xlpm.inTower, "West Tower", _xlpm.typeResult)
)</f>
        <v>#VALUE!</v>
      </c>
      <c r="F996" s="15" t="str">
        <f>IFERROR(MID(Tasks[[#This Row],[Page]], FIND("Level", Tasks[[#This Row],[Page]]), 7), IF(ISNUMBER(FIND("Roof", Tasks[[#This Row],[Page]])), "Roof",  IF(ISNUMBER(FIND("S590", Tasks[[#This Row],[Page]])), "",  IF(ISNUMBER(FIND("Site", Tasks[[#This Row],[Page]])), "", "ERROR"))))</f>
        <v>ERROR</v>
      </c>
      <c r="G996" s="15" t="e">
        <f>IF(Tasks[[#This Row],[Location]]=0, "", Tasks[[#This Row],[Location]])</f>
        <v>#VALUE!</v>
      </c>
      <c r="H996" s="15" t="e">
        <f>Tasks[[#This Row],[To Package]]</f>
        <v>#VALUE!</v>
      </c>
      <c r="I996" s="15" t="e">
        <f>Tasks[[#This Row],[To Organisation]]</f>
        <v>#VALUE!</v>
      </c>
    </row>
    <row r="997" spans="1:9" ht="15.5" x14ac:dyDescent="0.35">
      <c r="A997" s="16" t="e">
        <f>HYPERLINK(_xlfn.CONCAT(Edit_URL,Tasks[[#This Row],[Ref]]),Tasks[[#This Row],[Ref]])</f>
        <v>#VALUE!</v>
      </c>
      <c r="B997" s="15" t="e" cm="1">
        <f t="array" ref="B997">_xlfn.SWITCH(LEFT(Tasks[[#This Row],[Status]],1),"O","Opened","C","Completed","S","Signed Off", "V", "Signed Off","ERROR")</f>
        <v>#VALUE!</v>
      </c>
      <c r="C997" s="15" t="e" cm="1">
        <f t="array" ref="C997">_xlfn.SWITCH(LEFT(Tasks[[#This Row],[Type]], 3), "Fie", "Field Report", "Con", "Contractor QC", "Gen", "Contractor QC", "Pun", "Contractor QC", "Qua", "Contractor QC", "Fin", "Punch List")</f>
        <v>#VALUE!</v>
      </c>
      <c r="D997" s="15" t="e">
        <f>_xlfn.LET(
_xlpm.leftValue, TRIM(LEFT(Tasks[[#This Row],[Description]], 45)),
IF(LEN(_xlpm.leftValue) &lt; 40, _xlpm.leftValue, _xlfn.CONCAT(_xlpm.leftValue, "…"))
)</f>
        <v>#VALUE!</v>
      </c>
      <c r="E997" s="15" t="e" cm="1">
        <f t="array" ref="E997">_xlfn.LET(
_xlpm.inTower, COUNTIF(Tower_Num_Table[Tower Rm Numbers], LEFT(Task_Summary_Table[[#This Row],[Area/Room]], 3)) &gt; 0,
_xlpm.typeResult, _xlfn.SWITCH(LEFT(Tasks[[#This Row],[Page]], 2), "Hi", "Historic", "An", "Annex", "Si", "Site", "S5", "Project Task", "SWITCH ERROR"),
IF(_xlpm.inTower, "West Tower", _xlpm.typeResult)
)</f>
        <v>#VALUE!</v>
      </c>
      <c r="F997" s="15" t="str">
        <f>IFERROR(MID(Tasks[[#This Row],[Page]], FIND("Level", Tasks[[#This Row],[Page]]), 7), IF(ISNUMBER(FIND("Roof", Tasks[[#This Row],[Page]])), "Roof",  IF(ISNUMBER(FIND("S590", Tasks[[#This Row],[Page]])), "",  IF(ISNUMBER(FIND("Site", Tasks[[#This Row],[Page]])), "", "ERROR"))))</f>
        <v>ERROR</v>
      </c>
      <c r="G997" s="15" t="e">
        <f>IF(Tasks[[#This Row],[Location]]=0, "", Tasks[[#This Row],[Location]])</f>
        <v>#VALUE!</v>
      </c>
      <c r="H997" s="15" t="e">
        <f>Tasks[[#This Row],[To Package]]</f>
        <v>#VALUE!</v>
      </c>
      <c r="I997" s="15" t="e">
        <f>Tasks[[#This Row],[To Organisation]]</f>
        <v>#VALUE!</v>
      </c>
    </row>
    <row r="998" spans="1:9" ht="15.5" x14ac:dyDescent="0.35">
      <c r="A998" s="16" t="e">
        <f>HYPERLINK(_xlfn.CONCAT(Edit_URL,Tasks[[#This Row],[Ref]]),Tasks[[#This Row],[Ref]])</f>
        <v>#VALUE!</v>
      </c>
      <c r="B998" s="15" t="e" cm="1">
        <f t="array" ref="B998">_xlfn.SWITCH(LEFT(Tasks[[#This Row],[Status]],1),"O","Opened","C","Completed","S","Signed Off", "V", "Signed Off","ERROR")</f>
        <v>#VALUE!</v>
      </c>
      <c r="C998" s="15" t="e" cm="1">
        <f t="array" ref="C998">_xlfn.SWITCH(LEFT(Tasks[[#This Row],[Type]], 3), "Fie", "Field Report", "Con", "Contractor QC", "Gen", "Contractor QC", "Pun", "Contractor QC", "Qua", "Contractor QC", "Fin", "Punch List")</f>
        <v>#VALUE!</v>
      </c>
      <c r="D998" s="15" t="e">
        <f>_xlfn.LET(
_xlpm.leftValue, TRIM(LEFT(Tasks[[#This Row],[Description]], 45)),
IF(LEN(_xlpm.leftValue) &lt; 40, _xlpm.leftValue, _xlfn.CONCAT(_xlpm.leftValue, "…"))
)</f>
        <v>#VALUE!</v>
      </c>
      <c r="E998" s="15" t="e" cm="1">
        <f t="array" ref="E998">_xlfn.LET(
_xlpm.inTower, COUNTIF(Tower_Num_Table[Tower Rm Numbers], LEFT(Task_Summary_Table[[#This Row],[Area/Room]], 3)) &gt; 0,
_xlpm.typeResult, _xlfn.SWITCH(LEFT(Tasks[[#This Row],[Page]], 2), "Hi", "Historic", "An", "Annex", "Si", "Site", "S5", "Project Task", "SWITCH ERROR"),
IF(_xlpm.inTower, "West Tower", _xlpm.typeResult)
)</f>
        <v>#VALUE!</v>
      </c>
      <c r="F998" s="15" t="str">
        <f>IFERROR(MID(Tasks[[#This Row],[Page]], FIND("Level", Tasks[[#This Row],[Page]]), 7), IF(ISNUMBER(FIND("Roof", Tasks[[#This Row],[Page]])), "Roof",  IF(ISNUMBER(FIND("S590", Tasks[[#This Row],[Page]])), "",  IF(ISNUMBER(FIND("Site", Tasks[[#This Row],[Page]])), "", "ERROR"))))</f>
        <v>ERROR</v>
      </c>
      <c r="G998" s="15" t="e">
        <f>IF(Tasks[[#This Row],[Location]]=0, "", Tasks[[#This Row],[Location]])</f>
        <v>#VALUE!</v>
      </c>
      <c r="H998" s="15" t="e">
        <f>Tasks[[#This Row],[To Package]]</f>
        <v>#VALUE!</v>
      </c>
      <c r="I998" s="15" t="e">
        <f>Tasks[[#This Row],[To Organisation]]</f>
        <v>#VALUE!</v>
      </c>
    </row>
    <row r="999" spans="1:9" ht="15.5" x14ac:dyDescent="0.35">
      <c r="A999" s="16" t="e">
        <f>HYPERLINK(_xlfn.CONCAT(Edit_URL,Tasks[[#This Row],[Ref]]),Tasks[[#This Row],[Ref]])</f>
        <v>#VALUE!</v>
      </c>
      <c r="B999" s="15" t="e" cm="1">
        <f t="array" ref="B999">_xlfn.SWITCH(LEFT(Tasks[[#This Row],[Status]],1),"O","Opened","C","Completed","S","Signed Off", "V", "Signed Off","ERROR")</f>
        <v>#VALUE!</v>
      </c>
      <c r="C999" s="15" t="e" cm="1">
        <f t="array" ref="C999">_xlfn.SWITCH(LEFT(Tasks[[#This Row],[Type]], 3), "Fie", "Field Report", "Con", "Contractor QC", "Gen", "Contractor QC", "Pun", "Contractor QC", "Qua", "Contractor QC", "Fin", "Punch List")</f>
        <v>#VALUE!</v>
      </c>
      <c r="D999" s="15" t="e">
        <f>_xlfn.LET(
_xlpm.leftValue, TRIM(LEFT(Tasks[[#This Row],[Description]], 45)),
IF(LEN(_xlpm.leftValue) &lt; 40, _xlpm.leftValue, _xlfn.CONCAT(_xlpm.leftValue, "…"))
)</f>
        <v>#VALUE!</v>
      </c>
      <c r="E999" s="15" t="e" cm="1">
        <f t="array" ref="E999">_xlfn.LET(
_xlpm.inTower, COUNTIF(Tower_Num_Table[Tower Rm Numbers], LEFT(Task_Summary_Table[[#This Row],[Area/Room]], 3)) &gt; 0,
_xlpm.typeResult, _xlfn.SWITCH(LEFT(Tasks[[#This Row],[Page]], 2), "Hi", "Historic", "An", "Annex", "Si", "Site", "S5", "Project Task", "SWITCH ERROR"),
IF(_xlpm.inTower, "West Tower", _xlpm.typeResult)
)</f>
        <v>#VALUE!</v>
      </c>
      <c r="F999" s="15" t="str">
        <f>IFERROR(MID(Tasks[[#This Row],[Page]], FIND("Level", Tasks[[#This Row],[Page]]), 7), IF(ISNUMBER(FIND("Roof", Tasks[[#This Row],[Page]])), "Roof",  IF(ISNUMBER(FIND("S590", Tasks[[#This Row],[Page]])), "",  IF(ISNUMBER(FIND("Site", Tasks[[#This Row],[Page]])), "", "ERROR"))))</f>
        <v>ERROR</v>
      </c>
      <c r="G999" s="15" t="e">
        <f>IF(Tasks[[#This Row],[Location]]=0, "", Tasks[[#This Row],[Location]])</f>
        <v>#VALUE!</v>
      </c>
      <c r="H999" s="15" t="e">
        <f>Tasks[[#This Row],[To Package]]</f>
        <v>#VALUE!</v>
      </c>
      <c r="I999" s="15" t="e">
        <f>Tasks[[#This Row],[To Organisation]]</f>
        <v>#VALUE!</v>
      </c>
    </row>
    <row r="1000" spans="1:9" ht="15.5" x14ac:dyDescent="0.35">
      <c r="A1000" s="16" t="e">
        <f>HYPERLINK(_xlfn.CONCAT(Edit_URL,Tasks[[#This Row],[Ref]]),Tasks[[#This Row],[Ref]])</f>
        <v>#VALUE!</v>
      </c>
      <c r="B1000" s="15" t="e" cm="1">
        <f t="array" ref="B1000">_xlfn.SWITCH(LEFT(Tasks[[#This Row],[Status]],1),"O","Opened","C","Completed","S","Signed Off", "V", "Signed Off","ERROR")</f>
        <v>#VALUE!</v>
      </c>
      <c r="C1000" s="15" t="e" cm="1">
        <f t="array" ref="C1000">_xlfn.SWITCH(LEFT(Tasks[[#This Row],[Type]], 3), "Fie", "Field Report", "Con", "Contractor QC", "Gen", "Contractor QC", "Pun", "Contractor QC", "Qua", "Contractor QC", "Fin", "Punch List")</f>
        <v>#VALUE!</v>
      </c>
      <c r="D1000" s="15" t="e">
        <f>_xlfn.LET(
_xlpm.leftValue, TRIM(LEFT(Tasks[[#This Row],[Description]], 45)),
IF(LEN(_xlpm.leftValue) &lt; 40, _xlpm.leftValue, _xlfn.CONCAT(_xlpm.leftValue, "…"))
)</f>
        <v>#VALUE!</v>
      </c>
      <c r="E1000" s="15" t="e" cm="1">
        <f t="array" ref="E1000">_xlfn.LET(
_xlpm.inTower, COUNTIF(Tower_Num_Table[Tower Rm Numbers], LEFT(Task_Summary_Table[[#This Row],[Area/Room]], 3)) &gt; 0,
_xlpm.typeResult, _xlfn.SWITCH(LEFT(Tasks[[#This Row],[Page]], 2), "Hi", "Historic", "An", "Annex", "Si", "Site", "S5", "Project Task", "SWITCH ERROR"),
IF(_xlpm.inTower, "West Tower", _xlpm.typeResult)
)</f>
        <v>#VALUE!</v>
      </c>
      <c r="F1000" s="15" t="str">
        <f>IFERROR(MID(Tasks[[#This Row],[Page]], FIND("Level", Tasks[[#This Row],[Page]]), 7), IF(ISNUMBER(FIND("Roof", Tasks[[#This Row],[Page]])), "Roof",  IF(ISNUMBER(FIND("S590", Tasks[[#This Row],[Page]])), "",  IF(ISNUMBER(FIND("Site", Tasks[[#This Row],[Page]])), "", "ERROR"))))</f>
        <v>ERROR</v>
      </c>
      <c r="G1000" s="15" t="e">
        <f>IF(Tasks[[#This Row],[Location]]=0, "", Tasks[[#This Row],[Location]])</f>
        <v>#VALUE!</v>
      </c>
      <c r="H1000" s="15" t="e">
        <f>Tasks[[#This Row],[To Package]]</f>
        <v>#VALUE!</v>
      </c>
      <c r="I1000" s="15" t="e">
        <f>Tasks[[#This Row],[To Organisation]]</f>
        <v>#VALUE!</v>
      </c>
    </row>
    <row r="1001" spans="1:9" ht="15.5" x14ac:dyDescent="0.35">
      <c r="A1001" s="16" t="e">
        <f>HYPERLINK(_xlfn.CONCAT(Edit_URL,Tasks[[#This Row],[Ref]]),Tasks[[#This Row],[Ref]])</f>
        <v>#VALUE!</v>
      </c>
      <c r="B1001" s="15" t="e" cm="1">
        <f t="array" ref="B1001">_xlfn.SWITCH(LEFT(Tasks[[#This Row],[Status]],1),"O","Opened","C","Completed","S","Signed Off", "V", "Signed Off","ERROR")</f>
        <v>#VALUE!</v>
      </c>
      <c r="C1001" s="15" t="e" cm="1">
        <f t="array" ref="C1001">_xlfn.SWITCH(LEFT(Tasks[[#This Row],[Type]], 3), "Fie", "Field Report", "Con", "Contractor QC", "Gen", "Contractor QC", "Pun", "Contractor QC", "Qua", "Contractor QC", "Fin", "Punch List")</f>
        <v>#VALUE!</v>
      </c>
      <c r="D1001" s="15" t="e">
        <f>_xlfn.LET(
_xlpm.leftValue, TRIM(LEFT(Tasks[[#This Row],[Description]], 45)),
IF(LEN(_xlpm.leftValue) &lt; 40, _xlpm.leftValue, _xlfn.CONCAT(_xlpm.leftValue, "…"))
)</f>
        <v>#VALUE!</v>
      </c>
      <c r="E1001" s="15" t="e" cm="1">
        <f t="array" ref="E1001">_xlfn.LET(
_xlpm.inTower, COUNTIF(Tower_Num_Table[Tower Rm Numbers], LEFT(Task_Summary_Table[[#This Row],[Area/Room]], 3)) &gt; 0,
_xlpm.typeResult, _xlfn.SWITCH(LEFT(Tasks[[#This Row],[Page]], 2), "Hi", "Historic", "An", "Annex", "Si", "Site", "S5", "Project Task", "SWITCH ERROR"),
IF(_xlpm.inTower, "West Tower", _xlpm.typeResult)
)</f>
        <v>#VALUE!</v>
      </c>
      <c r="F1001" s="15" t="str">
        <f>IFERROR(MID(Tasks[[#This Row],[Page]], FIND("Level", Tasks[[#This Row],[Page]]), 7), IF(ISNUMBER(FIND("Roof", Tasks[[#This Row],[Page]])), "Roof",  IF(ISNUMBER(FIND("S590", Tasks[[#This Row],[Page]])), "",  IF(ISNUMBER(FIND("Site", Tasks[[#This Row],[Page]])), "", "ERROR"))))</f>
        <v>ERROR</v>
      </c>
      <c r="G1001" s="15" t="e">
        <f>IF(Tasks[[#This Row],[Location]]=0, "", Tasks[[#This Row],[Location]])</f>
        <v>#VALUE!</v>
      </c>
      <c r="H1001" s="15" t="e">
        <f>Tasks[[#This Row],[To Package]]</f>
        <v>#VALUE!</v>
      </c>
      <c r="I1001" s="15" t="e">
        <f>Tasks[[#This Row],[To Organisation]]</f>
        <v>#VALUE!</v>
      </c>
    </row>
    <row r="1002" spans="1:9" ht="15.5" x14ac:dyDescent="0.35">
      <c r="A1002" s="16" t="e">
        <f>HYPERLINK(_xlfn.CONCAT(Edit_URL,Tasks[[#This Row],[Ref]]),Tasks[[#This Row],[Ref]])</f>
        <v>#VALUE!</v>
      </c>
      <c r="B1002" s="15" t="e" cm="1">
        <f t="array" ref="B1002">_xlfn.SWITCH(LEFT(Tasks[[#This Row],[Status]],1),"O","Opened","C","Completed","S","Signed Off", "V", "Signed Off","ERROR")</f>
        <v>#VALUE!</v>
      </c>
      <c r="C1002" s="15" t="e" cm="1">
        <f t="array" ref="C1002">_xlfn.SWITCH(LEFT(Tasks[[#This Row],[Type]], 3), "Fie", "Field Report", "Con", "Contractor QC", "Gen", "Contractor QC", "Pun", "Contractor QC", "Qua", "Contractor QC", "Fin", "Punch List")</f>
        <v>#VALUE!</v>
      </c>
      <c r="D1002" s="15" t="e">
        <f>_xlfn.LET(
_xlpm.leftValue, TRIM(LEFT(Tasks[[#This Row],[Description]], 45)),
IF(LEN(_xlpm.leftValue) &lt; 40, _xlpm.leftValue, _xlfn.CONCAT(_xlpm.leftValue, "…"))
)</f>
        <v>#VALUE!</v>
      </c>
      <c r="E1002" s="15" t="e" cm="1">
        <f t="array" ref="E1002">_xlfn.LET(
_xlpm.inTower, COUNTIF(Tower_Num_Table[Tower Rm Numbers], LEFT(Task_Summary_Table[[#This Row],[Area/Room]], 3)) &gt; 0,
_xlpm.typeResult, _xlfn.SWITCH(LEFT(Tasks[[#This Row],[Page]], 2), "Hi", "Historic", "An", "Annex", "Si", "Site", "S5", "Project Task", "SWITCH ERROR"),
IF(_xlpm.inTower, "West Tower", _xlpm.typeResult)
)</f>
        <v>#VALUE!</v>
      </c>
      <c r="F1002" s="15" t="str">
        <f>IFERROR(MID(Tasks[[#This Row],[Page]], FIND("Level", Tasks[[#This Row],[Page]]), 7), IF(ISNUMBER(FIND("Roof", Tasks[[#This Row],[Page]])), "Roof",  IF(ISNUMBER(FIND("S590", Tasks[[#This Row],[Page]])), "",  IF(ISNUMBER(FIND("Site", Tasks[[#This Row],[Page]])), "", "ERROR"))))</f>
        <v>ERROR</v>
      </c>
      <c r="G1002" s="15" t="e">
        <f>IF(Tasks[[#This Row],[Location]]=0, "", Tasks[[#This Row],[Location]])</f>
        <v>#VALUE!</v>
      </c>
      <c r="H1002" s="15" t="e">
        <f>Tasks[[#This Row],[To Package]]</f>
        <v>#VALUE!</v>
      </c>
      <c r="I1002" s="15" t="e">
        <f>Tasks[[#This Row],[To Organisation]]</f>
        <v>#VALUE!</v>
      </c>
    </row>
    <row r="1003" spans="1:9" ht="15.5" x14ac:dyDescent="0.35">
      <c r="A1003" s="16" t="e">
        <f>HYPERLINK(_xlfn.CONCAT(Edit_URL,Tasks[[#This Row],[Ref]]),Tasks[[#This Row],[Ref]])</f>
        <v>#VALUE!</v>
      </c>
      <c r="B1003" s="15" t="e" cm="1">
        <f t="array" ref="B1003">_xlfn.SWITCH(LEFT(Tasks[[#This Row],[Status]],1),"O","Opened","C","Completed","S","Signed Off", "V", "Signed Off","ERROR")</f>
        <v>#VALUE!</v>
      </c>
      <c r="C1003" s="15" t="e" cm="1">
        <f t="array" ref="C1003">_xlfn.SWITCH(LEFT(Tasks[[#This Row],[Type]], 3), "Fie", "Field Report", "Con", "Contractor QC", "Gen", "Contractor QC", "Pun", "Contractor QC", "Qua", "Contractor QC", "Fin", "Punch List")</f>
        <v>#VALUE!</v>
      </c>
      <c r="D1003" s="15" t="e">
        <f>_xlfn.LET(
_xlpm.leftValue, TRIM(LEFT(Tasks[[#This Row],[Description]], 45)),
IF(LEN(_xlpm.leftValue) &lt; 40, _xlpm.leftValue, _xlfn.CONCAT(_xlpm.leftValue, "…"))
)</f>
        <v>#VALUE!</v>
      </c>
      <c r="E1003" s="15" t="e" cm="1">
        <f t="array" ref="E1003">_xlfn.LET(
_xlpm.inTower, COUNTIF(Tower_Num_Table[Tower Rm Numbers], LEFT(Task_Summary_Table[[#This Row],[Area/Room]], 3)) &gt; 0,
_xlpm.typeResult, _xlfn.SWITCH(LEFT(Tasks[[#This Row],[Page]], 2), "Hi", "Historic", "An", "Annex", "Si", "Site", "S5", "Project Task", "SWITCH ERROR"),
IF(_xlpm.inTower, "West Tower", _xlpm.typeResult)
)</f>
        <v>#VALUE!</v>
      </c>
      <c r="F1003" s="15" t="str">
        <f>IFERROR(MID(Tasks[[#This Row],[Page]], FIND("Level", Tasks[[#This Row],[Page]]), 7), IF(ISNUMBER(FIND("Roof", Tasks[[#This Row],[Page]])), "Roof",  IF(ISNUMBER(FIND("S590", Tasks[[#This Row],[Page]])), "",  IF(ISNUMBER(FIND("Site", Tasks[[#This Row],[Page]])), "", "ERROR"))))</f>
        <v>ERROR</v>
      </c>
      <c r="G1003" s="15" t="e">
        <f>IF(Tasks[[#This Row],[Location]]=0, "", Tasks[[#This Row],[Location]])</f>
        <v>#VALUE!</v>
      </c>
      <c r="H1003" s="15" t="e">
        <f>Tasks[[#This Row],[To Package]]</f>
        <v>#VALUE!</v>
      </c>
      <c r="I1003" s="15" t="e">
        <f>Tasks[[#This Row],[To Organisation]]</f>
        <v>#VALUE!</v>
      </c>
    </row>
    <row r="1004" spans="1:9" ht="15.5" x14ac:dyDescent="0.35">
      <c r="A1004" s="16" t="e">
        <f>HYPERLINK(_xlfn.CONCAT(Edit_URL,Tasks[[#This Row],[Ref]]),Tasks[[#This Row],[Ref]])</f>
        <v>#VALUE!</v>
      </c>
      <c r="B1004" s="15" t="e" cm="1">
        <f t="array" ref="B1004">_xlfn.SWITCH(LEFT(Tasks[[#This Row],[Status]],1),"O","Opened","C","Completed","S","Signed Off", "V", "Signed Off","ERROR")</f>
        <v>#VALUE!</v>
      </c>
      <c r="C1004" s="15" t="e" cm="1">
        <f t="array" ref="C1004">_xlfn.SWITCH(LEFT(Tasks[[#This Row],[Type]], 3), "Fie", "Field Report", "Con", "Contractor QC", "Gen", "Contractor QC", "Pun", "Contractor QC", "Qua", "Contractor QC", "Fin", "Punch List")</f>
        <v>#VALUE!</v>
      </c>
      <c r="D1004" s="15" t="e">
        <f>_xlfn.LET(
_xlpm.leftValue, TRIM(LEFT(Tasks[[#This Row],[Description]], 45)),
IF(LEN(_xlpm.leftValue) &lt; 40, _xlpm.leftValue, _xlfn.CONCAT(_xlpm.leftValue, "…"))
)</f>
        <v>#VALUE!</v>
      </c>
      <c r="E1004" s="15" t="e" cm="1">
        <f t="array" ref="E1004">_xlfn.LET(
_xlpm.inTower, COUNTIF(Tower_Num_Table[Tower Rm Numbers], LEFT(Task_Summary_Table[[#This Row],[Area/Room]], 3)) &gt; 0,
_xlpm.typeResult, _xlfn.SWITCH(LEFT(Tasks[[#This Row],[Page]], 2), "Hi", "Historic", "An", "Annex", "Si", "Site", "S5", "Project Task", "SWITCH ERROR"),
IF(_xlpm.inTower, "West Tower", _xlpm.typeResult)
)</f>
        <v>#VALUE!</v>
      </c>
      <c r="F1004" s="15" t="str">
        <f>IFERROR(MID(Tasks[[#This Row],[Page]], FIND("Level", Tasks[[#This Row],[Page]]), 7), IF(ISNUMBER(FIND("Roof", Tasks[[#This Row],[Page]])), "Roof",  IF(ISNUMBER(FIND("S590", Tasks[[#This Row],[Page]])), "",  IF(ISNUMBER(FIND("Site", Tasks[[#This Row],[Page]])), "", "ERROR"))))</f>
        <v>ERROR</v>
      </c>
      <c r="G1004" s="15" t="e">
        <f>IF(Tasks[[#This Row],[Location]]=0, "", Tasks[[#This Row],[Location]])</f>
        <v>#VALUE!</v>
      </c>
      <c r="H1004" s="15" t="e">
        <f>Tasks[[#This Row],[To Package]]</f>
        <v>#VALUE!</v>
      </c>
      <c r="I1004" s="15" t="e">
        <f>Tasks[[#This Row],[To Organisation]]</f>
        <v>#VALUE!</v>
      </c>
    </row>
    <row r="1005" spans="1:9" ht="15.5" x14ac:dyDescent="0.35">
      <c r="A1005" s="16" t="e">
        <f>HYPERLINK(_xlfn.CONCAT(Edit_URL,Tasks[[#This Row],[Ref]]),Tasks[[#This Row],[Ref]])</f>
        <v>#VALUE!</v>
      </c>
      <c r="B1005" s="15" t="e" cm="1">
        <f t="array" ref="B1005">_xlfn.SWITCH(LEFT(Tasks[[#This Row],[Status]],1),"O","Opened","C","Completed","S","Signed Off", "V", "Signed Off","ERROR")</f>
        <v>#VALUE!</v>
      </c>
      <c r="C1005" s="15" t="e" cm="1">
        <f t="array" ref="C1005">_xlfn.SWITCH(LEFT(Tasks[[#This Row],[Type]], 3), "Fie", "Field Report", "Con", "Contractor QC", "Gen", "Contractor QC", "Pun", "Contractor QC", "Qua", "Contractor QC", "Fin", "Punch List")</f>
        <v>#VALUE!</v>
      </c>
      <c r="D1005" s="15" t="e">
        <f>_xlfn.LET(
_xlpm.leftValue, TRIM(LEFT(Tasks[[#This Row],[Description]], 45)),
IF(LEN(_xlpm.leftValue) &lt; 40, _xlpm.leftValue, _xlfn.CONCAT(_xlpm.leftValue, "…"))
)</f>
        <v>#VALUE!</v>
      </c>
      <c r="E1005" s="15" t="e" cm="1">
        <f t="array" ref="E1005">_xlfn.LET(
_xlpm.inTower, COUNTIF(Tower_Num_Table[Tower Rm Numbers], LEFT(Task_Summary_Table[[#This Row],[Area/Room]], 3)) &gt; 0,
_xlpm.typeResult, _xlfn.SWITCH(LEFT(Tasks[[#This Row],[Page]], 2), "Hi", "Historic", "An", "Annex", "Si", "Site", "S5", "Project Task", "SWITCH ERROR"),
IF(_xlpm.inTower, "West Tower", _xlpm.typeResult)
)</f>
        <v>#VALUE!</v>
      </c>
      <c r="F1005" s="15" t="str">
        <f>IFERROR(MID(Tasks[[#This Row],[Page]], FIND("Level", Tasks[[#This Row],[Page]]), 7), IF(ISNUMBER(FIND("Roof", Tasks[[#This Row],[Page]])), "Roof",  IF(ISNUMBER(FIND("S590", Tasks[[#This Row],[Page]])), "",  IF(ISNUMBER(FIND("Site", Tasks[[#This Row],[Page]])), "", "ERROR"))))</f>
        <v>ERROR</v>
      </c>
      <c r="G1005" s="15" t="e">
        <f>IF(Tasks[[#This Row],[Location]]=0, "", Tasks[[#This Row],[Location]])</f>
        <v>#VALUE!</v>
      </c>
      <c r="H1005" s="15" t="e">
        <f>Tasks[[#This Row],[To Package]]</f>
        <v>#VALUE!</v>
      </c>
      <c r="I1005" s="15" t="e">
        <f>Tasks[[#This Row],[To Organisation]]</f>
        <v>#VALUE!</v>
      </c>
    </row>
    <row r="1006" spans="1:9" ht="15.5" x14ac:dyDescent="0.35">
      <c r="A1006" s="16" t="e">
        <f>HYPERLINK(_xlfn.CONCAT(Edit_URL,Tasks[[#This Row],[Ref]]),Tasks[[#This Row],[Ref]])</f>
        <v>#VALUE!</v>
      </c>
      <c r="B1006" s="15" t="e" cm="1">
        <f t="array" ref="B1006">_xlfn.SWITCH(LEFT(Tasks[[#This Row],[Status]],1),"O","Opened","C","Completed","S","Signed Off", "V", "Signed Off","ERROR")</f>
        <v>#VALUE!</v>
      </c>
      <c r="C1006" s="15" t="e" cm="1">
        <f t="array" ref="C1006">_xlfn.SWITCH(LEFT(Tasks[[#This Row],[Type]], 3), "Fie", "Field Report", "Con", "Contractor QC", "Gen", "Contractor QC", "Pun", "Contractor QC", "Qua", "Contractor QC", "Fin", "Punch List")</f>
        <v>#VALUE!</v>
      </c>
      <c r="D1006" s="15" t="e">
        <f>_xlfn.LET(
_xlpm.leftValue, TRIM(LEFT(Tasks[[#This Row],[Description]], 45)),
IF(LEN(_xlpm.leftValue) &lt; 40, _xlpm.leftValue, _xlfn.CONCAT(_xlpm.leftValue, "…"))
)</f>
        <v>#VALUE!</v>
      </c>
      <c r="E1006" s="15" t="e" cm="1">
        <f t="array" ref="E1006">_xlfn.LET(
_xlpm.inTower, COUNTIF(Tower_Num_Table[Tower Rm Numbers], LEFT(Task_Summary_Table[[#This Row],[Area/Room]], 3)) &gt; 0,
_xlpm.typeResult, _xlfn.SWITCH(LEFT(Tasks[[#This Row],[Page]], 2), "Hi", "Historic", "An", "Annex", "Si", "Site", "S5", "Project Task", "SWITCH ERROR"),
IF(_xlpm.inTower, "West Tower", _xlpm.typeResult)
)</f>
        <v>#VALUE!</v>
      </c>
      <c r="F1006" s="15" t="str">
        <f>IFERROR(MID(Tasks[[#This Row],[Page]], FIND("Level", Tasks[[#This Row],[Page]]), 7), IF(ISNUMBER(FIND("Roof", Tasks[[#This Row],[Page]])), "Roof",  IF(ISNUMBER(FIND("S590", Tasks[[#This Row],[Page]])), "",  IF(ISNUMBER(FIND("Site", Tasks[[#This Row],[Page]])), "", "ERROR"))))</f>
        <v>ERROR</v>
      </c>
      <c r="G1006" s="15" t="e">
        <f>IF(Tasks[[#This Row],[Location]]=0, "", Tasks[[#This Row],[Location]])</f>
        <v>#VALUE!</v>
      </c>
      <c r="H1006" s="15" t="e">
        <f>Tasks[[#This Row],[To Package]]</f>
        <v>#VALUE!</v>
      </c>
      <c r="I1006" s="15" t="e">
        <f>Tasks[[#This Row],[To Organisation]]</f>
        <v>#VALUE!</v>
      </c>
    </row>
    <row r="1007" spans="1:9" ht="15.5" x14ac:dyDescent="0.35">
      <c r="A1007" s="16" t="e">
        <f>HYPERLINK(_xlfn.CONCAT(Edit_URL,Tasks[[#This Row],[Ref]]),Tasks[[#This Row],[Ref]])</f>
        <v>#VALUE!</v>
      </c>
      <c r="B1007" s="15" t="e" cm="1">
        <f t="array" ref="B1007">_xlfn.SWITCH(LEFT(Tasks[[#This Row],[Status]],1),"O","Opened","C","Completed","S","Signed Off", "V", "Signed Off","ERROR")</f>
        <v>#VALUE!</v>
      </c>
      <c r="C1007" s="15" t="e" cm="1">
        <f t="array" ref="C1007">_xlfn.SWITCH(LEFT(Tasks[[#This Row],[Type]], 3), "Fie", "Field Report", "Con", "Contractor QC", "Gen", "Contractor QC", "Pun", "Contractor QC", "Qua", "Contractor QC", "Fin", "Punch List")</f>
        <v>#VALUE!</v>
      </c>
      <c r="D1007" s="15" t="e">
        <f>_xlfn.LET(
_xlpm.leftValue, TRIM(LEFT(Tasks[[#This Row],[Description]], 45)),
IF(LEN(_xlpm.leftValue) &lt; 40, _xlpm.leftValue, _xlfn.CONCAT(_xlpm.leftValue, "…"))
)</f>
        <v>#VALUE!</v>
      </c>
      <c r="E1007" s="15" t="e" cm="1">
        <f t="array" ref="E1007">_xlfn.LET(
_xlpm.inTower, COUNTIF(Tower_Num_Table[Tower Rm Numbers], LEFT(Task_Summary_Table[[#This Row],[Area/Room]], 3)) &gt; 0,
_xlpm.typeResult, _xlfn.SWITCH(LEFT(Tasks[[#This Row],[Page]], 2), "Hi", "Historic", "An", "Annex", "Si", "Site", "S5", "Project Task", "SWITCH ERROR"),
IF(_xlpm.inTower, "West Tower", _xlpm.typeResult)
)</f>
        <v>#VALUE!</v>
      </c>
      <c r="F1007" s="15" t="str">
        <f>IFERROR(MID(Tasks[[#This Row],[Page]], FIND("Level", Tasks[[#This Row],[Page]]), 7), IF(ISNUMBER(FIND("Roof", Tasks[[#This Row],[Page]])), "Roof",  IF(ISNUMBER(FIND("S590", Tasks[[#This Row],[Page]])), "",  IF(ISNUMBER(FIND("Site", Tasks[[#This Row],[Page]])), "", "ERROR"))))</f>
        <v>ERROR</v>
      </c>
      <c r="G1007" s="15" t="e">
        <f>IF(Tasks[[#This Row],[Location]]=0, "", Tasks[[#This Row],[Location]])</f>
        <v>#VALUE!</v>
      </c>
      <c r="H1007" s="15" t="e">
        <f>Tasks[[#This Row],[To Package]]</f>
        <v>#VALUE!</v>
      </c>
      <c r="I1007" s="15" t="e">
        <f>Tasks[[#This Row],[To Organisation]]</f>
        <v>#VALUE!</v>
      </c>
    </row>
    <row r="1008" spans="1:9" ht="15.5" x14ac:dyDescent="0.35">
      <c r="A1008" s="16" t="e">
        <f>HYPERLINK(_xlfn.CONCAT(Edit_URL,Tasks[[#This Row],[Ref]]),Tasks[[#This Row],[Ref]])</f>
        <v>#VALUE!</v>
      </c>
      <c r="B1008" s="15" t="e" cm="1">
        <f t="array" ref="B1008">_xlfn.SWITCH(LEFT(Tasks[[#This Row],[Status]],1),"O","Opened","C","Completed","S","Signed Off", "V", "Signed Off","ERROR")</f>
        <v>#VALUE!</v>
      </c>
      <c r="C1008" s="15" t="e" cm="1">
        <f t="array" ref="C1008">_xlfn.SWITCH(LEFT(Tasks[[#This Row],[Type]], 3), "Fie", "Field Report", "Con", "Contractor QC", "Gen", "Contractor QC", "Pun", "Contractor QC", "Qua", "Contractor QC", "Fin", "Punch List")</f>
        <v>#VALUE!</v>
      </c>
      <c r="D1008" s="15" t="e">
        <f>_xlfn.LET(
_xlpm.leftValue, TRIM(LEFT(Tasks[[#This Row],[Description]], 45)),
IF(LEN(_xlpm.leftValue) &lt; 40, _xlpm.leftValue, _xlfn.CONCAT(_xlpm.leftValue, "…"))
)</f>
        <v>#VALUE!</v>
      </c>
      <c r="E1008" s="15" t="e" cm="1">
        <f t="array" ref="E1008">_xlfn.LET(
_xlpm.inTower, COUNTIF(Tower_Num_Table[Tower Rm Numbers], LEFT(Task_Summary_Table[[#This Row],[Area/Room]], 3)) &gt; 0,
_xlpm.typeResult, _xlfn.SWITCH(LEFT(Tasks[[#This Row],[Page]], 2), "Hi", "Historic", "An", "Annex", "Si", "Site", "S5", "Project Task", "SWITCH ERROR"),
IF(_xlpm.inTower, "West Tower", _xlpm.typeResult)
)</f>
        <v>#VALUE!</v>
      </c>
      <c r="F1008" s="15" t="str">
        <f>IFERROR(MID(Tasks[[#This Row],[Page]], FIND("Level", Tasks[[#This Row],[Page]]), 7), IF(ISNUMBER(FIND("Roof", Tasks[[#This Row],[Page]])), "Roof",  IF(ISNUMBER(FIND("S590", Tasks[[#This Row],[Page]])), "",  IF(ISNUMBER(FIND("Site", Tasks[[#This Row],[Page]])), "", "ERROR"))))</f>
        <v>ERROR</v>
      </c>
      <c r="G1008" s="15" t="e">
        <f>IF(Tasks[[#This Row],[Location]]=0, "", Tasks[[#This Row],[Location]])</f>
        <v>#VALUE!</v>
      </c>
      <c r="H1008" s="15" t="e">
        <f>Tasks[[#This Row],[To Package]]</f>
        <v>#VALUE!</v>
      </c>
      <c r="I1008" s="15" t="e">
        <f>Tasks[[#This Row],[To Organisation]]</f>
        <v>#VALUE!</v>
      </c>
    </row>
    <row r="1009" spans="1:9" ht="15.5" x14ac:dyDescent="0.35">
      <c r="A1009" s="16" t="e">
        <f>HYPERLINK(_xlfn.CONCAT(Edit_URL,Tasks[[#This Row],[Ref]]),Tasks[[#This Row],[Ref]])</f>
        <v>#VALUE!</v>
      </c>
      <c r="B1009" s="15" t="e" cm="1">
        <f t="array" ref="B1009">_xlfn.SWITCH(LEFT(Tasks[[#This Row],[Status]],1),"O","Opened","C","Completed","S","Signed Off", "V", "Signed Off","ERROR")</f>
        <v>#VALUE!</v>
      </c>
      <c r="C1009" s="15" t="e" cm="1">
        <f t="array" ref="C1009">_xlfn.SWITCH(LEFT(Tasks[[#This Row],[Type]], 3), "Fie", "Field Report", "Con", "Contractor QC", "Gen", "Contractor QC", "Pun", "Contractor QC", "Qua", "Contractor QC", "Fin", "Punch List")</f>
        <v>#VALUE!</v>
      </c>
      <c r="D1009" s="15" t="e">
        <f>_xlfn.LET(
_xlpm.leftValue, TRIM(LEFT(Tasks[[#This Row],[Description]], 45)),
IF(LEN(_xlpm.leftValue) &lt; 40, _xlpm.leftValue, _xlfn.CONCAT(_xlpm.leftValue, "…"))
)</f>
        <v>#VALUE!</v>
      </c>
      <c r="E1009" s="15" t="e" cm="1">
        <f t="array" ref="E1009">_xlfn.LET(
_xlpm.inTower, COUNTIF(Tower_Num_Table[Tower Rm Numbers], LEFT(Task_Summary_Table[[#This Row],[Area/Room]], 3)) &gt; 0,
_xlpm.typeResult, _xlfn.SWITCH(LEFT(Tasks[[#This Row],[Page]], 2), "Hi", "Historic", "An", "Annex", "Si", "Site", "S5", "Project Task", "SWITCH ERROR"),
IF(_xlpm.inTower, "West Tower", _xlpm.typeResult)
)</f>
        <v>#VALUE!</v>
      </c>
      <c r="F1009" s="15" t="str">
        <f>IFERROR(MID(Tasks[[#This Row],[Page]], FIND("Level", Tasks[[#This Row],[Page]]), 7), IF(ISNUMBER(FIND("Roof", Tasks[[#This Row],[Page]])), "Roof",  IF(ISNUMBER(FIND("S590", Tasks[[#This Row],[Page]])), "",  IF(ISNUMBER(FIND("Site", Tasks[[#This Row],[Page]])), "", "ERROR"))))</f>
        <v>ERROR</v>
      </c>
      <c r="G1009" s="15" t="e">
        <f>IF(Tasks[[#This Row],[Location]]=0, "", Tasks[[#This Row],[Location]])</f>
        <v>#VALUE!</v>
      </c>
      <c r="H1009" s="15" t="e">
        <f>Tasks[[#This Row],[To Package]]</f>
        <v>#VALUE!</v>
      </c>
      <c r="I1009" s="15" t="e">
        <f>Tasks[[#This Row],[To Organisation]]</f>
        <v>#VALUE!</v>
      </c>
    </row>
    <row r="1010" spans="1:9" ht="15.5" x14ac:dyDescent="0.35">
      <c r="A1010" s="16" t="e">
        <f>HYPERLINK(_xlfn.CONCAT(Edit_URL,Tasks[[#This Row],[Ref]]),Tasks[[#This Row],[Ref]])</f>
        <v>#VALUE!</v>
      </c>
      <c r="B1010" s="15" t="e" cm="1">
        <f t="array" ref="B1010">_xlfn.SWITCH(LEFT(Tasks[[#This Row],[Status]],1),"O","Opened","C","Completed","S","Signed Off", "V", "Signed Off","ERROR")</f>
        <v>#VALUE!</v>
      </c>
      <c r="C1010" s="15" t="e" cm="1">
        <f t="array" ref="C1010">_xlfn.SWITCH(LEFT(Tasks[[#This Row],[Type]], 3), "Fie", "Field Report", "Con", "Contractor QC", "Gen", "Contractor QC", "Pun", "Contractor QC", "Qua", "Contractor QC", "Fin", "Punch List")</f>
        <v>#VALUE!</v>
      </c>
      <c r="D1010" s="15" t="e">
        <f>_xlfn.LET(
_xlpm.leftValue, TRIM(LEFT(Tasks[[#This Row],[Description]], 45)),
IF(LEN(_xlpm.leftValue) &lt; 40, _xlpm.leftValue, _xlfn.CONCAT(_xlpm.leftValue, "…"))
)</f>
        <v>#VALUE!</v>
      </c>
      <c r="E1010" s="15" t="e" cm="1">
        <f t="array" ref="E1010">_xlfn.LET(
_xlpm.inTower, COUNTIF(Tower_Num_Table[Tower Rm Numbers], LEFT(Task_Summary_Table[[#This Row],[Area/Room]], 3)) &gt; 0,
_xlpm.typeResult, _xlfn.SWITCH(LEFT(Tasks[[#This Row],[Page]], 2), "Hi", "Historic", "An", "Annex", "Si", "Site", "S5", "Project Task", "SWITCH ERROR"),
IF(_xlpm.inTower, "West Tower", _xlpm.typeResult)
)</f>
        <v>#VALUE!</v>
      </c>
      <c r="F1010" s="15" t="str">
        <f>IFERROR(MID(Tasks[[#This Row],[Page]], FIND("Level", Tasks[[#This Row],[Page]]), 7), IF(ISNUMBER(FIND("Roof", Tasks[[#This Row],[Page]])), "Roof",  IF(ISNUMBER(FIND("S590", Tasks[[#This Row],[Page]])), "",  IF(ISNUMBER(FIND("Site", Tasks[[#This Row],[Page]])), "", "ERROR"))))</f>
        <v>ERROR</v>
      </c>
      <c r="G1010" s="15" t="e">
        <f>IF(Tasks[[#This Row],[Location]]=0, "", Tasks[[#This Row],[Location]])</f>
        <v>#VALUE!</v>
      </c>
      <c r="H1010" s="15" t="e">
        <f>Tasks[[#This Row],[To Package]]</f>
        <v>#VALUE!</v>
      </c>
      <c r="I1010" s="15" t="e">
        <f>Tasks[[#This Row],[To Organisation]]</f>
        <v>#VALUE!</v>
      </c>
    </row>
    <row r="1011" spans="1:9" ht="15.5" x14ac:dyDescent="0.35">
      <c r="A1011" s="16" t="e">
        <f>HYPERLINK(_xlfn.CONCAT(Edit_URL,Tasks[[#This Row],[Ref]]),Tasks[[#This Row],[Ref]])</f>
        <v>#VALUE!</v>
      </c>
      <c r="B1011" s="15" t="e" cm="1">
        <f t="array" ref="B1011">_xlfn.SWITCH(LEFT(Tasks[[#This Row],[Status]],1),"O","Opened","C","Completed","S","Signed Off", "V", "Signed Off","ERROR")</f>
        <v>#VALUE!</v>
      </c>
      <c r="C1011" s="15" t="e" cm="1">
        <f t="array" ref="C1011">_xlfn.SWITCH(LEFT(Tasks[[#This Row],[Type]], 3), "Fie", "Field Report", "Con", "Contractor QC", "Gen", "Contractor QC", "Pun", "Contractor QC", "Qua", "Contractor QC", "Fin", "Punch List")</f>
        <v>#VALUE!</v>
      </c>
      <c r="D1011" s="15" t="e">
        <f>_xlfn.LET(
_xlpm.leftValue, TRIM(LEFT(Tasks[[#This Row],[Description]], 45)),
IF(LEN(_xlpm.leftValue) &lt; 40, _xlpm.leftValue, _xlfn.CONCAT(_xlpm.leftValue, "…"))
)</f>
        <v>#VALUE!</v>
      </c>
      <c r="E1011" s="15" t="e" cm="1">
        <f t="array" ref="E1011">_xlfn.LET(
_xlpm.inTower, COUNTIF(Tower_Num_Table[Tower Rm Numbers], LEFT(Task_Summary_Table[[#This Row],[Area/Room]], 3)) &gt; 0,
_xlpm.typeResult, _xlfn.SWITCH(LEFT(Tasks[[#This Row],[Page]], 2), "Hi", "Historic", "An", "Annex", "Si", "Site", "S5", "Project Task", "SWITCH ERROR"),
IF(_xlpm.inTower, "West Tower", _xlpm.typeResult)
)</f>
        <v>#VALUE!</v>
      </c>
      <c r="F1011" s="15" t="str">
        <f>IFERROR(MID(Tasks[[#This Row],[Page]], FIND("Level", Tasks[[#This Row],[Page]]), 7), IF(ISNUMBER(FIND("Roof", Tasks[[#This Row],[Page]])), "Roof",  IF(ISNUMBER(FIND("S590", Tasks[[#This Row],[Page]])), "",  IF(ISNUMBER(FIND("Site", Tasks[[#This Row],[Page]])), "", "ERROR"))))</f>
        <v>ERROR</v>
      </c>
      <c r="G1011" s="15" t="e">
        <f>IF(Tasks[[#This Row],[Location]]=0, "", Tasks[[#This Row],[Location]])</f>
        <v>#VALUE!</v>
      </c>
      <c r="H1011" s="15" t="e">
        <f>Tasks[[#This Row],[To Package]]</f>
        <v>#VALUE!</v>
      </c>
      <c r="I1011" s="15" t="e">
        <f>Tasks[[#This Row],[To Organisation]]</f>
        <v>#VALUE!</v>
      </c>
    </row>
    <row r="1012" spans="1:9" ht="15.5" x14ac:dyDescent="0.35">
      <c r="A1012" s="16" t="e">
        <f>HYPERLINK(_xlfn.CONCAT(Edit_URL,Tasks[[#This Row],[Ref]]),Tasks[[#This Row],[Ref]])</f>
        <v>#VALUE!</v>
      </c>
      <c r="B1012" s="15" t="e" cm="1">
        <f t="array" ref="B1012">_xlfn.SWITCH(LEFT(Tasks[[#This Row],[Status]],1),"O","Opened","C","Completed","S","Signed Off", "V", "Signed Off","ERROR")</f>
        <v>#VALUE!</v>
      </c>
      <c r="C1012" s="15" t="e" cm="1">
        <f t="array" ref="C1012">_xlfn.SWITCH(LEFT(Tasks[[#This Row],[Type]], 3), "Fie", "Field Report", "Con", "Contractor QC", "Gen", "Contractor QC", "Pun", "Contractor QC", "Qua", "Contractor QC", "Fin", "Punch List")</f>
        <v>#VALUE!</v>
      </c>
      <c r="D1012" s="15" t="e">
        <f>_xlfn.LET(
_xlpm.leftValue, TRIM(LEFT(Tasks[[#This Row],[Description]], 45)),
IF(LEN(_xlpm.leftValue) &lt; 40, _xlpm.leftValue, _xlfn.CONCAT(_xlpm.leftValue, "…"))
)</f>
        <v>#VALUE!</v>
      </c>
      <c r="E1012" s="15" t="e" cm="1">
        <f t="array" ref="E1012">_xlfn.LET(
_xlpm.inTower, COUNTIF(Tower_Num_Table[Tower Rm Numbers], LEFT(Task_Summary_Table[[#This Row],[Area/Room]], 3)) &gt; 0,
_xlpm.typeResult, _xlfn.SWITCH(LEFT(Tasks[[#This Row],[Page]], 2), "Hi", "Historic", "An", "Annex", "Si", "Site", "S5", "Project Task", "SWITCH ERROR"),
IF(_xlpm.inTower, "West Tower", _xlpm.typeResult)
)</f>
        <v>#VALUE!</v>
      </c>
      <c r="F1012" s="15" t="str">
        <f>IFERROR(MID(Tasks[[#This Row],[Page]], FIND("Level", Tasks[[#This Row],[Page]]), 7), IF(ISNUMBER(FIND("Roof", Tasks[[#This Row],[Page]])), "Roof",  IF(ISNUMBER(FIND("S590", Tasks[[#This Row],[Page]])), "",  IF(ISNUMBER(FIND("Site", Tasks[[#This Row],[Page]])), "", "ERROR"))))</f>
        <v>ERROR</v>
      </c>
      <c r="G1012" s="15" t="e">
        <f>IF(Tasks[[#This Row],[Location]]=0, "", Tasks[[#This Row],[Location]])</f>
        <v>#VALUE!</v>
      </c>
      <c r="H1012" s="15" t="e">
        <f>Tasks[[#This Row],[To Package]]</f>
        <v>#VALUE!</v>
      </c>
      <c r="I1012" s="15" t="e">
        <f>Tasks[[#This Row],[To Organisation]]</f>
        <v>#VALUE!</v>
      </c>
    </row>
    <row r="1013" spans="1:9" ht="15.5" x14ac:dyDescent="0.35">
      <c r="A1013" s="16" t="e">
        <f>HYPERLINK(_xlfn.CONCAT(Edit_URL,Tasks[[#This Row],[Ref]]),Tasks[[#This Row],[Ref]])</f>
        <v>#VALUE!</v>
      </c>
      <c r="B1013" s="15" t="e" cm="1">
        <f t="array" ref="B1013">_xlfn.SWITCH(LEFT(Tasks[[#This Row],[Status]],1),"O","Opened","C","Completed","S","Signed Off", "V", "Signed Off","ERROR")</f>
        <v>#VALUE!</v>
      </c>
      <c r="C1013" s="15" t="e" cm="1">
        <f t="array" ref="C1013">_xlfn.SWITCH(LEFT(Tasks[[#This Row],[Type]], 3), "Fie", "Field Report", "Con", "Contractor QC", "Gen", "Contractor QC", "Pun", "Contractor QC", "Qua", "Contractor QC", "Fin", "Punch List")</f>
        <v>#VALUE!</v>
      </c>
      <c r="D1013" s="15" t="e">
        <f>_xlfn.LET(
_xlpm.leftValue, TRIM(LEFT(Tasks[[#This Row],[Description]], 45)),
IF(LEN(_xlpm.leftValue) &lt; 40, _xlpm.leftValue, _xlfn.CONCAT(_xlpm.leftValue, "…"))
)</f>
        <v>#VALUE!</v>
      </c>
      <c r="E1013" s="15" t="e" cm="1">
        <f t="array" ref="E1013">_xlfn.LET(
_xlpm.inTower, COUNTIF(Tower_Num_Table[Tower Rm Numbers], LEFT(Task_Summary_Table[[#This Row],[Area/Room]], 3)) &gt; 0,
_xlpm.typeResult, _xlfn.SWITCH(LEFT(Tasks[[#This Row],[Page]], 2), "Hi", "Historic", "An", "Annex", "Si", "Site", "S5", "Project Task", "SWITCH ERROR"),
IF(_xlpm.inTower, "West Tower", _xlpm.typeResult)
)</f>
        <v>#VALUE!</v>
      </c>
      <c r="F1013" s="15" t="str">
        <f>IFERROR(MID(Tasks[[#This Row],[Page]], FIND("Level", Tasks[[#This Row],[Page]]), 7), IF(ISNUMBER(FIND("Roof", Tasks[[#This Row],[Page]])), "Roof",  IF(ISNUMBER(FIND("S590", Tasks[[#This Row],[Page]])), "",  IF(ISNUMBER(FIND("Site", Tasks[[#This Row],[Page]])), "", "ERROR"))))</f>
        <v>ERROR</v>
      </c>
      <c r="G1013" s="15" t="e">
        <f>IF(Tasks[[#This Row],[Location]]=0, "", Tasks[[#This Row],[Location]])</f>
        <v>#VALUE!</v>
      </c>
      <c r="H1013" s="15" t="e">
        <f>Tasks[[#This Row],[To Package]]</f>
        <v>#VALUE!</v>
      </c>
      <c r="I1013" s="15" t="e">
        <f>Tasks[[#This Row],[To Organisation]]</f>
        <v>#VALUE!</v>
      </c>
    </row>
    <row r="1014" spans="1:9" ht="15.5" x14ac:dyDescent="0.35">
      <c r="A1014" s="16" t="e">
        <f>HYPERLINK(_xlfn.CONCAT(Edit_URL,Tasks[[#This Row],[Ref]]),Tasks[[#This Row],[Ref]])</f>
        <v>#VALUE!</v>
      </c>
      <c r="B1014" s="15" t="e" cm="1">
        <f t="array" ref="B1014">_xlfn.SWITCH(LEFT(Tasks[[#This Row],[Status]],1),"O","Opened","C","Completed","S","Signed Off", "V", "Signed Off","ERROR")</f>
        <v>#VALUE!</v>
      </c>
      <c r="C1014" s="15" t="e" cm="1">
        <f t="array" ref="C1014">_xlfn.SWITCH(LEFT(Tasks[[#This Row],[Type]], 3), "Fie", "Field Report", "Con", "Contractor QC", "Gen", "Contractor QC", "Pun", "Contractor QC", "Qua", "Contractor QC", "Fin", "Punch List")</f>
        <v>#VALUE!</v>
      </c>
      <c r="D1014" s="15" t="e">
        <f>_xlfn.LET(
_xlpm.leftValue, TRIM(LEFT(Tasks[[#This Row],[Description]], 45)),
IF(LEN(_xlpm.leftValue) &lt; 40, _xlpm.leftValue, _xlfn.CONCAT(_xlpm.leftValue, "…"))
)</f>
        <v>#VALUE!</v>
      </c>
      <c r="E1014" s="15" t="e" cm="1">
        <f t="array" ref="E1014">_xlfn.LET(
_xlpm.inTower, COUNTIF(Tower_Num_Table[Tower Rm Numbers], LEFT(Task_Summary_Table[[#This Row],[Area/Room]], 3)) &gt; 0,
_xlpm.typeResult, _xlfn.SWITCH(LEFT(Tasks[[#This Row],[Page]], 2), "Hi", "Historic", "An", "Annex", "Si", "Site", "S5", "Project Task", "SWITCH ERROR"),
IF(_xlpm.inTower, "West Tower", _xlpm.typeResult)
)</f>
        <v>#VALUE!</v>
      </c>
      <c r="F1014" s="15" t="str">
        <f>IFERROR(MID(Tasks[[#This Row],[Page]], FIND("Level", Tasks[[#This Row],[Page]]), 7), IF(ISNUMBER(FIND("Roof", Tasks[[#This Row],[Page]])), "Roof",  IF(ISNUMBER(FIND("S590", Tasks[[#This Row],[Page]])), "",  IF(ISNUMBER(FIND("Site", Tasks[[#This Row],[Page]])), "", "ERROR"))))</f>
        <v>ERROR</v>
      </c>
      <c r="G1014" s="15" t="e">
        <f>IF(Tasks[[#This Row],[Location]]=0, "", Tasks[[#This Row],[Location]])</f>
        <v>#VALUE!</v>
      </c>
      <c r="H1014" s="15" t="e">
        <f>Tasks[[#This Row],[To Package]]</f>
        <v>#VALUE!</v>
      </c>
      <c r="I1014" s="15" t="e">
        <f>Tasks[[#This Row],[To Organisation]]</f>
        <v>#VALUE!</v>
      </c>
    </row>
    <row r="1015" spans="1:9" ht="15.5" x14ac:dyDescent="0.35">
      <c r="A1015" s="16" t="e">
        <f>HYPERLINK(_xlfn.CONCAT(Edit_URL,Tasks[[#This Row],[Ref]]),Tasks[[#This Row],[Ref]])</f>
        <v>#VALUE!</v>
      </c>
      <c r="B1015" s="15" t="e" cm="1">
        <f t="array" ref="B1015">_xlfn.SWITCH(LEFT(Tasks[[#This Row],[Status]],1),"O","Opened","C","Completed","S","Signed Off", "V", "Signed Off","ERROR")</f>
        <v>#VALUE!</v>
      </c>
      <c r="C1015" s="15" t="e" cm="1">
        <f t="array" ref="C1015">_xlfn.SWITCH(LEFT(Tasks[[#This Row],[Type]], 3), "Fie", "Field Report", "Con", "Contractor QC", "Gen", "Contractor QC", "Pun", "Contractor QC", "Qua", "Contractor QC", "Fin", "Punch List")</f>
        <v>#VALUE!</v>
      </c>
      <c r="D1015" s="15" t="e">
        <f>_xlfn.LET(
_xlpm.leftValue, TRIM(LEFT(Tasks[[#This Row],[Description]], 45)),
IF(LEN(_xlpm.leftValue) &lt; 40, _xlpm.leftValue, _xlfn.CONCAT(_xlpm.leftValue, "…"))
)</f>
        <v>#VALUE!</v>
      </c>
      <c r="E1015" s="15" t="e" cm="1">
        <f t="array" ref="E1015">_xlfn.LET(
_xlpm.inTower, COUNTIF(Tower_Num_Table[Tower Rm Numbers], LEFT(Task_Summary_Table[[#This Row],[Area/Room]], 3)) &gt; 0,
_xlpm.typeResult, _xlfn.SWITCH(LEFT(Tasks[[#This Row],[Page]], 2), "Hi", "Historic", "An", "Annex", "Si", "Site", "S5", "Project Task", "SWITCH ERROR"),
IF(_xlpm.inTower, "West Tower", _xlpm.typeResult)
)</f>
        <v>#VALUE!</v>
      </c>
      <c r="F1015" s="15" t="str">
        <f>IFERROR(MID(Tasks[[#This Row],[Page]], FIND("Level", Tasks[[#This Row],[Page]]), 7), IF(ISNUMBER(FIND("Roof", Tasks[[#This Row],[Page]])), "Roof",  IF(ISNUMBER(FIND("S590", Tasks[[#This Row],[Page]])), "",  IF(ISNUMBER(FIND("Site", Tasks[[#This Row],[Page]])), "", "ERROR"))))</f>
        <v>ERROR</v>
      </c>
      <c r="G1015" s="15" t="e">
        <f>IF(Tasks[[#This Row],[Location]]=0, "", Tasks[[#This Row],[Location]])</f>
        <v>#VALUE!</v>
      </c>
      <c r="H1015" s="15" t="e">
        <f>Tasks[[#This Row],[To Package]]</f>
        <v>#VALUE!</v>
      </c>
      <c r="I1015" s="15" t="e">
        <f>Tasks[[#This Row],[To Organisation]]</f>
        <v>#VALUE!</v>
      </c>
    </row>
    <row r="1016" spans="1:9" ht="15.5" x14ac:dyDescent="0.35">
      <c r="A1016" s="16" t="e">
        <f>HYPERLINK(_xlfn.CONCAT(Edit_URL,Tasks[[#This Row],[Ref]]),Tasks[[#This Row],[Ref]])</f>
        <v>#VALUE!</v>
      </c>
      <c r="B1016" s="15" t="e" cm="1">
        <f t="array" ref="B1016">_xlfn.SWITCH(LEFT(Tasks[[#This Row],[Status]],1),"O","Opened","C","Completed","S","Signed Off", "V", "Signed Off","ERROR")</f>
        <v>#VALUE!</v>
      </c>
      <c r="C1016" s="15" t="e" cm="1">
        <f t="array" ref="C1016">_xlfn.SWITCH(LEFT(Tasks[[#This Row],[Type]], 3), "Fie", "Field Report", "Con", "Contractor QC", "Gen", "Contractor QC", "Pun", "Contractor QC", "Qua", "Contractor QC", "Fin", "Punch List")</f>
        <v>#VALUE!</v>
      </c>
      <c r="D1016" s="15" t="e">
        <f>_xlfn.LET(
_xlpm.leftValue, TRIM(LEFT(Tasks[[#This Row],[Description]], 45)),
IF(LEN(_xlpm.leftValue) &lt; 40, _xlpm.leftValue, _xlfn.CONCAT(_xlpm.leftValue, "…"))
)</f>
        <v>#VALUE!</v>
      </c>
      <c r="E1016" s="15" t="e" cm="1">
        <f t="array" ref="E1016">_xlfn.LET(
_xlpm.inTower, COUNTIF(Tower_Num_Table[Tower Rm Numbers], LEFT(Task_Summary_Table[[#This Row],[Area/Room]], 3)) &gt; 0,
_xlpm.typeResult, _xlfn.SWITCH(LEFT(Tasks[[#This Row],[Page]], 2), "Hi", "Historic", "An", "Annex", "Si", "Site", "S5", "Project Task", "SWITCH ERROR"),
IF(_xlpm.inTower, "West Tower", _xlpm.typeResult)
)</f>
        <v>#VALUE!</v>
      </c>
      <c r="F1016" s="15" t="str">
        <f>IFERROR(MID(Tasks[[#This Row],[Page]], FIND("Level", Tasks[[#This Row],[Page]]), 7), IF(ISNUMBER(FIND("Roof", Tasks[[#This Row],[Page]])), "Roof",  IF(ISNUMBER(FIND("S590", Tasks[[#This Row],[Page]])), "",  IF(ISNUMBER(FIND("Site", Tasks[[#This Row],[Page]])), "", "ERROR"))))</f>
        <v>ERROR</v>
      </c>
      <c r="G1016" s="15" t="e">
        <f>IF(Tasks[[#This Row],[Location]]=0, "", Tasks[[#This Row],[Location]])</f>
        <v>#VALUE!</v>
      </c>
      <c r="H1016" s="15" t="e">
        <f>Tasks[[#This Row],[To Package]]</f>
        <v>#VALUE!</v>
      </c>
      <c r="I1016" s="15" t="e">
        <f>Tasks[[#This Row],[To Organisation]]</f>
        <v>#VALUE!</v>
      </c>
    </row>
    <row r="1017" spans="1:9" ht="15.5" x14ac:dyDescent="0.35">
      <c r="A1017" s="16" t="e">
        <f>HYPERLINK(_xlfn.CONCAT(Edit_URL,Tasks[[#This Row],[Ref]]),Tasks[[#This Row],[Ref]])</f>
        <v>#VALUE!</v>
      </c>
      <c r="B1017" s="15" t="e" cm="1">
        <f t="array" ref="B1017">_xlfn.SWITCH(LEFT(Tasks[[#This Row],[Status]],1),"O","Opened","C","Completed","S","Signed Off", "V", "Signed Off","ERROR")</f>
        <v>#VALUE!</v>
      </c>
      <c r="C1017" s="15" t="e" cm="1">
        <f t="array" ref="C1017">_xlfn.SWITCH(LEFT(Tasks[[#This Row],[Type]], 3), "Fie", "Field Report", "Con", "Contractor QC", "Gen", "Contractor QC", "Pun", "Contractor QC", "Qua", "Contractor QC", "Fin", "Punch List")</f>
        <v>#VALUE!</v>
      </c>
      <c r="D1017" s="15" t="e">
        <f>_xlfn.LET(
_xlpm.leftValue, TRIM(LEFT(Tasks[[#This Row],[Description]], 45)),
IF(LEN(_xlpm.leftValue) &lt; 40, _xlpm.leftValue, _xlfn.CONCAT(_xlpm.leftValue, "…"))
)</f>
        <v>#VALUE!</v>
      </c>
      <c r="E1017" s="15" t="e" cm="1">
        <f t="array" ref="E1017">_xlfn.LET(
_xlpm.inTower, COUNTIF(Tower_Num_Table[Tower Rm Numbers], LEFT(Task_Summary_Table[[#This Row],[Area/Room]], 3)) &gt; 0,
_xlpm.typeResult, _xlfn.SWITCH(LEFT(Tasks[[#This Row],[Page]], 2), "Hi", "Historic", "An", "Annex", "Si", "Site", "S5", "Project Task", "SWITCH ERROR"),
IF(_xlpm.inTower, "West Tower", _xlpm.typeResult)
)</f>
        <v>#VALUE!</v>
      </c>
      <c r="F1017" s="15" t="str">
        <f>IFERROR(MID(Tasks[[#This Row],[Page]], FIND("Level", Tasks[[#This Row],[Page]]), 7), IF(ISNUMBER(FIND("Roof", Tasks[[#This Row],[Page]])), "Roof",  IF(ISNUMBER(FIND("S590", Tasks[[#This Row],[Page]])), "",  IF(ISNUMBER(FIND("Site", Tasks[[#This Row],[Page]])), "", "ERROR"))))</f>
        <v>ERROR</v>
      </c>
      <c r="G1017" s="15" t="e">
        <f>IF(Tasks[[#This Row],[Location]]=0, "", Tasks[[#This Row],[Location]])</f>
        <v>#VALUE!</v>
      </c>
      <c r="H1017" s="15" t="e">
        <f>Tasks[[#This Row],[To Package]]</f>
        <v>#VALUE!</v>
      </c>
      <c r="I1017" s="15" t="e">
        <f>Tasks[[#This Row],[To Organisation]]</f>
        <v>#VALUE!</v>
      </c>
    </row>
    <row r="1018" spans="1:9" ht="15.5" x14ac:dyDescent="0.35">
      <c r="A1018" s="16" t="e">
        <f>HYPERLINK(_xlfn.CONCAT(Edit_URL,Tasks[[#This Row],[Ref]]),Tasks[[#This Row],[Ref]])</f>
        <v>#VALUE!</v>
      </c>
      <c r="B1018" s="15" t="e" cm="1">
        <f t="array" ref="B1018">_xlfn.SWITCH(LEFT(Tasks[[#This Row],[Status]],1),"O","Opened","C","Completed","S","Signed Off", "V", "Signed Off","ERROR")</f>
        <v>#VALUE!</v>
      </c>
      <c r="C1018" s="15" t="e" cm="1">
        <f t="array" ref="C1018">_xlfn.SWITCH(LEFT(Tasks[[#This Row],[Type]], 3), "Fie", "Field Report", "Con", "Contractor QC", "Gen", "Contractor QC", "Pun", "Contractor QC", "Qua", "Contractor QC", "Fin", "Punch List")</f>
        <v>#VALUE!</v>
      </c>
      <c r="D1018" s="15" t="e">
        <f>_xlfn.LET(
_xlpm.leftValue, TRIM(LEFT(Tasks[[#This Row],[Description]], 45)),
IF(LEN(_xlpm.leftValue) &lt; 40, _xlpm.leftValue, _xlfn.CONCAT(_xlpm.leftValue, "…"))
)</f>
        <v>#VALUE!</v>
      </c>
      <c r="E1018" s="15" t="e" cm="1">
        <f t="array" ref="E1018">_xlfn.LET(
_xlpm.inTower, COUNTIF(Tower_Num_Table[Tower Rm Numbers], LEFT(Task_Summary_Table[[#This Row],[Area/Room]], 3)) &gt; 0,
_xlpm.typeResult, _xlfn.SWITCH(LEFT(Tasks[[#This Row],[Page]], 2), "Hi", "Historic", "An", "Annex", "Si", "Site", "S5", "Project Task", "SWITCH ERROR"),
IF(_xlpm.inTower, "West Tower", _xlpm.typeResult)
)</f>
        <v>#VALUE!</v>
      </c>
      <c r="F1018" s="15" t="str">
        <f>IFERROR(MID(Tasks[[#This Row],[Page]], FIND("Level", Tasks[[#This Row],[Page]]), 7), IF(ISNUMBER(FIND("Roof", Tasks[[#This Row],[Page]])), "Roof",  IF(ISNUMBER(FIND("S590", Tasks[[#This Row],[Page]])), "",  IF(ISNUMBER(FIND("Site", Tasks[[#This Row],[Page]])), "", "ERROR"))))</f>
        <v>ERROR</v>
      </c>
      <c r="G1018" s="15" t="e">
        <f>IF(Tasks[[#This Row],[Location]]=0, "", Tasks[[#This Row],[Location]])</f>
        <v>#VALUE!</v>
      </c>
      <c r="H1018" s="15" t="e">
        <f>Tasks[[#This Row],[To Package]]</f>
        <v>#VALUE!</v>
      </c>
      <c r="I1018" s="15" t="e">
        <f>Tasks[[#This Row],[To Organisation]]</f>
        <v>#VALUE!</v>
      </c>
    </row>
    <row r="1019" spans="1:9" ht="15.5" x14ac:dyDescent="0.35">
      <c r="A1019" s="16" t="e">
        <f>HYPERLINK(_xlfn.CONCAT(Edit_URL,Tasks[[#This Row],[Ref]]),Tasks[[#This Row],[Ref]])</f>
        <v>#VALUE!</v>
      </c>
      <c r="B1019" s="15" t="e" cm="1">
        <f t="array" ref="B1019">_xlfn.SWITCH(LEFT(Tasks[[#This Row],[Status]],1),"O","Opened","C","Completed","S","Signed Off", "V", "Signed Off","ERROR")</f>
        <v>#VALUE!</v>
      </c>
      <c r="C1019" s="15" t="e" cm="1">
        <f t="array" ref="C1019">_xlfn.SWITCH(LEFT(Tasks[[#This Row],[Type]], 3), "Fie", "Field Report", "Con", "Contractor QC", "Gen", "Contractor QC", "Pun", "Contractor QC", "Qua", "Contractor QC", "Fin", "Punch List")</f>
        <v>#VALUE!</v>
      </c>
      <c r="D1019" s="15" t="e">
        <f>_xlfn.LET(
_xlpm.leftValue, TRIM(LEFT(Tasks[[#This Row],[Description]], 45)),
IF(LEN(_xlpm.leftValue) &lt; 40, _xlpm.leftValue, _xlfn.CONCAT(_xlpm.leftValue, "…"))
)</f>
        <v>#VALUE!</v>
      </c>
      <c r="E1019" s="15" t="e" cm="1">
        <f t="array" ref="E1019">_xlfn.LET(
_xlpm.inTower, COUNTIF(Tower_Num_Table[Tower Rm Numbers], LEFT(Task_Summary_Table[[#This Row],[Area/Room]], 3)) &gt; 0,
_xlpm.typeResult, _xlfn.SWITCH(LEFT(Tasks[[#This Row],[Page]], 2), "Hi", "Historic", "An", "Annex", "Si", "Site", "S5", "Project Task", "SWITCH ERROR"),
IF(_xlpm.inTower, "West Tower", _xlpm.typeResult)
)</f>
        <v>#VALUE!</v>
      </c>
      <c r="F1019" s="15" t="str">
        <f>IFERROR(MID(Tasks[[#This Row],[Page]], FIND("Level", Tasks[[#This Row],[Page]]), 7), IF(ISNUMBER(FIND("Roof", Tasks[[#This Row],[Page]])), "Roof",  IF(ISNUMBER(FIND("S590", Tasks[[#This Row],[Page]])), "",  IF(ISNUMBER(FIND("Site", Tasks[[#This Row],[Page]])), "", "ERROR"))))</f>
        <v>ERROR</v>
      </c>
      <c r="G1019" s="15" t="e">
        <f>IF(Tasks[[#This Row],[Location]]=0, "", Tasks[[#This Row],[Location]])</f>
        <v>#VALUE!</v>
      </c>
      <c r="H1019" s="15" t="e">
        <f>Tasks[[#This Row],[To Package]]</f>
        <v>#VALUE!</v>
      </c>
      <c r="I1019" s="15" t="e">
        <f>Tasks[[#This Row],[To Organisation]]</f>
        <v>#VALUE!</v>
      </c>
    </row>
    <row r="1020" spans="1:9" ht="15.5" x14ac:dyDescent="0.35">
      <c r="A1020" s="16" t="e">
        <f>HYPERLINK(_xlfn.CONCAT(Edit_URL,Tasks[[#This Row],[Ref]]),Tasks[[#This Row],[Ref]])</f>
        <v>#VALUE!</v>
      </c>
      <c r="B1020" s="15" t="e" cm="1">
        <f t="array" ref="B1020">_xlfn.SWITCH(LEFT(Tasks[[#This Row],[Status]],1),"O","Opened","C","Completed","S","Signed Off", "V", "Signed Off","ERROR")</f>
        <v>#VALUE!</v>
      </c>
      <c r="C1020" s="15" t="e" cm="1">
        <f t="array" ref="C1020">_xlfn.SWITCH(LEFT(Tasks[[#This Row],[Type]], 3), "Fie", "Field Report", "Con", "Contractor QC", "Gen", "Contractor QC", "Pun", "Contractor QC", "Qua", "Contractor QC", "Fin", "Punch List")</f>
        <v>#VALUE!</v>
      </c>
      <c r="D1020" s="15" t="e">
        <f>_xlfn.LET(
_xlpm.leftValue, TRIM(LEFT(Tasks[[#This Row],[Description]], 45)),
IF(LEN(_xlpm.leftValue) &lt; 40, _xlpm.leftValue, _xlfn.CONCAT(_xlpm.leftValue, "…"))
)</f>
        <v>#VALUE!</v>
      </c>
      <c r="E1020" s="15" t="e" cm="1">
        <f t="array" ref="E1020">_xlfn.LET(
_xlpm.inTower, COUNTIF(Tower_Num_Table[Tower Rm Numbers], LEFT(Task_Summary_Table[[#This Row],[Area/Room]], 3)) &gt; 0,
_xlpm.typeResult, _xlfn.SWITCH(LEFT(Tasks[[#This Row],[Page]], 2), "Hi", "Historic", "An", "Annex", "Si", "Site", "S5", "Project Task", "SWITCH ERROR"),
IF(_xlpm.inTower, "West Tower", _xlpm.typeResult)
)</f>
        <v>#VALUE!</v>
      </c>
      <c r="F1020" s="15" t="str">
        <f>IFERROR(MID(Tasks[[#This Row],[Page]], FIND("Level", Tasks[[#This Row],[Page]]), 7), IF(ISNUMBER(FIND("Roof", Tasks[[#This Row],[Page]])), "Roof",  IF(ISNUMBER(FIND("S590", Tasks[[#This Row],[Page]])), "",  IF(ISNUMBER(FIND("Site", Tasks[[#This Row],[Page]])), "", "ERROR"))))</f>
        <v>ERROR</v>
      </c>
      <c r="G1020" s="15" t="e">
        <f>IF(Tasks[[#This Row],[Location]]=0, "", Tasks[[#This Row],[Location]])</f>
        <v>#VALUE!</v>
      </c>
      <c r="H1020" s="15" t="e">
        <f>Tasks[[#This Row],[To Package]]</f>
        <v>#VALUE!</v>
      </c>
      <c r="I1020" s="15" t="e">
        <f>Tasks[[#This Row],[To Organisation]]</f>
        <v>#VALUE!</v>
      </c>
    </row>
    <row r="1021" spans="1:9" ht="15.5" x14ac:dyDescent="0.35">
      <c r="A1021" s="16" t="e">
        <f>HYPERLINK(_xlfn.CONCAT(Edit_URL,Tasks[[#This Row],[Ref]]),Tasks[[#This Row],[Ref]])</f>
        <v>#VALUE!</v>
      </c>
      <c r="B1021" s="15" t="e" cm="1">
        <f t="array" ref="B1021">_xlfn.SWITCH(LEFT(Tasks[[#This Row],[Status]],1),"O","Opened","C","Completed","S","Signed Off", "V", "Signed Off","ERROR")</f>
        <v>#VALUE!</v>
      </c>
      <c r="C1021" s="15" t="e" cm="1">
        <f t="array" ref="C1021">_xlfn.SWITCH(LEFT(Tasks[[#This Row],[Type]], 3), "Fie", "Field Report", "Con", "Contractor QC", "Gen", "Contractor QC", "Pun", "Contractor QC", "Qua", "Contractor QC", "Fin", "Punch List")</f>
        <v>#VALUE!</v>
      </c>
      <c r="D1021" s="15" t="e">
        <f>_xlfn.LET(
_xlpm.leftValue, TRIM(LEFT(Tasks[[#This Row],[Description]], 45)),
IF(LEN(_xlpm.leftValue) &lt; 40, _xlpm.leftValue, _xlfn.CONCAT(_xlpm.leftValue, "…"))
)</f>
        <v>#VALUE!</v>
      </c>
      <c r="E1021" s="15" t="e" cm="1">
        <f t="array" ref="E1021">_xlfn.LET(
_xlpm.inTower, COUNTIF(Tower_Num_Table[Tower Rm Numbers], LEFT(Task_Summary_Table[[#This Row],[Area/Room]], 3)) &gt; 0,
_xlpm.typeResult, _xlfn.SWITCH(LEFT(Tasks[[#This Row],[Page]], 2), "Hi", "Historic", "An", "Annex", "Si", "Site", "S5", "Project Task", "SWITCH ERROR"),
IF(_xlpm.inTower, "West Tower", _xlpm.typeResult)
)</f>
        <v>#VALUE!</v>
      </c>
      <c r="F1021" s="15" t="str">
        <f>IFERROR(MID(Tasks[[#This Row],[Page]], FIND("Level", Tasks[[#This Row],[Page]]), 7), IF(ISNUMBER(FIND("Roof", Tasks[[#This Row],[Page]])), "Roof",  IF(ISNUMBER(FIND("S590", Tasks[[#This Row],[Page]])), "",  IF(ISNUMBER(FIND("Site", Tasks[[#This Row],[Page]])), "", "ERROR"))))</f>
        <v>ERROR</v>
      </c>
      <c r="G1021" s="15" t="e">
        <f>IF(Tasks[[#This Row],[Location]]=0, "", Tasks[[#This Row],[Location]])</f>
        <v>#VALUE!</v>
      </c>
      <c r="H1021" s="15" t="e">
        <f>Tasks[[#This Row],[To Package]]</f>
        <v>#VALUE!</v>
      </c>
      <c r="I1021" s="15" t="e">
        <f>Tasks[[#This Row],[To Organisation]]</f>
        <v>#VALUE!</v>
      </c>
    </row>
    <row r="1022" spans="1:9" ht="15.5" x14ac:dyDescent="0.35">
      <c r="A1022" s="16" t="e">
        <f>HYPERLINK(_xlfn.CONCAT(Edit_URL,Tasks[[#This Row],[Ref]]),Tasks[[#This Row],[Ref]])</f>
        <v>#VALUE!</v>
      </c>
      <c r="B1022" s="15" t="e" cm="1">
        <f t="array" ref="B1022">_xlfn.SWITCH(LEFT(Tasks[[#This Row],[Status]],1),"O","Opened","C","Completed","S","Signed Off", "V", "Signed Off","ERROR")</f>
        <v>#VALUE!</v>
      </c>
      <c r="C1022" s="15" t="e" cm="1">
        <f t="array" ref="C1022">_xlfn.SWITCH(LEFT(Tasks[[#This Row],[Type]], 3), "Fie", "Field Report", "Con", "Contractor QC", "Gen", "Contractor QC", "Pun", "Contractor QC", "Qua", "Contractor QC", "Fin", "Punch List")</f>
        <v>#VALUE!</v>
      </c>
      <c r="D1022" s="15" t="e">
        <f>_xlfn.LET(
_xlpm.leftValue, TRIM(LEFT(Tasks[[#This Row],[Description]], 45)),
IF(LEN(_xlpm.leftValue) &lt; 40, _xlpm.leftValue, _xlfn.CONCAT(_xlpm.leftValue, "…"))
)</f>
        <v>#VALUE!</v>
      </c>
      <c r="E1022" s="15" t="e" cm="1">
        <f t="array" ref="E1022">_xlfn.LET(
_xlpm.inTower, COUNTIF(Tower_Num_Table[Tower Rm Numbers], LEFT(Task_Summary_Table[[#This Row],[Area/Room]], 3)) &gt; 0,
_xlpm.typeResult, _xlfn.SWITCH(LEFT(Tasks[[#This Row],[Page]], 2), "Hi", "Historic", "An", "Annex", "Si", "Site", "S5", "Project Task", "SWITCH ERROR"),
IF(_xlpm.inTower, "West Tower", _xlpm.typeResult)
)</f>
        <v>#VALUE!</v>
      </c>
      <c r="F1022" s="15" t="str">
        <f>IFERROR(MID(Tasks[[#This Row],[Page]], FIND("Level", Tasks[[#This Row],[Page]]), 7), IF(ISNUMBER(FIND("Roof", Tasks[[#This Row],[Page]])), "Roof",  IF(ISNUMBER(FIND("S590", Tasks[[#This Row],[Page]])), "",  IF(ISNUMBER(FIND("Site", Tasks[[#This Row],[Page]])), "", "ERROR"))))</f>
        <v>ERROR</v>
      </c>
      <c r="G1022" s="15" t="e">
        <f>IF(Tasks[[#This Row],[Location]]=0, "", Tasks[[#This Row],[Location]])</f>
        <v>#VALUE!</v>
      </c>
      <c r="H1022" s="15" t="e">
        <f>Tasks[[#This Row],[To Package]]</f>
        <v>#VALUE!</v>
      </c>
      <c r="I1022" s="15" t="e">
        <f>Tasks[[#This Row],[To Organisation]]</f>
        <v>#VALUE!</v>
      </c>
    </row>
    <row r="1023" spans="1:9" ht="15.5" x14ac:dyDescent="0.35">
      <c r="A1023" s="16" t="e">
        <f>HYPERLINK(_xlfn.CONCAT(Edit_URL,Tasks[[#This Row],[Ref]]),Tasks[[#This Row],[Ref]])</f>
        <v>#VALUE!</v>
      </c>
      <c r="B1023" s="15" t="e" cm="1">
        <f t="array" ref="B1023">_xlfn.SWITCH(LEFT(Tasks[[#This Row],[Status]],1),"O","Opened","C","Completed","S","Signed Off", "V", "Signed Off","ERROR")</f>
        <v>#VALUE!</v>
      </c>
      <c r="C1023" s="15" t="e" cm="1">
        <f t="array" ref="C1023">_xlfn.SWITCH(LEFT(Tasks[[#This Row],[Type]], 3), "Fie", "Field Report", "Con", "Contractor QC", "Gen", "Contractor QC", "Pun", "Contractor QC", "Qua", "Contractor QC", "Fin", "Punch List")</f>
        <v>#VALUE!</v>
      </c>
      <c r="D1023" s="15" t="e">
        <f>_xlfn.LET(
_xlpm.leftValue, TRIM(LEFT(Tasks[[#This Row],[Description]], 45)),
IF(LEN(_xlpm.leftValue) &lt; 40, _xlpm.leftValue, _xlfn.CONCAT(_xlpm.leftValue, "…"))
)</f>
        <v>#VALUE!</v>
      </c>
      <c r="E1023" s="15" t="e" cm="1">
        <f t="array" ref="E1023">_xlfn.LET(
_xlpm.inTower, COUNTIF(Tower_Num_Table[Tower Rm Numbers], LEFT(Task_Summary_Table[[#This Row],[Area/Room]], 3)) &gt; 0,
_xlpm.typeResult, _xlfn.SWITCH(LEFT(Tasks[[#This Row],[Page]], 2), "Hi", "Historic", "An", "Annex", "Si", "Site", "S5", "Project Task", "SWITCH ERROR"),
IF(_xlpm.inTower, "West Tower", _xlpm.typeResult)
)</f>
        <v>#VALUE!</v>
      </c>
      <c r="F1023" s="15" t="str">
        <f>IFERROR(MID(Tasks[[#This Row],[Page]], FIND("Level", Tasks[[#This Row],[Page]]), 7), IF(ISNUMBER(FIND("Roof", Tasks[[#This Row],[Page]])), "Roof",  IF(ISNUMBER(FIND("S590", Tasks[[#This Row],[Page]])), "",  IF(ISNUMBER(FIND("Site", Tasks[[#This Row],[Page]])), "", "ERROR"))))</f>
        <v>ERROR</v>
      </c>
      <c r="G1023" s="15" t="e">
        <f>IF(Tasks[[#This Row],[Location]]=0, "", Tasks[[#This Row],[Location]])</f>
        <v>#VALUE!</v>
      </c>
      <c r="H1023" s="15" t="e">
        <f>Tasks[[#This Row],[To Package]]</f>
        <v>#VALUE!</v>
      </c>
      <c r="I1023" s="15" t="e">
        <f>Tasks[[#This Row],[To Organisation]]</f>
        <v>#VALUE!</v>
      </c>
    </row>
    <row r="1024" spans="1:9" ht="15.5" x14ac:dyDescent="0.35">
      <c r="A1024" s="16" t="e">
        <f>HYPERLINK(_xlfn.CONCAT(Edit_URL,Tasks[[#This Row],[Ref]]),Tasks[[#This Row],[Ref]])</f>
        <v>#VALUE!</v>
      </c>
      <c r="B1024" s="15" t="e" cm="1">
        <f t="array" ref="B1024">_xlfn.SWITCH(LEFT(Tasks[[#This Row],[Status]],1),"O","Opened","C","Completed","S","Signed Off", "V", "Signed Off","ERROR")</f>
        <v>#VALUE!</v>
      </c>
      <c r="C1024" s="15" t="e" cm="1">
        <f t="array" ref="C1024">_xlfn.SWITCH(LEFT(Tasks[[#This Row],[Type]], 3), "Fie", "Field Report", "Con", "Contractor QC", "Gen", "Contractor QC", "Pun", "Contractor QC", "Qua", "Contractor QC", "Fin", "Punch List")</f>
        <v>#VALUE!</v>
      </c>
      <c r="D1024" s="15" t="e">
        <f>_xlfn.LET(
_xlpm.leftValue, TRIM(LEFT(Tasks[[#This Row],[Description]], 45)),
IF(LEN(_xlpm.leftValue) &lt; 40, _xlpm.leftValue, _xlfn.CONCAT(_xlpm.leftValue, "…"))
)</f>
        <v>#VALUE!</v>
      </c>
      <c r="E1024" s="15" t="e" cm="1">
        <f t="array" ref="E1024">_xlfn.LET(
_xlpm.inTower, COUNTIF(Tower_Num_Table[Tower Rm Numbers], LEFT(Task_Summary_Table[[#This Row],[Area/Room]], 3)) &gt; 0,
_xlpm.typeResult, _xlfn.SWITCH(LEFT(Tasks[[#This Row],[Page]], 2), "Hi", "Historic", "An", "Annex", "Si", "Site", "S5", "Project Task", "SWITCH ERROR"),
IF(_xlpm.inTower, "West Tower", _xlpm.typeResult)
)</f>
        <v>#VALUE!</v>
      </c>
      <c r="F1024" s="15" t="str">
        <f>IFERROR(MID(Tasks[[#This Row],[Page]], FIND("Level", Tasks[[#This Row],[Page]]), 7), IF(ISNUMBER(FIND("Roof", Tasks[[#This Row],[Page]])), "Roof",  IF(ISNUMBER(FIND("S590", Tasks[[#This Row],[Page]])), "",  IF(ISNUMBER(FIND("Site", Tasks[[#This Row],[Page]])), "", "ERROR"))))</f>
        <v>ERROR</v>
      </c>
      <c r="G1024" s="15" t="e">
        <f>IF(Tasks[[#This Row],[Location]]=0, "", Tasks[[#This Row],[Location]])</f>
        <v>#VALUE!</v>
      </c>
      <c r="H1024" s="15" t="e">
        <f>Tasks[[#This Row],[To Package]]</f>
        <v>#VALUE!</v>
      </c>
      <c r="I1024" s="15" t="e">
        <f>Tasks[[#This Row],[To Organisation]]</f>
        <v>#VALUE!</v>
      </c>
    </row>
    <row r="1025" spans="1:9" ht="15.5" x14ac:dyDescent="0.35">
      <c r="A1025" s="16" t="e">
        <f>HYPERLINK(_xlfn.CONCAT(Edit_URL,Tasks[[#This Row],[Ref]]),Tasks[[#This Row],[Ref]])</f>
        <v>#VALUE!</v>
      </c>
      <c r="B1025" s="15" t="e" cm="1">
        <f t="array" ref="B1025">_xlfn.SWITCH(LEFT(Tasks[[#This Row],[Status]],1),"O","Opened","C","Completed","S","Signed Off", "V", "Signed Off","ERROR")</f>
        <v>#VALUE!</v>
      </c>
      <c r="C1025" s="15" t="e" cm="1">
        <f t="array" ref="C1025">_xlfn.SWITCH(LEFT(Tasks[[#This Row],[Type]], 3), "Fie", "Field Report", "Con", "Contractor QC", "Gen", "Contractor QC", "Pun", "Contractor QC", "Qua", "Contractor QC", "Fin", "Punch List")</f>
        <v>#VALUE!</v>
      </c>
      <c r="D1025" s="15" t="e">
        <f>_xlfn.LET(
_xlpm.leftValue, TRIM(LEFT(Tasks[[#This Row],[Description]], 45)),
IF(LEN(_xlpm.leftValue) &lt; 40, _xlpm.leftValue, _xlfn.CONCAT(_xlpm.leftValue, "…"))
)</f>
        <v>#VALUE!</v>
      </c>
      <c r="E1025" s="15" t="e" cm="1">
        <f t="array" ref="E1025">_xlfn.LET(
_xlpm.inTower, COUNTIF(Tower_Num_Table[Tower Rm Numbers], LEFT(Task_Summary_Table[[#This Row],[Area/Room]], 3)) &gt; 0,
_xlpm.typeResult, _xlfn.SWITCH(LEFT(Tasks[[#This Row],[Page]], 2), "Hi", "Historic", "An", "Annex", "Si", "Site", "S5", "Project Task", "SWITCH ERROR"),
IF(_xlpm.inTower, "West Tower", _xlpm.typeResult)
)</f>
        <v>#VALUE!</v>
      </c>
      <c r="F1025" s="15" t="str">
        <f>IFERROR(MID(Tasks[[#This Row],[Page]], FIND("Level", Tasks[[#This Row],[Page]]), 7), IF(ISNUMBER(FIND("Roof", Tasks[[#This Row],[Page]])), "Roof",  IF(ISNUMBER(FIND("S590", Tasks[[#This Row],[Page]])), "",  IF(ISNUMBER(FIND("Site", Tasks[[#This Row],[Page]])), "", "ERROR"))))</f>
        <v>ERROR</v>
      </c>
      <c r="G1025" s="15" t="e">
        <f>IF(Tasks[[#This Row],[Location]]=0, "", Tasks[[#This Row],[Location]])</f>
        <v>#VALUE!</v>
      </c>
      <c r="H1025" s="15" t="e">
        <f>Tasks[[#This Row],[To Package]]</f>
        <v>#VALUE!</v>
      </c>
      <c r="I1025" s="15" t="e">
        <f>Tasks[[#This Row],[To Organisation]]</f>
        <v>#VALUE!</v>
      </c>
    </row>
    <row r="1026" spans="1:9" ht="15.5" x14ac:dyDescent="0.35">
      <c r="A1026" s="16" t="e">
        <f>HYPERLINK(_xlfn.CONCAT(Edit_URL,Tasks[[#This Row],[Ref]]),Tasks[[#This Row],[Ref]])</f>
        <v>#VALUE!</v>
      </c>
      <c r="B1026" s="15" t="e" cm="1">
        <f t="array" ref="B1026">_xlfn.SWITCH(LEFT(Tasks[[#This Row],[Status]],1),"O","Opened","C","Completed","S","Signed Off", "V", "Signed Off","ERROR")</f>
        <v>#VALUE!</v>
      </c>
      <c r="C1026" s="15" t="e" cm="1">
        <f t="array" ref="C1026">_xlfn.SWITCH(LEFT(Tasks[[#This Row],[Type]], 3), "Fie", "Field Report", "Con", "Contractor QC", "Gen", "Contractor QC", "Pun", "Contractor QC", "Qua", "Contractor QC", "Fin", "Punch List")</f>
        <v>#VALUE!</v>
      </c>
      <c r="D1026" s="15" t="e">
        <f>_xlfn.LET(
_xlpm.leftValue, TRIM(LEFT(Tasks[[#This Row],[Description]], 45)),
IF(LEN(_xlpm.leftValue) &lt; 40, _xlpm.leftValue, _xlfn.CONCAT(_xlpm.leftValue, "…"))
)</f>
        <v>#VALUE!</v>
      </c>
      <c r="E1026" s="15" t="e" cm="1">
        <f t="array" ref="E1026">_xlfn.LET(
_xlpm.inTower, COUNTIF(Tower_Num_Table[Tower Rm Numbers], LEFT(Task_Summary_Table[[#This Row],[Area/Room]], 3)) &gt; 0,
_xlpm.typeResult, _xlfn.SWITCH(LEFT(Tasks[[#This Row],[Page]], 2), "Hi", "Historic", "An", "Annex", "Si", "Site", "S5", "Project Task", "SWITCH ERROR"),
IF(_xlpm.inTower, "West Tower", _xlpm.typeResult)
)</f>
        <v>#VALUE!</v>
      </c>
      <c r="F1026" s="15" t="str">
        <f>IFERROR(MID(Tasks[[#This Row],[Page]], FIND("Level", Tasks[[#This Row],[Page]]), 7), IF(ISNUMBER(FIND("Roof", Tasks[[#This Row],[Page]])), "Roof",  IF(ISNUMBER(FIND("S590", Tasks[[#This Row],[Page]])), "",  IF(ISNUMBER(FIND("Site", Tasks[[#This Row],[Page]])), "", "ERROR"))))</f>
        <v>ERROR</v>
      </c>
      <c r="G1026" s="15" t="e">
        <f>IF(Tasks[[#This Row],[Location]]=0, "", Tasks[[#This Row],[Location]])</f>
        <v>#VALUE!</v>
      </c>
      <c r="H1026" s="15" t="e">
        <f>Tasks[[#This Row],[To Package]]</f>
        <v>#VALUE!</v>
      </c>
      <c r="I1026" s="15" t="e">
        <f>Tasks[[#This Row],[To Organisation]]</f>
        <v>#VALUE!</v>
      </c>
    </row>
    <row r="1027" spans="1:9" ht="15.5" x14ac:dyDescent="0.35">
      <c r="A1027" s="16" t="e">
        <f>HYPERLINK(_xlfn.CONCAT(Edit_URL,Tasks[[#This Row],[Ref]]),Tasks[[#This Row],[Ref]])</f>
        <v>#VALUE!</v>
      </c>
      <c r="B1027" s="15" t="e" cm="1">
        <f t="array" ref="B1027">_xlfn.SWITCH(LEFT(Tasks[[#This Row],[Status]],1),"O","Opened","C","Completed","S","Signed Off", "V", "Signed Off","ERROR")</f>
        <v>#VALUE!</v>
      </c>
      <c r="C1027" s="15" t="e" cm="1">
        <f t="array" ref="C1027">_xlfn.SWITCH(LEFT(Tasks[[#This Row],[Type]], 3), "Fie", "Field Report", "Con", "Contractor QC", "Gen", "Contractor QC", "Pun", "Contractor QC", "Qua", "Contractor QC", "Fin", "Punch List")</f>
        <v>#VALUE!</v>
      </c>
      <c r="D1027" s="15" t="e">
        <f>_xlfn.LET(
_xlpm.leftValue, TRIM(LEFT(Tasks[[#This Row],[Description]], 45)),
IF(LEN(_xlpm.leftValue) &lt; 40, _xlpm.leftValue, _xlfn.CONCAT(_xlpm.leftValue, "…"))
)</f>
        <v>#VALUE!</v>
      </c>
      <c r="E1027" s="15" t="e" cm="1">
        <f t="array" ref="E1027">_xlfn.LET(
_xlpm.inTower, COUNTIF(Tower_Num_Table[Tower Rm Numbers], LEFT(Task_Summary_Table[[#This Row],[Area/Room]], 3)) &gt; 0,
_xlpm.typeResult, _xlfn.SWITCH(LEFT(Tasks[[#This Row],[Page]], 2), "Hi", "Historic", "An", "Annex", "Si", "Site", "S5", "Project Task", "SWITCH ERROR"),
IF(_xlpm.inTower, "West Tower", _xlpm.typeResult)
)</f>
        <v>#VALUE!</v>
      </c>
      <c r="F1027" s="15" t="str">
        <f>IFERROR(MID(Tasks[[#This Row],[Page]], FIND("Level", Tasks[[#This Row],[Page]]), 7), IF(ISNUMBER(FIND("Roof", Tasks[[#This Row],[Page]])), "Roof",  IF(ISNUMBER(FIND("S590", Tasks[[#This Row],[Page]])), "",  IF(ISNUMBER(FIND("Site", Tasks[[#This Row],[Page]])), "", "ERROR"))))</f>
        <v>ERROR</v>
      </c>
      <c r="G1027" s="15" t="e">
        <f>IF(Tasks[[#This Row],[Location]]=0, "", Tasks[[#This Row],[Location]])</f>
        <v>#VALUE!</v>
      </c>
      <c r="H1027" s="15" t="e">
        <f>Tasks[[#This Row],[To Package]]</f>
        <v>#VALUE!</v>
      </c>
      <c r="I1027" s="15" t="e">
        <f>Tasks[[#This Row],[To Organisation]]</f>
        <v>#VALUE!</v>
      </c>
    </row>
    <row r="1028" spans="1:9" ht="15.5" x14ac:dyDescent="0.35">
      <c r="A1028" s="16" t="e">
        <f>HYPERLINK(_xlfn.CONCAT(Edit_URL,Tasks[[#This Row],[Ref]]),Tasks[[#This Row],[Ref]])</f>
        <v>#VALUE!</v>
      </c>
      <c r="B1028" s="15" t="e" cm="1">
        <f t="array" ref="B1028">_xlfn.SWITCH(LEFT(Tasks[[#This Row],[Status]],1),"O","Opened","C","Completed","S","Signed Off", "V", "Signed Off","ERROR")</f>
        <v>#VALUE!</v>
      </c>
      <c r="C1028" s="15" t="e" cm="1">
        <f t="array" ref="C1028">_xlfn.SWITCH(LEFT(Tasks[[#This Row],[Type]], 3), "Fie", "Field Report", "Con", "Contractor QC", "Gen", "Contractor QC", "Pun", "Contractor QC", "Qua", "Contractor QC", "Fin", "Punch List")</f>
        <v>#VALUE!</v>
      </c>
      <c r="D1028" s="15" t="e">
        <f>_xlfn.LET(
_xlpm.leftValue, TRIM(LEFT(Tasks[[#This Row],[Description]], 45)),
IF(LEN(_xlpm.leftValue) &lt; 40, _xlpm.leftValue, _xlfn.CONCAT(_xlpm.leftValue, "…"))
)</f>
        <v>#VALUE!</v>
      </c>
      <c r="E1028" s="15" t="e" cm="1">
        <f t="array" ref="E1028">_xlfn.LET(
_xlpm.inTower, COUNTIF(Tower_Num_Table[Tower Rm Numbers], LEFT(Task_Summary_Table[[#This Row],[Area/Room]], 3)) &gt; 0,
_xlpm.typeResult, _xlfn.SWITCH(LEFT(Tasks[[#This Row],[Page]], 2), "Hi", "Historic", "An", "Annex", "Si", "Site", "S5", "Project Task", "SWITCH ERROR"),
IF(_xlpm.inTower, "West Tower", _xlpm.typeResult)
)</f>
        <v>#VALUE!</v>
      </c>
      <c r="F1028" s="15" t="str">
        <f>IFERROR(MID(Tasks[[#This Row],[Page]], FIND("Level", Tasks[[#This Row],[Page]]), 7), IF(ISNUMBER(FIND("Roof", Tasks[[#This Row],[Page]])), "Roof",  IF(ISNUMBER(FIND("S590", Tasks[[#This Row],[Page]])), "",  IF(ISNUMBER(FIND("Site", Tasks[[#This Row],[Page]])), "", "ERROR"))))</f>
        <v>ERROR</v>
      </c>
      <c r="G1028" s="15" t="e">
        <f>IF(Tasks[[#This Row],[Location]]=0, "", Tasks[[#This Row],[Location]])</f>
        <v>#VALUE!</v>
      </c>
      <c r="H1028" s="15" t="e">
        <f>Tasks[[#This Row],[To Package]]</f>
        <v>#VALUE!</v>
      </c>
      <c r="I1028" s="15" t="e">
        <f>Tasks[[#This Row],[To Organisation]]</f>
        <v>#VALUE!</v>
      </c>
    </row>
    <row r="1029" spans="1:9" ht="15.5" x14ac:dyDescent="0.35">
      <c r="A1029" s="16" t="e">
        <f>HYPERLINK(_xlfn.CONCAT(Edit_URL,Tasks[[#This Row],[Ref]]),Tasks[[#This Row],[Ref]])</f>
        <v>#VALUE!</v>
      </c>
      <c r="B1029" s="15" t="e" cm="1">
        <f t="array" ref="B1029">_xlfn.SWITCH(LEFT(Tasks[[#This Row],[Status]],1),"O","Opened","C","Completed","S","Signed Off", "V", "Signed Off","ERROR")</f>
        <v>#VALUE!</v>
      </c>
      <c r="C1029" s="15" t="e" cm="1">
        <f t="array" ref="C1029">_xlfn.SWITCH(LEFT(Tasks[[#This Row],[Type]], 3), "Fie", "Field Report", "Con", "Contractor QC", "Gen", "Contractor QC", "Pun", "Contractor QC", "Qua", "Contractor QC", "Fin", "Punch List")</f>
        <v>#VALUE!</v>
      </c>
      <c r="D1029" s="15" t="e">
        <f>_xlfn.LET(
_xlpm.leftValue, TRIM(LEFT(Tasks[[#This Row],[Description]], 45)),
IF(LEN(_xlpm.leftValue) &lt; 40, _xlpm.leftValue, _xlfn.CONCAT(_xlpm.leftValue, "…"))
)</f>
        <v>#VALUE!</v>
      </c>
      <c r="E1029" s="15" t="e" cm="1">
        <f t="array" ref="E1029">_xlfn.LET(
_xlpm.inTower, COUNTIF(Tower_Num_Table[Tower Rm Numbers], LEFT(Task_Summary_Table[[#This Row],[Area/Room]], 3)) &gt; 0,
_xlpm.typeResult, _xlfn.SWITCH(LEFT(Tasks[[#This Row],[Page]], 2), "Hi", "Historic", "An", "Annex", "Si", "Site", "S5", "Project Task", "SWITCH ERROR"),
IF(_xlpm.inTower, "West Tower", _xlpm.typeResult)
)</f>
        <v>#VALUE!</v>
      </c>
      <c r="F1029" s="15" t="str">
        <f>IFERROR(MID(Tasks[[#This Row],[Page]], FIND("Level", Tasks[[#This Row],[Page]]), 7), IF(ISNUMBER(FIND("Roof", Tasks[[#This Row],[Page]])), "Roof",  IF(ISNUMBER(FIND("S590", Tasks[[#This Row],[Page]])), "",  IF(ISNUMBER(FIND("Site", Tasks[[#This Row],[Page]])), "", "ERROR"))))</f>
        <v>ERROR</v>
      </c>
      <c r="G1029" s="15" t="e">
        <f>IF(Tasks[[#This Row],[Location]]=0, "", Tasks[[#This Row],[Location]])</f>
        <v>#VALUE!</v>
      </c>
      <c r="H1029" s="15" t="e">
        <f>Tasks[[#This Row],[To Package]]</f>
        <v>#VALUE!</v>
      </c>
      <c r="I1029" s="15" t="e">
        <f>Tasks[[#This Row],[To Organisation]]</f>
        <v>#VALUE!</v>
      </c>
    </row>
    <row r="1030" spans="1:9" ht="15.5" x14ac:dyDescent="0.35">
      <c r="A1030" s="16" t="e">
        <f>HYPERLINK(_xlfn.CONCAT(Edit_URL,Tasks[[#This Row],[Ref]]),Tasks[[#This Row],[Ref]])</f>
        <v>#VALUE!</v>
      </c>
      <c r="B1030" s="15" t="e" cm="1">
        <f t="array" ref="B1030">_xlfn.SWITCH(LEFT(Tasks[[#This Row],[Status]],1),"O","Opened","C","Completed","S","Signed Off", "V", "Signed Off","ERROR")</f>
        <v>#VALUE!</v>
      </c>
      <c r="C1030" s="15" t="e" cm="1">
        <f t="array" ref="C1030">_xlfn.SWITCH(LEFT(Tasks[[#This Row],[Type]], 3), "Fie", "Field Report", "Con", "Contractor QC", "Gen", "Contractor QC", "Pun", "Contractor QC", "Qua", "Contractor QC", "Fin", "Punch List")</f>
        <v>#VALUE!</v>
      </c>
      <c r="D1030" s="15" t="e">
        <f>_xlfn.LET(
_xlpm.leftValue, TRIM(LEFT(Tasks[[#This Row],[Description]], 45)),
IF(LEN(_xlpm.leftValue) &lt; 40, _xlpm.leftValue, _xlfn.CONCAT(_xlpm.leftValue, "…"))
)</f>
        <v>#VALUE!</v>
      </c>
      <c r="E1030" s="15" t="e" cm="1">
        <f t="array" ref="E1030">_xlfn.LET(
_xlpm.inTower, COUNTIF(Tower_Num_Table[Tower Rm Numbers], LEFT(Task_Summary_Table[[#This Row],[Area/Room]], 3)) &gt; 0,
_xlpm.typeResult, _xlfn.SWITCH(LEFT(Tasks[[#This Row],[Page]], 2), "Hi", "Historic", "An", "Annex", "Si", "Site", "S5", "Project Task", "SWITCH ERROR"),
IF(_xlpm.inTower, "West Tower", _xlpm.typeResult)
)</f>
        <v>#VALUE!</v>
      </c>
      <c r="F1030" s="15" t="str">
        <f>IFERROR(MID(Tasks[[#This Row],[Page]], FIND("Level", Tasks[[#This Row],[Page]]), 7), IF(ISNUMBER(FIND("Roof", Tasks[[#This Row],[Page]])), "Roof",  IF(ISNUMBER(FIND("S590", Tasks[[#This Row],[Page]])), "",  IF(ISNUMBER(FIND("Site", Tasks[[#This Row],[Page]])), "", "ERROR"))))</f>
        <v>ERROR</v>
      </c>
      <c r="G1030" s="15" t="e">
        <f>IF(Tasks[[#This Row],[Location]]=0, "", Tasks[[#This Row],[Location]])</f>
        <v>#VALUE!</v>
      </c>
      <c r="H1030" s="15" t="e">
        <f>Tasks[[#This Row],[To Package]]</f>
        <v>#VALUE!</v>
      </c>
      <c r="I1030" s="15" t="e">
        <f>Tasks[[#This Row],[To Organisation]]</f>
        <v>#VALUE!</v>
      </c>
    </row>
    <row r="1031" spans="1:9" ht="15.5" x14ac:dyDescent="0.35">
      <c r="A1031" s="16" t="e">
        <f>HYPERLINK(_xlfn.CONCAT(Edit_URL,Tasks[[#This Row],[Ref]]),Tasks[[#This Row],[Ref]])</f>
        <v>#VALUE!</v>
      </c>
      <c r="B1031" s="15" t="e" cm="1">
        <f t="array" ref="B1031">_xlfn.SWITCH(LEFT(Tasks[[#This Row],[Status]],1),"O","Opened","C","Completed","S","Signed Off", "V", "Signed Off","ERROR")</f>
        <v>#VALUE!</v>
      </c>
      <c r="C1031" s="15" t="e" cm="1">
        <f t="array" ref="C1031">_xlfn.SWITCH(LEFT(Tasks[[#This Row],[Type]], 3), "Fie", "Field Report", "Con", "Contractor QC", "Gen", "Contractor QC", "Pun", "Contractor QC", "Qua", "Contractor QC", "Fin", "Punch List")</f>
        <v>#VALUE!</v>
      </c>
      <c r="D1031" s="15" t="e">
        <f>_xlfn.LET(
_xlpm.leftValue, TRIM(LEFT(Tasks[[#This Row],[Description]], 45)),
IF(LEN(_xlpm.leftValue) &lt; 40, _xlpm.leftValue, _xlfn.CONCAT(_xlpm.leftValue, "…"))
)</f>
        <v>#VALUE!</v>
      </c>
      <c r="E1031" s="15" t="e" cm="1">
        <f t="array" ref="E1031">_xlfn.LET(
_xlpm.inTower, COUNTIF(Tower_Num_Table[Tower Rm Numbers], LEFT(Task_Summary_Table[[#This Row],[Area/Room]], 3)) &gt; 0,
_xlpm.typeResult, _xlfn.SWITCH(LEFT(Tasks[[#This Row],[Page]], 2), "Hi", "Historic", "An", "Annex", "Si", "Site", "S5", "Project Task", "SWITCH ERROR"),
IF(_xlpm.inTower, "West Tower", _xlpm.typeResult)
)</f>
        <v>#VALUE!</v>
      </c>
      <c r="F1031" s="15" t="str">
        <f>IFERROR(MID(Tasks[[#This Row],[Page]], FIND("Level", Tasks[[#This Row],[Page]]), 7), IF(ISNUMBER(FIND("Roof", Tasks[[#This Row],[Page]])), "Roof",  IF(ISNUMBER(FIND("S590", Tasks[[#This Row],[Page]])), "",  IF(ISNUMBER(FIND("Site", Tasks[[#This Row],[Page]])), "", "ERROR"))))</f>
        <v>ERROR</v>
      </c>
      <c r="G1031" s="15" t="e">
        <f>IF(Tasks[[#This Row],[Location]]=0, "", Tasks[[#This Row],[Location]])</f>
        <v>#VALUE!</v>
      </c>
      <c r="H1031" s="15" t="e">
        <f>Tasks[[#This Row],[To Package]]</f>
        <v>#VALUE!</v>
      </c>
      <c r="I1031" s="15" t="e">
        <f>Tasks[[#This Row],[To Organisation]]</f>
        <v>#VALUE!</v>
      </c>
    </row>
    <row r="1032" spans="1:9" ht="15.5" x14ac:dyDescent="0.35">
      <c r="A1032" s="16" t="e">
        <f>HYPERLINK(_xlfn.CONCAT(Edit_URL,Tasks[[#This Row],[Ref]]),Tasks[[#This Row],[Ref]])</f>
        <v>#VALUE!</v>
      </c>
      <c r="B1032" s="15" t="e" cm="1">
        <f t="array" ref="B1032">_xlfn.SWITCH(LEFT(Tasks[[#This Row],[Status]],1),"O","Opened","C","Completed","S","Signed Off", "V", "Signed Off","ERROR")</f>
        <v>#VALUE!</v>
      </c>
      <c r="C1032" s="15" t="e" cm="1">
        <f t="array" ref="C1032">_xlfn.SWITCH(LEFT(Tasks[[#This Row],[Type]], 3), "Fie", "Field Report", "Con", "Contractor QC", "Gen", "Contractor QC", "Pun", "Contractor QC", "Qua", "Contractor QC", "Fin", "Punch List")</f>
        <v>#VALUE!</v>
      </c>
      <c r="D1032" s="15" t="e">
        <f>_xlfn.LET(
_xlpm.leftValue, TRIM(LEFT(Tasks[[#This Row],[Description]], 45)),
IF(LEN(_xlpm.leftValue) &lt; 40, _xlpm.leftValue, _xlfn.CONCAT(_xlpm.leftValue, "…"))
)</f>
        <v>#VALUE!</v>
      </c>
      <c r="E1032" s="15" t="e" cm="1">
        <f t="array" ref="E1032">_xlfn.LET(
_xlpm.inTower, COUNTIF(Tower_Num_Table[Tower Rm Numbers], LEFT(Task_Summary_Table[[#This Row],[Area/Room]], 3)) &gt; 0,
_xlpm.typeResult, _xlfn.SWITCH(LEFT(Tasks[[#This Row],[Page]], 2), "Hi", "Historic", "An", "Annex", "Si", "Site", "S5", "Project Task", "SWITCH ERROR"),
IF(_xlpm.inTower, "West Tower", _xlpm.typeResult)
)</f>
        <v>#VALUE!</v>
      </c>
      <c r="F1032" s="15" t="str">
        <f>IFERROR(MID(Tasks[[#This Row],[Page]], FIND("Level", Tasks[[#This Row],[Page]]), 7), IF(ISNUMBER(FIND("Roof", Tasks[[#This Row],[Page]])), "Roof",  IF(ISNUMBER(FIND("S590", Tasks[[#This Row],[Page]])), "",  IF(ISNUMBER(FIND("Site", Tasks[[#This Row],[Page]])), "", "ERROR"))))</f>
        <v>ERROR</v>
      </c>
      <c r="G1032" s="15" t="e">
        <f>IF(Tasks[[#This Row],[Location]]=0, "", Tasks[[#This Row],[Location]])</f>
        <v>#VALUE!</v>
      </c>
      <c r="H1032" s="15" t="e">
        <f>Tasks[[#This Row],[To Package]]</f>
        <v>#VALUE!</v>
      </c>
      <c r="I1032" s="15" t="e">
        <f>Tasks[[#This Row],[To Organisation]]</f>
        <v>#VALUE!</v>
      </c>
    </row>
    <row r="1033" spans="1:9" ht="15.5" x14ac:dyDescent="0.35">
      <c r="A1033" s="16" t="e">
        <f>HYPERLINK(_xlfn.CONCAT(Edit_URL,Tasks[[#This Row],[Ref]]),Tasks[[#This Row],[Ref]])</f>
        <v>#VALUE!</v>
      </c>
      <c r="B1033" s="15" t="e" cm="1">
        <f t="array" ref="B1033">_xlfn.SWITCH(LEFT(Tasks[[#This Row],[Status]],1),"O","Opened","C","Completed","S","Signed Off", "V", "Signed Off","ERROR")</f>
        <v>#VALUE!</v>
      </c>
      <c r="C1033" s="15" t="e" cm="1">
        <f t="array" ref="C1033">_xlfn.SWITCH(LEFT(Tasks[[#This Row],[Type]], 3), "Fie", "Field Report", "Con", "Contractor QC", "Gen", "Contractor QC", "Pun", "Contractor QC", "Qua", "Contractor QC", "Fin", "Punch List")</f>
        <v>#VALUE!</v>
      </c>
      <c r="D1033" s="15" t="e">
        <f>_xlfn.LET(
_xlpm.leftValue, TRIM(LEFT(Tasks[[#This Row],[Description]], 45)),
IF(LEN(_xlpm.leftValue) &lt; 40, _xlpm.leftValue, _xlfn.CONCAT(_xlpm.leftValue, "…"))
)</f>
        <v>#VALUE!</v>
      </c>
      <c r="E1033" s="15" t="e" cm="1">
        <f t="array" ref="E1033">_xlfn.LET(
_xlpm.inTower, COUNTIF(Tower_Num_Table[Tower Rm Numbers], LEFT(Task_Summary_Table[[#This Row],[Area/Room]], 3)) &gt; 0,
_xlpm.typeResult, _xlfn.SWITCH(LEFT(Tasks[[#This Row],[Page]], 2), "Hi", "Historic", "An", "Annex", "Si", "Site", "S5", "Project Task", "SWITCH ERROR"),
IF(_xlpm.inTower, "West Tower", _xlpm.typeResult)
)</f>
        <v>#VALUE!</v>
      </c>
      <c r="F1033" s="15" t="str">
        <f>IFERROR(MID(Tasks[[#This Row],[Page]], FIND("Level", Tasks[[#This Row],[Page]]), 7), IF(ISNUMBER(FIND("Roof", Tasks[[#This Row],[Page]])), "Roof",  IF(ISNUMBER(FIND("S590", Tasks[[#This Row],[Page]])), "",  IF(ISNUMBER(FIND("Site", Tasks[[#This Row],[Page]])), "", "ERROR"))))</f>
        <v>ERROR</v>
      </c>
      <c r="G1033" s="15" t="e">
        <f>IF(Tasks[[#This Row],[Location]]=0, "", Tasks[[#This Row],[Location]])</f>
        <v>#VALUE!</v>
      </c>
      <c r="H1033" s="15" t="e">
        <f>Tasks[[#This Row],[To Package]]</f>
        <v>#VALUE!</v>
      </c>
      <c r="I1033" s="15" t="e">
        <f>Tasks[[#This Row],[To Organisation]]</f>
        <v>#VALUE!</v>
      </c>
    </row>
    <row r="1034" spans="1:9" ht="15.5" x14ac:dyDescent="0.35">
      <c r="A1034" s="16" t="e">
        <f>HYPERLINK(_xlfn.CONCAT(Edit_URL,Tasks[[#This Row],[Ref]]),Tasks[[#This Row],[Ref]])</f>
        <v>#VALUE!</v>
      </c>
      <c r="B1034" s="15" t="e" cm="1">
        <f t="array" ref="B1034">_xlfn.SWITCH(LEFT(Tasks[[#This Row],[Status]],1),"O","Opened","C","Completed","S","Signed Off", "V", "Signed Off","ERROR")</f>
        <v>#VALUE!</v>
      </c>
      <c r="C1034" s="15" t="e" cm="1">
        <f t="array" ref="C1034">_xlfn.SWITCH(LEFT(Tasks[[#This Row],[Type]], 3), "Fie", "Field Report", "Con", "Contractor QC", "Gen", "Contractor QC", "Pun", "Contractor QC", "Qua", "Contractor QC", "Fin", "Punch List")</f>
        <v>#VALUE!</v>
      </c>
      <c r="D1034" s="15" t="e">
        <f>_xlfn.LET(
_xlpm.leftValue, TRIM(LEFT(Tasks[[#This Row],[Description]], 45)),
IF(LEN(_xlpm.leftValue) &lt; 40, _xlpm.leftValue, _xlfn.CONCAT(_xlpm.leftValue, "…"))
)</f>
        <v>#VALUE!</v>
      </c>
      <c r="E1034" s="15" t="e" cm="1">
        <f t="array" ref="E1034">_xlfn.LET(
_xlpm.inTower, COUNTIF(Tower_Num_Table[Tower Rm Numbers], LEFT(Task_Summary_Table[[#This Row],[Area/Room]], 3)) &gt; 0,
_xlpm.typeResult, _xlfn.SWITCH(LEFT(Tasks[[#This Row],[Page]], 2), "Hi", "Historic", "An", "Annex", "Si", "Site", "S5", "Project Task", "SWITCH ERROR"),
IF(_xlpm.inTower, "West Tower", _xlpm.typeResult)
)</f>
        <v>#VALUE!</v>
      </c>
      <c r="F1034" s="15" t="str">
        <f>IFERROR(MID(Tasks[[#This Row],[Page]], FIND("Level", Tasks[[#This Row],[Page]]), 7), IF(ISNUMBER(FIND("Roof", Tasks[[#This Row],[Page]])), "Roof",  IF(ISNUMBER(FIND("S590", Tasks[[#This Row],[Page]])), "",  IF(ISNUMBER(FIND("Site", Tasks[[#This Row],[Page]])), "", "ERROR"))))</f>
        <v>ERROR</v>
      </c>
      <c r="G1034" s="15" t="e">
        <f>IF(Tasks[[#This Row],[Location]]=0, "", Tasks[[#This Row],[Location]])</f>
        <v>#VALUE!</v>
      </c>
      <c r="H1034" s="15" t="e">
        <f>Tasks[[#This Row],[To Package]]</f>
        <v>#VALUE!</v>
      </c>
      <c r="I1034" s="15" t="e">
        <f>Tasks[[#This Row],[To Organisation]]</f>
        <v>#VALUE!</v>
      </c>
    </row>
    <row r="1035" spans="1:9" ht="15.5" x14ac:dyDescent="0.35">
      <c r="A1035" s="16" t="e">
        <f>HYPERLINK(_xlfn.CONCAT(Edit_URL,Tasks[[#This Row],[Ref]]),Tasks[[#This Row],[Ref]])</f>
        <v>#VALUE!</v>
      </c>
      <c r="B1035" s="15" t="e" cm="1">
        <f t="array" ref="B1035">_xlfn.SWITCH(LEFT(Tasks[[#This Row],[Status]],1),"O","Opened","C","Completed","S","Signed Off", "V", "Signed Off","ERROR")</f>
        <v>#VALUE!</v>
      </c>
      <c r="C1035" s="15" t="e" cm="1">
        <f t="array" ref="C1035">_xlfn.SWITCH(LEFT(Tasks[[#This Row],[Type]], 3), "Fie", "Field Report", "Con", "Contractor QC", "Gen", "Contractor QC", "Pun", "Contractor QC", "Qua", "Contractor QC", "Fin", "Punch List")</f>
        <v>#VALUE!</v>
      </c>
      <c r="D1035" s="15" t="e">
        <f>_xlfn.LET(
_xlpm.leftValue, TRIM(LEFT(Tasks[[#This Row],[Description]], 45)),
IF(LEN(_xlpm.leftValue) &lt; 40, _xlpm.leftValue, _xlfn.CONCAT(_xlpm.leftValue, "…"))
)</f>
        <v>#VALUE!</v>
      </c>
      <c r="E1035" s="15" t="e" cm="1">
        <f t="array" ref="E1035">_xlfn.LET(
_xlpm.inTower, COUNTIF(Tower_Num_Table[Tower Rm Numbers], LEFT(Task_Summary_Table[[#This Row],[Area/Room]], 3)) &gt; 0,
_xlpm.typeResult, _xlfn.SWITCH(LEFT(Tasks[[#This Row],[Page]], 2), "Hi", "Historic", "An", "Annex", "Si", "Site", "S5", "Project Task", "SWITCH ERROR"),
IF(_xlpm.inTower, "West Tower", _xlpm.typeResult)
)</f>
        <v>#VALUE!</v>
      </c>
      <c r="F1035" s="15" t="str">
        <f>IFERROR(MID(Tasks[[#This Row],[Page]], FIND("Level", Tasks[[#This Row],[Page]]), 7), IF(ISNUMBER(FIND("Roof", Tasks[[#This Row],[Page]])), "Roof",  IF(ISNUMBER(FIND("S590", Tasks[[#This Row],[Page]])), "",  IF(ISNUMBER(FIND("Site", Tasks[[#This Row],[Page]])), "", "ERROR"))))</f>
        <v>ERROR</v>
      </c>
      <c r="G1035" s="15" t="e">
        <f>IF(Tasks[[#This Row],[Location]]=0, "", Tasks[[#This Row],[Location]])</f>
        <v>#VALUE!</v>
      </c>
      <c r="H1035" s="15" t="e">
        <f>Tasks[[#This Row],[To Package]]</f>
        <v>#VALUE!</v>
      </c>
      <c r="I1035" s="15" t="e">
        <f>Tasks[[#This Row],[To Organisation]]</f>
        <v>#VALUE!</v>
      </c>
    </row>
    <row r="1036" spans="1:9" ht="15.5" x14ac:dyDescent="0.35">
      <c r="A1036" s="16" t="e">
        <f>HYPERLINK(_xlfn.CONCAT(Edit_URL,Tasks[[#This Row],[Ref]]),Tasks[[#This Row],[Ref]])</f>
        <v>#VALUE!</v>
      </c>
      <c r="B1036" s="15" t="e" cm="1">
        <f t="array" ref="B1036">_xlfn.SWITCH(LEFT(Tasks[[#This Row],[Status]],1),"O","Opened","C","Completed","S","Signed Off", "V", "Signed Off","ERROR")</f>
        <v>#VALUE!</v>
      </c>
      <c r="C1036" s="15" t="e" cm="1">
        <f t="array" ref="C1036">_xlfn.SWITCH(LEFT(Tasks[[#This Row],[Type]], 3), "Fie", "Field Report", "Con", "Contractor QC", "Gen", "Contractor QC", "Pun", "Contractor QC", "Qua", "Contractor QC", "Fin", "Punch List")</f>
        <v>#VALUE!</v>
      </c>
      <c r="D1036" s="15" t="e">
        <f>_xlfn.LET(
_xlpm.leftValue, TRIM(LEFT(Tasks[[#This Row],[Description]], 45)),
IF(LEN(_xlpm.leftValue) &lt; 40, _xlpm.leftValue, _xlfn.CONCAT(_xlpm.leftValue, "…"))
)</f>
        <v>#VALUE!</v>
      </c>
      <c r="E1036" s="15" t="e" cm="1">
        <f t="array" ref="E1036">_xlfn.LET(
_xlpm.inTower, COUNTIF(Tower_Num_Table[Tower Rm Numbers], LEFT(Task_Summary_Table[[#This Row],[Area/Room]], 3)) &gt; 0,
_xlpm.typeResult, _xlfn.SWITCH(LEFT(Tasks[[#This Row],[Page]], 2), "Hi", "Historic", "An", "Annex", "Si", "Site", "S5", "Project Task", "SWITCH ERROR"),
IF(_xlpm.inTower, "West Tower", _xlpm.typeResult)
)</f>
        <v>#VALUE!</v>
      </c>
      <c r="F1036" s="15" t="str">
        <f>IFERROR(MID(Tasks[[#This Row],[Page]], FIND("Level", Tasks[[#This Row],[Page]]), 7), IF(ISNUMBER(FIND("Roof", Tasks[[#This Row],[Page]])), "Roof",  IF(ISNUMBER(FIND("S590", Tasks[[#This Row],[Page]])), "",  IF(ISNUMBER(FIND("Site", Tasks[[#This Row],[Page]])), "", "ERROR"))))</f>
        <v>ERROR</v>
      </c>
      <c r="G1036" s="15" t="e">
        <f>IF(Tasks[[#This Row],[Location]]=0, "", Tasks[[#This Row],[Location]])</f>
        <v>#VALUE!</v>
      </c>
      <c r="H1036" s="15" t="e">
        <f>Tasks[[#This Row],[To Package]]</f>
        <v>#VALUE!</v>
      </c>
      <c r="I1036" s="15" t="e">
        <f>Tasks[[#This Row],[To Organisation]]</f>
        <v>#VALUE!</v>
      </c>
    </row>
    <row r="1037" spans="1:9" ht="15.5" x14ac:dyDescent="0.35">
      <c r="A1037" s="16" t="e">
        <f>HYPERLINK(_xlfn.CONCAT(Edit_URL,Tasks[[#This Row],[Ref]]),Tasks[[#This Row],[Ref]])</f>
        <v>#VALUE!</v>
      </c>
      <c r="B1037" s="15" t="e" cm="1">
        <f t="array" ref="B1037">_xlfn.SWITCH(LEFT(Tasks[[#This Row],[Status]],1),"O","Opened","C","Completed","S","Signed Off", "V", "Signed Off","ERROR")</f>
        <v>#VALUE!</v>
      </c>
      <c r="C1037" s="15" t="e" cm="1">
        <f t="array" ref="C1037">_xlfn.SWITCH(LEFT(Tasks[[#This Row],[Type]], 3), "Fie", "Field Report", "Con", "Contractor QC", "Gen", "Contractor QC", "Pun", "Contractor QC", "Qua", "Contractor QC", "Fin", "Punch List")</f>
        <v>#VALUE!</v>
      </c>
      <c r="D1037" s="15" t="e">
        <f>_xlfn.LET(
_xlpm.leftValue, TRIM(LEFT(Tasks[[#This Row],[Description]], 45)),
IF(LEN(_xlpm.leftValue) &lt; 40, _xlpm.leftValue, _xlfn.CONCAT(_xlpm.leftValue, "…"))
)</f>
        <v>#VALUE!</v>
      </c>
      <c r="E1037" s="15" t="e" cm="1">
        <f t="array" ref="E1037">_xlfn.LET(
_xlpm.inTower, COUNTIF(Tower_Num_Table[Tower Rm Numbers], LEFT(Task_Summary_Table[[#This Row],[Area/Room]], 3)) &gt; 0,
_xlpm.typeResult, _xlfn.SWITCH(LEFT(Tasks[[#This Row],[Page]], 2), "Hi", "Historic", "An", "Annex", "Si", "Site", "S5", "Project Task", "SWITCH ERROR"),
IF(_xlpm.inTower, "West Tower", _xlpm.typeResult)
)</f>
        <v>#VALUE!</v>
      </c>
      <c r="F1037" s="15" t="str">
        <f>IFERROR(MID(Tasks[[#This Row],[Page]], FIND("Level", Tasks[[#This Row],[Page]]), 7), IF(ISNUMBER(FIND("Roof", Tasks[[#This Row],[Page]])), "Roof",  IF(ISNUMBER(FIND("S590", Tasks[[#This Row],[Page]])), "",  IF(ISNUMBER(FIND("Site", Tasks[[#This Row],[Page]])), "", "ERROR"))))</f>
        <v>ERROR</v>
      </c>
      <c r="G1037" s="15" t="e">
        <f>IF(Tasks[[#This Row],[Location]]=0, "", Tasks[[#This Row],[Location]])</f>
        <v>#VALUE!</v>
      </c>
      <c r="H1037" s="15" t="e">
        <f>Tasks[[#This Row],[To Package]]</f>
        <v>#VALUE!</v>
      </c>
      <c r="I1037" s="15" t="e">
        <f>Tasks[[#This Row],[To Organisation]]</f>
        <v>#VALUE!</v>
      </c>
    </row>
    <row r="1038" spans="1:9" ht="15.5" x14ac:dyDescent="0.35">
      <c r="A1038" s="16" t="e">
        <f>HYPERLINK(_xlfn.CONCAT(Edit_URL,Tasks[[#This Row],[Ref]]),Tasks[[#This Row],[Ref]])</f>
        <v>#VALUE!</v>
      </c>
      <c r="B1038" s="15" t="e" cm="1">
        <f t="array" ref="B1038">_xlfn.SWITCH(LEFT(Tasks[[#This Row],[Status]],1),"O","Opened","C","Completed","S","Signed Off", "V", "Signed Off","ERROR")</f>
        <v>#VALUE!</v>
      </c>
      <c r="C1038" s="15" t="e" cm="1">
        <f t="array" ref="C1038">_xlfn.SWITCH(LEFT(Tasks[[#This Row],[Type]], 3), "Fie", "Field Report", "Con", "Contractor QC", "Gen", "Contractor QC", "Pun", "Contractor QC", "Qua", "Contractor QC", "Fin", "Punch List")</f>
        <v>#VALUE!</v>
      </c>
      <c r="D1038" s="15" t="e">
        <f>_xlfn.LET(
_xlpm.leftValue, TRIM(LEFT(Tasks[[#This Row],[Description]], 45)),
IF(LEN(_xlpm.leftValue) &lt; 40, _xlpm.leftValue, _xlfn.CONCAT(_xlpm.leftValue, "…"))
)</f>
        <v>#VALUE!</v>
      </c>
      <c r="E1038" s="15" t="e" cm="1">
        <f t="array" ref="E1038">_xlfn.LET(
_xlpm.inTower, COUNTIF(Tower_Num_Table[Tower Rm Numbers], LEFT(Task_Summary_Table[[#This Row],[Area/Room]], 3)) &gt; 0,
_xlpm.typeResult, _xlfn.SWITCH(LEFT(Tasks[[#This Row],[Page]], 2), "Hi", "Historic", "An", "Annex", "Si", "Site", "S5", "Project Task", "SWITCH ERROR"),
IF(_xlpm.inTower, "West Tower", _xlpm.typeResult)
)</f>
        <v>#VALUE!</v>
      </c>
      <c r="F1038" s="15" t="str">
        <f>IFERROR(MID(Tasks[[#This Row],[Page]], FIND("Level", Tasks[[#This Row],[Page]]), 7), IF(ISNUMBER(FIND("Roof", Tasks[[#This Row],[Page]])), "Roof",  IF(ISNUMBER(FIND("S590", Tasks[[#This Row],[Page]])), "",  IF(ISNUMBER(FIND("Site", Tasks[[#This Row],[Page]])), "", "ERROR"))))</f>
        <v>ERROR</v>
      </c>
      <c r="G1038" s="15" t="e">
        <f>IF(Tasks[[#This Row],[Location]]=0, "", Tasks[[#This Row],[Location]])</f>
        <v>#VALUE!</v>
      </c>
      <c r="H1038" s="15" t="e">
        <f>Tasks[[#This Row],[To Package]]</f>
        <v>#VALUE!</v>
      </c>
      <c r="I1038" s="15" t="e">
        <f>Tasks[[#This Row],[To Organisation]]</f>
        <v>#VALUE!</v>
      </c>
    </row>
    <row r="1039" spans="1:9" ht="15.5" x14ac:dyDescent="0.35">
      <c r="A1039" s="16" t="e">
        <f>HYPERLINK(_xlfn.CONCAT(Edit_URL,Tasks[[#This Row],[Ref]]),Tasks[[#This Row],[Ref]])</f>
        <v>#VALUE!</v>
      </c>
      <c r="B1039" s="15" t="e" cm="1">
        <f t="array" ref="B1039">_xlfn.SWITCH(LEFT(Tasks[[#This Row],[Status]],1),"O","Opened","C","Completed","S","Signed Off", "V", "Signed Off","ERROR")</f>
        <v>#VALUE!</v>
      </c>
      <c r="C1039" s="15" t="e" cm="1">
        <f t="array" ref="C1039">_xlfn.SWITCH(LEFT(Tasks[[#This Row],[Type]], 3), "Fie", "Field Report", "Con", "Contractor QC", "Gen", "Contractor QC", "Pun", "Contractor QC", "Qua", "Contractor QC", "Fin", "Punch List")</f>
        <v>#VALUE!</v>
      </c>
      <c r="D1039" s="15" t="e">
        <f>_xlfn.LET(
_xlpm.leftValue, TRIM(LEFT(Tasks[[#This Row],[Description]], 45)),
IF(LEN(_xlpm.leftValue) &lt; 40, _xlpm.leftValue, _xlfn.CONCAT(_xlpm.leftValue, "…"))
)</f>
        <v>#VALUE!</v>
      </c>
      <c r="E1039" s="15" t="e" cm="1">
        <f t="array" ref="E1039">_xlfn.LET(
_xlpm.inTower, COUNTIF(Tower_Num_Table[Tower Rm Numbers], LEFT(Task_Summary_Table[[#This Row],[Area/Room]], 3)) &gt; 0,
_xlpm.typeResult, _xlfn.SWITCH(LEFT(Tasks[[#This Row],[Page]], 2), "Hi", "Historic", "An", "Annex", "Si", "Site", "S5", "Project Task", "SWITCH ERROR"),
IF(_xlpm.inTower, "West Tower", _xlpm.typeResult)
)</f>
        <v>#VALUE!</v>
      </c>
      <c r="F1039" s="15" t="str">
        <f>IFERROR(MID(Tasks[[#This Row],[Page]], FIND("Level", Tasks[[#This Row],[Page]]), 7), IF(ISNUMBER(FIND("Roof", Tasks[[#This Row],[Page]])), "Roof",  IF(ISNUMBER(FIND("S590", Tasks[[#This Row],[Page]])), "",  IF(ISNUMBER(FIND("Site", Tasks[[#This Row],[Page]])), "", "ERROR"))))</f>
        <v>ERROR</v>
      </c>
      <c r="G1039" s="15" t="e">
        <f>IF(Tasks[[#This Row],[Location]]=0, "", Tasks[[#This Row],[Location]])</f>
        <v>#VALUE!</v>
      </c>
      <c r="H1039" s="15" t="e">
        <f>Tasks[[#This Row],[To Package]]</f>
        <v>#VALUE!</v>
      </c>
      <c r="I1039" s="15" t="e">
        <f>Tasks[[#This Row],[To Organisation]]</f>
        <v>#VALUE!</v>
      </c>
    </row>
    <row r="1040" spans="1:9" ht="15.5" x14ac:dyDescent="0.35">
      <c r="A1040" s="16" t="e">
        <f>HYPERLINK(_xlfn.CONCAT(Edit_URL,Tasks[[#This Row],[Ref]]),Tasks[[#This Row],[Ref]])</f>
        <v>#VALUE!</v>
      </c>
      <c r="B1040" s="15" t="e" cm="1">
        <f t="array" ref="B1040">_xlfn.SWITCH(LEFT(Tasks[[#This Row],[Status]],1),"O","Opened","C","Completed","S","Signed Off", "V", "Signed Off","ERROR")</f>
        <v>#VALUE!</v>
      </c>
      <c r="C1040" s="15" t="e" cm="1">
        <f t="array" ref="C1040">_xlfn.SWITCH(LEFT(Tasks[[#This Row],[Type]], 3), "Fie", "Field Report", "Con", "Contractor QC", "Gen", "Contractor QC", "Pun", "Contractor QC", "Qua", "Contractor QC", "Fin", "Punch List")</f>
        <v>#VALUE!</v>
      </c>
      <c r="D1040" s="15" t="e">
        <f>_xlfn.LET(
_xlpm.leftValue, TRIM(LEFT(Tasks[[#This Row],[Description]], 45)),
IF(LEN(_xlpm.leftValue) &lt; 40, _xlpm.leftValue, _xlfn.CONCAT(_xlpm.leftValue, "…"))
)</f>
        <v>#VALUE!</v>
      </c>
      <c r="E1040" s="15" t="e" cm="1">
        <f t="array" ref="E1040">_xlfn.LET(
_xlpm.inTower, COUNTIF(Tower_Num_Table[Tower Rm Numbers], LEFT(Task_Summary_Table[[#This Row],[Area/Room]], 3)) &gt; 0,
_xlpm.typeResult, _xlfn.SWITCH(LEFT(Tasks[[#This Row],[Page]], 2), "Hi", "Historic", "An", "Annex", "Si", "Site", "S5", "Project Task", "SWITCH ERROR"),
IF(_xlpm.inTower, "West Tower", _xlpm.typeResult)
)</f>
        <v>#VALUE!</v>
      </c>
      <c r="F1040" s="15" t="str">
        <f>IFERROR(MID(Tasks[[#This Row],[Page]], FIND("Level", Tasks[[#This Row],[Page]]), 7), IF(ISNUMBER(FIND("Roof", Tasks[[#This Row],[Page]])), "Roof",  IF(ISNUMBER(FIND("S590", Tasks[[#This Row],[Page]])), "",  IF(ISNUMBER(FIND("Site", Tasks[[#This Row],[Page]])), "", "ERROR"))))</f>
        <v>ERROR</v>
      </c>
      <c r="G1040" s="15" t="e">
        <f>IF(Tasks[[#This Row],[Location]]=0, "", Tasks[[#This Row],[Location]])</f>
        <v>#VALUE!</v>
      </c>
      <c r="H1040" s="15" t="e">
        <f>Tasks[[#This Row],[To Package]]</f>
        <v>#VALUE!</v>
      </c>
      <c r="I1040" s="15" t="e">
        <f>Tasks[[#This Row],[To Organisation]]</f>
        <v>#VALUE!</v>
      </c>
    </row>
    <row r="1041" spans="1:9" ht="15.5" x14ac:dyDescent="0.35">
      <c r="A1041" s="16" t="e">
        <f>HYPERLINK(_xlfn.CONCAT(Edit_URL,Tasks[[#This Row],[Ref]]),Tasks[[#This Row],[Ref]])</f>
        <v>#VALUE!</v>
      </c>
      <c r="B1041" s="15" t="e" cm="1">
        <f t="array" ref="B1041">_xlfn.SWITCH(LEFT(Tasks[[#This Row],[Status]],1),"O","Opened","C","Completed","S","Signed Off", "V", "Signed Off","ERROR")</f>
        <v>#VALUE!</v>
      </c>
      <c r="C1041" s="15" t="e" cm="1">
        <f t="array" ref="C1041">_xlfn.SWITCH(LEFT(Tasks[[#This Row],[Type]], 3), "Fie", "Field Report", "Con", "Contractor QC", "Gen", "Contractor QC", "Pun", "Contractor QC", "Qua", "Contractor QC", "Fin", "Punch List")</f>
        <v>#VALUE!</v>
      </c>
      <c r="D1041" s="15" t="e">
        <f>_xlfn.LET(
_xlpm.leftValue, TRIM(LEFT(Tasks[[#This Row],[Description]], 45)),
IF(LEN(_xlpm.leftValue) &lt; 40, _xlpm.leftValue, _xlfn.CONCAT(_xlpm.leftValue, "…"))
)</f>
        <v>#VALUE!</v>
      </c>
      <c r="E1041" s="15" t="e" cm="1">
        <f t="array" ref="E1041">_xlfn.LET(
_xlpm.inTower, COUNTIF(Tower_Num_Table[Tower Rm Numbers], LEFT(Task_Summary_Table[[#This Row],[Area/Room]], 3)) &gt; 0,
_xlpm.typeResult, _xlfn.SWITCH(LEFT(Tasks[[#This Row],[Page]], 2), "Hi", "Historic", "An", "Annex", "Si", "Site", "S5", "Project Task", "SWITCH ERROR"),
IF(_xlpm.inTower, "West Tower", _xlpm.typeResult)
)</f>
        <v>#VALUE!</v>
      </c>
      <c r="F1041" s="15" t="str">
        <f>IFERROR(MID(Tasks[[#This Row],[Page]], FIND("Level", Tasks[[#This Row],[Page]]), 7), IF(ISNUMBER(FIND("Roof", Tasks[[#This Row],[Page]])), "Roof",  IF(ISNUMBER(FIND("S590", Tasks[[#This Row],[Page]])), "",  IF(ISNUMBER(FIND("Site", Tasks[[#This Row],[Page]])), "", "ERROR"))))</f>
        <v>ERROR</v>
      </c>
      <c r="G1041" s="15" t="e">
        <f>IF(Tasks[[#This Row],[Location]]=0, "", Tasks[[#This Row],[Location]])</f>
        <v>#VALUE!</v>
      </c>
      <c r="H1041" s="15" t="e">
        <f>Tasks[[#This Row],[To Package]]</f>
        <v>#VALUE!</v>
      </c>
      <c r="I1041" s="15" t="e">
        <f>Tasks[[#This Row],[To Organisation]]</f>
        <v>#VALUE!</v>
      </c>
    </row>
    <row r="1042" spans="1:9" ht="15.5" x14ac:dyDescent="0.35">
      <c r="A1042" s="16" t="e">
        <f>HYPERLINK(_xlfn.CONCAT(Edit_URL,Tasks[[#This Row],[Ref]]),Tasks[[#This Row],[Ref]])</f>
        <v>#VALUE!</v>
      </c>
      <c r="B1042" s="15" t="e" cm="1">
        <f t="array" ref="B1042">_xlfn.SWITCH(LEFT(Tasks[[#This Row],[Status]],1),"O","Opened","C","Completed","S","Signed Off", "V", "Signed Off","ERROR")</f>
        <v>#VALUE!</v>
      </c>
      <c r="C1042" s="15" t="e" cm="1">
        <f t="array" ref="C1042">_xlfn.SWITCH(LEFT(Tasks[[#This Row],[Type]], 3), "Fie", "Field Report", "Con", "Contractor QC", "Gen", "Contractor QC", "Pun", "Contractor QC", "Qua", "Contractor QC", "Fin", "Punch List")</f>
        <v>#VALUE!</v>
      </c>
      <c r="D1042" s="15" t="e">
        <f>_xlfn.LET(
_xlpm.leftValue, TRIM(LEFT(Tasks[[#This Row],[Description]], 45)),
IF(LEN(_xlpm.leftValue) &lt; 40, _xlpm.leftValue, _xlfn.CONCAT(_xlpm.leftValue, "…"))
)</f>
        <v>#VALUE!</v>
      </c>
      <c r="E1042" s="15" t="e" cm="1">
        <f t="array" ref="E1042">_xlfn.LET(
_xlpm.inTower, COUNTIF(Tower_Num_Table[Tower Rm Numbers], LEFT(Task_Summary_Table[[#This Row],[Area/Room]], 3)) &gt; 0,
_xlpm.typeResult, _xlfn.SWITCH(LEFT(Tasks[[#This Row],[Page]], 2), "Hi", "Historic", "An", "Annex", "Si", "Site", "S5", "Project Task", "SWITCH ERROR"),
IF(_xlpm.inTower, "West Tower", _xlpm.typeResult)
)</f>
        <v>#VALUE!</v>
      </c>
      <c r="F1042" s="15" t="str">
        <f>IFERROR(MID(Tasks[[#This Row],[Page]], FIND("Level", Tasks[[#This Row],[Page]]), 7), IF(ISNUMBER(FIND("Roof", Tasks[[#This Row],[Page]])), "Roof",  IF(ISNUMBER(FIND("S590", Tasks[[#This Row],[Page]])), "",  IF(ISNUMBER(FIND("Site", Tasks[[#This Row],[Page]])), "", "ERROR"))))</f>
        <v>ERROR</v>
      </c>
      <c r="G1042" s="15" t="e">
        <f>IF(Tasks[[#This Row],[Location]]=0, "", Tasks[[#This Row],[Location]])</f>
        <v>#VALUE!</v>
      </c>
      <c r="H1042" s="15" t="e">
        <f>Tasks[[#This Row],[To Package]]</f>
        <v>#VALUE!</v>
      </c>
      <c r="I1042" s="15" t="e">
        <f>Tasks[[#This Row],[To Organisation]]</f>
        <v>#VALUE!</v>
      </c>
    </row>
    <row r="1043" spans="1:9" ht="15.5" x14ac:dyDescent="0.35">
      <c r="A1043" s="16" t="e">
        <f>HYPERLINK(_xlfn.CONCAT(Edit_URL,Tasks[[#This Row],[Ref]]),Tasks[[#This Row],[Ref]])</f>
        <v>#VALUE!</v>
      </c>
      <c r="B1043" s="15" t="e" cm="1">
        <f t="array" ref="B1043">_xlfn.SWITCH(LEFT(Tasks[[#This Row],[Status]],1),"O","Opened","C","Completed","S","Signed Off", "V", "Signed Off","ERROR")</f>
        <v>#VALUE!</v>
      </c>
      <c r="C1043" s="15" t="e" cm="1">
        <f t="array" ref="C1043">_xlfn.SWITCH(LEFT(Tasks[[#This Row],[Type]], 3), "Fie", "Field Report", "Con", "Contractor QC", "Gen", "Contractor QC", "Pun", "Contractor QC", "Qua", "Contractor QC", "Fin", "Punch List")</f>
        <v>#VALUE!</v>
      </c>
      <c r="D1043" s="15" t="e">
        <f>_xlfn.LET(
_xlpm.leftValue, TRIM(LEFT(Tasks[[#This Row],[Description]], 45)),
IF(LEN(_xlpm.leftValue) &lt; 40, _xlpm.leftValue, _xlfn.CONCAT(_xlpm.leftValue, "…"))
)</f>
        <v>#VALUE!</v>
      </c>
      <c r="E1043" s="15" t="e" cm="1">
        <f t="array" ref="E1043">_xlfn.LET(
_xlpm.inTower, COUNTIF(Tower_Num_Table[Tower Rm Numbers], LEFT(Task_Summary_Table[[#This Row],[Area/Room]], 3)) &gt; 0,
_xlpm.typeResult, _xlfn.SWITCH(LEFT(Tasks[[#This Row],[Page]], 2), "Hi", "Historic", "An", "Annex", "Si", "Site", "S5", "Project Task", "SWITCH ERROR"),
IF(_xlpm.inTower, "West Tower", _xlpm.typeResult)
)</f>
        <v>#VALUE!</v>
      </c>
      <c r="F1043" s="15" t="str">
        <f>IFERROR(MID(Tasks[[#This Row],[Page]], FIND("Level", Tasks[[#This Row],[Page]]), 7), IF(ISNUMBER(FIND("Roof", Tasks[[#This Row],[Page]])), "Roof",  IF(ISNUMBER(FIND("S590", Tasks[[#This Row],[Page]])), "",  IF(ISNUMBER(FIND("Site", Tasks[[#This Row],[Page]])), "", "ERROR"))))</f>
        <v>ERROR</v>
      </c>
      <c r="G1043" s="15" t="e">
        <f>IF(Tasks[[#This Row],[Location]]=0, "", Tasks[[#This Row],[Location]])</f>
        <v>#VALUE!</v>
      </c>
      <c r="H1043" s="15" t="e">
        <f>Tasks[[#This Row],[To Package]]</f>
        <v>#VALUE!</v>
      </c>
      <c r="I1043" s="15" t="e">
        <f>Tasks[[#This Row],[To Organisation]]</f>
        <v>#VALUE!</v>
      </c>
    </row>
    <row r="1044" spans="1:9" ht="15.5" x14ac:dyDescent="0.35">
      <c r="A1044" s="16" t="e">
        <f>HYPERLINK(_xlfn.CONCAT(Edit_URL,Tasks[[#This Row],[Ref]]),Tasks[[#This Row],[Ref]])</f>
        <v>#VALUE!</v>
      </c>
      <c r="B1044" s="15" t="e" cm="1">
        <f t="array" ref="B1044">_xlfn.SWITCH(LEFT(Tasks[[#This Row],[Status]],1),"O","Opened","C","Completed","S","Signed Off", "V", "Signed Off","ERROR")</f>
        <v>#VALUE!</v>
      </c>
      <c r="C1044" s="15" t="e" cm="1">
        <f t="array" ref="C1044">_xlfn.SWITCH(LEFT(Tasks[[#This Row],[Type]], 3), "Fie", "Field Report", "Con", "Contractor QC", "Gen", "Contractor QC", "Pun", "Contractor QC", "Qua", "Contractor QC", "Fin", "Punch List")</f>
        <v>#VALUE!</v>
      </c>
      <c r="D1044" s="15" t="e">
        <f>_xlfn.LET(
_xlpm.leftValue, TRIM(LEFT(Tasks[[#This Row],[Description]], 45)),
IF(LEN(_xlpm.leftValue) &lt; 40, _xlpm.leftValue, _xlfn.CONCAT(_xlpm.leftValue, "…"))
)</f>
        <v>#VALUE!</v>
      </c>
      <c r="E1044" s="15" t="e" cm="1">
        <f t="array" ref="E1044">_xlfn.LET(
_xlpm.inTower, COUNTIF(Tower_Num_Table[Tower Rm Numbers], LEFT(Task_Summary_Table[[#This Row],[Area/Room]], 3)) &gt; 0,
_xlpm.typeResult, _xlfn.SWITCH(LEFT(Tasks[[#This Row],[Page]], 2), "Hi", "Historic", "An", "Annex", "Si", "Site", "S5", "Project Task", "SWITCH ERROR"),
IF(_xlpm.inTower, "West Tower", _xlpm.typeResult)
)</f>
        <v>#VALUE!</v>
      </c>
      <c r="F1044" s="15" t="str">
        <f>IFERROR(MID(Tasks[[#This Row],[Page]], FIND("Level", Tasks[[#This Row],[Page]]), 7), IF(ISNUMBER(FIND("Roof", Tasks[[#This Row],[Page]])), "Roof",  IF(ISNUMBER(FIND("S590", Tasks[[#This Row],[Page]])), "",  IF(ISNUMBER(FIND("Site", Tasks[[#This Row],[Page]])), "", "ERROR"))))</f>
        <v>ERROR</v>
      </c>
      <c r="G1044" s="15" t="e">
        <f>IF(Tasks[[#This Row],[Location]]=0, "", Tasks[[#This Row],[Location]])</f>
        <v>#VALUE!</v>
      </c>
      <c r="H1044" s="15" t="e">
        <f>Tasks[[#This Row],[To Package]]</f>
        <v>#VALUE!</v>
      </c>
      <c r="I1044" s="15" t="e">
        <f>Tasks[[#This Row],[To Organisation]]</f>
        <v>#VALUE!</v>
      </c>
    </row>
    <row r="1045" spans="1:9" ht="15.5" x14ac:dyDescent="0.35">
      <c r="A1045" s="16" t="e">
        <f>HYPERLINK(_xlfn.CONCAT(Edit_URL,Tasks[[#This Row],[Ref]]),Tasks[[#This Row],[Ref]])</f>
        <v>#VALUE!</v>
      </c>
      <c r="B1045" s="15" t="e" cm="1">
        <f t="array" ref="B1045">_xlfn.SWITCH(LEFT(Tasks[[#This Row],[Status]],1),"O","Opened","C","Completed","S","Signed Off", "V", "Signed Off","ERROR")</f>
        <v>#VALUE!</v>
      </c>
      <c r="C1045" s="15" t="e" cm="1">
        <f t="array" ref="C1045">_xlfn.SWITCH(LEFT(Tasks[[#This Row],[Type]], 3), "Fie", "Field Report", "Con", "Contractor QC", "Gen", "Contractor QC", "Pun", "Contractor QC", "Qua", "Contractor QC", "Fin", "Punch List")</f>
        <v>#VALUE!</v>
      </c>
      <c r="D1045" s="15" t="e">
        <f>_xlfn.LET(
_xlpm.leftValue, TRIM(LEFT(Tasks[[#This Row],[Description]], 45)),
IF(LEN(_xlpm.leftValue) &lt; 40, _xlpm.leftValue, _xlfn.CONCAT(_xlpm.leftValue, "…"))
)</f>
        <v>#VALUE!</v>
      </c>
      <c r="E1045" s="15" t="e" cm="1">
        <f t="array" ref="E1045">_xlfn.LET(
_xlpm.inTower, COUNTIF(Tower_Num_Table[Tower Rm Numbers], LEFT(Task_Summary_Table[[#This Row],[Area/Room]], 3)) &gt; 0,
_xlpm.typeResult, _xlfn.SWITCH(LEFT(Tasks[[#This Row],[Page]], 2), "Hi", "Historic", "An", "Annex", "Si", "Site", "S5", "Project Task", "SWITCH ERROR"),
IF(_xlpm.inTower, "West Tower", _xlpm.typeResult)
)</f>
        <v>#VALUE!</v>
      </c>
      <c r="F1045" s="15" t="str">
        <f>IFERROR(MID(Tasks[[#This Row],[Page]], FIND("Level", Tasks[[#This Row],[Page]]), 7), IF(ISNUMBER(FIND("Roof", Tasks[[#This Row],[Page]])), "Roof",  IF(ISNUMBER(FIND("S590", Tasks[[#This Row],[Page]])), "",  IF(ISNUMBER(FIND("Site", Tasks[[#This Row],[Page]])), "", "ERROR"))))</f>
        <v>ERROR</v>
      </c>
      <c r="G1045" s="15" t="e">
        <f>IF(Tasks[[#This Row],[Location]]=0, "", Tasks[[#This Row],[Location]])</f>
        <v>#VALUE!</v>
      </c>
      <c r="H1045" s="15" t="e">
        <f>Tasks[[#This Row],[To Package]]</f>
        <v>#VALUE!</v>
      </c>
      <c r="I1045" s="15" t="e">
        <f>Tasks[[#This Row],[To Organisation]]</f>
        <v>#VALUE!</v>
      </c>
    </row>
    <row r="1046" spans="1:9" ht="15.5" x14ac:dyDescent="0.35">
      <c r="A1046" s="16" t="e">
        <f>HYPERLINK(_xlfn.CONCAT(Edit_URL,Tasks[[#This Row],[Ref]]),Tasks[[#This Row],[Ref]])</f>
        <v>#VALUE!</v>
      </c>
      <c r="B1046" s="15" t="e" cm="1">
        <f t="array" ref="B1046">_xlfn.SWITCH(LEFT(Tasks[[#This Row],[Status]],1),"O","Opened","C","Completed","S","Signed Off", "V", "Signed Off","ERROR")</f>
        <v>#VALUE!</v>
      </c>
      <c r="C1046" s="15" t="e" cm="1">
        <f t="array" ref="C1046">_xlfn.SWITCH(LEFT(Tasks[[#This Row],[Type]], 3), "Fie", "Field Report", "Con", "Contractor QC", "Gen", "Contractor QC", "Pun", "Contractor QC", "Qua", "Contractor QC", "Fin", "Punch List")</f>
        <v>#VALUE!</v>
      </c>
      <c r="D1046" s="15" t="e">
        <f>_xlfn.LET(
_xlpm.leftValue, TRIM(LEFT(Tasks[[#This Row],[Description]], 45)),
IF(LEN(_xlpm.leftValue) &lt; 40, _xlpm.leftValue, _xlfn.CONCAT(_xlpm.leftValue, "…"))
)</f>
        <v>#VALUE!</v>
      </c>
      <c r="E1046" s="15" t="e" cm="1">
        <f t="array" ref="E1046">_xlfn.LET(
_xlpm.inTower, COUNTIF(Tower_Num_Table[Tower Rm Numbers], LEFT(Task_Summary_Table[[#This Row],[Area/Room]], 3)) &gt; 0,
_xlpm.typeResult, _xlfn.SWITCH(LEFT(Tasks[[#This Row],[Page]], 2), "Hi", "Historic", "An", "Annex", "Si", "Site", "S5", "Project Task", "SWITCH ERROR"),
IF(_xlpm.inTower, "West Tower", _xlpm.typeResult)
)</f>
        <v>#VALUE!</v>
      </c>
      <c r="F1046" s="15" t="str">
        <f>IFERROR(MID(Tasks[[#This Row],[Page]], FIND("Level", Tasks[[#This Row],[Page]]), 7), IF(ISNUMBER(FIND("Roof", Tasks[[#This Row],[Page]])), "Roof",  IF(ISNUMBER(FIND("S590", Tasks[[#This Row],[Page]])), "",  IF(ISNUMBER(FIND("Site", Tasks[[#This Row],[Page]])), "", "ERROR"))))</f>
        <v>ERROR</v>
      </c>
      <c r="G1046" s="15" t="e">
        <f>IF(Tasks[[#This Row],[Location]]=0, "", Tasks[[#This Row],[Location]])</f>
        <v>#VALUE!</v>
      </c>
      <c r="H1046" s="15" t="e">
        <f>Tasks[[#This Row],[To Package]]</f>
        <v>#VALUE!</v>
      </c>
      <c r="I1046" s="15" t="e">
        <f>Tasks[[#This Row],[To Organisation]]</f>
        <v>#VALUE!</v>
      </c>
    </row>
    <row r="1047" spans="1:9" ht="15.5" x14ac:dyDescent="0.35">
      <c r="A1047" s="16" t="e">
        <f>HYPERLINK(_xlfn.CONCAT(Edit_URL,Tasks[[#This Row],[Ref]]),Tasks[[#This Row],[Ref]])</f>
        <v>#VALUE!</v>
      </c>
      <c r="B1047" s="15" t="e" cm="1">
        <f t="array" ref="B1047">_xlfn.SWITCH(LEFT(Tasks[[#This Row],[Status]],1),"O","Opened","C","Completed","S","Signed Off", "V", "Signed Off","ERROR")</f>
        <v>#VALUE!</v>
      </c>
      <c r="C1047" s="15" t="e" cm="1">
        <f t="array" ref="C1047">_xlfn.SWITCH(LEFT(Tasks[[#This Row],[Type]], 3), "Fie", "Field Report", "Con", "Contractor QC", "Gen", "Contractor QC", "Pun", "Contractor QC", "Qua", "Contractor QC", "Fin", "Punch List")</f>
        <v>#VALUE!</v>
      </c>
      <c r="D1047" s="15" t="e">
        <f>_xlfn.LET(
_xlpm.leftValue, TRIM(LEFT(Tasks[[#This Row],[Description]], 45)),
IF(LEN(_xlpm.leftValue) &lt; 40, _xlpm.leftValue, _xlfn.CONCAT(_xlpm.leftValue, "…"))
)</f>
        <v>#VALUE!</v>
      </c>
      <c r="E1047" s="15" t="e" cm="1">
        <f t="array" ref="E1047">_xlfn.LET(
_xlpm.inTower, COUNTIF(Tower_Num_Table[Tower Rm Numbers], LEFT(Task_Summary_Table[[#This Row],[Area/Room]], 3)) &gt; 0,
_xlpm.typeResult, _xlfn.SWITCH(LEFT(Tasks[[#This Row],[Page]], 2), "Hi", "Historic", "An", "Annex", "Si", "Site", "S5", "Project Task", "SWITCH ERROR"),
IF(_xlpm.inTower, "West Tower", _xlpm.typeResult)
)</f>
        <v>#VALUE!</v>
      </c>
      <c r="F1047" s="15" t="str">
        <f>IFERROR(MID(Tasks[[#This Row],[Page]], FIND("Level", Tasks[[#This Row],[Page]]), 7), IF(ISNUMBER(FIND("Roof", Tasks[[#This Row],[Page]])), "Roof",  IF(ISNUMBER(FIND("S590", Tasks[[#This Row],[Page]])), "",  IF(ISNUMBER(FIND("Site", Tasks[[#This Row],[Page]])), "", "ERROR"))))</f>
        <v>ERROR</v>
      </c>
      <c r="G1047" s="15" t="e">
        <f>IF(Tasks[[#This Row],[Location]]=0, "", Tasks[[#This Row],[Location]])</f>
        <v>#VALUE!</v>
      </c>
      <c r="H1047" s="15" t="e">
        <f>Tasks[[#This Row],[To Package]]</f>
        <v>#VALUE!</v>
      </c>
      <c r="I1047" s="15" t="e">
        <f>Tasks[[#This Row],[To Organisation]]</f>
        <v>#VALUE!</v>
      </c>
    </row>
    <row r="1048" spans="1:9" ht="15.5" x14ac:dyDescent="0.35">
      <c r="A1048" s="16" t="e">
        <f>HYPERLINK(_xlfn.CONCAT(Edit_URL,Tasks[[#This Row],[Ref]]),Tasks[[#This Row],[Ref]])</f>
        <v>#VALUE!</v>
      </c>
      <c r="B1048" s="15" t="e" cm="1">
        <f t="array" ref="B1048">_xlfn.SWITCH(LEFT(Tasks[[#This Row],[Status]],1),"O","Opened","C","Completed","S","Signed Off", "V", "Signed Off","ERROR")</f>
        <v>#VALUE!</v>
      </c>
      <c r="C1048" s="15" t="e" cm="1">
        <f t="array" ref="C1048">_xlfn.SWITCH(LEFT(Tasks[[#This Row],[Type]], 3), "Fie", "Field Report", "Con", "Contractor QC", "Gen", "Contractor QC", "Pun", "Contractor QC", "Qua", "Contractor QC", "Fin", "Punch List")</f>
        <v>#VALUE!</v>
      </c>
      <c r="D1048" s="15" t="e">
        <f>_xlfn.LET(
_xlpm.leftValue, TRIM(LEFT(Tasks[[#This Row],[Description]], 45)),
IF(LEN(_xlpm.leftValue) &lt; 40, _xlpm.leftValue, _xlfn.CONCAT(_xlpm.leftValue, "…"))
)</f>
        <v>#VALUE!</v>
      </c>
      <c r="E1048" s="15" t="e" cm="1">
        <f t="array" ref="E1048">_xlfn.LET(
_xlpm.inTower, COUNTIF(Tower_Num_Table[Tower Rm Numbers], LEFT(Task_Summary_Table[[#This Row],[Area/Room]], 3)) &gt; 0,
_xlpm.typeResult, _xlfn.SWITCH(LEFT(Tasks[[#This Row],[Page]], 2), "Hi", "Historic", "An", "Annex", "Si", "Site", "S5", "Project Task", "SWITCH ERROR"),
IF(_xlpm.inTower, "West Tower", _xlpm.typeResult)
)</f>
        <v>#VALUE!</v>
      </c>
      <c r="F1048" s="15" t="str">
        <f>IFERROR(MID(Tasks[[#This Row],[Page]], FIND("Level", Tasks[[#This Row],[Page]]), 7), IF(ISNUMBER(FIND("Roof", Tasks[[#This Row],[Page]])), "Roof",  IF(ISNUMBER(FIND("S590", Tasks[[#This Row],[Page]])), "",  IF(ISNUMBER(FIND("Site", Tasks[[#This Row],[Page]])), "", "ERROR"))))</f>
        <v>ERROR</v>
      </c>
      <c r="G1048" s="15" t="e">
        <f>IF(Tasks[[#This Row],[Location]]=0, "", Tasks[[#This Row],[Location]])</f>
        <v>#VALUE!</v>
      </c>
      <c r="H1048" s="15" t="e">
        <f>Tasks[[#This Row],[To Package]]</f>
        <v>#VALUE!</v>
      </c>
      <c r="I1048" s="15" t="e">
        <f>Tasks[[#This Row],[To Organisation]]</f>
        <v>#VALUE!</v>
      </c>
    </row>
    <row r="1049" spans="1:9" ht="15.5" x14ac:dyDescent="0.35">
      <c r="A1049" s="16" t="e">
        <f>HYPERLINK(_xlfn.CONCAT(Edit_URL,Tasks[[#This Row],[Ref]]),Tasks[[#This Row],[Ref]])</f>
        <v>#VALUE!</v>
      </c>
      <c r="B1049" s="15" t="e" cm="1">
        <f t="array" ref="B1049">_xlfn.SWITCH(LEFT(Tasks[[#This Row],[Status]],1),"O","Opened","C","Completed","S","Signed Off", "V", "Signed Off","ERROR")</f>
        <v>#VALUE!</v>
      </c>
      <c r="C1049" s="15" t="e" cm="1">
        <f t="array" ref="C1049">_xlfn.SWITCH(LEFT(Tasks[[#This Row],[Type]], 3), "Fie", "Field Report", "Con", "Contractor QC", "Gen", "Contractor QC", "Pun", "Contractor QC", "Qua", "Contractor QC", "Fin", "Punch List")</f>
        <v>#VALUE!</v>
      </c>
      <c r="D1049" s="15" t="e">
        <f>_xlfn.LET(
_xlpm.leftValue, TRIM(LEFT(Tasks[[#This Row],[Description]], 45)),
IF(LEN(_xlpm.leftValue) &lt; 40, _xlpm.leftValue, _xlfn.CONCAT(_xlpm.leftValue, "…"))
)</f>
        <v>#VALUE!</v>
      </c>
      <c r="E1049" s="15" t="e" cm="1">
        <f t="array" ref="E1049">_xlfn.LET(
_xlpm.inTower, COUNTIF(Tower_Num_Table[Tower Rm Numbers], LEFT(Task_Summary_Table[[#This Row],[Area/Room]], 3)) &gt; 0,
_xlpm.typeResult, _xlfn.SWITCH(LEFT(Tasks[[#This Row],[Page]], 2), "Hi", "Historic", "An", "Annex", "Si", "Site", "S5", "Project Task", "SWITCH ERROR"),
IF(_xlpm.inTower, "West Tower", _xlpm.typeResult)
)</f>
        <v>#VALUE!</v>
      </c>
      <c r="F1049" s="15" t="str">
        <f>IFERROR(MID(Tasks[[#This Row],[Page]], FIND("Level", Tasks[[#This Row],[Page]]), 7), IF(ISNUMBER(FIND("Roof", Tasks[[#This Row],[Page]])), "Roof",  IF(ISNUMBER(FIND("S590", Tasks[[#This Row],[Page]])), "",  IF(ISNUMBER(FIND("Site", Tasks[[#This Row],[Page]])), "", "ERROR"))))</f>
        <v>ERROR</v>
      </c>
      <c r="G1049" s="15" t="e">
        <f>IF(Tasks[[#This Row],[Location]]=0, "", Tasks[[#This Row],[Location]])</f>
        <v>#VALUE!</v>
      </c>
      <c r="H1049" s="15" t="e">
        <f>Tasks[[#This Row],[To Package]]</f>
        <v>#VALUE!</v>
      </c>
      <c r="I1049" s="15" t="e">
        <f>Tasks[[#This Row],[To Organisation]]</f>
        <v>#VALUE!</v>
      </c>
    </row>
    <row r="1050" spans="1:9" ht="15.5" x14ac:dyDescent="0.35">
      <c r="A1050" s="16" t="e">
        <f>HYPERLINK(_xlfn.CONCAT(Edit_URL,Tasks[[#This Row],[Ref]]),Tasks[[#This Row],[Ref]])</f>
        <v>#VALUE!</v>
      </c>
      <c r="B1050" s="15" t="e" cm="1">
        <f t="array" ref="B1050">_xlfn.SWITCH(LEFT(Tasks[[#This Row],[Status]],1),"O","Opened","C","Completed","S","Signed Off", "V", "Signed Off","ERROR")</f>
        <v>#VALUE!</v>
      </c>
      <c r="C1050" s="15" t="e" cm="1">
        <f t="array" ref="C1050">_xlfn.SWITCH(LEFT(Tasks[[#This Row],[Type]], 3), "Fie", "Field Report", "Con", "Contractor QC", "Gen", "Contractor QC", "Pun", "Contractor QC", "Qua", "Contractor QC", "Fin", "Punch List")</f>
        <v>#VALUE!</v>
      </c>
      <c r="D1050" s="15" t="e">
        <f>_xlfn.LET(
_xlpm.leftValue, TRIM(LEFT(Tasks[[#This Row],[Description]], 45)),
IF(LEN(_xlpm.leftValue) &lt; 40, _xlpm.leftValue, _xlfn.CONCAT(_xlpm.leftValue, "…"))
)</f>
        <v>#VALUE!</v>
      </c>
      <c r="E1050" s="15" t="e" cm="1">
        <f t="array" ref="E1050">_xlfn.LET(
_xlpm.inTower, COUNTIF(Tower_Num_Table[Tower Rm Numbers], LEFT(Task_Summary_Table[[#This Row],[Area/Room]], 3)) &gt; 0,
_xlpm.typeResult, _xlfn.SWITCH(LEFT(Tasks[[#This Row],[Page]], 2), "Hi", "Historic", "An", "Annex", "Si", "Site", "S5", "Project Task", "SWITCH ERROR"),
IF(_xlpm.inTower, "West Tower", _xlpm.typeResult)
)</f>
        <v>#VALUE!</v>
      </c>
      <c r="F1050" s="15" t="str">
        <f>IFERROR(MID(Tasks[[#This Row],[Page]], FIND("Level", Tasks[[#This Row],[Page]]), 7), IF(ISNUMBER(FIND("Roof", Tasks[[#This Row],[Page]])), "Roof",  IF(ISNUMBER(FIND("S590", Tasks[[#This Row],[Page]])), "",  IF(ISNUMBER(FIND("Site", Tasks[[#This Row],[Page]])), "", "ERROR"))))</f>
        <v>ERROR</v>
      </c>
      <c r="G1050" s="15" t="e">
        <f>IF(Tasks[[#This Row],[Location]]=0, "", Tasks[[#This Row],[Location]])</f>
        <v>#VALUE!</v>
      </c>
      <c r="H1050" s="15" t="e">
        <f>Tasks[[#This Row],[To Package]]</f>
        <v>#VALUE!</v>
      </c>
      <c r="I1050" s="15" t="e">
        <f>Tasks[[#This Row],[To Organisation]]</f>
        <v>#VALUE!</v>
      </c>
    </row>
    <row r="1051" spans="1:9" ht="15.5" x14ac:dyDescent="0.35">
      <c r="A1051" s="16" t="e">
        <f>HYPERLINK(_xlfn.CONCAT(Edit_URL,Tasks[[#This Row],[Ref]]),Tasks[[#This Row],[Ref]])</f>
        <v>#VALUE!</v>
      </c>
      <c r="B1051" s="15" t="e" cm="1">
        <f t="array" ref="B1051">_xlfn.SWITCH(LEFT(Tasks[[#This Row],[Status]],1),"O","Opened","C","Completed","S","Signed Off", "V", "Signed Off","ERROR")</f>
        <v>#VALUE!</v>
      </c>
      <c r="C1051" s="15" t="e" cm="1">
        <f t="array" ref="C1051">_xlfn.SWITCH(LEFT(Tasks[[#This Row],[Type]], 3), "Fie", "Field Report", "Con", "Contractor QC", "Gen", "Contractor QC", "Pun", "Contractor QC", "Qua", "Contractor QC", "Fin", "Punch List")</f>
        <v>#VALUE!</v>
      </c>
      <c r="D1051" s="15" t="e">
        <f>_xlfn.LET(
_xlpm.leftValue, TRIM(LEFT(Tasks[[#This Row],[Description]], 45)),
IF(LEN(_xlpm.leftValue) &lt; 40, _xlpm.leftValue, _xlfn.CONCAT(_xlpm.leftValue, "…"))
)</f>
        <v>#VALUE!</v>
      </c>
      <c r="E1051" s="15" t="e" cm="1">
        <f t="array" ref="E1051">_xlfn.LET(
_xlpm.inTower, COUNTIF(Tower_Num_Table[Tower Rm Numbers], LEFT(Task_Summary_Table[[#This Row],[Area/Room]], 3)) &gt; 0,
_xlpm.typeResult, _xlfn.SWITCH(LEFT(Tasks[[#This Row],[Page]], 2), "Hi", "Historic", "An", "Annex", "Si", "Site", "S5", "Project Task", "SWITCH ERROR"),
IF(_xlpm.inTower, "West Tower", _xlpm.typeResult)
)</f>
        <v>#VALUE!</v>
      </c>
      <c r="F1051" s="15" t="str">
        <f>IFERROR(MID(Tasks[[#This Row],[Page]], FIND("Level", Tasks[[#This Row],[Page]]), 7), IF(ISNUMBER(FIND("Roof", Tasks[[#This Row],[Page]])), "Roof",  IF(ISNUMBER(FIND("S590", Tasks[[#This Row],[Page]])), "",  IF(ISNUMBER(FIND("Site", Tasks[[#This Row],[Page]])), "", "ERROR"))))</f>
        <v>ERROR</v>
      </c>
      <c r="G1051" s="15" t="e">
        <f>IF(Tasks[[#This Row],[Location]]=0, "", Tasks[[#This Row],[Location]])</f>
        <v>#VALUE!</v>
      </c>
      <c r="H1051" s="15" t="e">
        <f>Tasks[[#This Row],[To Package]]</f>
        <v>#VALUE!</v>
      </c>
      <c r="I1051" s="15" t="e">
        <f>Tasks[[#This Row],[To Organisation]]</f>
        <v>#VALUE!</v>
      </c>
    </row>
    <row r="1052" spans="1:9" ht="15.5" x14ac:dyDescent="0.35">
      <c r="A1052" s="16" t="e">
        <f>HYPERLINK(_xlfn.CONCAT(Edit_URL,Tasks[[#This Row],[Ref]]),Tasks[[#This Row],[Ref]])</f>
        <v>#VALUE!</v>
      </c>
      <c r="B1052" s="15" t="e" cm="1">
        <f t="array" ref="B1052">_xlfn.SWITCH(LEFT(Tasks[[#This Row],[Status]],1),"O","Opened","C","Completed","S","Signed Off", "V", "Signed Off","ERROR")</f>
        <v>#VALUE!</v>
      </c>
      <c r="C1052" s="15" t="e" cm="1">
        <f t="array" ref="C1052">_xlfn.SWITCH(LEFT(Tasks[[#This Row],[Type]], 3), "Fie", "Field Report", "Con", "Contractor QC", "Gen", "Contractor QC", "Pun", "Contractor QC", "Qua", "Contractor QC", "Fin", "Punch List")</f>
        <v>#VALUE!</v>
      </c>
      <c r="D1052" s="15" t="e">
        <f>_xlfn.LET(
_xlpm.leftValue, TRIM(LEFT(Tasks[[#This Row],[Description]], 45)),
IF(LEN(_xlpm.leftValue) &lt; 40, _xlpm.leftValue, _xlfn.CONCAT(_xlpm.leftValue, "…"))
)</f>
        <v>#VALUE!</v>
      </c>
      <c r="E1052" s="15" t="e" cm="1">
        <f t="array" ref="E1052">_xlfn.LET(
_xlpm.inTower, COUNTIF(Tower_Num_Table[Tower Rm Numbers], LEFT(Task_Summary_Table[[#This Row],[Area/Room]], 3)) &gt; 0,
_xlpm.typeResult, _xlfn.SWITCH(LEFT(Tasks[[#This Row],[Page]], 2), "Hi", "Historic", "An", "Annex", "Si", "Site", "S5", "Project Task", "SWITCH ERROR"),
IF(_xlpm.inTower, "West Tower", _xlpm.typeResult)
)</f>
        <v>#VALUE!</v>
      </c>
      <c r="F1052" s="15" t="str">
        <f>IFERROR(MID(Tasks[[#This Row],[Page]], FIND("Level", Tasks[[#This Row],[Page]]), 7), IF(ISNUMBER(FIND("Roof", Tasks[[#This Row],[Page]])), "Roof",  IF(ISNUMBER(FIND("S590", Tasks[[#This Row],[Page]])), "",  IF(ISNUMBER(FIND("Site", Tasks[[#This Row],[Page]])), "", "ERROR"))))</f>
        <v>ERROR</v>
      </c>
      <c r="G1052" s="15" t="e">
        <f>IF(Tasks[[#This Row],[Location]]=0, "", Tasks[[#This Row],[Location]])</f>
        <v>#VALUE!</v>
      </c>
      <c r="H1052" s="15" t="e">
        <f>Tasks[[#This Row],[To Package]]</f>
        <v>#VALUE!</v>
      </c>
      <c r="I1052" s="15" t="e">
        <f>Tasks[[#This Row],[To Organisation]]</f>
        <v>#VALUE!</v>
      </c>
    </row>
    <row r="1053" spans="1:9" ht="15.5" x14ac:dyDescent="0.35">
      <c r="A1053" s="16" t="e">
        <f>HYPERLINK(_xlfn.CONCAT(Edit_URL,Tasks[[#This Row],[Ref]]),Tasks[[#This Row],[Ref]])</f>
        <v>#VALUE!</v>
      </c>
      <c r="B1053" s="15" t="e" cm="1">
        <f t="array" ref="B1053">_xlfn.SWITCH(LEFT(Tasks[[#This Row],[Status]],1),"O","Opened","C","Completed","S","Signed Off", "V", "Signed Off","ERROR")</f>
        <v>#VALUE!</v>
      </c>
      <c r="C1053" s="15" t="e" cm="1">
        <f t="array" ref="C1053">_xlfn.SWITCH(LEFT(Tasks[[#This Row],[Type]], 3), "Fie", "Field Report", "Con", "Contractor QC", "Gen", "Contractor QC", "Pun", "Contractor QC", "Qua", "Contractor QC", "Fin", "Punch List")</f>
        <v>#VALUE!</v>
      </c>
      <c r="D1053" s="15" t="e">
        <f>_xlfn.LET(
_xlpm.leftValue, TRIM(LEFT(Tasks[[#This Row],[Description]], 45)),
IF(LEN(_xlpm.leftValue) &lt; 40, _xlpm.leftValue, _xlfn.CONCAT(_xlpm.leftValue, "…"))
)</f>
        <v>#VALUE!</v>
      </c>
      <c r="E1053" s="15" t="e" cm="1">
        <f t="array" ref="E1053">_xlfn.LET(
_xlpm.inTower, COUNTIF(Tower_Num_Table[Tower Rm Numbers], LEFT(Task_Summary_Table[[#This Row],[Area/Room]], 3)) &gt; 0,
_xlpm.typeResult, _xlfn.SWITCH(LEFT(Tasks[[#This Row],[Page]], 2), "Hi", "Historic", "An", "Annex", "Si", "Site", "S5", "Project Task", "SWITCH ERROR"),
IF(_xlpm.inTower, "West Tower", _xlpm.typeResult)
)</f>
        <v>#VALUE!</v>
      </c>
      <c r="F1053" s="15" t="str">
        <f>IFERROR(MID(Tasks[[#This Row],[Page]], FIND("Level", Tasks[[#This Row],[Page]]), 7), IF(ISNUMBER(FIND("Roof", Tasks[[#This Row],[Page]])), "Roof",  IF(ISNUMBER(FIND("S590", Tasks[[#This Row],[Page]])), "",  IF(ISNUMBER(FIND("Site", Tasks[[#This Row],[Page]])), "", "ERROR"))))</f>
        <v>ERROR</v>
      </c>
      <c r="G1053" s="15" t="e">
        <f>IF(Tasks[[#This Row],[Location]]=0, "", Tasks[[#This Row],[Location]])</f>
        <v>#VALUE!</v>
      </c>
      <c r="H1053" s="15" t="e">
        <f>Tasks[[#This Row],[To Package]]</f>
        <v>#VALUE!</v>
      </c>
      <c r="I1053" s="15" t="e">
        <f>Tasks[[#This Row],[To Organisation]]</f>
        <v>#VALUE!</v>
      </c>
    </row>
    <row r="1054" spans="1:9" ht="15.5" x14ac:dyDescent="0.35">
      <c r="A1054" s="16" t="e">
        <f>HYPERLINK(_xlfn.CONCAT(Edit_URL,Tasks[[#This Row],[Ref]]),Tasks[[#This Row],[Ref]])</f>
        <v>#VALUE!</v>
      </c>
      <c r="B1054" s="15" t="e" cm="1">
        <f t="array" ref="B1054">_xlfn.SWITCH(LEFT(Tasks[[#This Row],[Status]],1),"O","Opened","C","Completed","S","Signed Off", "V", "Signed Off","ERROR")</f>
        <v>#VALUE!</v>
      </c>
      <c r="C1054" s="15" t="e" cm="1">
        <f t="array" ref="C1054">_xlfn.SWITCH(LEFT(Tasks[[#This Row],[Type]], 3), "Fie", "Field Report", "Con", "Contractor QC", "Gen", "Contractor QC", "Pun", "Contractor QC", "Qua", "Contractor QC", "Fin", "Punch List")</f>
        <v>#VALUE!</v>
      </c>
      <c r="D1054" s="15" t="e">
        <f>_xlfn.LET(
_xlpm.leftValue, TRIM(LEFT(Tasks[[#This Row],[Description]], 45)),
IF(LEN(_xlpm.leftValue) &lt; 40, _xlpm.leftValue, _xlfn.CONCAT(_xlpm.leftValue, "…"))
)</f>
        <v>#VALUE!</v>
      </c>
      <c r="E1054" s="15" t="e" cm="1">
        <f t="array" ref="E1054">_xlfn.LET(
_xlpm.inTower, COUNTIF(Tower_Num_Table[Tower Rm Numbers], LEFT(Task_Summary_Table[[#This Row],[Area/Room]], 3)) &gt; 0,
_xlpm.typeResult, _xlfn.SWITCH(LEFT(Tasks[[#This Row],[Page]], 2), "Hi", "Historic", "An", "Annex", "Si", "Site", "S5", "Project Task", "SWITCH ERROR"),
IF(_xlpm.inTower, "West Tower", _xlpm.typeResult)
)</f>
        <v>#VALUE!</v>
      </c>
      <c r="F1054" s="15" t="str">
        <f>IFERROR(MID(Tasks[[#This Row],[Page]], FIND("Level", Tasks[[#This Row],[Page]]), 7), IF(ISNUMBER(FIND("Roof", Tasks[[#This Row],[Page]])), "Roof",  IF(ISNUMBER(FIND("S590", Tasks[[#This Row],[Page]])), "",  IF(ISNUMBER(FIND("Site", Tasks[[#This Row],[Page]])), "", "ERROR"))))</f>
        <v>ERROR</v>
      </c>
      <c r="G1054" s="15" t="e">
        <f>IF(Tasks[[#This Row],[Location]]=0, "", Tasks[[#This Row],[Location]])</f>
        <v>#VALUE!</v>
      </c>
      <c r="H1054" s="15" t="e">
        <f>Tasks[[#This Row],[To Package]]</f>
        <v>#VALUE!</v>
      </c>
      <c r="I1054" s="15" t="e">
        <f>Tasks[[#This Row],[To Organisation]]</f>
        <v>#VALUE!</v>
      </c>
    </row>
    <row r="1055" spans="1:9" ht="15.5" x14ac:dyDescent="0.35">
      <c r="A1055" s="16" t="e">
        <f>HYPERLINK(_xlfn.CONCAT(Edit_URL,Tasks[[#This Row],[Ref]]),Tasks[[#This Row],[Ref]])</f>
        <v>#VALUE!</v>
      </c>
      <c r="B1055" s="15" t="e" cm="1">
        <f t="array" ref="B1055">_xlfn.SWITCH(LEFT(Tasks[[#This Row],[Status]],1),"O","Opened","C","Completed","S","Signed Off", "V", "Signed Off","ERROR")</f>
        <v>#VALUE!</v>
      </c>
      <c r="C1055" s="15" t="e" cm="1">
        <f t="array" ref="C1055">_xlfn.SWITCH(LEFT(Tasks[[#This Row],[Type]], 3), "Fie", "Field Report", "Con", "Contractor QC", "Gen", "Contractor QC", "Pun", "Contractor QC", "Qua", "Contractor QC", "Fin", "Punch List")</f>
        <v>#VALUE!</v>
      </c>
      <c r="D1055" s="15" t="e">
        <f>_xlfn.LET(
_xlpm.leftValue, TRIM(LEFT(Tasks[[#This Row],[Description]], 45)),
IF(LEN(_xlpm.leftValue) &lt; 40, _xlpm.leftValue, _xlfn.CONCAT(_xlpm.leftValue, "…"))
)</f>
        <v>#VALUE!</v>
      </c>
      <c r="E1055" s="15" t="e" cm="1">
        <f t="array" ref="E1055">_xlfn.LET(
_xlpm.inTower, COUNTIF(Tower_Num_Table[Tower Rm Numbers], LEFT(Task_Summary_Table[[#This Row],[Area/Room]], 3)) &gt; 0,
_xlpm.typeResult, _xlfn.SWITCH(LEFT(Tasks[[#This Row],[Page]], 2), "Hi", "Historic", "An", "Annex", "Si", "Site", "S5", "Project Task", "SWITCH ERROR"),
IF(_xlpm.inTower, "West Tower", _xlpm.typeResult)
)</f>
        <v>#VALUE!</v>
      </c>
      <c r="F1055" s="15" t="str">
        <f>IFERROR(MID(Tasks[[#This Row],[Page]], FIND("Level", Tasks[[#This Row],[Page]]), 7), IF(ISNUMBER(FIND("Roof", Tasks[[#This Row],[Page]])), "Roof",  IF(ISNUMBER(FIND("S590", Tasks[[#This Row],[Page]])), "",  IF(ISNUMBER(FIND("Site", Tasks[[#This Row],[Page]])), "", "ERROR"))))</f>
        <v>ERROR</v>
      </c>
      <c r="G1055" s="15" t="e">
        <f>IF(Tasks[[#This Row],[Location]]=0, "", Tasks[[#This Row],[Location]])</f>
        <v>#VALUE!</v>
      </c>
      <c r="H1055" s="15" t="e">
        <f>Tasks[[#This Row],[To Package]]</f>
        <v>#VALUE!</v>
      </c>
      <c r="I1055" s="15" t="e">
        <f>Tasks[[#This Row],[To Organisation]]</f>
        <v>#VALUE!</v>
      </c>
    </row>
    <row r="1056" spans="1:9" ht="15.5" x14ac:dyDescent="0.35">
      <c r="A1056" s="16" t="e">
        <f>HYPERLINK(_xlfn.CONCAT(Edit_URL,Tasks[[#This Row],[Ref]]),Tasks[[#This Row],[Ref]])</f>
        <v>#VALUE!</v>
      </c>
      <c r="B1056" s="15" t="e" cm="1">
        <f t="array" ref="B1056">_xlfn.SWITCH(LEFT(Tasks[[#This Row],[Status]],1),"O","Opened","C","Completed","S","Signed Off", "V", "Signed Off","ERROR")</f>
        <v>#VALUE!</v>
      </c>
      <c r="C1056" s="15" t="e" cm="1">
        <f t="array" ref="C1056">_xlfn.SWITCH(LEFT(Tasks[[#This Row],[Type]], 3), "Fie", "Field Report", "Con", "Contractor QC", "Gen", "Contractor QC", "Pun", "Contractor QC", "Qua", "Contractor QC", "Fin", "Punch List")</f>
        <v>#VALUE!</v>
      </c>
      <c r="D1056" s="15" t="e">
        <f>_xlfn.LET(
_xlpm.leftValue, TRIM(LEFT(Tasks[[#This Row],[Description]], 45)),
IF(LEN(_xlpm.leftValue) &lt; 40, _xlpm.leftValue, _xlfn.CONCAT(_xlpm.leftValue, "…"))
)</f>
        <v>#VALUE!</v>
      </c>
      <c r="E1056" s="15" t="e" cm="1">
        <f t="array" ref="E1056">_xlfn.LET(
_xlpm.inTower, COUNTIF(Tower_Num_Table[Tower Rm Numbers], LEFT(Task_Summary_Table[[#This Row],[Area/Room]], 3)) &gt; 0,
_xlpm.typeResult, _xlfn.SWITCH(LEFT(Tasks[[#This Row],[Page]], 2), "Hi", "Historic", "An", "Annex", "Si", "Site", "S5", "Project Task", "SWITCH ERROR"),
IF(_xlpm.inTower, "West Tower", _xlpm.typeResult)
)</f>
        <v>#VALUE!</v>
      </c>
      <c r="F1056" s="15" t="str">
        <f>IFERROR(MID(Tasks[[#This Row],[Page]], FIND("Level", Tasks[[#This Row],[Page]]), 7), IF(ISNUMBER(FIND("Roof", Tasks[[#This Row],[Page]])), "Roof",  IF(ISNUMBER(FIND("S590", Tasks[[#This Row],[Page]])), "",  IF(ISNUMBER(FIND("Site", Tasks[[#This Row],[Page]])), "", "ERROR"))))</f>
        <v>ERROR</v>
      </c>
      <c r="G1056" s="15" t="e">
        <f>IF(Tasks[[#This Row],[Location]]=0, "", Tasks[[#This Row],[Location]])</f>
        <v>#VALUE!</v>
      </c>
      <c r="H1056" s="15" t="e">
        <f>Tasks[[#This Row],[To Package]]</f>
        <v>#VALUE!</v>
      </c>
      <c r="I1056" s="15" t="e">
        <f>Tasks[[#This Row],[To Organisation]]</f>
        <v>#VALUE!</v>
      </c>
    </row>
    <row r="1057" spans="1:9" ht="15.5" x14ac:dyDescent="0.35">
      <c r="A1057" s="16" t="e">
        <f>HYPERLINK(_xlfn.CONCAT(Edit_URL,Tasks[[#This Row],[Ref]]),Tasks[[#This Row],[Ref]])</f>
        <v>#VALUE!</v>
      </c>
      <c r="B1057" s="15" t="e" cm="1">
        <f t="array" ref="B1057">_xlfn.SWITCH(LEFT(Tasks[[#This Row],[Status]],1),"O","Opened","C","Completed","S","Signed Off", "V", "Signed Off","ERROR")</f>
        <v>#VALUE!</v>
      </c>
      <c r="C1057" s="15" t="e" cm="1">
        <f t="array" ref="C1057">_xlfn.SWITCH(LEFT(Tasks[[#This Row],[Type]], 3), "Fie", "Field Report", "Con", "Contractor QC", "Gen", "Contractor QC", "Pun", "Contractor QC", "Qua", "Contractor QC", "Fin", "Punch List")</f>
        <v>#VALUE!</v>
      </c>
      <c r="D1057" s="15" t="e">
        <f>_xlfn.LET(
_xlpm.leftValue, TRIM(LEFT(Tasks[[#This Row],[Description]], 45)),
IF(LEN(_xlpm.leftValue) &lt; 40, _xlpm.leftValue, _xlfn.CONCAT(_xlpm.leftValue, "…"))
)</f>
        <v>#VALUE!</v>
      </c>
      <c r="E1057" s="15" t="e" cm="1">
        <f t="array" ref="E1057">_xlfn.LET(
_xlpm.inTower, COUNTIF(Tower_Num_Table[Tower Rm Numbers], LEFT(Task_Summary_Table[[#This Row],[Area/Room]], 3)) &gt; 0,
_xlpm.typeResult, _xlfn.SWITCH(LEFT(Tasks[[#This Row],[Page]], 2), "Hi", "Historic", "An", "Annex", "Si", "Site", "S5", "Project Task", "SWITCH ERROR"),
IF(_xlpm.inTower, "West Tower", _xlpm.typeResult)
)</f>
        <v>#VALUE!</v>
      </c>
      <c r="F1057" s="15" t="str">
        <f>IFERROR(MID(Tasks[[#This Row],[Page]], FIND("Level", Tasks[[#This Row],[Page]]), 7), IF(ISNUMBER(FIND("Roof", Tasks[[#This Row],[Page]])), "Roof",  IF(ISNUMBER(FIND("S590", Tasks[[#This Row],[Page]])), "",  IF(ISNUMBER(FIND("Site", Tasks[[#This Row],[Page]])), "", "ERROR"))))</f>
        <v>ERROR</v>
      </c>
      <c r="G1057" s="15" t="e">
        <f>IF(Tasks[[#This Row],[Location]]=0, "", Tasks[[#This Row],[Location]])</f>
        <v>#VALUE!</v>
      </c>
      <c r="H1057" s="15" t="e">
        <f>Tasks[[#This Row],[To Package]]</f>
        <v>#VALUE!</v>
      </c>
      <c r="I1057" s="15" t="e">
        <f>Tasks[[#This Row],[To Organisation]]</f>
        <v>#VALUE!</v>
      </c>
    </row>
    <row r="1058" spans="1:9" ht="15.5" x14ac:dyDescent="0.35">
      <c r="A1058" s="16" t="e">
        <f>HYPERLINK(_xlfn.CONCAT(Edit_URL,Tasks[[#This Row],[Ref]]),Tasks[[#This Row],[Ref]])</f>
        <v>#VALUE!</v>
      </c>
      <c r="B1058" s="15" t="e" cm="1">
        <f t="array" ref="B1058">_xlfn.SWITCH(LEFT(Tasks[[#This Row],[Status]],1),"O","Opened","C","Completed","S","Signed Off", "V", "Signed Off","ERROR")</f>
        <v>#VALUE!</v>
      </c>
      <c r="C1058" s="15" t="e" cm="1">
        <f t="array" ref="C1058">_xlfn.SWITCH(LEFT(Tasks[[#This Row],[Type]], 3), "Fie", "Field Report", "Con", "Contractor QC", "Gen", "Contractor QC", "Pun", "Contractor QC", "Qua", "Contractor QC", "Fin", "Punch List")</f>
        <v>#VALUE!</v>
      </c>
      <c r="D1058" s="15" t="e">
        <f>_xlfn.LET(
_xlpm.leftValue, TRIM(LEFT(Tasks[[#This Row],[Description]], 45)),
IF(LEN(_xlpm.leftValue) &lt; 40, _xlpm.leftValue, _xlfn.CONCAT(_xlpm.leftValue, "…"))
)</f>
        <v>#VALUE!</v>
      </c>
      <c r="E1058" s="15" t="e" cm="1">
        <f t="array" ref="E1058">_xlfn.LET(
_xlpm.inTower, COUNTIF(Tower_Num_Table[Tower Rm Numbers], LEFT(Task_Summary_Table[[#This Row],[Area/Room]], 3)) &gt; 0,
_xlpm.typeResult, _xlfn.SWITCH(LEFT(Tasks[[#This Row],[Page]], 2), "Hi", "Historic", "An", "Annex", "Si", "Site", "S5", "Project Task", "SWITCH ERROR"),
IF(_xlpm.inTower, "West Tower", _xlpm.typeResult)
)</f>
        <v>#VALUE!</v>
      </c>
      <c r="F1058" s="15" t="str">
        <f>IFERROR(MID(Tasks[[#This Row],[Page]], FIND("Level", Tasks[[#This Row],[Page]]), 7), IF(ISNUMBER(FIND("Roof", Tasks[[#This Row],[Page]])), "Roof",  IF(ISNUMBER(FIND("S590", Tasks[[#This Row],[Page]])), "",  IF(ISNUMBER(FIND("Site", Tasks[[#This Row],[Page]])), "", "ERROR"))))</f>
        <v>ERROR</v>
      </c>
      <c r="G1058" s="15" t="e">
        <f>IF(Tasks[[#This Row],[Location]]=0, "", Tasks[[#This Row],[Location]])</f>
        <v>#VALUE!</v>
      </c>
      <c r="H1058" s="15" t="e">
        <f>Tasks[[#This Row],[To Package]]</f>
        <v>#VALUE!</v>
      </c>
      <c r="I1058" s="15" t="e">
        <f>Tasks[[#This Row],[To Organisation]]</f>
        <v>#VALUE!</v>
      </c>
    </row>
    <row r="1059" spans="1:9" ht="15.5" x14ac:dyDescent="0.35">
      <c r="A1059" s="16" t="e">
        <f>HYPERLINK(_xlfn.CONCAT(Edit_URL,Tasks[[#This Row],[Ref]]),Tasks[[#This Row],[Ref]])</f>
        <v>#VALUE!</v>
      </c>
      <c r="B1059" s="15" t="e" cm="1">
        <f t="array" ref="B1059">_xlfn.SWITCH(LEFT(Tasks[[#This Row],[Status]],1),"O","Opened","C","Completed","S","Signed Off", "V", "Signed Off","ERROR")</f>
        <v>#VALUE!</v>
      </c>
      <c r="C1059" s="15" t="e" cm="1">
        <f t="array" ref="C1059">_xlfn.SWITCH(LEFT(Tasks[[#This Row],[Type]], 3), "Fie", "Field Report", "Con", "Contractor QC", "Gen", "Contractor QC", "Pun", "Contractor QC", "Qua", "Contractor QC", "Fin", "Punch List")</f>
        <v>#VALUE!</v>
      </c>
      <c r="D1059" s="15" t="e">
        <f>_xlfn.LET(
_xlpm.leftValue, TRIM(LEFT(Tasks[[#This Row],[Description]], 45)),
IF(LEN(_xlpm.leftValue) &lt; 40, _xlpm.leftValue, _xlfn.CONCAT(_xlpm.leftValue, "…"))
)</f>
        <v>#VALUE!</v>
      </c>
      <c r="E1059" s="15" t="e" cm="1">
        <f t="array" ref="E1059">_xlfn.LET(
_xlpm.inTower, COUNTIF(Tower_Num_Table[Tower Rm Numbers], LEFT(Task_Summary_Table[[#This Row],[Area/Room]], 3)) &gt; 0,
_xlpm.typeResult, _xlfn.SWITCH(LEFT(Tasks[[#This Row],[Page]], 2), "Hi", "Historic", "An", "Annex", "Si", "Site", "S5", "Project Task", "SWITCH ERROR"),
IF(_xlpm.inTower, "West Tower", _xlpm.typeResult)
)</f>
        <v>#VALUE!</v>
      </c>
      <c r="F1059" s="15" t="str">
        <f>IFERROR(MID(Tasks[[#This Row],[Page]], FIND("Level", Tasks[[#This Row],[Page]]), 7), IF(ISNUMBER(FIND("Roof", Tasks[[#This Row],[Page]])), "Roof",  IF(ISNUMBER(FIND("S590", Tasks[[#This Row],[Page]])), "",  IF(ISNUMBER(FIND("Site", Tasks[[#This Row],[Page]])), "", "ERROR"))))</f>
        <v>ERROR</v>
      </c>
      <c r="G1059" s="15" t="e">
        <f>IF(Tasks[[#This Row],[Location]]=0, "", Tasks[[#This Row],[Location]])</f>
        <v>#VALUE!</v>
      </c>
      <c r="H1059" s="15" t="e">
        <f>Tasks[[#This Row],[To Package]]</f>
        <v>#VALUE!</v>
      </c>
      <c r="I1059" s="15" t="e">
        <f>Tasks[[#This Row],[To Organisation]]</f>
        <v>#VALUE!</v>
      </c>
    </row>
    <row r="1060" spans="1:9" ht="15.5" x14ac:dyDescent="0.35">
      <c r="A1060" s="16" t="e">
        <f>HYPERLINK(_xlfn.CONCAT(Edit_URL,Tasks[[#This Row],[Ref]]),Tasks[[#This Row],[Ref]])</f>
        <v>#VALUE!</v>
      </c>
      <c r="B1060" s="15" t="e" cm="1">
        <f t="array" ref="B1060">_xlfn.SWITCH(LEFT(Tasks[[#This Row],[Status]],1),"O","Opened","C","Completed","S","Signed Off", "V", "Signed Off","ERROR")</f>
        <v>#VALUE!</v>
      </c>
      <c r="C1060" s="15" t="e" cm="1">
        <f t="array" ref="C1060">_xlfn.SWITCH(LEFT(Tasks[[#This Row],[Type]], 3), "Fie", "Field Report", "Con", "Contractor QC", "Gen", "Contractor QC", "Pun", "Contractor QC", "Qua", "Contractor QC", "Fin", "Punch List")</f>
        <v>#VALUE!</v>
      </c>
      <c r="D1060" s="15" t="e">
        <f>_xlfn.LET(
_xlpm.leftValue, TRIM(LEFT(Tasks[[#This Row],[Description]], 45)),
IF(LEN(_xlpm.leftValue) &lt; 40, _xlpm.leftValue, _xlfn.CONCAT(_xlpm.leftValue, "…"))
)</f>
        <v>#VALUE!</v>
      </c>
      <c r="E1060" s="15" t="e" cm="1">
        <f t="array" ref="E1060">_xlfn.LET(
_xlpm.inTower, COUNTIF(Tower_Num_Table[Tower Rm Numbers], LEFT(Task_Summary_Table[[#This Row],[Area/Room]], 3)) &gt; 0,
_xlpm.typeResult, _xlfn.SWITCH(LEFT(Tasks[[#This Row],[Page]], 2), "Hi", "Historic", "An", "Annex", "Si", "Site", "S5", "Project Task", "SWITCH ERROR"),
IF(_xlpm.inTower, "West Tower", _xlpm.typeResult)
)</f>
        <v>#VALUE!</v>
      </c>
      <c r="F1060" s="15" t="str">
        <f>IFERROR(MID(Tasks[[#This Row],[Page]], FIND("Level", Tasks[[#This Row],[Page]]), 7), IF(ISNUMBER(FIND("Roof", Tasks[[#This Row],[Page]])), "Roof",  IF(ISNUMBER(FIND("S590", Tasks[[#This Row],[Page]])), "",  IF(ISNUMBER(FIND("Site", Tasks[[#This Row],[Page]])), "", "ERROR"))))</f>
        <v>ERROR</v>
      </c>
      <c r="G1060" s="15" t="e">
        <f>IF(Tasks[[#This Row],[Location]]=0, "", Tasks[[#This Row],[Location]])</f>
        <v>#VALUE!</v>
      </c>
      <c r="H1060" s="15" t="e">
        <f>Tasks[[#This Row],[To Package]]</f>
        <v>#VALUE!</v>
      </c>
      <c r="I1060" s="15" t="e">
        <f>Tasks[[#This Row],[To Organisation]]</f>
        <v>#VALUE!</v>
      </c>
    </row>
    <row r="1061" spans="1:9" ht="15.5" x14ac:dyDescent="0.35">
      <c r="A1061" s="16" t="e">
        <f>HYPERLINK(_xlfn.CONCAT(Edit_URL,Tasks[[#This Row],[Ref]]),Tasks[[#This Row],[Ref]])</f>
        <v>#VALUE!</v>
      </c>
      <c r="B1061" s="15" t="e" cm="1">
        <f t="array" ref="B1061">_xlfn.SWITCH(LEFT(Tasks[[#This Row],[Status]],1),"O","Opened","C","Completed","S","Signed Off", "V", "Signed Off","ERROR")</f>
        <v>#VALUE!</v>
      </c>
      <c r="C1061" s="15" t="e" cm="1">
        <f t="array" ref="C1061">_xlfn.SWITCH(LEFT(Tasks[[#This Row],[Type]], 3), "Fie", "Field Report", "Con", "Contractor QC", "Gen", "Contractor QC", "Pun", "Contractor QC", "Qua", "Contractor QC", "Fin", "Punch List")</f>
        <v>#VALUE!</v>
      </c>
      <c r="D1061" s="15" t="e">
        <f>_xlfn.LET(
_xlpm.leftValue, TRIM(LEFT(Tasks[[#This Row],[Description]], 45)),
IF(LEN(_xlpm.leftValue) &lt; 40, _xlpm.leftValue, _xlfn.CONCAT(_xlpm.leftValue, "…"))
)</f>
        <v>#VALUE!</v>
      </c>
      <c r="E1061" s="15" t="e" cm="1">
        <f t="array" ref="E1061">_xlfn.LET(
_xlpm.inTower, COUNTIF(Tower_Num_Table[Tower Rm Numbers], LEFT(Task_Summary_Table[[#This Row],[Area/Room]], 3)) &gt; 0,
_xlpm.typeResult, _xlfn.SWITCH(LEFT(Tasks[[#This Row],[Page]], 2), "Hi", "Historic", "An", "Annex", "Si", "Site", "S5", "Project Task", "SWITCH ERROR"),
IF(_xlpm.inTower, "West Tower", _xlpm.typeResult)
)</f>
        <v>#VALUE!</v>
      </c>
      <c r="F1061" s="15" t="str">
        <f>IFERROR(MID(Tasks[[#This Row],[Page]], FIND("Level", Tasks[[#This Row],[Page]]), 7), IF(ISNUMBER(FIND("Roof", Tasks[[#This Row],[Page]])), "Roof",  IF(ISNUMBER(FIND("S590", Tasks[[#This Row],[Page]])), "",  IF(ISNUMBER(FIND("Site", Tasks[[#This Row],[Page]])), "", "ERROR"))))</f>
        <v>ERROR</v>
      </c>
      <c r="G1061" s="15" t="e">
        <f>IF(Tasks[[#This Row],[Location]]=0, "", Tasks[[#This Row],[Location]])</f>
        <v>#VALUE!</v>
      </c>
      <c r="H1061" s="15" t="e">
        <f>Tasks[[#This Row],[To Package]]</f>
        <v>#VALUE!</v>
      </c>
      <c r="I1061" s="15" t="e">
        <f>Tasks[[#This Row],[To Organisation]]</f>
        <v>#VALUE!</v>
      </c>
    </row>
    <row r="1062" spans="1:9" ht="15.5" x14ac:dyDescent="0.35">
      <c r="A1062" s="16" t="e">
        <f>HYPERLINK(_xlfn.CONCAT(Edit_URL,Tasks[[#This Row],[Ref]]),Tasks[[#This Row],[Ref]])</f>
        <v>#VALUE!</v>
      </c>
      <c r="B1062" s="15" t="e" cm="1">
        <f t="array" ref="B1062">_xlfn.SWITCH(LEFT(Tasks[[#This Row],[Status]],1),"O","Opened","C","Completed","S","Signed Off", "V", "Signed Off","ERROR")</f>
        <v>#VALUE!</v>
      </c>
      <c r="C1062" s="15" t="e" cm="1">
        <f t="array" ref="C1062">_xlfn.SWITCH(LEFT(Tasks[[#This Row],[Type]], 3), "Fie", "Field Report", "Con", "Contractor QC", "Gen", "Contractor QC", "Pun", "Contractor QC", "Qua", "Contractor QC", "Fin", "Punch List")</f>
        <v>#VALUE!</v>
      </c>
      <c r="D1062" s="15" t="e">
        <f>_xlfn.LET(
_xlpm.leftValue, TRIM(LEFT(Tasks[[#This Row],[Description]], 45)),
IF(LEN(_xlpm.leftValue) &lt; 40, _xlpm.leftValue, _xlfn.CONCAT(_xlpm.leftValue, "…"))
)</f>
        <v>#VALUE!</v>
      </c>
      <c r="E1062" s="15" t="e" cm="1">
        <f t="array" ref="E1062">_xlfn.LET(
_xlpm.inTower, COUNTIF(Tower_Num_Table[Tower Rm Numbers], LEFT(Task_Summary_Table[[#This Row],[Area/Room]], 3)) &gt; 0,
_xlpm.typeResult, _xlfn.SWITCH(LEFT(Tasks[[#This Row],[Page]], 2), "Hi", "Historic", "An", "Annex", "Si", "Site", "S5", "Project Task", "SWITCH ERROR"),
IF(_xlpm.inTower, "West Tower", _xlpm.typeResult)
)</f>
        <v>#VALUE!</v>
      </c>
      <c r="F1062" s="15" t="str">
        <f>IFERROR(MID(Tasks[[#This Row],[Page]], FIND("Level", Tasks[[#This Row],[Page]]), 7), IF(ISNUMBER(FIND("Roof", Tasks[[#This Row],[Page]])), "Roof",  IF(ISNUMBER(FIND("S590", Tasks[[#This Row],[Page]])), "",  IF(ISNUMBER(FIND("Site", Tasks[[#This Row],[Page]])), "", "ERROR"))))</f>
        <v>ERROR</v>
      </c>
      <c r="G1062" s="15" t="e">
        <f>IF(Tasks[[#This Row],[Location]]=0, "", Tasks[[#This Row],[Location]])</f>
        <v>#VALUE!</v>
      </c>
      <c r="H1062" s="15" t="e">
        <f>Tasks[[#This Row],[To Package]]</f>
        <v>#VALUE!</v>
      </c>
      <c r="I1062" s="15" t="e">
        <f>Tasks[[#This Row],[To Organisation]]</f>
        <v>#VALUE!</v>
      </c>
    </row>
    <row r="1063" spans="1:9" ht="15.5" x14ac:dyDescent="0.35">
      <c r="A1063" s="16" t="e">
        <f>HYPERLINK(_xlfn.CONCAT(Edit_URL,Tasks[[#This Row],[Ref]]),Tasks[[#This Row],[Ref]])</f>
        <v>#VALUE!</v>
      </c>
      <c r="B1063" s="15" t="e" cm="1">
        <f t="array" ref="B1063">_xlfn.SWITCH(LEFT(Tasks[[#This Row],[Status]],1),"O","Opened","C","Completed","S","Signed Off", "V", "Signed Off","ERROR")</f>
        <v>#VALUE!</v>
      </c>
      <c r="C1063" s="15" t="e" cm="1">
        <f t="array" ref="C1063">_xlfn.SWITCH(LEFT(Tasks[[#This Row],[Type]], 3), "Fie", "Field Report", "Con", "Contractor QC", "Gen", "Contractor QC", "Pun", "Contractor QC", "Qua", "Contractor QC", "Fin", "Punch List")</f>
        <v>#VALUE!</v>
      </c>
      <c r="D1063" s="15" t="e">
        <f>_xlfn.LET(
_xlpm.leftValue, TRIM(LEFT(Tasks[[#This Row],[Description]], 45)),
IF(LEN(_xlpm.leftValue) &lt; 40, _xlpm.leftValue, _xlfn.CONCAT(_xlpm.leftValue, "…"))
)</f>
        <v>#VALUE!</v>
      </c>
      <c r="E1063" s="15" t="e" cm="1">
        <f t="array" ref="E1063">_xlfn.LET(
_xlpm.inTower, COUNTIF(Tower_Num_Table[Tower Rm Numbers], LEFT(Task_Summary_Table[[#This Row],[Area/Room]], 3)) &gt; 0,
_xlpm.typeResult, _xlfn.SWITCH(LEFT(Tasks[[#This Row],[Page]], 2), "Hi", "Historic", "An", "Annex", "Si", "Site", "S5", "Project Task", "SWITCH ERROR"),
IF(_xlpm.inTower, "West Tower", _xlpm.typeResult)
)</f>
        <v>#VALUE!</v>
      </c>
      <c r="F1063" s="15" t="str">
        <f>IFERROR(MID(Tasks[[#This Row],[Page]], FIND("Level", Tasks[[#This Row],[Page]]), 7), IF(ISNUMBER(FIND("Roof", Tasks[[#This Row],[Page]])), "Roof",  IF(ISNUMBER(FIND("S590", Tasks[[#This Row],[Page]])), "",  IF(ISNUMBER(FIND("Site", Tasks[[#This Row],[Page]])), "", "ERROR"))))</f>
        <v>ERROR</v>
      </c>
      <c r="G1063" s="15" t="e">
        <f>IF(Tasks[[#This Row],[Location]]=0, "", Tasks[[#This Row],[Location]])</f>
        <v>#VALUE!</v>
      </c>
      <c r="H1063" s="15" t="e">
        <f>Tasks[[#This Row],[To Package]]</f>
        <v>#VALUE!</v>
      </c>
      <c r="I1063" s="15" t="e">
        <f>Tasks[[#This Row],[To Organisation]]</f>
        <v>#VALUE!</v>
      </c>
    </row>
    <row r="1064" spans="1:9" ht="15.5" x14ac:dyDescent="0.35">
      <c r="A1064" s="16" t="e">
        <f>HYPERLINK(_xlfn.CONCAT(Edit_URL,Tasks[[#This Row],[Ref]]),Tasks[[#This Row],[Ref]])</f>
        <v>#VALUE!</v>
      </c>
      <c r="B1064" s="15" t="e" cm="1">
        <f t="array" ref="B1064">_xlfn.SWITCH(LEFT(Tasks[[#This Row],[Status]],1),"O","Opened","C","Completed","S","Signed Off", "V", "Signed Off","ERROR")</f>
        <v>#VALUE!</v>
      </c>
      <c r="C1064" s="15" t="e" cm="1">
        <f t="array" ref="C1064">_xlfn.SWITCH(LEFT(Tasks[[#This Row],[Type]], 3), "Fie", "Field Report", "Con", "Contractor QC", "Gen", "Contractor QC", "Pun", "Contractor QC", "Qua", "Contractor QC", "Fin", "Punch List")</f>
        <v>#VALUE!</v>
      </c>
      <c r="D1064" s="15" t="e">
        <f>_xlfn.LET(
_xlpm.leftValue, TRIM(LEFT(Tasks[[#This Row],[Description]], 45)),
IF(LEN(_xlpm.leftValue) &lt; 40, _xlpm.leftValue, _xlfn.CONCAT(_xlpm.leftValue, "…"))
)</f>
        <v>#VALUE!</v>
      </c>
      <c r="E1064" s="15" t="e" cm="1">
        <f t="array" ref="E1064">_xlfn.LET(
_xlpm.inTower, COUNTIF(Tower_Num_Table[Tower Rm Numbers], LEFT(Task_Summary_Table[[#This Row],[Area/Room]], 3)) &gt; 0,
_xlpm.typeResult, _xlfn.SWITCH(LEFT(Tasks[[#This Row],[Page]], 2), "Hi", "Historic", "An", "Annex", "Si", "Site", "S5", "Project Task", "SWITCH ERROR"),
IF(_xlpm.inTower, "West Tower", _xlpm.typeResult)
)</f>
        <v>#VALUE!</v>
      </c>
      <c r="F1064" s="15" t="str">
        <f>IFERROR(MID(Tasks[[#This Row],[Page]], FIND("Level", Tasks[[#This Row],[Page]]), 7), IF(ISNUMBER(FIND("Roof", Tasks[[#This Row],[Page]])), "Roof",  IF(ISNUMBER(FIND("S590", Tasks[[#This Row],[Page]])), "",  IF(ISNUMBER(FIND("Site", Tasks[[#This Row],[Page]])), "", "ERROR"))))</f>
        <v>ERROR</v>
      </c>
      <c r="G1064" s="15" t="e">
        <f>IF(Tasks[[#This Row],[Location]]=0, "", Tasks[[#This Row],[Location]])</f>
        <v>#VALUE!</v>
      </c>
      <c r="H1064" s="15" t="e">
        <f>Tasks[[#This Row],[To Package]]</f>
        <v>#VALUE!</v>
      </c>
      <c r="I1064" s="15" t="e">
        <f>Tasks[[#This Row],[To Organisation]]</f>
        <v>#VALUE!</v>
      </c>
    </row>
    <row r="1065" spans="1:9" ht="15.5" x14ac:dyDescent="0.35">
      <c r="A1065" s="16" t="e">
        <f>HYPERLINK(_xlfn.CONCAT(Edit_URL,Tasks[[#This Row],[Ref]]),Tasks[[#This Row],[Ref]])</f>
        <v>#VALUE!</v>
      </c>
      <c r="B1065" s="15" t="e" cm="1">
        <f t="array" ref="B1065">_xlfn.SWITCH(LEFT(Tasks[[#This Row],[Status]],1),"O","Opened","C","Completed","S","Signed Off", "V", "Signed Off","ERROR")</f>
        <v>#VALUE!</v>
      </c>
      <c r="C1065" s="15" t="e" cm="1">
        <f t="array" ref="C1065">_xlfn.SWITCH(LEFT(Tasks[[#This Row],[Type]], 3), "Fie", "Field Report", "Con", "Contractor QC", "Gen", "Contractor QC", "Pun", "Contractor QC", "Qua", "Contractor QC", "Fin", "Punch List")</f>
        <v>#VALUE!</v>
      </c>
      <c r="D1065" s="15" t="e">
        <f>_xlfn.LET(
_xlpm.leftValue, TRIM(LEFT(Tasks[[#This Row],[Description]], 45)),
IF(LEN(_xlpm.leftValue) &lt; 40, _xlpm.leftValue, _xlfn.CONCAT(_xlpm.leftValue, "…"))
)</f>
        <v>#VALUE!</v>
      </c>
      <c r="E1065" s="15" t="e" cm="1">
        <f t="array" ref="E1065">_xlfn.LET(
_xlpm.inTower, COUNTIF(Tower_Num_Table[Tower Rm Numbers], LEFT(Task_Summary_Table[[#This Row],[Area/Room]], 3)) &gt; 0,
_xlpm.typeResult, _xlfn.SWITCH(LEFT(Tasks[[#This Row],[Page]], 2), "Hi", "Historic", "An", "Annex", "Si", "Site", "S5", "Project Task", "SWITCH ERROR"),
IF(_xlpm.inTower, "West Tower", _xlpm.typeResult)
)</f>
        <v>#VALUE!</v>
      </c>
      <c r="F1065" s="15" t="str">
        <f>IFERROR(MID(Tasks[[#This Row],[Page]], FIND("Level", Tasks[[#This Row],[Page]]), 7), IF(ISNUMBER(FIND("Roof", Tasks[[#This Row],[Page]])), "Roof",  IF(ISNUMBER(FIND("S590", Tasks[[#This Row],[Page]])), "",  IF(ISNUMBER(FIND("Site", Tasks[[#This Row],[Page]])), "", "ERROR"))))</f>
        <v>ERROR</v>
      </c>
      <c r="G1065" s="15" t="e">
        <f>IF(Tasks[[#This Row],[Location]]=0, "", Tasks[[#This Row],[Location]])</f>
        <v>#VALUE!</v>
      </c>
      <c r="H1065" s="15" t="e">
        <f>Tasks[[#This Row],[To Package]]</f>
        <v>#VALUE!</v>
      </c>
      <c r="I1065" s="15" t="e">
        <f>Tasks[[#This Row],[To Organisation]]</f>
        <v>#VALUE!</v>
      </c>
    </row>
    <row r="1066" spans="1:9" ht="15.5" x14ac:dyDescent="0.35">
      <c r="A1066" s="16" t="e">
        <f>HYPERLINK(_xlfn.CONCAT(Edit_URL,Tasks[[#This Row],[Ref]]),Tasks[[#This Row],[Ref]])</f>
        <v>#VALUE!</v>
      </c>
      <c r="B1066" s="15" t="e" cm="1">
        <f t="array" ref="B1066">_xlfn.SWITCH(LEFT(Tasks[[#This Row],[Status]],1),"O","Opened","C","Completed","S","Signed Off", "V", "Signed Off","ERROR")</f>
        <v>#VALUE!</v>
      </c>
      <c r="C1066" s="15" t="e" cm="1">
        <f t="array" ref="C1066">_xlfn.SWITCH(LEFT(Tasks[[#This Row],[Type]], 3), "Fie", "Field Report", "Con", "Contractor QC", "Gen", "Contractor QC", "Pun", "Contractor QC", "Qua", "Contractor QC", "Fin", "Punch List")</f>
        <v>#VALUE!</v>
      </c>
      <c r="D1066" s="15" t="e">
        <f>_xlfn.LET(
_xlpm.leftValue, TRIM(LEFT(Tasks[[#This Row],[Description]], 45)),
IF(LEN(_xlpm.leftValue) &lt; 40, _xlpm.leftValue, _xlfn.CONCAT(_xlpm.leftValue, "…"))
)</f>
        <v>#VALUE!</v>
      </c>
      <c r="E1066" s="15" t="e" cm="1">
        <f t="array" ref="E1066">_xlfn.LET(
_xlpm.inTower, COUNTIF(Tower_Num_Table[Tower Rm Numbers], LEFT(Task_Summary_Table[[#This Row],[Area/Room]], 3)) &gt; 0,
_xlpm.typeResult, _xlfn.SWITCH(LEFT(Tasks[[#This Row],[Page]], 2), "Hi", "Historic", "An", "Annex", "Si", "Site", "S5", "Project Task", "SWITCH ERROR"),
IF(_xlpm.inTower, "West Tower", _xlpm.typeResult)
)</f>
        <v>#VALUE!</v>
      </c>
      <c r="F1066" s="15" t="str">
        <f>IFERROR(MID(Tasks[[#This Row],[Page]], FIND("Level", Tasks[[#This Row],[Page]]), 7), IF(ISNUMBER(FIND("Roof", Tasks[[#This Row],[Page]])), "Roof",  IF(ISNUMBER(FIND("S590", Tasks[[#This Row],[Page]])), "",  IF(ISNUMBER(FIND("Site", Tasks[[#This Row],[Page]])), "", "ERROR"))))</f>
        <v>ERROR</v>
      </c>
      <c r="G1066" s="15" t="e">
        <f>IF(Tasks[[#This Row],[Location]]=0, "", Tasks[[#This Row],[Location]])</f>
        <v>#VALUE!</v>
      </c>
      <c r="H1066" s="15" t="e">
        <f>Tasks[[#This Row],[To Package]]</f>
        <v>#VALUE!</v>
      </c>
      <c r="I1066" s="15" t="e">
        <f>Tasks[[#This Row],[To Organisation]]</f>
        <v>#VALUE!</v>
      </c>
    </row>
    <row r="1067" spans="1:9" ht="15.5" x14ac:dyDescent="0.35">
      <c r="A1067" s="16" t="e">
        <f>HYPERLINK(_xlfn.CONCAT(Edit_URL,Tasks[[#This Row],[Ref]]),Tasks[[#This Row],[Ref]])</f>
        <v>#VALUE!</v>
      </c>
      <c r="B1067" s="15" t="e" cm="1">
        <f t="array" ref="B1067">_xlfn.SWITCH(LEFT(Tasks[[#This Row],[Status]],1),"O","Opened","C","Completed","S","Signed Off", "V", "Signed Off","ERROR")</f>
        <v>#VALUE!</v>
      </c>
      <c r="C1067" s="15" t="e" cm="1">
        <f t="array" ref="C1067">_xlfn.SWITCH(LEFT(Tasks[[#This Row],[Type]], 3), "Fie", "Field Report", "Con", "Contractor QC", "Gen", "Contractor QC", "Pun", "Contractor QC", "Qua", "Contractor QC", "Fin", "Punch List")</f>
        <v>#VALUE!</v>
      </c>
      <c r="D1067" s="15" t="e">
        <f>_xlfn.LET(
_xlpm.leftValue, TRIM(LEFT(Tasks[[#This Row],[Description]], 45)),
IF(LEN(_xlpm.leftValue) &lt; 40, _xlpm.leftValue, _xlfn.CONCAT(_xlpm.leftValue, "…"))
)</f>
        <v>#VALUE!</v>
      </c>
      <c r="E1067" s="15" t="e" cm="1">
        <f t="array" ref="E1067">_xlfn.LET(
_xlpm.inTower, COUNTIF(Tower_Num_Table[Tower Rm Numbers], LEFT(Task_Summary_Table[[#This Row],[Area/Room]], 3)) &gt; 0,
_xlpm.typeResult, _xlfn.SWITCH(LEFT(Tasks[[#This Row],[Page]], 2), "Hi", "Historic", "An", "Annex", "Si", "Site", "S5", "Project Task", "SWITCH ERROR"),
IF(_xlpm.inTower, "West Tower", _xlpm.typeResult)
)</f>
        <v>#VALUE!</v>
      </c>
      <c r="F1067" s="15" t="str">
        <f>IFERROR(MID(Tasks[[#This Row],[Page]], FIND("Level", Tasks[[#This Row],[Page]]), 7), IF(ISNUMBER(FIND("Roof", Tasks[[#This Row],[Page]])), "Roof",  IF(ISNUMBER(FIND("S590", Tasks[[#This Row],[Page]])), "",  IF(ISNUMBER(FIND("Site", Tasks[[#This Row],[Page]])), "", "ERROR"))))</f>
        <v>ERROR</v>
      </c>
      <c r="G1067" s="15" t="e">
        <f>IF(Tasks[[#This Row],[Location]]=0, "", Tasks[[#This Row],[Location]])</f>
        <v>#VALUE!</v>
      </c>
      <c r="H1067" s="15" t="e">
        <f>Tasks[[#This Row],[To Package]]</f>
        <v>#VALUE!</v>
      </c>
      <c r="I1067" s="15" t="e">
        <f>Tasks[[#This Row],[To Organisation]]</f>
        <v>#VALUE!</v>
      </c>
    </row>
    <row r="1068" spans="1:9" ht="15.5" x14ac:dyDescent="0.35">
      <c r="A1068" s="16" t="e">
        <f>HYPERLINK(_xlfn.CONCAT(Edit_URL,Tasks[[#This Row],[Ref]]),Tasks[[#This Row],[Ref]])</f>
        <v>#VALUE!</v>
      </c>
      <c r="B1068" s="15" t="e" cm="1">
        <f t="array" ref="B1068">_xlfn.SWITCH(LEFT(Tasks[[#This Row],[Status]],1),"O","Opened","C","Completed","S","Signed Off", "V", "Signed Off","ERROR")</f>
        <v>#VALUE!</v>
      </c>
      <c r="C1068" s="15" t="e" cm="1">
        <f t="array" ref="C1068">_xlfn.SWITCH(LEFT(Tasks[[#This Row],[Type]], 3), "Fie", "Field Report", "Con", "Contractor QC", "Gen", "Contractor QC", "Pun", "Contractor QC", "Qua", "Contractor QC", "Fin", "Punch List")</f>
        <v>#VALUE!</v>
      </c>
      <c r="D1068" s="15" t="e">
        <f>_xlfn.LET(
_xlpm.leftValue, TRIM(LEFT(Tasks[[#This Row],[Description]], 45)),
IF(LEN(_xlpm.leftValue) &lt; 40, _xlpm.leftValue, _xlfn.CONCAT(_xlpm.leftValue, "…"))
)</f>
        <v>#VALUE!</v>
      </c>
      <c r="E1068" s="15" t="e" cm="1">
        <f t="array" ref="E1068">_xlfn.LET(
_xlpm.inTower, COUNTIF(Tower_Num_Table[Tower Rm Numbers], LEFT(Task_Summary_Table[[#This Row],[Area/Room]], 3)) &gt; 0,
_xlpm.typeResult, _xlfn.SWITCH(LEFT(Tasks[[#This Row],[Page]], 2), "Hi", "Historic", "An", "Annex", "Si", "Site", "S5", "Project Task", "SWITCH ERROR"),
IF(_xlpm.inTower, "West Tower", _xlpm.typeResult)
)</f>
        <v>#VALUE!</v>
      </c>
      <c r="F1068" s="15" t="str">
        <f>IFERROR(MID(Tasks[[#This Row],[Page]], FIND("Level", Tasks[[#This Row],[Page]]), 7), IF(ISNUMBER(FIND("Roof", Tasks[[#This Row],[Page]])), "Roof",  IF(ISNUMBER(FIND("S590", Tasks[[#This Row],[Page]])), "",  IF(ISNUMBER(FIND("Site", Tasks[[#This Row],[Page]])), "", "ERROR"))))</f>
        <v>ERROR</v>
      </c>
      <c r="G1068" s="15" t="e">
        <f>IF(Tasks[[#This Row],[Location]]=0, "", Tasks[[#This Row],[Location]])</f>
        <v>#VALUE!</v>
      </c>
      <c r="H1068" s="15" t="e">
        <f>Tasks[[#This Row],[To Package]]</f>
        <v>#VALUE!</v>
      </c>
      <c r="I1068" s="15" t="e">
        <f>Tasks[[#This Row],[To Organisation]]</f>
        <v>#VALUE!</v>
      </c>
    </row>
    <row r="1069" spans="1:9" ht="15.5" x14ac:dyDescent="0.35">
      <c r="A1069" s="16" t="e">
        <f>HYPERLINK(_xlfn.CONCAT(Edit_URL,Tasks[[#This Row],[Ref]]),Tasks[[#This Row],[Ref]])</f>
        <v>#VALUE!</v>
      </c>
      <c r="B1069" s="15" t="e" cm="1">
        <f t="array" ref="B1069">_xlfn.SWITCH(LEFT(Tasks[[#This Row],[Status]],1),"O","Opened","C","Completed","S","Signed Off", "V", "Signed Off","ERROR")</f>
        <v>#VALUE!</v>
      </c>
      <c r="C1069" s="15" t="e" cm="1">
        <f t="array" ref="C1069">_xlfn.SWITCH(LEFT(Tasks[[#This Row],[Type]], 3), "Fie", "Field Report", "Con", "Contractor QC", "Gen", "Contractor QC", "Pun", "Contractor QC", "Qua", "Contractor QC", "Fin", "Punch List")</f>
        <v>#VALUE!</v>
      </c>
      <c r="D1069" s="15" t="e">
        <f>_xlfn.LET(
_xlpm.leftValue, TRIM(LEFT(Tasks[[#This Row],[Description]], 45)),
IF(LEN(_xlpm.leftValue) &lt; 40, _xlpm.leftValue, _xlfn.CONCAT(_xlpm.leftValue, "…"))
)</f>
        <v>#VALUE!</v>
      </c>
      <c r="E1069" s="15" t="e" cm="1">
        <f t="array" ref="E1069">_xlfn.LET(
_xlpm.inTower, COUNTIF(Tower_Num_Table[Tower Rm Numbers], LEFT(Task_Summary_Table[[#This Row],[Area/Room]], 3)) &gt; 0,
_xlpm.typeResult, _xlfn.SWITCH(LEFT(Tasks[[#This Row],[Page]], 2), "Hi", "Historic", "An", "Annex", "Si", "Site", "S5", "Project Task", "SWITCH ERROR"),
IF(_xlpm.inTower, "West Tower", _xlpm.typeResult)
)</f>
        <v>#VALUE!</v>
      </c>
      <c r="F1069" s="15" t="str">
        <f>IFERROR(MID(Tasks[[#This Row],[Page]], FIND("Level", Tasks[[#This Row],[Page]]), 7), IF(ISNUMBER(FIND("Roof", Tasks[[#This Row],[Page]])), "Roof",  IF(ISNUMBER(FIND("S590", Tasks[[#This Row],[Page]])), "",  IF(ISNUMBER(FIND("Site", Tasks[[#This Row],[Page]])), "", "ERROR"))))</f>
        <v>ERROR</v>
      </c>
      <c r="G1069" s="15" t="e">
        <f>IF(Tasks[[#This Row],[Location]]=0, "", Tasks[[#This Row],[Location]])</f>
        <v>#VALUE!</v>
      </c>
      <c r="H1069" s="15" t="e">
        <f>Tasks[[#This Row],[To Package]]</f>
        <v>#VALUE!</v>
      </c>
      <c r="I1069" s="15" t="e">
        <f>Tasks[[#This Row],[To Organisation]]</f>
        <v>#VALUE!</v>
      </c>
    </row>
    <row r="1070" spans="1:9" ht="15.5" x14ac:dyDescent="0.35">
      <c r="A1070" s="16" t="e">
        <f>HYPERLINK(_xlfn.CONCAT(Edit_URL,Tasks[[#This Row],[Ref]]),Tasks[[#This Row],[Ref]])</f>
        <v>#VALUE!</v>
      </c>
      <c r="B1070" s="15" t="e" cm="1">
        <f t="array" ref="B1070">_xlfn.SWITCH(LEFT(Tasks[[#This Row],[Status]],1),"O","Opened","C","Completed","S","Signed Off", "V", "Signed Off","ERROR")</f>
        <v>#VALUE!</v>
      </c>
      <c r="C1070" s="15" t="e" cm="1">
        <f t="array" ref="C1070">_xlfn.SWITCH(LEFT(Tasks[[#This Row],[Type]], 3), "Fie", "Field Report", "Con", "Contractor QC", "Gen", "Contractor QC", "Pun", "Contractor QC", "Qua", "Contractor QC", "Fin", "Punch List")</f>
        <v>#VALUE!</v>
      </c>
      <c r="D1070" s="15" t="e">
        <f>_xlfn.LET(
_xlpm.leftValue, TRIM(LEFT(Tasks[[#This Row],[Description]], 45)),
IF(LEN(_xlpm.leftValue) &lt; 40, _xlpm.leftValue, _xlfn.CONCAT(_xlpm.leftValue, "…"))
)</f>
        <v>#VALUE!</v>
      </c>
      <c r="E1070" s="15" t="e" cm="1">
        <f t="array" ref="E1070">_xlfn.LET(
_xlpm.inTower, COUNTIF(Tower_Num_Table[Tower Rm Numbers], LEFT(Task_Summary_Table[[#This Row],[Area/Room]], 3)) &gt; 0,
_xlpm.typeResult, _xlfn.SWITCH(LEFT(Tasks[[#This Row],[Page]], 2), "Hi", "Historic", "An", "Annex", "Si", "Site", "S5", "Project Task", "SWITCH ERROR"),
IF(_xlpm.inTower, "West Tower", _xlpm.typeResult)
)</f>
        <v>#VALUE!</v>
      </c>
      <c r="F1070" s="15" t="str">
        <f>IFERROR(MID(Tasks[[#This Row],[Page]], FIND("Level", Tasks[[#This Row],[Page]]), 7), IF(ISNUMBER(FIND("Roof", Tasks[[#This Row],[Page]])), "Roof",  IF(ISNUMBER(FIND("S590", Tasks[[#This Row],[Page]])), "",  IF(ISNUMBER(FIND("Site", Tasks[[#This Row],[Page]])), "", "ERROR"))))</f>
        <v>ERROR</v>
      </c>
      <c r="G1070" s="15" t="e">
        <f>IF(Tasks[[#This Row],[Location]]=0, "", Tasks[[#This Row],[Location]])</f>
        <v>#VALUE!</v>
      </c>
      <c r="H1070" s="15" t="e">
        <f>Tasks[[#This Row],[To Package]]</f>
        <v>#VALUE!</v>
      </c>
      <c r="I1070" s="15" t="e">
        <f>Tasks[[#This Row],[To Organisation]]</f>
        <v>#VALUE!</v>
      </c>
    </row>
    <row r="1071" spans="1:9" ht="15.5" x14ac:dyDescent="0.35">
      <c r="A1071" s="16" t="e">
        <f>HYPERLINK(_xlfn.CONCAT(Edit_URL,Tasks[[#This Row],[Ref]]),Tasks[[#This Row],[Ref]])</f>
        <v>#VALUE!</v>
      </c>
      <c r="B1071" s="15" t="e" cm="1">
        <f t="array" ref="B1071">_xlfn.SWITCH(LEFT(Tasks[[#This Row],[Status]],1),"O","Opened","C","Completed","S","Signed Off", "V", "Signed Off","ERROR")</f>
        <v>#VALUE!</v>
      </c>
      <c r="C1071" s="15" t="e" cm="1">
        <f t="array" ref="C1071">_xlfn.SWITCH(LEFT(Tasks[[#This Row],[Type]], 3), "Fie", "Field Report", "Con", "Contractor QC", "Gen", "Contractor QC", "Pun", "Contractor QC", "Qua", "Contractor QC", "Fin", "Punch List")</f>
        <v>#VALUE!</v>
      </c>
      <c r="D1071" s="15" t="e">
        <f>_xlfn.LET(
_xlpm.leftValue, TRIM(LEFT(Tasks[[#This Row],[Description]], 45)),
IF(LEN(_xlpm.leftValue) &lt; 40, _xlpm.leftValue, _xlfn.CONCAT(_xlpm.leftValue, "…"))
)</f>
        <v>#VALUE!</v>
      </c>
      <c r="E1071" s="15" t="e" cm="1">
        <f t="array" ref="E1071">_xlfn.LET(
_xlpm.inTower, COUNTIF(Tower_Num_Table[Tower Rm Numbers], LEFT(Task_Summary_Table[[#This Row],[Area/Room]], 3)) &gt; 0,
_xlpm.typeResult, _xlfn.SWITCH(LEFT(Tasks[[#This Row],[Page]], 2), "Hi", "Historic", "An", "Annex", "Si", "Site", "S5", "Project Task", "SWITCH ERROR"),
IF(_xlpm.inTower, "West Tower", _xlpm.typeResult)
)</f>
        <v>#VALUE!</v>
      </c>
      <c r="F1071" s="15" t="str">
        <f>IFERROR(MID(Tasks[[#This Row],[Page]], FIND("Level", Tasks[[#This Row],[Page]]), 7), IF(ISNUMBER(FIND("Roof", Tasks[[#This Row],[Page]])), "Roof",  IF(ISNUMBER(FIND("S590", Tasks[[#This Row],[Page]])), "",  IF(ISNUMBER(FIND("Site", Tasks[[#This Row],[Page]])), "", "ERROR"))))</f>
        <v>ERROR</v>
      </c>
      <c r="G1071" s="15" t="e">
        <f>IF(Tasks[[#This Row],[Location]]=0, "", Tasks[[#This Row],[Location]])</f>
        <v>#VALUE!</v>
      </c>
      <c r="H1071" s="15" t="e">
        <f>Tasks[[#This Row],[To Package]]</f>
        <v>#VALUE!</v>
      </c>
      <c r="I1071" s="15" t="e">
        <f>Tasks[[#This Row],[To Organisation]]</f>
        <v>#VALUE!</v>
      </c>
    </row>
    <row r="1072" spans="1:9" ht="15.5" x14ac:dyDescent="0.35">
      <c r="A1072" s="16" t="e">
        <f>HYPERLINK(_xlfn.CONCAT(Edit_URL,Tasks[[#This Row],[Ref]]),Tasks[[#This Row],[Ref]])</f>
        <v>#VALUE!</v>
      </c>
      <c r="B1072" s="15" t="e" cm="1">
        <f t="array" ref="B1072">_xlfn.SWITCH(LEFT(Tasks[[#This Row],[Status]],1),"O","Opened","C","Completed","S","Signed Off", "V", "Signed Off","ERROR")</f>
        <v>#VALUE!</v>
      </c>
      <c r="C1072" s="15" t="e" cm="1">
        <f t="array" ref="C1072">_xlfn.SWITCH(LEFT(Tasks[[#This Row],[Type]], 3), "Fie", "Field Report", "Con", "Contractor QC", "Gen", "Contractor QC", "Pun", "Contractor QC", "Qua", "Contractor QC", "Fin", "Punch List")</f>
        <v>#VALUE!</v>
      </c>
      <c r="D1072" s="15" t="e">
        <f>_xlfn.LET(
_xlpm.leftValue, TRIM(LEFT(Tasks[[#This Row],[Description]], 45)),
IF(LEN(_xlpm.leftValue) &lt; 40, _xlpm.leftValue, _xlfn.CONCAT(_xlpm.leftValue, "…"))
)</f>
        <v>#VALUE!</v>
      </c>
      <c r="E1072" s="15" t="e" cm="1">
        <f t="array" ref="E1072">_xlfn.LET(
_xlpm.inTower, COUNTIF(Tower_Num_Table[Tower Rm Numbers], LEFT(Task_Summary_Table[[#This Row],[Area/Room]], 3)) &gt; 0,
_xlpm.typeResult, _xlfn.SWITCH(LEFT(Tasks[[#This Row],[Page]], 2), "Hi", "Historic", "An", "Annex", "Si", "Site", "S5", "Project Task", "SWITCH ERROR"),
IF(_xlpm.inTower, "West Tower", _xlpm.typeResult)
)</f>
        <v>#VALUE!</v>
      </c>
      <c r="F1072" s="15" t="str">
        <f>IFERROR(MID(Tasks[[#This Row],[Page]], FIND("Level", Tasks[[#This Row],[Page]]), 7), IF(ISNUMBER(FIND("Roof", Tasks[[#This Row],[Page]])), "Roof",  IF(ISNUMBER(FIND("S590", Tasks[[#This Row],[Page]])), "",  IF(ISNUMBER(FIND("Site", Tasks[[#This Row],[Page]])), "", "ERROR"))))</f>
        <v>ERROR</v>
      </c>
      <c r="G1072" s="15" t="e">
        <f>IF(Tasks[[#This Row],[Location]]=0, "", Tasks[[#This Row],[Location]])</f>
        <v>#VALUE!</v>
      </c>
      <c r="H1072" s="15" t="e">
        <f>Tasks[[#This Row],[To Package]]</f>
        <v>#VALUE!</v>
      </c>
      <c r="I1072" s="15" t="e">
        <f>Tasks[[#This Row],[To Organisation]]</f>
        <v>#VALUE!</v>
      </c>
    </row>
    <row r="1073" spans="1:9" ht="15.5" x14ac:dyDescent="0.35">
      <c r="A1073" s="16" t="e">
        <f>HYPERLINK(_xlfn.CONCAT(Edit_URL,Tasks[[#This Row],[Ref]]),Tasks[[#This Row],[Ref]])</f>
        <v>#VALUE!</v>
      </c>
      <c r="B1073" s="15" t="e" cm="1">
        <f t="array" ref="B1073">_xlfn.SWITCH(LEFT(Tasks[[#This Row],[Status]],1),"O","Opened","C","Completed","S","Signed Off", "V", "Signed Off","ERROR")</f>
        <v>#VALUE!</v>
      </c>
      <c r="C1073" s="15" t="e" cm="1">
        <f t="array" ref="C1073">_xlfn.SWITCH(LEFT(Tasks[[#This Row],[Type]], 3), "Fie", "Field Report", "Con", "Contractor QC", "Gen", "Contractor QC", "Pun", "Contractor QC", "Qua", "Contractor QC", "Fin", "Punch List")</f>
        <v>#VALUE!</v>
      </c>
      <c r="D1073" s="15" t="e">
        <f>_xlfn.LET(
_xlpm.leftValue, TRIM(LEFT(Tasks[[#This Row],[Description]], 45)),
IF(LEN(_xlpm.leftValue) &lt; 40, _xlpm.leftValue, _xlfn.CONCAT(_xlpm.leftValue, "…"))
)</f>
        <v>#VALUE!</v>
      </c>
      <c r="E1073" s="15" t="e" cm="1">
        <f t="array" ref="E1073">_xlfn.LET(
_xlpm.inTower, COUNTIF(Tower_Num_Table[Tower Rm Numbers], LEFT(Task_Summary_Table[[#This Row],[Area/Room]], 3)) &gt; 0,
_xlpm.typeResult, _xlfn.SWITCH(LEFT(Tasks[[#This Row],[Page]], 2), "Hi", "Historic", "An", "Annex", "Si", "Site", "S5", "Project Task", "SWITCH ERROR"),
IF(_xlpm.inTower, "West Tower", _xlpm.typeResult)
)</f>
        <v>#VALUE!</v>
      </c>
      <c r="F1073" s="15" t="str">
        <f>IFERROR(MID(Tasks[[#This Row],[Page]], FIND("Level", Tasks[[#This Row],[Page]]), 7), IF(ISNUMBER(FIND("Roof", Tasks[[#This Row],[Page]])), "Roof",  IF(ISNUMBER(FIND("S590", Tasks[[#This Row],[Page]])), "",  IF(ISNUMBER(FIND("Site", Tasks[[#This Row],[Page]])), "", "ERROR"))))</f>
        <v>ERROR</v>
      </c>
      <c r="G1073" s="15" t="e">
        <f>IF(Tasks[[#This Row],[Location]]=0, "", Tasks[[#This Row],[Location]])</f>
        <v>#VALUE!</v>
      </c>
      <c r="H1073" s="15" t="e">
        <f>Tasks[[#This Row],[To Package]]</f>
        <v>#VALUE!</v>
      </c>
      <c r="I1073" s="15" t="e">
        <f>Tasks[[#This Row],[To Organisation]]</f>
        <v>#VALUE!</v>
      </c>
    </row>
    <row r="1074" spans="1:9" ht="15.5" x14ac:dyDescent="0.35">
      <c r="A1074" s="16" t="e">
        <f>HYPERLINK(_xlfn.CONCAT(Edit_URL,Tasks[[#This Row],[Ref]]),Tasks[[#This Row],[Ref]])</f>
        <v>#VALUE!</v>
      </c>
      <c r="B1074" s="15" t="e" cm="1">
        <f t="array" ref="B1074">_xlfn.SWITCH(LEFT(Tasks[[#This Row],[Status]],1),"O","Opened","C","Completed","S","Signed Off", "V", "Signed Off","ERROR")</f>
        <v>#VALUE!</v>
      </c>
      <c r="C1074" s="15" t="e" cm="1">
        <f t="array" ref="C1074">_xlfn.SWITCH(LEFT(Tasks[[#This Row],[Type]], 3), "Fie", "Field Report", "Con", "Contractor QC", "Gen", "Contractor QC", "Pun", "Contractor QC", "Qua", "Contractor QC", "Fin", "Punch List")</f>
        <v>#VALUE!</v>
      </c>
      <c r="D1074" s="15" t="e">
        <f>_xlfn.LET(
_xlpm.leftValue, TRIM(LEFT(Tasks[[#This Row],[Description]], 45)),
IF(LEN(_xlpm.leftValue) &lt; 40, _xlpm.leftValue, _xlfn.CONCAT(_xlpm.leftValue, "…"))
)</f>
        <v>#VALUE!</v>
      </c>
      <c r="E1074" s="15" t="e" cm="1">
        <f t="array" ref="E1074">_xlfn.LET(
_xlpm.inTower, COUNTIF(Tower_Num_Table[Tower Rm Numbers], LEFT(Task_Summary_Table[[#This Row],[Area/Room]], 3)) &gt; 0,
_xlpm.typeResult, _xlfn.SWITCH(LEFT(Tasks[[#This Row],[Page]], 2), "Hi", "Historic", "An", "Annex", "Si", "Site", "S5", "Project Task", "SWITCH ERROR"),
IF(_xlpm.inTower, "West Tower", _xlpm.typeResult)
)</f>
        <v>#VALUE!</v>
      </c>
      <c r="F1074" s="15" t="str">
        <f>IFERROR(MID(Tasks[[#This Row],[Page]], FIND("Level", Tasks[[#This Row],[Page]]), 7), IF(ISNUMBER(FIND("Roof", Tasks[[#This Row],[Page]])), "Roof",  IF(ISNUMBER(FIND("S590", Tasks[[#This Row],[Page]])), "",  IF(ISNUMBER(FIND("Site", Tasks[[#This Row],[Page]])), "", "ERROR"))))</f>
        <v>ERROR</v>
      </c>
      <c r="G1074" s="15" t="e">
        <f>IF(Tasks[[#This Row],[Location]]=0, "", Tasks[[#This Row],[Location]])</f>
        <v>#VALUE!</v>
      </c>
      <c r="H1074" s="15" t="e">
        <f>Tasks[[#This Row],[To Package]]</f>
        <v>#VALUE!</v>
      </c>
      <c r="I1074" s="15" t="e">
        <f>Tasks[[#This Row],[To Organisation]]</f>
        <v>#VALUE!</v>
      </c>
    </row>
    <row r="1075" spans="1:9" ht="15.5" x14ac:dyDescent="0.35">
      <c r="A1075" s="16" t="e">
        <f>HYPERLINK(_xlfn.CONCAT(Edit_URL,Tasks[[#This Row],[Ref]]),Tasks[[#This Row],[Ref]])</f>
        <v>#VALUE!</v>
      </c>
      <c r="B1075" s="15" t="e" cm="1">
        <f t="array" ref="B1075">_xlfn.SWITCH(LEFT(Tasks[[#This Row],[Status]],1),"O","Opened","C","Completed","S","Signed Off", "V", "Signed Off","ERROR")</f>
        <v>#VALUE!</v>
      </c>
      <c r="C1075" s="15" t="e" cm="1">
        <f t="array" ref="C1075">_xlfn.SWITCH(LEFT(Tasks[[#This Row],[Type]], 3), "Fie", "Field Report", "Con", "Contractor QC", "Gen", "Contractor QC", "Pun", "Contractor QC", "Qua", "Contractor QC", "Fin", "Punch List")</f>
        <v>#VALUE!</v>
      </c>
      <c r="D1075" s="15" t="e">
        <f>_xlfn.LET(
_xlpm.leftValue, TRIM(LEFT(Tasks[[#This Row],[Description]], 45)),
IF(LEN(_xlpm.leftValue) &lt; 40, _xlpm.leftValue, _xlfn.CONCAT(_xlpm.leftValue, "…"))
)</f>
        <v>#VALUE!</v>
      </c>
      <c r="E1075" s="15" t="e" cm="1">
        <f t="array" ref="E1075">_xlfn.LET(
_xlpm.inTower, COUNTIF(Tower_Num_Table[Tower Rm Numbers], LEFT(Task_Summary_Table[[#This Row],[Area/Room]], 3)) &gt; 0,
_xlpm.typeResult, _xlfn.SWITCH(LEFT(Tasks[[#This Row],[Page]], 2), "Hi", "Historic", "An", "Annex", "Si", "Site", "S5", "Project Task", "SWITCH ERROR"),
IF(_xlpm.inTower, "West Tower", _xlpm.typeResult)
)</f>
        <v>#VALUE!</v>
      </c>
      <c r="F1075" s="15" t="str">
        <f>IFERROR(MID(Tasks[[#This Row],[Page]], FIND("Level", Tasks[[#This Row],[Page]]), 7), IF(ISNUMBER(FIND("Roof", Tasks[[#This Row],[Page]])), "Roof",  IF(ISNUMBER(FIND("S590", Tasks[[#This Row],[Page]])), "",  IF(ISNUMBER(FIND("Site", Tasks[[#This Row],[Page]])), "", "ERROR"))))</f>
        <v>ERROR</v>
      </c>
      <c r="G1075" s="15" t="e">
        <f>IF(Tasks[[#This Row],[Location]]=0, "", Tasks[[#This Row],[Location]])</f>
        <v>#VALUE!</v>
      </c>
      <c r="H1075" s="15" t="e">
        <f>Tasks[[#This Row],[To Package]]</f>
        <v>#VALUE!</v>
      </c>
      <c r="I1075" s="15" t="e">
        <f>Tasks[[#This Row],[To Organisation]]</f>
        <v>#VALUE!</v>
      </c>
    </row>
    <row r="1076" spans="1:9" ht="15.5" x14ac:dyDescent="0.35">
      <c r="A1076" s="16" t="e">
        <f>HYPERLINK(_xlfn.CONCAT(Edit_URL,Tasks[[#This Row],[Ref]]),Tasks[[#This Row],[Ref]])</f>
        <v>#VALUE!</v>
      </c>
      <c r="B1076" s="15" t="e" cm="1">
        <f t="array" ref="B1076">_xlfn.SWITCH(LEFT(Tasks[[#This Row],[Status]],1),"O","Opened","C","Completed","S","Signed Off", "V", "Signed Off","ERROR")</f>
        <v>#VALUE!</v>
      </c>
      <c r="C1076" s="15" t="e" cm="1">
        <f t="array" ref="C1076">_xlfn.SWITCH(LEFT(Tasks[[#This Row],[Type]], 3), "Fie", "Field Report", "Con", "Contractor QC", "Gen", "Contractor QC", "Pun", "Contractor QC", "Qua", "Contractor QC", "Fin", "Punch List")</f>
        <v>#VALUE!</v>
      </c>
      <c r="D1076" s="15" t="e">
        <f>_xlfn.LET(
_xlpm.leftValue, TRIM(LEFT(Tasks[[#This Row],[Description]], 45)),
IF(LEN(_xlpm.leftValue) &lt; 40, _xlpm.leftValue, _xlfn.CONCAT(_xlpm.leftValue, "…"))
)</f>
        <v>#VALUE!</v>
      </c>
      <c r="E1076" s="15" t="e" cm="1">
        <f t="array" ref="E1076">_xlfn.LET(
_xlpm.inTower, COUNTIF(Tower_Num_Table[Tower Rm Numbers], LEFT(Task_Summary_Table[[#This Row],[Area/Room]], 3)) &gt; 0,
_xlpm.typeResult, _xlfn.SWITCH(LEFT(Tasks[[#This Row],[Page]], 2), "Hi", "Historic", "An", "Annex", "Si", "Site", "S5", "Project Task", "SWITCH ERROR"),
IF(_xlpm.inTower, "West Tower", _xlpm.typeResult)
)</f>
        <v>#VALUE!</v>
      </c>
      <c r="F1076" s="15" t="str">
        <f>IFERROR(MID(Tasks[[#This Row],[Page]], FIND("Level", Tasks[[#This Row],[Page]]), 7), IF(ISNUMBER(FIND("Roof", Tasks[[#This Row],[Page]])), "Roof",  IF(ISNUMBER(FIND("S590", Tasks[[#This Row],[Page]])), "",  IF(ISNUMBER(FIND("Site", Tasks[[#This Row],[Page]])), "", "ERROR"))))</f>
        <v>ERROR</v>
      </c>
      <c r="G1076" s="15" t="e">
        <f>IF(Tasks[[#This Row],[Location]]=0, "", Tasks[[#This Row],[Location]])</f>
        <v>#VALUE!</v>
      </c>
      <c r="H1076" s="15" t="e">
        <f>Tasks[[#This Row],[To Package]]</f>
        <v>#VALUE!</v>
      </c>
      <c r="I1076" s="15" t="e">
        <f>Tasks[[#This Row],[To Organisation]]</f>
        <v>#VALUE!</v>
      </c>
    </row>
    <row r="1077" spans="1:9" ht="15.5" x14ac:dyDescent="0.35">
      <c r="A1077" s="16" t="e">
        <f>HYPERLINK(_xlfn.CONCAT(Edit_URL,Tasks[[#This Row],[Ref]]),Tasks[[#This Row],[Ref]])</f>
        <v>#VALUE!</v>
      </c>
      <c r="B1077" s="15" t="e" cm="1">
        <f t="array" ref="B1077">_xlfn.SWITCH(LEFT(Tasks[[#This Row],[Status]],1),"O","Opened","C","Completed","S","Signed Off", "V", "Signed Off","ERROR")</f>
        <v>#VALUE!</v>
      </c>
      <c r="C1077" s="15" t="e" cm="1">
        <f t="array" ref="C1077">_xlfn.SWITCH(LEFT(Tasks[[#This Row],[Type]], 3), "Fie", "Field Report", "Con", "Contractor QC", "Gen", "Contractor QC", "Pun", "Contractor QC", "Qua", "Contractor QC", "Fin", "Punch List")</f>
        <v>#VALUE!</v>
      </c>
      <c r="D1077" s="15" t="e">
        <f>_xlfn.LET(
_xlpm.leftValue, TRIM(LEFT(Tasks[[#This Row],[Description]], 45)),
IF(LEN(_xlpm.leftValue) &lt; 40, _xlpm.leftValue, _xlfn.CONCAT(_xlpm.leftValue, "…"))
)</f>
        <v>#VALUE!</v>
      </c>
      <c r="E1077" s="15" t="e" cm="1">
        <f t="array" ref="E1077">_xlfn.LET(
_xlpm.inTower, COUNTIF(Tower_Num_Table[Tower Rm Numbers], LEFT(Task_Summary_Table[[#This Row],[Area/Room]], 3)) &gt; 0,
_xlpm.typeResult, _xlfn.SWITCH(LEFT(Tasks[[#This Row],[Page]], 2), "Hi", "Historic", "An", "Annex", "Si", "Site", "S5", "Project Task", "SWITCH ERROR"),
IF(_xlpm.inTower, "West Tower", _xlpm.typeResult)
)</f>
        <v>#VALUE!</v>
      </c>
      <c r="F1077" s="15" t="str">
        <f>IFERROR(MID(Tasks[[#This Row],[Page]], FIND("Level", Tasks[[#This Row],[Page]]), 7), IF(ISNUMBER(FIND("Roof", Tasks[[#This Row],[Page]])), "Roof",  IF(ISNUMBER(FIND("S590", Tasks[[#This Row],[Page]])), "",  IF(ISNUMBER(FIND("Site", Tasks[[#This Row],[Page]])), "", "ERROR"))))</f>
        <v>ERROR</v>
      </c>
      <c r="G1077" s="15" t="e">
        <f>IF(Tasks[[#This Row],[Location]]=0, "", Tasks[[#This Row],[Location]])</f>
        <v>#VALUE!</v>
      </c>
      <c r="H1077" s="15" t="e">
        <f>Tasks[[#This Row],[To Package]]</f>
        <v>#VALUE!</v>
      </c>
      <c r="I1077" s="15" t="e">
        <f>Tasks[[#This Row],[To Organisation]]</f>
        <v>#VALUE!</v>
      </c>
    </row>
    <row r="1078" spans="1:9" ht="15.5" x14ac:dyDescent="0.35">
      <c r="A1078" s="16" t="e">
        <f>HYPERLINK(_xlfn.CONCAT(Edit_URL,Tasks[[#This Row],[Ref]]),Tasks[[#This Row],[Ref]])</f>
        <v>#VALUE!</v>
      </c>
      <c r="B1078" s="15" t="e" cm="1">
        <f t="array" ref="B1078">_xlfn.SWITCH(LEFT(Tasks[[#This Row],[Status]],1),"O","Opened","C","Completed","S","Signed Off", "V", "Signed Off","ERROR")</f>
        <v>#VALUE!</v>
      </c>
      <c r="C1078" s="15" t="e" cm="1">
        <f t="array" ref="C1078">_xlfn.SWITCH(LEFT(Tasks[[#This Row],[Type]], 3), "Fie", "Field Report", "Con", "Contractor QC", "Gen", "Contractor QC", "Pun", "Contractor QC", "Qua", "Contractor QC", "Fin", "Punch List")</f>
        <v>#VALUE!</v>
      </c>
      <c r="D1078" s="15" t="e">
        <f>_xlfn.LET(
_xlpm.leftValue, TRIM(LEFT(Tasks[[#This Row],[Description]], 45)),
IF(LEN(_xlpm.leftValue) &lt; 40, _xlpm.leftValue, _xlfn.CONCAT(_xlpm.leftValue, "…"))
)</f>
        <v>#VALUE!</v>
      </c>
      <c r="E1078" s="15" t="e" cm="1">
        <f t="array" ref="E1078">_xlfn.LET(
_xlpm.inTower, COUNTIF(Tower_Num_Table[Tower Rm Numbers], LEFT(Task_Summary_Table[[#This Row],[Area/Room]], 3)) &gt; 0,
_xlpm.typeResult, _xlfn.SWITCH(LEFT(Tasks[[#This Row],[Page]], 2), "Hi", "Historic", "An", "Annex", "Si", "Site", "S5", "Project Task", "SWITCH ERROR"),
IF(_xlpm.inTower, "West Tower", _xlpm.typeResult)
)</f>
        <v>#VALUE!</v>
      </c>
      <c r="F1078" s="15" t="str">
        <f>IFERROR(MID(Tasks[[#This Row],[Page]], FIND("Level", Tasks[[#This Row],[Page]]), 7), IF(ISNUMBER(FIND("Roof", Tasks[[#This Row],[Page]])), "Roof",  IF(ISNUMBER(FIND("S590", Tasks[[#This Row],[Page]])), "",  IF(ISNUMBER(FIND("Site", Tasks[[#This Row],[Page]])), "", "ERROR"))))</f>
        <v>ERROR</v>
      </c>
      <c r="G1078" s="15" t="e">
        <f>IF(Tasks[[#This Row],[Location]]=0, "", Tasks[[#This Row],[Location]])</f>
        <v>#VALUE!</v>
      </c>
      <c r="H1078" s="15" t="e">
        <f>Tasks[[#This Row],[To Package]]</f>
        <v>#VALUE!</v>
      </c>
      <c r="I1078" s="15" t="e">
        <f>Tasks[[#This Row],[To Organisation]]</f>
        <v>#VALUE!</v>
      </c>
    </row>
    <row r="1079" spans="1:9" ht="15.5" x14ac:dyDescent="0.35">
      <c r="A1079" s="16" t="e">
        <f>HYPERLINK(_xlfn.CONCAT(Edit_URL,Tasks[[#This Row],[Ref]]),Tasks[[#This Row],[Ref]])</f>
        <v>#VALUE!</v>
      </c>
      <c r="B1079" s="15" t="e" cm="1">
        <f t="array" ref="B1079">_xlfn.SWITCH(LEFT(Tasks[[#This Row],[Status]],1),"O","Opened","C","Completed","S","Signed Off", "V", "Signed Off","ERROR")</f>
        <v>#VALUE!</v>
      </c>
      <c r="C1079" s="15" t="e" cm="1">
        <f t="array" ref="C1079">_xlfn.SWITCH(LEFT(Tasks[[#This Row],[Type]], 3), "Fie", "Field Report", "Con", "Contractor QC", "Gen", "Contractor QC", "Pun", "Contractor QC", "Qua", "Contractor QC", "Fin", "Punch List")</f>
        <v>#VALUE!</v>
      </c>
      <c r="D1079" s="15" t="e">
        <f>_xlfn.LET(
_xlpm.leftValue, TRIM(LEFT(Tasks[[#This Row],[Description]], 45)),
IF(LEN(_xlpm.leftValue) &lt; 40, _xlpm.leftValue, _xlfn.CONCAT(_xlpm.leftValue, "…"))
)</f>
        <v>#VALUE!</v>
      </c>
      <c r="E1079" s="15" t="e" cm="1">
        <f t="array" ref="E1079">_xlfn.LET(
_xlpm.inTower, COUNTIF(Tower_Num_Table[Tower Rm Numbers], LEFT(Task_Summary_Table[[#This Row],[Area/Room]], 3)) &gt; 0,
_xlpm.typeResult, _xlfn.SWITCH(LEFT(Tasks[[#This Row],[Page]], 2), "Hi", "Historic", "An", "Annex", "Si", "Site", "S5", "Project Task", "SWITCH ERROR"),
IF(_xlpm.inTower, "West Tower", _xlpm.typeResult)
)</f>
        <v>#VALUE!</v>
      </c>
      <c r="F1079" s="15" t="str">
        <f>IFERROR(MID(Tasks[[#This Row],[Page]], FIND("Level", Tasks[[#This Row],[Page]]), 7), IF(ISNUMBER(FIND("Roof", Tasks[[#This Row],[Page]])), "Roof",  IF(ISNUMBER(FIND("S590", Tasks[[#This Row],[Page]])), "",  IF(ISNUMBER(FIND("Site", Tasks[[#This Row],[Page]])), "", "ERROR"))))</f>
        <v>ERROR</v>
      </c>
      <c r="G1079" s="15" t="e">
        <f>IF(Tasks[[#This Row],[Location]]=0, "", Tasks[[#This Row],[Location]])</f>
        <v>#VALUE!</v>
      </c>
      <c r="H1079" s="15" t="e">
        <f>Tasks[[#This Row],[To Package]]</f>
        <v>#VALUE!</v>
      </c>
      <c r="I1079" s="15" t="e">
        <f>Tasks[[#This Row],[To Organisation]]</f>
        <v>#VALUE!</v>
      </c>
    </row>
    <row r="1080" spans="1:9" ht="15.5" x14ac:dyDescent="0.35">
      <c r="A1080" s="16" t="e">
        <f>HYPERLINK(_xlfn.CONCAT(Edit_URL,Tasks[[#This Row],[Ref]]),Tasks[[#This Row],[Ref]])</f>
        <v>#VALUE!</v>
      </c>
      <c r="B1080" s="15" t="e" cm="1">
        <f t="array" ref="B1080">_xlfn.SWITCH(LEFT(Tasks[[#This Row],[Status]],1),"O","Opened","C","Completed","S","Signed Off", "V", "Signed Off","ERROR")</f>
        <v>#VALUE!</v>
      </c>
      <c r="C1080" s="15" t="e" cm="1">
        <f t="array" ref="C1080">_xlfn.SWITCH(LEFT(Tasks[[#This Row],[Type]], 3), "Fie", "Field Report", "Con", "Contractor QC", "Gen", "Contractor QC", "Pun", "Contractor QC", "Qua", "Contractor QC", "Fin", "Punch List")</f>
        <v>#VALUE!</v>
      </c>
      <c r="D1080" s="15" t="e">
        <f>_xlfn.LET(
_xlpm.leftValue, TRIM(LEFT(Tasks[[#This Row],[Description]], 45)),
IF(LEN(_xlpm.leftValue) &lt; 40, _xlpm.leftValue, _xlfn.CONCAT(_xlpm.leftValue, "…"))
)</f>
        <v>#VALUE!</v>
      </c>
      <c r="E1080" s="15" t="e" cm="1">
        <f t="array" ref="E1080">_xlfn.LET(
_xlpm.inTower, COUNTIF(Tower_Num_Table[Tower Rm Numbers], LEFT(Task_Summary_Table[[#This Row],[Area/Room]], 3)) &gt; 0,
_xlpm.typeResult, _xlfn.SWITCH(LEFT(Tasks[[#This Row],[Page]], 2), "Hi", "Historic", "An", "Annex", "Si", "Site", "S5", "Project Task", "SWITCH ERROR"),
IF(_xlpm.inTower, "West Tower", _xlpm.typeResult)
)</f>
        <v>#VALUE!</v>
      </c>
      <c r="F1080" s="15" t="str">
        <f>IFERROR(MID(Tasks[[#This Row],[Page]], FIND("Level", Tasks[[#This Row],[Page]]), 7), IF(ISNUMBER(FIND("Roof", Tasks[[#This Row],[Page]])), "Roof",  IF(ISNUMBER(FIND("S590", Tasks[[#This Row],[Page]])), "",  IF(ISNUMBER(FIND("Site", Tasks[[#This Row],[Page]])), "", "ERROR"))))</f>
        <v>ERROR</v>
      </c>
      <c r="G1080" s="15" t="e">
        <f>IF(Tasks[[#This Row],[Location]]=0, "", Tasks[[#This Row],[Location]])</f>
        <v>#VALUE!</v>
      </c>
      <c r="H1080" s="15" t="e">
        <f>Tasks[[#This Row],[To Package]]</f>
        <v>#VALUE!</v>
      </c>
      <c r="I1080" s="15" t="e">
        <f>Tasks[[#This Row],[To Organisation]]</f>
        <v>#VALUE!</v>
      </c>
    </row>
    <row r="1081" spans="1:9" ht="15.5" x14ac:dyDescent="0.35">
      <c r="A1081" s="16" t="e">
        <f>HYPERLINK(_xlfn.CONCAT(Edit_URL,Tasks[[#This Row],[Ref]]),Tasks[[#This Row],[Ref]])</f>
        <v>#VALUE!</v>
      </c>
      <c r="B1081" s="15" t="e" cm="1">
        <f t="array" ref="B1081">_xlfn.SWITCH(LEFT(Tasks[[#This Row],[Status]],1),"O","Opened","C","Completed","S","Signed Off", "V", "Signed Off","ERROR")</f>
        <v>#VALUE!</v>
      </c>
      <c r="C1081" s="15" t="e" cm="1">
        <f t="array" ref="C1081">_xlfn.SWITCH(LEFT(Tasks[[#This Row],[Type]], 3), "Fie", "Field Report", "Con", "Contractor QC", "Gen", "Contractor QC", "Pun", "Contractor QC", "Qua", "Contractor QC", "Fin", "Punch List")</f>
        <v>#VALUE!</v>
      </c>
      <c r="D1081" s="15" t="e">
        <f>_xlfn.LET(
_xlpm.leftValue, TRIM(LEFT(Tasks[[#This Row],[Description]], 45)),
IF(LEN(_xlpm.leftValue) &lt; 40, _xlpm.leftValue, _xlfn.CONCAT(_xlpm.leftValue, "…"))
)</f>
        <v>#VALUE!</v>
      </c>
      <c r="E1081" s="15" t="e" cm="1">
        <f t="array" ref="E1081">_xlfn.LET(
_xlpm.inTower, COUNTIF(Tower_Num_Table[Tower Rm Numbers], LEFT(Task_Summary_Table[[#This Row],[Area/Room]], 3)) &gt; 0,
_xlpm.typeResult, _xlfn.SWITCH(LEFT(Tasks[[#This Row],[Page]], 2), "Hi", "Historic", "An", "Annex", "Si", "Site", "S5", "Project Task", "SWITCH ERROR"),
IF(_xlpm.inTower, "West Tower", _xlpm.typeResult)
)</f>
        <v>#VALUE!</v>
      </c>
      <c r="F1081" s="15" t="str">
        <f>IFERROR(MID(Tasks[[#This Row],[Page]], FIND("Level", Tasks[[#This Row],[Page]]), 7), IF(ISNUMBER(FIND("Roof", Tasks[[#This Row],[Page]])), "Roof",  IF(ISNUMBER(FIND("S590", Tasks[[#This Row],[Page]])), "",  IF(ISNUMBER(FIND("Site", Tasks[[#This Row],[Page]])), "", "ERROR"))))</f>
        <v>ERROR</v>
      </c>
      <c r="G1081" s="15" t="e">
        <f>IF(Tasks[[#This Row],[Location]]=0, "", Tasks[[#This Row],[Location]])</f>
        <v>#VALUE!</v>
      </c>
      <c r="H1081" s="15" t="e">
        <f>Tasks[[#This Row],[To Package]]</f>
        <v>#VALUE!</v>
      </c>
      <c r="I1081" s="15" t="e">
        <f>Tasks[[#This Row],[To Organisation]]</f>
        <v>#VALUE!</v>
      </c>
    </row>
    <row r="1082" spans="1:9" ht="15.5" x14ac:dyDescent="0.35">
      <c r="A1082" s="16" t="e">
        <f>HYPERLINK(_xlfn.CONCAT(Edit_URL,Tasks[[#This Row],[Ref]]),Tasks[[#This Row],[Ref]])</f>
        <v>#VALUE!</v>
      </c>
      <c r="B1082" s="15" t="e" cm="1">
        <f t="array" ref="B1082">_xlfn.SWITCH(LEFT(Tasks[[#This Row],[Status]],1),"O","Opened","C","Completed","S","Signed Off", "V", "Signed Off","ERROR")</f>
        <v>#VALUE!</v>
      </c>
      <c r="C1082" s="15" t="e" cm="1">
        <f t="array" ref="C1082">_xlfn.SWITCH(LEFT(Tasks[[#This Row],[Type]], 3), "Fie", "Field Report", "Con", "Contractor QC", "Gen", "Contractor QC", "Pun", "Contractor QC", "Qua", "Contractor QC", "Fin", "Punch List")</f>
        <v>#VALUE!</v>
      </c>
      <c r="D1082" s="15" t="e">
        <f>_xlfn.LET(
_xlpm.leftValue, TRIM(LEFT(Tasks[[#This Row],[Description]], 45)),
IF(LEN(_xlpm.leftValue) &lt; 40, _xlpm.leftValue, _xlfn.CONCAT(_xlpm.leftValue, "…"))
)</f>
        <v>#VALUE!</v>
      </c>
      <c r="E1082" s="15" t="e" cm="1">
        <f t="array" ref="E1082">_xlfn.LET(
_xlpm.inTower, COUNTIF(Tower_Num_Table[Tower Rm Numbers], LEFT(Task_Summary_Table[[#This Row],[Area/Room]], 3)) &gt; 0,
_xlpm.typeResult, _xlfn.SWITCH(LEFT(Tasks[[#This Row],[Page]], 2), "Hi", "Historic", "An", "Annex", "Si", "Site", "S5", "Project Task", "SWITCH ERROR"),
IF(_xlpm.inTower, "West Tower", _xlpm.typeResult)
)</f>
        <v>#VALUE!</v>
      </c>
      <c r="F1082" s="15" t="str">
        <f>IFERROR(MID(Tasks[[#This Row],[Page]], FIND("Level", Tasks[[#This Row],[Page]]), 7), IF(ISNUMBER(FIND("Roof", Tasks[[#This Row],[Page]])), "Roof",  IF(ISNUMBER(FIND("S590", Tasks[[#This Row],[Page]])), "",  IF(ISNUMBER(FIND("Site", Tasks[[#This Row],[Page]])), "", "ERROR"))))</f>
        <v>ERROR</v>
      </c>
      <c r="G1082" s="15" t="e">
        <f>IF(Tasks[[#This Row],[Location]]=0, "", Tasks[[#This Row],[Location]])</f>
        <v>#VALUE!</v>
      </c>
      <c r="H1082" s="15" t="e">
        <f>Tasks[[#This Row],[To Package]]</f>
        <v>#VALUE!</v>
      </c>
      <c r="I1082" s="15" t="e">
        <f>Tasks[[#This Row],[To Organisation]]</f>
        <v>#VALUE!</v>
      </c>
    </row>
    <row r="1083" spans="1:9" ht="15.5" x14ac:dyDescent="0.35">
      <c r="A1083" s="16" t="e">
        <f>HYPERLINK(_xlfn.CONCAT(Edit_URL,Tasks[[#This Row],[Ref]]),Tasks[[#This Row],[Ref]])</f>
        <v>#VALUE!</v>
      </c>
      <c r="B1083" s="15" t="e" cm="1">
        <f t="array" ref="B1083">_xlfn.SWITCH(LEFT(Tasks[[#This Row],[Status]],1),"O","Opened","C","Completed","S","Signed Off", "V", "Signed Off","ERROR")</f>
        <v>#VALUE!</v>
      </c>
      <c r="C1083" s="15" t="e" cm="1">
        <f t="array" ref="C1083">_xlfn.SWITCH(LEFT(Tasks[[#This Row],[Type]], 3), "Fie", "Field Report", "Con", "Contractor QC", "Gen", "Contractor QC", "Pun", "Contractor QC", "Qua", "Contractor QC", "Fin", "Punch List")</f>
        <v>#VALUE!</v>
      </c>
      <c r="D1083" s="15" t="e">
        <f>_xlfn.LET(
_xlpm.leftValue, TRIM(LEFT(Tasks[[#This Row],[Description]], 45)),
IF(LEN(_xlpm.leftValue) &lt; 40, _xlpm.leftValue, _xlfn.CONCAT(_xlpm.leftValue, "…"))
)</f>
        <v>#VALUE!</v>
      </c>
      <c r="E1083" s="15" t="e" cm="1">
        <f t="array" ref="E1083">_xlfn.LET(
_xlpm.inTower, COUNTIF(Tower_Num_Table[Tower Rm Numbers], LEFT(Task_Summary_Table[[#This Row],[Area/Room]], 3)) &gt; 0,
_xlpm.typeResult, _xlfn.SWITCH(LEFT(Tasks[[#This Row],[Page]], 2), "Hi", "Historic", "An", "Annex", "Si", "Site", "S5", "Project Task", "SWITCH ERROR"),
IF(_xlpm.inTower, "West Tower", _xlpm.typeResult)
)</f>
        <v>#VALUE!</v>
      </c>
      <c r="F1083" s="15" t="str">
        <f>IFERROR(MID(Tasks[[#This Row],[Page]], FIND("Level", Tasks[[#This Row],[Page]]), 7), IF(ISNUMBER(FIND("Roof", Tasks[[#This Row],[Page]])), "Roof",  IF(ISNUMBER(FIND("S590", Tasks[[#This Row],[Page]])), "",  IF(ISNUMBER(FIND("Site", Tasks[[#This Row],[Page]])), "", "ERROR"))))</f>
        <v>ERROR</v>
      </c>
      <c r="G1083" s="15" t="e">
        <f>IF(Tasks[[#This Row],[Location]]=0, "", Tasks[[#This Row],[Location]])</f>
        <v>#VALUE!</v>
      </c>
      <c r="H1083" s="15" t="e">
        <f>Tasks[[#This Row],[To Package]]</f>
        <v>#VALUE!</v>
      </c>
      <c r="I1083" s="15" t="e">
        <f>Tasks[[#This Row],[To Organisation]]</f>
        <v>#VALUE!</v>
      </c>
    </row>
    <row r="1084" spans="1:9" ht="15.5" x14ac:dyDescent="0.35">
      <c r="A1084" s="16" t="e">
        <f>HYPERLINK(_xlfn.CONCAT(Edit_URL,Tasks[[#This Row],[Ref]]),Tasks[[#This Row],[Ref]])</f>
        <v>#VALUE!</v>
      </c>
      <c r="B1084" s="15" t="e" cm="1">
        <f t="array" ref="B1084">_xlfn.SWITCH(LEFT(Tasks[[#This Row],[Status]],1),"O","Opened","C","Completed","S","Signed Off", "V", "Signed Off","ERROR")</f>
        <v>#VALUE!</v>
      </c>
      <c r="C1084" s="15" t="e" cm="1">
        <f t="array" ref="C1084">_xlfn.SWITCH(LEFT(Tasks[[#This Row],[Type]], 3), "Fie", "Field Report", "Con", "Contractor QC", "Gen", "Contractor QC", "Pun", "Contractor QC", "Qua", "Contractor QC", "Fin", "Punch List")</f>
        <v>#VALUE!</v>
      </c>
      <c r="D1084" s="15" t="e">
        <f>_xlfn.LET(
_xlpm.leftValue, TRIM(LEFT(Tasks[[#This Row],[Description]], 45)),
IF(LEN(_xlpm.leftValue) &lt; 40, _xlpm.leftValue, _xlfn.CONCAT(_xlpm.leftValue, "…"))
)</f>
        <v>#VALUE!</v>
      </c>
      <c r="E1084" s="15" t="e" cm="1">
        <f t="array" ref="E1084">_xlfn.LET(
_xlpm.inTower, COUNTIF(Tower_Num_Table[Tower Rm Numbers], LEFT(Task_Summary_Table[[#This Row],[Area/Room]], 3)) &gt; 0,
_xlpm.typeResult, _xlfn.SWITCH(LEFT(Tasks[[#This Row],[Page]], 2), "Hi", "Historic", "An", "Annex", "Si", "Site", "S5", "Project Task", "SWITCH ERROR"),
IF(_xlpm.inTower, "West Tower", _xlpm.typeResult)
)</f>
        <v>#VALUE!</v>
      </c>
      <c r="F1084" s="15" t="str">
        <f>IFERROR(MID(Tasks[[#This Row],[Page]], FIND("Level", Tasks[[#This Row],[Page]]), 7), IF(ISNUMBER(FIND("Roof", Tasks[[#This Row],[Page]])), "Roof",  IF(ISNUMBER(FIND("S590", Tasks[[#This Row],[Page]])), "",  IF(ISNUMBER(FIND("Site", Tasks[[#This Row],[Page]])), "", "ERROR"))))</f>
        <v>ERROR</v>
      </c>
      <c r="G1084" s="15" t="e">
        <f>IF(Tasks[[#This Row],[Location]]=0, "", Tasks[[#This Row],[Location]])</f>
        <v>#VALUE!</v>
      </c>
      <c r="H1084" s="15" t="e">
        <f>Tasks[[#This Row],[To Package]]</f>
        <v>#VALUE!</v>
      </c>
      <c r="I1084" s="15" t="e">
        <f>Tasks[[#This Row],[To Organisation]]</f>
        <v>#VALUE!</v>
      </c>
    </row>
    <row r="1085" spans="1:9" ht="15.5" x14ac:dyDescent="0.35">
      <c r="A1085" s="16" t="e">
        <f>HYPERLINK(_xlfn.CONCAT(Edit_URL,Tasks[[#This Row],[Ref]]),Tasks[[#This Row],[Ref]])</f>
        <v>#VALUE!</v>
      </c>
      <c r="B1085" s="15" t="e" cm="1">
        <f t="array" ref="B1085">_xlfn.SWITCH(LEFT(Tasks[[#This Row],[Status]],1),"O","Opened","C","Completed","S","Signed Off", "V", "Signed Off","ERROR")</f>
        <v>#VALUE!</v>
      </c>
      <c r="C1085" s="15" t="e" cm="1">
        <f t="array" ref="C1085">_xlfn.SWITCH(LEFT(Tasks[[#This Row],[Type]], 3), "Fie", "Field Report", "Con", "Contractor QC", "Gen", "Contractor QC", "Pun", "Contractor QC", "Qua", "Contractor QC", "Fin", "Punch List")</f>
        <v>#VALUE!</v>
      </c>
      <c r="D1085" s="15" t="e">
        <f>_xlfn.LET(
_xlpm.leftValue, TRIM(LEFT(Tasks[[#This Row],[Description]], 45)),
IF(LEN(_xlpm.leftValue) &lt; 40, _xlpm.leftValue, _xlfn.CONCAT(_xlpm.leftValue, "…"))
)</f>
        <v>#VALUE!</v>
      </c>
      <c r="E1085" s="15" t="e" cm="1">
        <f t="array" ref="E1085">_xlfn.LET(
_xlpm.inTower, COUNTIF(Tower_Num_Table[Tower Rm Numbers], LEFT(Task_Summary_Table[[#This Row],[Area/Room]], 3)) &gt; 0,
_xlpm.typeResult, _xlfn.SWITCH(LEFT(Tasks[[#This Row],[Page]], 2), "Hi", "Historic", "An", "Annex", "Si", "Site", "S5", "Project Task", "SWITCH ERROR"),
IF(_xlpm.inTower, "West Tower", _xlpm.typeResult)
)</f>
        <v>#VALUE!</v>
      </c>
      <c r="F1085" s="15" t="str">
        <f>IFERROR(MID(Tasks[[#This Row],[Page]], FIND("Level", Tasks[[#This Row],[Page]]), 7), IF(ISNUMBER(FIND("Roof", Tasks[[#This Row],[Page]])), "Roof",  IF(ISNUMBER(FIND("S590", Tasks[[#This Row],[Page]])), "",  IF(ISNUMBER(FIND("Site", Tasks[[#This Row],[Page]])), "", "ERROR"))))</f>
        <v>ERROR</v>
      </c>
      <c r="G1085" s="15" t="e">
        <f>IF(Tasks[[#This Row],[Location]]=0, "", Tasks[[#This Row],[Location]])</f>
        <v>#VALUE!</v>
      </c>
      <c r="H1085" s="15" t="e">
        <f>Tasks[[#This Row],[To Package]]</f>
        <v>#VALUE!</v>
      </c>
      <c r="I1085" s="15" t="e">
        <f>Tasks[[#This Row],[To Organisation]]</f>
        <v>#VALUE!</v>
      </c>
    </row>
    <row r="1086" spans="1:9" ht="15.5" x14ac:dyDescent="0.35">
      <c r="A1086" s="16" t="e">
        <f>HYPERLINK(_xlfn.CONCAT(Edit_URL,Tasks[[#This Row],[Ref]]),Tasks[[#This Row],[Ref]])</f>
        <v>#VALUE!</v>
      </c>
      <c r="B1086" s="15" t="e" cm="1">
        <f t="array" ref="B1086">_xlfn.SWITCH(LEFT(Tasks[[#This Row],[Status]],1),"O","Opened","C","Completed","S","Signed Off", "V", "Signed Off","ERROR")</f>
        <v>#VALUE!</v>
      </c>
      <c r="C1086" s="15" t="e" cm="1">
        <f t="array" ref="C1086">_xlfn.SWITCH(LEFT(Tasks[[#This Row],[Type]], 3), "Fie", "Field Report", "Con", "Contractor QC", "Gen", "Contractor QC", "Pun", "Contractor QC", "Qua", "Contractor QC", "Fin", "Punch List")</f>
        <v>#VALUE!</v>
      </c>
      <c r="D1086" s="15" t="e">
        <f>_xlfn.LET(
_xlpm.leftValue, TRIM(LEFT(Tasks[[#This Row],[Description]], 45)),
IF(LEN(_xlpm.leftValue) &lt; 40, _xlpm.leftValue, _xlfn.CONCAT(_xlpm.leftValue, "…"))
)</f>
        <v>#VALUE!</v>
      </c>
      <c r="E1086" s="15" t="e" cm="1">
        <f t="array" ref="E1086">_xlfn.LET(
_xlpm.inTower, COUNTIF(Tower_Num_Table[Tower Rm Numbers], LEFT(Task_Summary_Table[[#This Row],[Area/Room]], 3)) &gt; 0,
_xlpm.typeResult, _xlfn.SWITCH(LEFT(Tasks[[#This Row],[Page]], 2), "Hi", "Historic", "An", "Annex", "Si", "Site", "S5", "Project Task", "SWITCH ERROR"),
IF(_xlpm.inTower, "West Tower", _xlpm.typeResult)
)</f>
        <v>#VALUE!</v>
      </c>
      <c r="F1086" s="15" t="str">
        <f>IFERROR(MID(Tasks[[#This Row],[Page]], FIND("Level", Tasks[[#This Row],[Page]]), 7), IF(ISNUMBER(FIND("Roof", Tasks[[#This Row],[Page]])), "Roof",  IF(ISNUMBER(FIND("S590", Tasks[[#This Row],[Page]])), "",  IF(ISNUMBER(FIND("Site", Tasks[[#This Row],[Page]])), "", "ERROR"))))</f>
        <v>ERROR</v>
      </c>
      <c r="G1086" s="15" t="e">
        <f>IF(Tasks[[#This Row],[Location]]=0, "", Tasks[[#This Row],[Location]])</f>
        <v>#VALUE!</v>
      </c>
      <c r="H1086" s="15" t="e">
        <f>Tasks[[#This Row],[To Package]]</f>
        <v>#VALUE!</v>
      </c>
      <c r="I1086" s="15" t="e">
        <f>Tasks[[#This Row],[To Organisation]]</f>
        <v>#VALUE!</v>
      </c>
    </row>
    <row r="1087" spans="1:9" ht="15.5" x14ac:dyDescent="0.35">
      <c r="A1087" s="16" t="e">
        <f>HYPERLINK(_xlfn.CONCAT(Edit_URL,Tasks[[#This Row],[Ref]]),Tasks[[#This Row],[Ref]])</f>
        <v>#VALUE!</v>
      </c>
      <c r="B1087" s="15" t="e" cm="1">
        <f t="array" ref="B1087">_xlfn.SWITCH(LEFT(Tasks[[#This Row],[Status]],1),"O","Opened","C","Completed","S","Signed Off", "V", "Signed Off","ERROR")</f>
        <v>#VALUE!</v>
      </c>
      <c r="C1087" s="15" t="e" cm="1">
        <f t="array" ref="C1087">_xlfn.SWITCH(LEFT(Tasks[[#This Row],[Type]], 3), "Fie", "Field Report", "Con", "Contractor QC", "Gen", "Contractor QC", "Pun", "Contractor QC", "Qua", "Contractor QC", "Fin", "Punch List")</f>
        <v>#VALUE!</v>
      </c>
      <c r="D1087" s="15" t="e">
        <f>_xlfn.LET(
_xlpm.leftValue, TRIM(LEFT(Tasks[[#This Row],[Description]], 45)),
IF(LEN(_xlpm.leftValue) &lt; 40, _xlpm.leftValue, _xlfn.CONCAT(_xlpm.leftValue, "…"))
)</f>
        <v>#VALUE!</v>
      </c>
      <c r="E1087" s="15" t="e" cm="1">
        <f t="array" ref="E1087">_xlfn.LET(
_xlpm.inTower, COUNTIF(Tower_Num_Table[Tower Rm Numbers], LEFT(Task_Summary_Table[[#This Row],[Area/Room]], 3)) &gt; 0,
_xlpm.typeResult, _xlfn.SWITCH(LEFT(Tasks[[#This Row],[Page]], 2), "Hi", "Historic", "An", "Annex", "Si", "Site", "S5", "Project Task", "SWITCH ERROR"),
IF(_xlpm.inTower, "West Tower", _xlpm.typeResult)
)</f>
        <v>#VALUE!</v>
      </c>
      <c r="F1087" s="15" t="str">
        <f>IFERROR(MID(Tasks[[#This Row],[Page]], FIND("Level", Tasks[[#This Row],[Page]]), 7), IF(ISNUMBER(FIND("Roof", Tasks[[#This Row],[Page]])), "Roof",  IF(ISNUMBER(FIND("S590", Tasks[[#This Row],[Page]])), "",  IF(ISNUMBER(FIND("Site", Tasks[[#This Row],[Page]])), "", "ERROR"))))</f>
        <v>ERROR</v>
      </c>
      <c r="G1087" s="15" t="e">
        <f>IF(Tasks[[#This Row],[Location]]=0, "", Tasks[[#This Row],[Location]])</f>
        <v>#VALUE!</v>
      </c>
      <c r="H1087" s="15" t="e">
        <f>Tasks[[#This Row],[To Package]]</f>
        <v>#VALUE!</v>
      </c>
      <c r="I1087" s="15" t="e">
        <f>Tasks[[#This Row],[To Organisation]]</f>
        <v>#VALUE!</v>
      </c>
    </row>
    <row r="1088" spans="1:9" ht="15.5" x14ac:dyDescent="0.35">
      <c r="A1088" s="16" t="e">
        <f>HYPERLINK(_xlfn.CONCAT(Edit_URL,Tasks[[#This Row],[Ref]]),Tasks[[#This Row],[Ref]])</f>
        <v>#VALUE!</v>
      </c>
      <c r="B1088" s="15" t="e" cm="1">
        <f t="array" ref="B1088">_xlfn.SWITCH(LEFT(Tasks[[#This Row],[Status]],1),"O","Opened","C","Completed","S","Signed Off", "V", "Signed Off","ERROR")</f>
        <v>#VALUE!</v>
      </c>
      <c r="C1088" s="15" t="e" cm="1">
        <f t="array" ref="C1088">_xlfn.SWITCH(LEFT(Tasks[[#This Row],[Type]], 3), "Fie", "Field Report", "Con", "Contractor QC", "Gen", "Contractor QC", "Pun", "Contractor QC", "Qua", "Contractor QC", "Fin", "Punch List")</f>
        <v>#VALUE!</v>
      </c>
      <c r="D1088" s="15" t="e">
        <f>_xlfn.LET(
_xlpm.leftValue, TRIM(LEFT(Tasks[[#This Row],[Description]], 45)),
IF(LEN(_xlpm.leftValue) &lt; 40, _xlpm.leftValue, _xlfn.CONCAT(_xlpm.leftValue, "…"))
)</f>
        <v>#VALUE!</v>
      </c>
      <c r="E1088" s="15" t="e" cm="1">
        <f t="array" ref="E1088">_xlfn.LET(
_xlpm.inTower, COUNTIF(Tower_Num_Table[Tower Rm Numbers], LEFT(Task_Summary_Table[[#This Row],[Area/Room]], 3)) &gt; 0,
_xlpm.typeResult, _xlfn.SWITCH(LEFT(Tasks[[#This Row],[Page]], 2), "Hi", "Historic", "An", "Annex", "Si", "Site", "S5", "Project Task", "SWITCH ERROR"),
IF(_xlpm.inTower, "West Tower", _xlpm.typeResult)
)</f>
        <v>#VALUE!</v>
      </c>
      <c r="F1088" s="15" t="str">
        <f>IFERROR(MID(Tasks[[#This Row],[Page]], FIND("Level", Tasks[[#This Row],[Page]]), 7), IF(ISNUMBER(FIND("Roof", Tasks[[#This Row],[Page]])), "Roof",  IF(ISNUMBER(FIND("S590", Tasks[[#This Row],[Page]])), "",  IF(ISNUMBER(FIND("Site", Tasks[[#This Row],[Page]])), "", "ERROR"))))</f>
        <v>ERROR</v>
      </c>
      <c r="G1088" s="15" t="e">
        <f>IF(Tasks[[#This Row],[Location]]=0, "", Tasks[[#This Row],[Location]])</f>
        <v>#VALUE!</v>
      </c>
      <c r="H1088" s="15" t="e">
        <f>Tasks[[#This Row],[To Package]]</f>
        <v>#VALUE!</v>
      </c>
      <c r="I1088" s="15" t="e">
        <f>Tasks[[#This Row],[To Organisation]]</f>
        <v>#VALUE!</v>
      </c>
    </row>
    <row r="1089" spans="1:9" ht="15.5" x14ac:dyDescent="0.35">
      <c r="A1089" s="16" t="e">
        <f>HYPERLINK(_xlfn.CONCAT(Edit_URL,Tasks[[#This Row],[Ref]]),Tasks[[#This Row],[Ref]])</f>
        <v>#VALUE!</v>
      </c>
      <c r="B1089" s="15" t="e" cm="1">
        <f t="array" ref="B1089">_xlfn.SWITCH(LEFT(Tasks[[#This Row],[Status]],1),"O","Opened","C","Completed","S","Signed Off", "V", "Signed Off","ERROR")</f>
        <v>#VALUE!</v>
      </c>
      <c r="C1089" s="15" t="e" cm="1">
        <f t="array" ref="C1089">_xlfn.SWITCH(LEFT(Tasks[[#This Row],[Type]], 3), "Fie", "Field Report", "Con", "Contractor QC", "Gen", "Contractor QC", "Pun", "Contractor QC", "Qua", "Contractor QC", "Fin", "Punch List")</f>
        <v>#VALUE!</v>
      </c>
      <c r="D1089" s="15" t="e">
        <f>_xlfn.LET(
_xlpm.leftValue, TRIM(LEFT(Tasks[[#This Row],[Description]], 45)),
IF(LEN(_xlpm.leftValue) &lt; 40, _xlpm.leftValue, _xlfn.CONCAT(_xlpm.leftValue, "…"))
)</f>
        <v>#VALUE!</v>
      </c>
      <c r="E1089" s="15" t="e" cm="1">
        <f t="array" ref="E1089">_xlfn.LET(
_xlpm.inTower, COUNTIF(Tower_Num_Table[Tower Rm Numbers], LEFT(Task_Summary_Table[[#This Row],[Area/Room]], 3)) &gt; 0,
_xlpm.typeResult, _xlfn.SWITCH(LEFT(Tasks[[#This Row],[Page]], 2), "Hi", "Historic", "An", "Annex", "Si", "Site", "S5", "Project Task", "SWITCH ERROR"),
IF(_xlpm.inTower, "West Tower", _xlpm.typeResult)
)</f>
        <v>#VALUE!</v>
      </c>
      <c r="F1089" s="15" t="str">
        <f>IFERROR(MID(Tasks[[#This Row],[Page]], FIND("Level", Tasks[[#This Row],[Page]]), 7), IF(ISNUMBER(FIND("Roof", Tasks[[#This Row],[Page]])), "Roof",  IF(ISNUMBER(FIND("S590", Tasks[[#This Row],[Page]])), "",  IF(ISNUMBER(FIND("Site", Tasks[[#This Row],[Page]])), "", "ERROR"))))</f>
        <v>ERROR</v>
      </c>
      <c r="G1089" s="15" t="e">
        <f>IF(Tasks[[#This Row],[Location]]=0, "", Tasks[[#This Row],[Location]])</f>
        <v>#VALUE!</v>
      </c>
      <c r="H1089" s="15" t="e">
        <f>Tasks[[#This Row],[To Package]]</f>
        <v>#VALUE!</v>
      </c>
      <c r="I1089" s="15" t="e">
        <f>Tasks[[#This Row],[To Organisation]]</f>
        <v>#VALUE!</v>
      </c>
    </row>
    <row r="1090" spans="1:9" ht="15.5" x14ac:dyDescent="0.35">
      <c r="A1090" s="16" t="e">
        <f>HYPERLINK(_xlfn.CONCAT(Edit_URL,Tasks[[#This Row],[Ref]]),Tasks[[#This Row],[Ref]])</f>
        <v>#VALUE!</v>
      </c>
      <c r="B1090" s="15" t="e" cm="1">
        <f t="array" ref="B1090">_xlfn.SWITCH(LEFT(Tasks[[#This Row],[Status]],1),"O","Opened","C","Completed","S","Signed Off", "V", "Signed Off","ERROR")</f>
        <v>#VALUE!</v>
      </c>
      <c r="C1090" s="15" t="e" cm="1">
        <f t="array" ref="C1090">_xlfn.SWITCH(LEFT(Tasks[[#This Row],[Type]], 3), "Fie", "Field Report", "Con", "Contractor QC", "Gen", "Contractor QC", "Pun", "Contractor QC", "Qua", "Contractor QC", "Fin", "Punch List")</f>
        <v>#VALUE!</v>
      </c>
      <c r="D1090" s="15" t="e">
        <f>_xlfn.LET(
_xlpm.leftValue, TRIM(LEFT(Tasks[[#This Row],[Description]], 45)),
IF(LEN(_xlpm.leftValue) &lt; 40, _xlpm.leftValue, _xlfn.CONCAT(_xlpm.leftValue, "…"))
)</f>
        <v>#VALUE!</v>
      </c>
      <c r="E1090" s="15" t="e" cm="1">
        <f t="array" ref="E1090">_xlfn.LET(
_xlpm.inTower, COUNTIF(Tower_Num_Table[Tower Rm Numbers], LEFT(Task_Summary_Table[[#This Row],[Area/Room]], 3)) &gt; 0,
_xlpm.typeResult, _xlfn.SWITCH(LEFT(Tasks[[#This Row],[Page]], 2), "Hi", "Historic", "An", "Annex", "Si", "Site", "S5", "Project Task", "SWITCH ERROR"),
IF(_xlpm.inTower, "West Tower", _xlpm.typeResult)
)</f>
        <v>#VALUE!</v>
      </c>
      <c r="F1090" s="15" t="str">
        <f>IFERROR(MID(Tasks[[#This Row],[Page]], FIND("Level", Tasks[[#This Row],[Page]]), 7), IF(ISNUMBER(FIND("Roof", Tasks[[#This Row],[Page]])), "Roof",  IF(ISNUMBER(FIND("S590", Tasks[[#This Row],[Page]])), "",  IF(ISNUMBER(FIND("Site", Tasks[[#This Row],[Page]])), "", "ERROR"))))</f>
        <v>ERROR</v>
      </c>
      <c r="G1090" s="15" t="e">
        <f>IF(Tasks[[#This Row],[Location]]=0, "", Tasks[[#This Row],[Location]])</f>
        <v>#VALUE!</v>
      </c>
      <c r="H1090" s="15" t="e">
        <f>Tasks[[#This Row],[To Package]]</f>
        <v>#VALUE!</v>
      </c>
      <c r="I1090" s="15" t="e">
        <f>Tasks[[#This Row],[To Organisation]]</f>
        <v>#VALUE!</v>
      </c>
    </row>
    <row r="1091" spans="1:9" ht="15.5" x14ac:dyDescent="0.35">
      <c r="A1091" s="16" t="e">
        <f>HYPERLINK(_xlfn.CONCAT(Edit_URL,Tasks[[#This Row],[Ref]]),Tasks[[#This Row],[Ref]])</f>
        <v>#VALUE!</v>
      </c>
      <c r="B1091" s="15" t="e" cm="1">
        <f t="array" ref="B1091">_xlfn.SWITCH(LEFT(Tasks[[#This Row],[Status]],1),"O","Opened","C","Completed","S","Signed Off", "V", "Signed Off","ERROR")</f>
        <v>#VALUE!</v>
      </c>
      <c r="C1091" s="15" t="e" cm="1">
        <f t="array" ref="C1091">_xlfn.SWITCH(LEFT(Tasks[[#This Row],[Type]], 3), "Fie", "Field Report", "Con", "Contractor QC", "Gen", "Contractor QC", "Pun", "Contractor QC", "Qua", "Contractor QC", "Fin", "Punch List")</f>
        <v>#VALUE!</v>
      </c>
      <c r="D1091" s="15" t="e">
        <f>_xlfn.LET(
_xlpm.leftValue, TRIM(LEFT(Tasks[[#This Row],[Description]], 45)),
IF(LEN(_xlpm.leftValue) &lt; 40, _xlpm.leftValue, _xlfn.CONCAT(_xlpm.leftValue, "…"))
)</f>
        <v>#VALUE!</v>
      </c>
      <c r="E1091" s="15" t="e" cm="1">
        <f t="array" ref="E1091">_xlfn.LET(
_xlpm.inTower, COUNTIF(Tower_Num_Table[Tower Rm Numbers], LEFT(Task_Summary_Table[[#This Row],[Area/Room]], 3)) &gt; 0,
_xlpm.typeResult, _xlfn.SWITCH(LEFT(Tasks[[#This Row],[Page]], 2), "Hi", "Historic", "An", "Annex", "Si", "Site", "S5", "Project Task", "SWITCH ERROR"),
IF(_xlpm.inTower, "West Tower", _xlpm.typeResult)
)</f>
        <v>#VALUE!</v>
      </c>
      <c r="F1091" s="15" t="str">
        <f>IFERROR(MID(Tasks[[#This Row],[Page]], FIND("Level", Tasks[[#This Row],[Page]]), 7), IF(ISNUMBER(FIND("Roof", Tasks[[#This Row],[Page]])), "Roof",  IF(ISNUMBER(FIND("S590", Tasks[[#This Row],[Page]])), "",  IF(ISNUMBER(FIND("Site", Tasks[[#This Row],[Page]])), "", "ERROR"))))</f>
        <v>ERROR</v>
      </c>
      <c r="G1091" s="15" t="e">
        <f>IF(Tasks[[#This Row],[Location]]=0, "", Tasks[[#This Row],[Location]])</f>
        <v>#VALUE!</v>
      </c>
      <c r="H1091" s="15" t="e">
        <f>Tasks[[#This Row],[To Package]]</f>
        <v>#VALUE!</v>
      </c>
      <c r="I1091" s="15" t="e">
        <f>Tasks[[#This Row],[To Organisation]]</f>
        <v>#VALUE!</v>
      </c>
    </row>
    <row r="1092" spans="1:9" ht="15.5" x14ac:dyDescent="0.35">
      <c r="A1092" s="16" t="e">
        <f>HYPERLINK(_xlfn.CONCAT(Edit_URL,Tasks[[#This Row],[Ref]]),Tasks[[#This Row],[Ref]])</f>
        <v>#VALUE!</v>
      </c>
      <c r="B1092" s="15" t="e" cm="1">
        <f t="array" ref="B1092">_xlfn.SWITCH(LEFT(Tasks[[#This Row],[Status]],1),"O","Opened","C","Completed","S","Signed Off", "V", "Signed Off","ERROR")</f>
        <v>#VALUE!</v>
      </c>
      <c r="C1092" s="15" t="e" cm="1">
        <f t="array" ref="C1092">_xlfn.SWITCH(LEFT(Tasks[[#This Row],[Type]], 3), "Fie", "Field Report", "Con", "Contractor QC", "Gen", "Contractor QC", "Pun", "Contractor QC", "Qua", "Contractor QC", "Fin", "Punch List")</f>
        <v>#VALUE!</v>
      </c>
      <c r="D1092" s="15" t="e">
        <f>_xlfn.LET(
_xlpm.leftValue, TRIM(LEFT(Tasks[[#This Row],[Description]], 45)),
IF(LEN(_xlpm.leftValue) &lt; 40, _xlpm.leftValue, _xlfn.CONCAT(_xlpm.leftValue, "…"))
)</f>
        <v>#VALUE!</v>
      </c>
      <c r="E1092" s="15" t="e" cm="1">
        <f t="array" ref="E1092">_xlfn.LET(
_xlpm.inTower, COUNTIF(Tower_Num_Table[Tower Rm Numbers], LEFT(Task_Summary_Table[[#This Row],[Area/Room]], 3)) &gt; 0,
_xlpm.typeResult, _xlfn.SWITCH(LEFT(Tasks[[#This Row],[Page]], 2), "Hi", "Historic", "An", "Annex", "Si", "Site", "S5", "Project Task", "SWITCH ERROR"),
IF(_xlpm.inTower, "West Tower", _xlpm.typeResult)
)</f>
        <v>#VALUE!</v>
      </c>
      <c r="F1092" s="15" t="str">
        <f>IFERROR(MID(Tasks[[#This Row],[Page]], FIND("Level", Tasks[[#This Row],[Page]]), 7), IF(ISNUMBER(FIND("Roof", Tasks[[#This Row],[Page]])), "Roof",  IF(ISNUMBER(FIND("S590", Tasks[[#This Row],[Page]])), "",  IF(ISNUMBER(FIND("Site", Tasks[[#This Row],[Page]])), "", "ERROR"))))</f>
        <v>ERROR</v>
      </c>
      <c r="G1092" s="15" t="e">
        <f>IF(Tasks[[#This Row],[Location]]=0, "", Tasks[[#This Row],[Location]])</f>
        <v>#VALUE!</v>
      </c>
      <c r="H1092" s="15" t="e">
        <f>Tasks[[#This Row],[To Package]]</f>
        <v>#VALUE!</v>
      </c>
      <c r="I1092" s="15" t="e">
        <f>Tasks[[#This Row],[To Organisation]]</f>
        <v>#VALUE!</v>
      </c>
    </row>
    <row r="1093" spans="1:9" ht="15.5" x14ac:dyDescent="0.35">
      <c r="A1093" s="16" t="e">
        <f>HYPERLINK(_xlfn.CONCAT(Edit_URL,Tasks[[#This Row],[Ref]]),Tasks[[#This Row],[Ref]])</f>
        <v>#VALUE!</v>
      </c>
      <c r="B1093" s="15" t="e" cm="1">
        <f t="array" ref="B1093">_xlfn.SWITCH(LEFT(Tasks[[#This Row],[Status]],1),"O","Opened","C","Completed","S","Signed Off", "V", "Signed Off","ERROR")</f>
        <v>#VALUE!</v>
      </c>
      <c r="C1093" s="15" t="e" cm="1">
        <f t="array" ref="C1093">_xlfn.SWITCH(LEFT(Tasks[[#This Row],[Type]], 3), "Fie", "Field Report", "Con", "Contractor QC", "Gen", "Contractor QC", "Pun", "Contractor QC", "Qua", "Contractor QC", "Fin", "Punch List")</f>
        <v>#VALUE!</v>
      </c>
      <c r="D1093" s="15" t="e">
        <f>_xlfn.LET(
_xlpm.leftValue, TRIM(LEFT(Tasks[[#This Row],[Description]], 45)),
IF(LEN(_xlpm.leftValue) &lt; 40, _xlpm.leftValue, _xlfn.CONCAT(_xlpm.leftValue, "…"))
)</f>
        <v>#VALUE!</v>
      </c>
      <c r="E1093" s="15" t="e" cm="1">
        <f t="array" ref="E1093">_xlfn.LET(
_xlpm.inTower, COUNTIF(Tower_Num_Table[Tower Rm Numbers], LEFT(Task_Summary_Table[[#This Row],[Area/Room]], 3)) &gt; 0,
_xlpm.typeResult, _xlfn.SWITCH(LEFT(Tasks[[#This Row],[Page]], 2), "Hi", "Historic", "An", "Annex", "Si", "Site", "S5", "Project Task", "SWITCH ERROR"),
IF(_xlpm.inTower, "West Tower", _xlpm.typeResult)
)</f>
        <v>#VALUE!</v>
      </c>
      <c r="F1093" s="15" t="str">
        <f>IFERROR(MID(Tasks[[#This Row],[Page]], FIND("Level", Tasks[[#This Row],[Page]]), 7), IF(ISNUMBER(FIND("Roof", Tasks[[#This Row],[Page]])), "Roof",  IF(ISNUMBER(FIND("S590", Tasks[[#This Row],[Page]])), "",  IF(ISNUMBER(FIND("Site", Tasks[[#This Row],[Page]])), "", "ERROR"))))</f>
        <v>ERROR</v>
      </c>
      <c r="G1093" s="15" t="e">
        <f>IF(Tasks[[#This Row],[Location]]=0, "", Tasks[[#This Row],[Location]])</f>
        <v>#VALUE!</v>
      </c>
      <c r="H1093" s="15" t="e">
        <f>Tasks[[#This Row],[To Package]]</f>
        <v>#VALUE!</v>
      </c>
      <c r="I1093" s="15" t="e">
        <f>Tasks[[#This Row],[To Organisation]]</f>
        <v>#VALUE!</v>
      </c>
    </row>
    <row r="1094" spans="1:9" ht="15.5" x14ac:dyDescent="0.35">
      <c r="A1094" s="16" t="e">
        <f>HYPERLINK(_xlfn.CONCAT(Edit_URL,Tasks[[#This Row],[Ref]]),Tasks[[#This Row],[Ref]])</f>
        <v>#VALUE!</v>
      </c>
      <c r="B1094" s="15" t="e" cm="1">
        <f t="array" ref="B1094">_xlfn.SWITCH(LEFT(Tasks[[#This Row],[Status]],1),"O","Opened","C","Completed","S","Signed Off", "V", "Signed Off","ERROR")</f>
        <v>#VALUE!</v>
      </c>
      <c r="C1094" s="15" t="e" cm="1">
        <f t="array" ref="C1094">_xlfn.SWITCH(LEFT(Tasks[[#This Row],[Type]], 3), "Fie", "Field Report", "Con", "Contractor QC", "Gen", "Contractor QC", "Pun", "Contractor QC", "Qua", "Contractor QC", "Fin", "Punch List")</f>
        <v>#VALUE!</v>
      </c>
      <c r="D1094" s="15" t="e">
        <f>_xlfn.LET(
_xlpm.leftValue, TRIM(LEFT(Tasks[[#This Row],[Description]], 45)),
IF(LEN(_xlpm.leftValue) &lt; 40, _xlpm.leftValue, _xlfn.CONCAT(_xlpm.leftValue, "…"))
)</f>
        <v>#VALUE!</v>
      </c>
      <c r="E1094" s="15" t="e" cm="1">
        <f t="array" ref="E1094">_xlfn.LET(
_xlpm.inTower, COUNTIF(Tower_Num_Table[Tower Rm Numbers], LEFT(Task_Summary_Table[[#This Row],[Area/Room]], 3)) &gt; 0,
_xlpm.typeResult, _xlfn.SWITCH(LEFT(Tasks[[#This Row],[Page]], 2), "Hi", "Historic", "An", "Annex", "Si", "Site", "S5", "Project Task", "SWITCH ERROR"),
IF(_xlpm.inTower, "West Tower", _xlpm.typeResult)
)</f>
        <v>#VALUE!</v>
      </c>
      <c r="F1094" s="15" t="str">
        <f>IFERROR(MID(Tasks[[#This Row],[Page]], FIND("Level", Tasks[[#This Row],[Page]]), 7), IF(ISNUMBER(FIND("Roof", Tasks[[#This Row],[Page]])), "Roof",  IF(ISNUMBER(FIND("S590", Tasks[[#This Row],[Page]])), "",  IF(ISNUMBER(FIND("Site", Tasks[[#This Row],[Page]])), "", "ERROR"))))</f>
        <v>ERROR</v>
      </c>
      <c r="G1094" s="15" t="e">
        <f>IF(Tasks[[#This Row],[Location]]=0, "", Tasks[[#This Row],[Location]])</f>
        <v>#VALUE!</v>
      </c>
      <c r="H1094" s="15" t="e">
        <f>Tasks[[#This Row],[To Package]]</f>
        <v>#VALUE!</v>
      </c>
      <c r="I1094" s="15" t="e">
        <f>Tasks[[#This Row],[To Organisation]]</f>
        <v>#VALUE!</v>
      </c>
    </row>
    <row r="1095" spans="1:9" ht="15.5" x14ac:dyDescent="0.35">
      <c r="A1095" s="16" t="e">
        <f>HYPERLINK(_xlfn.CONCAT(Edit_URL,Tasks[[#This Row],[Ref]]),Tasks[[#This Row],[Ref]])</f>
        <v>#VALUE!</v>
      </c>
      <c r="B1095" s="15" t="e" cm="1">
        <f t="array" ref="B1095">_xlfn.SWITCH(LEFT(Tasks[[#This Row],[Status]],1),"O","Opened","C","Completed","S","Signed Off", "V", "Signed Off","ERROR")</f>
        <v>#VALUE!</v>
      </c>
      <c r="C1095" s="15" t="e" cm="1">
        <f t="array" ref="C1095">_xlfn.SWITCH(LEFT(Tasks[[#This Row],[Type]], 3), "Fie", "Field Report", "Con", "Contractor QC", "Gen", "Contractor QC", "Pun", "Contractor QC", "Qua", "Contractor QC", "Fin", "Punch List")</f>
        <v>#VALUE!</v>
      </c>
      <c r="D1095" s="15" t="e">
        <f>_xlfn.LET(
_xlpm.leftValue, TRIM(LEFT(Tasks[[#This Row],[Description]], 45)),
IF(LEN(_xlpm.leftValue) &lt; 40, _xlpm.leftValue, _xlfn.CONCAT(_xlpm.leftValue, "…"))
)</f>
        <v>#VALUE!</v>
      </c>
      <c r="E1095" s="15" t="e" cm="1">
        <f t="array" ref="E1095">_xlfn.LET(
_xlpm.inTower, COUNTIF(Tower_Num_Table[Tower Rm Numbers], LEFT(Task_Summary_Table[[#This Row],[Area/Room]], 3)) &gt; 0,
_xlpm.typeResult, _xlfn.SWITCH(LEFT(Tasks[[#This Row],[Page]], 2), "Hi", "Historic", "An", "Annex", "Si", "Site", "S5", "Project Task", "SWITCH ERROR"),
IF(_xlpm.inTower, "West Tower", _xlpm.typeResult)
)</f>
        <v>#VALUE!</v>
      </c>
      <c r="F1095" s="15" t="str">
        <f>IFERROR(MID(Tasks[[#This Row],[Page]], FIND("Level", Tasks[[#This Row],[Page]]), 7), IF(ISNUMBER(FIND("Roof", Tasks[[#This Row],[Page]])), "Roof",  IF(ISNUMBER(FIND("S590", Tasks[[#This Row],[Page]])), "",  IF(ISNUMBER(FIND("Site", Tasks[[#This Row],[Page]])), "", "ERROR"))))</f>
        <v>ERROR</v>
      </c>
      <c r="G1095" s="15" t="e">
        <f>IF(Tasks[[#This Row],[Location]]=0, "", Tasks[[#This Row],[Location]])</f>
        <v>#VALUE!</v>
      </c>
      <c r="H1095" s="15" t="e">
        <f>Tasks[[#This Row],[To Package]]</f>
        <v>#VALUE!</v>
      </c>
      <c r="I1095" s="15" t="e">
        <f>Tasks[[#This Row],[To Organisation]]</f>
        <v>#VALUE!</v>
      </c>
    </row>
    <row r="1096" spans="1:9" ht="15.5" x14ac:dyDescent="0.35">
      <c r="A1096" s="16" t="e">
        <f>HYPERLINK(_xlfn.CONCAT(Edit_URL,Tasks[[#This Row],[Ref]]),Tasks[[#This Row],[Ref]])</f>
        <v>#VALUE!</v>
      </c>
      <c r="B1096" s="15" t="e" cm="1">
        <f t="array" ref="B1096">_xlfn.SWITCH(LEFT(Tasks[[#This Row],[Status]],1),"O","Opened","C","Completed","S","Signed Off", "V", "Signed Off","ERROR")</f>
        <v>#VALUE!</v>
      </c>
      <c r="C1096" s="15" t="e" cm="1">
        <f t="array" ref="C1096">_xlfn.SWITCH(LEFT(Tasks[[#This Row],[Type]], 3), "Fie", "Field Report", "Con", "Contractor QC", "Gen", "Contractor QC", "Pun", "Contractor QC", "Qua", "Contractor QC", "Fin", "Punch List")</f>
        <v>#VALUE!</v>
      </c>
      <c r="D1096" s="15" t="e">
        <f>_xlfn.LET(
_xlpm.leftValue, TRIM(LEFT(Tasks[[#This Row],[Description]], 45)),
IF(LEN(_xlpm.leftValue) &lt; 40, _xlpm.leftValue, _xlfn.CONCAT(_xlpm.leftValue, "…"))
)</f>
        <v>#VALUE!</v>
      </c>
      <c r="E1096" s="15" t="e" cm="1">
        <f t="array" ref="E1096">_xlfn.LET(
_xlpm.inTower, COUNTIF(Tower_Num_Table[Tower Rm Numbers], LEFT(Task_Summary_Table[[#This Row],[Area/Room]], 3)) &gt; 0,
_xlpm.typeResult, _xlfn.SWITCH(LEFT(Tasks[[#This Row],[Page]], 2), "Hi", "Historic", "An", "Annex", "Si", "Site", "S5", "Project Task", "SWITCH ERROR"),
IF(_xlpm.inTower, "West Tower", _xlpm.typeResult)
)</f>
        <v>#VALUE!</v>
      </c>
      <c r="F1096" s="15" t="str">
        <f>IFERROR(MID(Tasks[[#This Row],[Page]], FIND("Level", Tasks[[#This Row],[Page]]), 7), IF(ISNUMBER(FIND("Roof", Tasks[[#This Row],[Page]])), "Roof",  IF(ISNUMBER(FIND("S590", Tasks[[#This Row],[Page]])), "",  IF(ISNUMBER(FIND("Site", Tasks[[#This Row],[Page]])), "", "ERROR"))))</f>
        <v>ERROR</v>
      </c>
      <c r="G1096" s="15" t="e">
        <f>IF(Tasks[[#This Row],[Location]]=0, "", Tasks[[#This Row],[Location]])</f>
        <v>#VALUE!</v>
      </c>
      <c r="H1096" s="15" t="e">
        <f>Tasks[[#This Row],[To Package]]</f>
        <v>#VALUE!</v>
      </c>
      <c r="I1096" s="15" t="e">
        <f>Tasks[[#This Row],[To Organisation]]</f>
        <v>#VALUE!</v>
      </c>
    </row>
    <row r="1097" spans="1:9" ht="15.5" x14ac:dyDescent="0.35">
      <c r="A1097" s="16" t="e">
        <f>HYPERLINK(_xlfn.CONCAT(Edit_URL,Tasks[[#This Row],[Ref]]),Tasks[[#This Row],[Ref]])</f>
        <v>#VALUE!</v>
      </c>
      <c r="B1097" s="15" t="e" cm="1">
        <f t="array" ref="B1097">_xlfn.SWITCH(LEFT(Tasks[[#This Row],[Status]],1),"O","Opened","C","Completed","S","Signed Off", "V", "Signed Off","ERROR")</f>
        <v>#VALUE!</v>
      </c>
      <c r="C1097" s="15" t="e" cm="1">
        <f t="array" ref="C1097">_xlfn.SWITCH(LEFT(Tasks[[#This Row],[Type]], 3), "Fie", "Field Report", "Con", "Contractor QC", "Gen", "Contractor QC", "Pun", "Contractor QC", "Qua", "Contractor QC", "Fin", "Punch List")</f>
        <v>#VALUE!</v>
      </c>
      <c r="D1097" s="15" t="e">
        <f>_xlfn.LET(
_xlpm.leftValue, TRIM(LEFT(Tasks[[#This Row],[Description]], 45)),
IF(LEN(_xlpm.leftValue) &lt; 40, _xlpm.leftValue, _xlfn.CONCAT(_xlpm.leftValue, "…"))
)</f>
        <v>#VALUE!</v>
      </c>
      <c r="E1097" s="15" t="e" cm="1">
        <f t="array" ref="E1097">_xlfn.LET(
_xlpm.inTower, COUNTIF(Tower_Num_Table[Tower Rm Numbers], LEFT(Task_Summary_Table[[#This Row],[Area/Room]], 3)) &gt; 0,
_xlpm.typeResult, _xlfn.SWITCH(LEFT(Tasks[[#This Row],[Page]], 2), "Hi", "Historic", "An", "Annex", "Si", "Site", "S5", "Project Task", "SWITCH ERROR"),
IF(_xlpm.inTower, "West Tower", _xlpm.typeResult)
)</f>
        <v>#VALUE!</v>
      </c>
      <c r="F1097" s="15" t="str">
        <f>IFERROR(MID(Tasks[[#This Row],[Page]], FIND("Level", Tasks[[#This Row],[Page]]), 7), IF(ISNUMBER(FIND("Roof", Tasks[[#This Row],[Page]])), "Roof",  IF(ISNUMBER(FIND("S590", Tasks[[#This Row],[Page]])), "",  IF(ISNUMBER(FIND("Site", Tasks[[#This Row],[Page]])), "", "ERROR"))))</f>
        <v>ERROR</v>
      </c>
      <c r="G1097" s="15" t="e">
        <f>IF(Tasks[[#This Row],[Location]]=0, "", Tasks[[#This Row],[Location]])</f>
        <v>#VALUE!</v>
      </c>
      <c r="H1097" s="15" t="e">
        <f>Tasks[[#This Row],[To Package]]</f>
        <v>#VALUE!</v>
      </c>
      <c r="I1097" s="15" t="e">
        <f>Tasks[[#This Row],[To Organisation]]</f>
        <v>#VALUE!</v>
      </c>
    </row>
    <row r="1098" spans="1:9" ht="15.5" x14ac:dyDescent="0.35">
      <c r="A1098" s="16" t="e">
        <f>HYPERLINK(_xlfn.CONCAT(Edit_URL,Tasks[[#This Row],[Ref]]),Tasks[[#This Row],[Ref]])</f>
        <v>#VALUE!</v>
      </c>
      <c r="B1098" s="15" t="e" cm="1">
        <f t="array" ref="B1098">_xlfn.SWITCH(LEFT(Tasks[[#This Row],[Status]],1),"O","Opened","C","Completed","S","Signed Off", "V", "Signed Off","ERROR")</f>
        <v>#VALUE!</v>
      </c>
      <c r="C1098" s="15" t="e" cm="1">
        <f t="array" ref="C1098">_xlfn.SWITCH(LEFT(Tasks[[#This Row],[Type]], 3), "Fie", "Field Report", "Con", "Contractor QC", "Gen", "Contractor QC", "Pun", "Contractor QC", "Qua", "Contractor QC", "Fin", "Punch List")</f>
        <v>#VALUE!</v>
      </c>
      <c r="D1098" s="15" t="e">
        <f>_xlfn.LET(
_xlpm.leftValue, TRIM(LEFT(Tasks[[#This Row],[Description]], 45)),
IF(LEN(_xlpm.leftValue) &lt; 40, _xlpm.leftValue, _xlfn.CONCAT(_xlpm.leftValue, "…"))
)</f>
        <v>#VALUE!</v>
      </c>
      <c r="E1098" s="15" t="e" cm="1">
        <f t="array" ref="E1098">_xlfn.LET(
_xlpm.inTower, COUNTIF(Tower_Num_Table[Tower Rm Numbers], LEFT(Task_Summary_Table[[#This Row],[Area/Room]], 3)) &gt; 0,
_xlpm.typeResult, _xlfn.SWITCH(LEFT(Tasks[[#This Row],[Page]], 2), "Hi", "Historic", "An", "Annex", "Si", "Site", "S5", "Project Task", "SWITCH ERROR"),
IF(_xlpm.inTower, "West Tower", _xlpm.typeResult)
)</f>
        <v>#VALUE!</v>
      </c>
      <c r="F1098" s="15" t="str">
        <f>IFERROR(MID(Tasks[[#This Row],[Page]], FIND("Level", Tasks[[#This Row],[Page]]), 7), IF(ISNUMBER(FIND("Roof", Tasks[[#This Row],[Page]])), "Roof",  IF(ISNUMBER(FIND("S590", Tasks[[#This Row],[Page]])), "",  IF(ISNUMBER(FIND("Site", Tasks[[#This Row],[Page]])), "", "ERROR"))))</f>
        <v>ERROR</v>
      </c>
      <c r="G1098" s="15" t="e">
        <f>IF(Tasks[[#This Row],[Location]]=0, "", Tasks[[#This Row],[Location]])</f>
        <v>#VALUE!</v>
      </c>
      <c r="H1098" s="15" t="e">
        <f>Tasks[[#This Row],[To Package]]</f>
        <v>#VALUE!</v>
      </c>
      <c r="I1098" s="15" t="e">
        <f>Tasks[[#This Row],[To Organisation]]</f>
        <v>#VALUE!</v>
      </c>
    </row>
    <row r="1099" spans="1:9" ht="15.5" x14ac:dyDescent="0.35">
      <c r="A1099" s="16" t="e">
        <f>HYPERLINK(_xlfn.CONCAT(Edit_URL,Tasks[[#This Row],[Ref]]),Tasks[[#This Row],[Ref]])</f>
        <v>#VALUE!</v>
      </c>
      <c r="B1099" s="15" t="e" cm="1">
        <f t="array" ref="B1099">_xlfn.SWITCH(LEFT(Tasks[[#This Row],[Status]],1),"O","Opened","C","Completed","S","Signed Off", "V", "Signed Off","ERROR")</f>
        <v>#VALUE!</v>
      </c>
      <c r="C1099" s="15" t="e" cm="1">
        <f t="array" ref="C1099">_xlfn.SWITCH(LEFT(Tasks[[#This Row],[Type]], 3), "Fie", "Field Report", "Con", "Contractor QC", "Gen", "Contractor QC", "Pun", "Contractor QC", "Qua", "Contractor QC", "Fin", "Punch List")</f>
        <v>#VALUE!</v>
      </c>
      <c r="D1099" s="15" t="e">
        <f>_xlfn.LET(
_xlpm.leftValue, TRIM(LEFT(Tasks[[#This Row],[Description]], 45)),
IF(LEN(_xlpm.leftValue) &lt; 40, _xlpm.leftValue, _xlfn.CONCAT(_xlpm.leftValue, "…"))
)</f>
        <v>#VALUE!</v>
      </c>
      <c r="E1099" s="15" t="e" cm="1">
        <f t="array" ref="E1099">_xlfn.LET(
_xlpm.inTower, COUNTIF(Tower_Num_Table[Tower Rm Numbers], LEFT(Task_Summary_Table[[#This Row],[Area/Room]], 3)) &gt; 0,
_xlpm.typeResult, _xlfn.SWITCH(LEFT(Tasks[[#This Row],[Page]], 2), "Hi", "Historic", "An", "Annex", "Si", "Site", "S5", "Project Task", "SWITCH ERROR"),
IF(_xlpm.inTower, "West Tower", _xlpm.typeResult)
)</f>
        <v>#VALUE!</v>
      </c>
      <c r="F1099" s="15" t="str">
        <f>IFERROR(MID(Tasks[[#This Row],[Page]], FIND("Level", Tasks[[#This Row],[Page]]), 7), IF(ISNUMBER(FIND("Roof", Tasks[[#This Row],[Page]])), "Roof",  IF(ISNUMBER(FIND("S590", Tasks[[#This Row],[Page]])), "",  IF(ISNUMBER(FIND("Site", Tasks[[#This Row],[Page]])), "", "ERROR"))))</f>
        <v>ERROR</v>
      </c>
      <c r="G1099" s="15" t="e">
        <f>IF(Tasks[[#This Row],[Location]]=0, "", Tasks[[#This Row],[Location]])</f>
        <v>#VALUE!</v>
      </c>
      <c r="H1099" s="15" t="e">
        <f>Tasks[[#This Row],[To Package]]</f>
        <v>#VALUE!</v>
      </c>
      <c r="I1099" s="15" t="e">
        <f>Tasks[[#This Row],[To Organisation]]</f>
        <v>#VALUE!</v>
      </c>
    </row>
    <row r="1100" spans="1:9" ht="15.5" x14ac:dyDescent="0.35">
      <c r="A1100" s="16" t="e">
        <f>HYPERLINK(_xlfn.CONCAT(Edit_URL,Tasks[[#This Row],[Ref]]),Tasks[[#This Row],[Ref]])</f>
        <v>#VALUE!</v>
      </c>
      <c r="B1100" s="15" t="e" cm="1">
        <f t="array" ref="B1100">_xlfn.SWITCH(LEFT(Tasks[[#This Row],[Status]],1),"O","Opened","C","Completed","S","Signed Off", "V", "Signed Off","ERROR")</f>
        <v>#VALUE!</v>
      </c>
      <c r="C1100" s="15" t="e" cm="1">
        <f t="array" ref="C1100">_xlfn.SWITCH(LEFT(Tasks[[#This Row],[Type]], 3), "Fie", "Field Report", "Con", "Contractor QC", "Gen", "Contractor QC", "Pun", "Contractor QC", "Qua", "Contractor QC", "Fin", "Punch List")</f>
        <v>#VALUE!</v>
      </c>
      <c r="D1100" s="15" t="e">
        <f>_xlfn.LET(
_xlpm.leftValue, TRIM(LEFT(Tasks[[#This Row],[Description]], 45)),
IF(LEN(_xlpm.leftValue) &lt; 40, _xlpm.leftValue, _xlfn.CONCAT(_xlpm.leftValue, "…"))
)</f>
        <v>#VALUE!</v>
      </c>
      <c r="E1100" s="15" t="e" cm="1">
        <f t="array" ref="E1100">_xlfn.LET(
_xlpm.inTower, COUNTIF(Tower_Num_Table[Tower Rm Numbers], LEFT(Task_Summary_Table[[#This Row],[Area/Room]], 3)) &gt; 0,
_xlpm.typeResult, _xlfn.SWITCH(LEFT(Tasks[[#This Row],[Page]], 2), "Hi", "Historic", "An", "Annex", "Si", "Site", "S5", "Project Task", "SWITCH ERROR"),
IF(_xlpm.inTower, "West Tower", _xlpm.typeResult)
)</f>
        <v>#VALUE!</v>
      </c>
      <c r="F1100" s="15" t="str">
        <f>IFERROR(MID(Tasks[[#This Row],[Page]], FIND("Level", Tasks[[#This Row],[Page]]), 7), IF(ISNUMBER(FIND("Roof", Tasks[[#This Row],[Page]])), "Roof",  IF(ISNUMBER(FIND("S590", Tasks[[#This Row],[Page]])), "",  IF(ISNUMBER(FIND("Site", Tasks[[#This Row],[Page]])), "", "ERROR"))))</f>
        <v>ERROR</v>
      </c>
      <c r="G1100" s="15" t="e">
        <f>IF(Tasks[[#This Row],[Location]]=0, "", Tasks[[#This Row],[Location]])</f>
        <v>#VALUE!</v>
      </c>
      <c r="H1100" s="15" t="e">
        <f>Tasks[[#This Row],[To Package]]</f>
        <v>#VALUE!</v>
      </c>
      <c r="I1100" s="15" t="e">
        <f>Tasks[[#This Row],[To Organisation]]</f>
        <v>#VALUE!</v>
      </c>
    </row>
    <row r="1101" spans="1:9" ht="15.5" x14ac:dyDescent="0.35">
      <c r="A1101" s="16" t="e">
        <f>HYPERLINK(_xlfn.CONCAT(Edit_URL,Tasks[[#This Row],[Ref]]),Tasks[[#This Row],[Ref]])</f>
        <v>#VALUE!</v>
      </c>
      <c r="B1101" s="15" t="e" cm="1">
        <f t="array" ref="B1101">_xlfn.SWITCH(LEFT(Tasks[[#This Row],[Status]],1),"O","Opened","C","Completed","S","Signed Off", "V", "Signed Off","ERROR")</f>
        <v>#VALUE!</v>
      </c>
      <c r="C1101" s="15" t="e" cm="1">
        <f t="array" ref="C1101">_xlfn.SWITCH(LEFT(Tasks[[#This Row],[Type]], 3), "Fie", "Field Report", "Con", "Contractor QC", "Gen", "Contractor QC", "Pun", "Contractor QC", "Qua", "Contractor QC", "Fin", "Punch List")</f>
        <v>#VALUE!</v>
      </c>
      <c r="D1101" s="15" t="e">
        <f>_xlfn.LET(
_xlpm.leftValue, TRIM(LEFT(Tasks[[#This Row],[Description]], 45)),
IF(LEN(_xlpm.leftValue) &lt; 40, _xlpm.leftValue, _xlfn.CONCAT(_xlpm.leftValue, "…"))
)</f>
        <v>#VALUE!</v>
      </c>
      <c r="E1101" s="15" t="e" cm="1">
        <f t="array" ref="E1101">_xlfn.LET(
_xlpm.inTower, COUNTIF(Tower_Num_Table[Tower Rm Numbers], LEFT(Task_Summary_Table[[#This Row],[Area/Room]], 3)) &gt; 0,
_xlpm.typeResult, _xlfn.SWITCH(LEFT(Tasks[[#This Row],[Page]], 2), "Hi", "Historic", "An", "Annex", "Si", "Site", "S5", "Project Task", "SWITCH ERROR"),
IF(_xlpm.inTower, "West Tower", _xlpm.typeResult)
)</f>
        <v>#VALUE!</v>
      </c>
      <c r="F1101" s="15" t="str">
        <f>IFERROR(MID(Tasks[[#This Row],[Page]], FIND("Level", Tasks[[#This Row],[Page]]), 7), IF(ISNUMBER(FIND("Roof", Tasks[[#This Row],[Page]])), "Roof",  IF(ISNUMBER(FIND("S590", Tasks[[#This Row],[Page]])), "",  IF(ISNUMBER(FIND("Site", Tasks[[#This Row],[Page]])), "", "ERROR"))))</f>
        <v>ERROR</v>
      </c>
      <c r="G1101" s="15" t="e">
        <f>IF(Tasks[[#This Row],[Location]]=0, "", Tasks[[#This Row],[Location]])</f>
        <v>#VALUE!</v>
      </c>
      <c r="H1101" s="15" t="e">
        <f>Tasks[[#This Row],[To Package]]</f>
        <v>#VALUE!</v>
      </c>
      <c r="I1101" s="15" t="e">
        <f>Tasks[[#This Row],[To Organisation]]</f>
        <v>#VALUE!</v>
      </c>
    </row>
    <row r="1102" spans="1:9" ht="15.5" x14ac:dyDescent="0.35">
      <c r="A1102" s="16" t="e">
        <f>HYPERLINK(_xlfn.CONCAT(Edit_URL,Tasks[[#This Row],[Ref]]),Tasks[[#This Row],[Ref]])</f>
        <v>#VALUE!</v>
      </c>
      <c r="B1102" s="15" t="e" cm="1">
        <f t="array" ref="B1102">_xlfn.SWITCH(LEFT(Tasks[[#This Row],[Status]],1),"O","Opened","C","Completed","S","Signed Off", "V", "Signed Off","ERROR")</f>
        <v>#VALUE!</v>
      </c>
      <c r="C1102" s="15" t="e" cm="1">
        <f t="array" ref="C1102">_xlfn.SWITCH(LEFT(Tasks[[#This Row],[Type]], 3), "Fie", "Field Report", "Con", "Contractor QC", "Gen", "Contractor QC", "Pun", "Contractor QC", "Qua", "Contractor QC", "Fin", "Punch List")</f>
        <v>#VALUE!</v>
      </c>
      <c r="D1102" s="15" t="e">
        <f>_xlfn.LET(
_xlpm.leftValue, TRIM(LEFT(Tasks[[#This Row],[Description]], 45)),
IF(LEN(_xlpm.leftValue) &lt; 40, _xlpm.leftValue, _xlfn.CONCAT(_xlpm.leftValue, "…"))
)</f>
        <v>#VALUE!</v>
      </c>
      <c r="E1102" s="15" t="e" cm="1">
        <f t="array" ref="E1102">_xlfn.LET(
_xlpm.inTower, COUNTIF(Tower_Num_Table[Tower Rm Numbers], LEFT(Task_Summary_Table[[#This Row],[Area/Room]], 3)) &gt; 0,
_xlpm.typeResult, _xlfn.SWITCH(LEFT(Tasks[[#This Row],[Page]], 2), "Hi", "Historic", "An", "Annex", "Si", "Site", "S5", "Project Task", "SWITCH ERROR"),
IF(_xlpm.inTower, "West Tower", _xlpm.typeResult)
)</f>
        <v>#VALUE!</v>
      </c>
      <c r="F1102" s="15" t="str">
        <f>IFERROR(MID(Tasks[[#This Row],[Page]], FIND("Level", Tasks[[#This Row],[Page]]), 7), IF(ISNUMBER(FIND("Roof", Tasks[[#This Row],[Page]])), "Roof",  IF(ISNUMBER(FIND("S590", Tasks[[#This Row],[Page]])), "",  IF(ISNUMBER(FIND("Site", Tasks[[#This Row],[Page]])), "", "ERROR"))))</f>
        <v>ERROR</v>
      </c>
      <c r="G1102" s="15" t="e">
        <f>IF(Tasks[[#This Row],[Location]]=0, "", Tasks[[#This Row],[Location]])</f>
        <v>#VALUE!</v>
      </c>
      <c r="H1102" s="15" t="e">
        <f>Tasks[[#This Row],[To Package]]</f>
        <v>#VALUE!</v>
      </c>
      <c r="I1102" s="15" t="e">
        <f>Tasks[[#This Row],[To Organisation]]</f>
        <v>#VALUE!</v>
      </c>
    </row>
    <row r="1103" spans="1:9" ht="15.5" x14ac:dyDescent="0.35">
      <c r="A1103" s="16" t="e">
        <f>HYPERLINK(_xlfn.CONCAT(Edit_URL,Tasks[[#This Row],[Ref]]),Tasks[[#This Row],[Ref]])</f>
        <v>#VALUE!</v>
      </c>
      <c r="B1103" s="15" t="e" cm="1">
        <f t="array" ref="B1103">_xlfn.SWITCH(LEFT(Tasks[[#This Row],[Status]],1),"O","Opened","C","Completed","S","Signed Off", "V", "Signed Off","ERROR")</f>
        <v>#VALUE!</v>
      </c>
      <c r="C1103" s="15" t="e" cm="1">
        <f t="array" ref="C1103">_xlfn.SWITCH(LEFT(Tasks[[#This Row],[Type]], 3), "Fie", "Field Report", "Con", "Contractor QC", "Gen", "Contractor QC", "Pun", "Contractor QC", "Qua", "Contractor QC", "Fin", "Punch List")</f>
        <v>#VALUE!</v>
      </c>
      <c r="D1103" s="15" t="e">
        <f>_xlfn.LET(
_xlpm.leftValue, TRIM(LEFT(Tasks[[#This Row],[Description]], 45)),
IF(LEN(_xlpm.leftValue) &lt; 40, _xlpm.leftValue, _xlfn.CONCAT(_xlpm.leftValue, "…"))
)</f>
        <v>#VALUE!</v>
      </c>
      <c r="E1103" s="15" t="e" cm="1">
        <f t="array" ref="E1103">_xlfn.LET(
_xlpm.inTower, COUNTIF(Tower_Num_Table[Tower Rm Numbers], LEFT(Task_Summary_Table[[#This Row],[Area/Room]], 3)) &gt; 0,
_xlpm.typeResult, _xlfn.SWITCH(LEFT(Tasks[[#This Row],[Page]], 2), "Hi", "Historic", "An", "Annex", "Si", "Site", "S5", "Project Task", "SWITCH ERROR"),
IF(_xlpm.inTower, "West Tower", _xlpm.typeResult)
)</f>
        <v>#VALUE!</v>
      </c>
      <c r="F1103" s="15" t="str">
        <f>IFERROR(MID(Tasks[[#This Row],[Page]], FIND("Level", Tasks[[#This Row],[Page]]), 7), IF(ISNUMBER(FIND("Roof", Tasks[[#This Row],[Page]])), "Roof",  IF(ISNUMBER(FIND("S590", Tasks[[#This Row],[Page]])), "",  IF(ISNUMBER(FIND("Site", Tasks[[#This Row],[Page]])), "", "ERROR"))))</f>
        <v>ERROR</v>
      </c>
      <c r="G1103" s="15" t="e">
        <f>IF(Tasks[[#This Row],[Location]]=0, "", Tasks[[#This Row],[Location]])</f>
        <v>#VALUE!</v>
      </c>
      <c r="H1103" s="15" t="e">
        <f>Tasks[[#This Row],[To Package]]</f>
        <v>#VALUE!</v>
      </c>
      <c r="I1103" s="15" t="e">
        <f>Tasks[[#This Row],[To Organisation]]</f>
        <v>#VALUE!</v>
      </c>
    </row>
    <row r="1104" spans="1:9" ht="15.5" x14ac:dyDescent="0.35">
      <c r="A1104" s="16" t="e">
        <f>HYPERLINK(_xlfn.CONCAT(Edit_URL,Tasks[[#This Row],[Ref]]),Tasks[[#This Row],[Ref]])</f>
        <v>#VALUE!</v>
      </c>
      <c r="B1104" s="15" t="e" cm="1">
        <f t="array" ref="B1104">_xlfn.SWITCH(LEFT(Tasks[[#This Row],[Status]],1),"O","Opened","C","Completed","S","Signed Off", "V", "Signed Off","ERROR")</f>
        <v>#VALUE!</v>
      </c>
      <c r="C1104" s="15" t="e" cm="1">
        <f t="array" ref="C1104">_xlfn.SWITCH(LEFT(Tasks[[#This Row],[Type]], 3), "Fie", "Field Report", "Con", "Contractor QC", "Gen", "Contractor QC", "Pun", "Contractor QC", "Qua", "Contractor QC", "Fin", "Punch List")</f>
        <v>#VALUE!</v>
      </c>
      <c r="D1104" s="15" t="e">
        <f>_xlfn.LET(
_xlpm.leftValue, TRIM(LEFT(Tasks[[#This Row],[Description]], 45)),
IF(LEN(_xlpm.leftValue) &lt; 40, _xlpm.leftValue, _xlfn.CONCAT(_xlpm.leftValue, "…"))
)</f>
        <v>#VALUE!</v>
      </c>
      <c r="E1104" s="15" t="e" cm="1">
        <f t="array" ref="E1104">_xlfn.LET(
_xlpm.inTower, COUNTIF(Tower_Num_Table[Tower Rm Numbers], LEFT(Task_Summary_Table[[#This Row],[Area/Room]], 3)) &gt; 0,
_xlpm.typeResult, _xlfn.SWITCH(LEFT(Tasks[[#This Row],[Page]], 2), "Hi", "Historic", "An", "Annex", "Si", "Site", "S5", "Project Task", "SWITCH ERROR"),
IF(_xlpm.inTower, "West Tower", _xlpm.typeResult)
)</f>
        <v>#VALUE!</v>
      </c>
      <c r="F1104" s="15" t="str">
        <f>IFERROR(MID(Tasks[[#This Row],[Page]], FIND("Level", Tasks[[#This Row],[Page]]), 7), IF(ISNUMBER(FIND("Roof", Tasks[[#This Row],[Page]])), "Roof",  IF(ISNUMBER(FIND("S590", Tasks[[#This Row],[Page]])), "",  IF(ISNUMBER(FIND("Site", Tasks[[#This Row],[Page]])), "", "ERROR"))))</f>
        <v>ERROR</v>
      </c>
      <c r="G1104" s="15" t="e">
        <f>IF(Tasks[[#This Row],[Location]]=0, "", Tasks[[#This Row],[Location]])</f>
        <v>#VALUE!</v>
      </c>
      <c r="H1104" s="15" t="e">
        <f>Tasks[[#This Row],[To Package]]</f>
        <v>#VALUE!</v>
      </c>
      <c r="I1104" s="15" t="e">
        <f>Tasks[[#This Row],[To Organisation]]</f>
        <v>#VALUE!</v>
      </c>
    </row>
    <row r="1105" spans="1:9" ht="15.5" x14ac:dyDescent="0.35">
      <c r="A1105" s="16" t="e">
        <f>HYPERLINK(_xlfn.CONCAT(Edit_URL,Tasks[[#This Row],[Ref]]),Tasks[[#This Row],[Ref]])</f>
        <v>#VALUE!</v>
      </c>
      <c r="B1105" s="15" t="e" cm="1">
        <f t="array" ref="B1105">_xlfn.SWITCH(LEFT(Tasks[[#This Row],[Status]],1),"O","Opened","C","Completed","S","Signed Off", "V", "Signed Off","ERROR")</f>
        <v>#VALUE!</v>
      </c>
      <c r="C1105" s="15" t="e" cm="1">
        <f t="array" ref="C1105">_xlfn.SWITCH(LEFT(Tasks[[#This Row],[Type]], 3), "Fie", "Field Report", "Con", "Contractor QC", "Gen", "Contractor QC", "Pun", "Contractor QC", "Qua", "Contractor QC", "Fin", "Punch List")</f>
        <v>#VALUE!</v>
      </c>
      <c r="D1105" s="15" t="e">
        <f>_xlfn.LET(
_xlpm.leftValue, TRIM(LEFT(Tasks[[#This Row],[Description]], 45)),
IF(LEN(_xlpm.leftValue) &lt; 40, _xlpm.leftValue, _xlfn.CONCAT(_xlpm.leftValue, "…"))
)</f>
        <v>#VALUE!</v>
      </c>
      <c r="E1105" s="15" t="e" cm="1">
        <f t="array" ref="E1105">_xlfn.LET(
_xlpm.inTower, COUNTIF(Tower_Num_Table[Tower Rm Numbers], LEFT(Task_Summary_Table[[#This Row],[Area/Room]], 3)) &gt; 0,
_xlpm.typeResult, _xlfn.SWITCH(LEFT(Tasks[[#This Row],[Page]], 2), "Hi", "Historic", "An", "Annex", "Si", "Site", "S5", "Project Task", "SWITCH ERROR"),
IF(_xlpm.inTower, "West Tower", _xlpm.typeResult)
)</f>
        <v>#VALUE!</v>
      </c>
      <c r="F1105" s="15" t="str">
        <f>IFERROR(MID(Tasks[[#This Row],[Page]], FIND("Level", Tasks[[#This Row],[Page]]), 7), IF(ISNUMBER(FIND("Roof", Tasks[[#This Row],[Page]])), "Roof",  IF(ISNUMBER(FIND("S590", Tasks[[#This Row],[Page]])), "",  IF(ISNUMBER(FIND("Site", Tasks[[#This Row],[Page]])), "", "ERROR"))))</f>
        <v>ERROR</v>
      </c>
      <c r="G1105" s="15" t="e">
        <f>IF(Tasks[[#This Row],[Location]]=0, "", Tasks[[#This Row],[Location]])</f>
        <v>#VALUE!</v>
      </c>
      <c r="H1105" s="15" t="e">
        <f>Tasks[[#This Row],[To Package]]</f>
        <v>#VALUE!</v>
      </c>
      <c r="I1105" s="15" t="e">
        <f>Tasks[[#This Row],[To Organisation]]</f>
        <v>#VALUE!</v>
      </c>
    </row>
    <row r="1106" spans="1:9" ht="15.5" x14ac:dyDescent="0.35">
      <c r="A1106" s="16" t="e">
        <f>HYPERLINK(_xlfn.CONCAT(Edit_URL,Tasks[[#This Row],[Ref]]),Tasks[[#This Row],[Ref]])</f>
        <v>#VALUE!</v>
      </c>
      <c r="B1106" s="15" t="e" cm="1">
        <f t="array" ref="B1106">_xlfn.SWITCH(LEFT(Tasks[[#This Row],[Status]],1),"O","Opened","C","Completed","S","Signed Off", "V", "Signed Off","ERROR")</f>
        <v>#VALUE!</v>
      </c>
      <c r="C1106" s="15" t="e" cm="1">
        <f t="array" ref="C1106">_xlfn.SWITCH(LEFT(Tasks[[#This Row],[Type]], 3), "Fie", "Field Report", "Con", "Contractor QC", "Gen", "Contractor QC", "Pun", "Contractor QC", "Qua", "Contractor QC", "Fin", "Punch List")</f>
        <v>#VALUE!</v>
      </c>
      <c r="D1106" s="15" t="e">
        <f>_xlfn.LET(
_xlpm.leftValue, TRIM(LEFT(Tasks[[#This Row],[Description]], 45)),
IF(LEN(_xlpm.leftValue) &lt; 40, _xlpm.leftValue, _xlfn.CONCAT(_xlpm.leftValue, "…"))
)</f>
        <v>#VALUE!</v>
      </c>
      <c r="E1106" s="15" t="e" cm="1">
        <f t="array" ref="E1106">_xlfn.LET(
_xlpm.inTower, COUNTIF(Tower_Num_Table[Tower Rm Numbers], LEFT(Task_Summary_Table[[#This Row],[Area/Room]], 3)) &gt; 0,
_xlpm.typeResult, _xlfn.SWITCH(LEFT(Tasks[[#This Row],[Page]], 2), "Hi", "Historic", "An", "Annex", "Si", "Site", "S5", "Project Task", "SWITCH ERROR"),
IF(_xlpm.inTower, "West Tower", _xlpm.typeResult)
)</f>
        <v>#VALUE!</v>
      </c>
      <c r="F1106" s="15" t="str">
        <f>IFERROR(MID(Tasks[[#This Row],[Page]], FIND("Level", Tasks[[#This Row],[Page]]), 7), IF(ISNUMBER(FIND("Roof", Tasks[[#This Row],[Page]])), "Roof",  IF(ISNUMBER(FIND("S590", Tasks[[#This Row],[Page]])), "",  IF(ISNUMBER(FIND("Site", Tasks[[#This Row],[Page]])), "", "ERROR"))))</f>
        <v>ERROR</v>
      </c>
      <c r="G1106" s="15" t="e">
        <f>IF(Tasks[[#This Row],[Location]]=0, "", Tasks[[#This Row],[Location]])</f>
        <v>#VALUE!</v>
      </c>
      <c r="H1106" s="15" t="e">
        <f>Tasks[[#This Row],[To Package]]</f>
        <v>#VALUE!</v>
      </c>
      <c r="I1106" s="15" t="e">
        <f>Tasks[[#This Row],[To Organisation]]</f>
        <v>#VALUE!</v>
      </c>
    </row>
    <row r="1107" spans="1:9" ht="15.5" x14ac:dyDescent="0.35">
      <c r="A1107" s="16" t="e">
        <f>HYPERLINK(_xlfn.CONCAT(Edit_URL,Tasks[[#This Row],[Ref]]),Tasks[[#This Row],[Ref]])</f>
        <v>#VALUE!</v>
      </c>
      <c r="B1107" s="15" t="e" cm="1">
        <f t="array" ref="B1107">_xlfn.SWITCH(LEFT(Tasks[[#This Row],[Status]],1),"O","Opened","C","Completed","S","Signed Off", "V", "Signed Off","ERROR")</f>
        <v>#VALUE!</v>
      </c>
      <c r="C1107" s="15" t="e" cm="1">
        <f t="array" ref="C1107">_xlfn.SWITCH(LEFT(Tasks[[#This Row],[Type]], 3), "Fie", "Field Report", "Con", "Contractor QC", "Gen", "Contractor QC", "Pun", "Contractor QC", "Qua", "Contractor QC", "Fin", "Punch List")</f>
        <v>#VALUE!</v>
      </c>
      <c r="D1107" s="15" t="e">
        <f>_xlfn.LET(
_xlpm.leftValue, TRIM(LEFT(Tasks[[#This Row],[Description]], 45)),
IF(LEN(_xlpm.leftValue) &lt; 40, _xlpm.leftValue, _xlfn.CONCAT(_xlpm.leftValue, "…"))
)</f>
        <v>#VALUE!</v>
      </c>
      <c r="E1107" s="15" t="e" cm="1">
        <f t="array" ref="E1107">_xlfn.LET(
_xlpm.inTower, COUNTIF(Tower_Num_Table[Tower Rm Numbers], LEFT(Task_Summary_Table[[#This Row],[Area/Room]], 3)) &gt; 0,
_xlpm.typeResult, _xlfn.SWITCH(LEFT(Tasks[[#This Row],[Page]], 2), "Hi", "Historic", "An", "Annex", "Si", "Site", "S5", "Project Task", "SWITCH ERROR"),
IF(_xlpm.inTower, "West Tower", _xlpm.typeResult)
)</f>
        <v>#VALUE!</v>
      </c>
      <c r="F1107" s="15" t="str">
        <f>IFERROR(MID(Tasks[[#This Row],[Page]], FIND("Level", Tasks[[#This Row],[Page]]), 7), IF(ISNUMBER(FIND("Roof", Tasks[[#This Row],[Page]])), "Roof",  IF(ISNUMBER(FIND("S590", Tasks[[#This Row],[Page]])), "",  IF(ISNUMBER(FIND("Site", Tasks[[#This Row],[Page]])), "", "ERROR"))))</f>
        <v>ERROR</v>
      </c>
      <c r="G1107" s="15" t="e">
        <f>IF(Tasks[[#This Row],[Location]]=0, "", Tasks[[#This Row],[Location]])</f>
        <v>#VALUE!</v>
      </c>
      <c r="H1107" s="15" t="e">
        <f>Tasks[[#This Row],[To Package]]</f>
        <v>#VALUE!</v>
      </c>
      <c r="I1107" s="15" t="e">
        <f>Tasks[[#This Row],[To Organisation]]</f>
        <v>#VALUE!</v>
      </c>
    </row>
    <row r="1108" spans="1:9" ht="15.5" x14ac:dyDescent="0.35">
      <c r="A1108" s="16" t="e">
        <f>HYPERLINK(_xlfn.CONCAT(Edit_URL,Tasks[[#This Row],[Ref]]),Tasks[[#This Row],[Ref]])</f>
        <v>#VALUE!</v>
      </c>
      <c r="B1108" s="15" t="e" cm="1">
        <f t="array" ref="B1108">_xlfn.SWITCH(LEFT(Tasks[[#This Row],[Status]],1),"O","Opened","C","Completed","S","Signed Off", "V", "Signed Off","ERROR")</f>
        <v>#VALUE!</v>
      </c>
      <c r="C1108" s="15" t="e" cm="1">
        <f t="array" ref="C1108">_xlfn.SWITCH(LEFT(Tasks[[#This Row],[Type]], 3), "Fie", "Field Report", "Con", "Contractor QC", "Gen", "Contractor QC", "Pun", "Contractor QC", "Qua", "Contractor QC", "Fin", "Punch List")</f>
        <v>#VALUE!</v>
      </c>
      <c r="D1108" s="15" t="e">
        <f>_xlfn.LET(
_xlpm.leftValue, TRIM(LEFT(Tasks[[#This Row],[Description]], 45)),
IF(LEN(_xlpm.leftValue) &lt; 40, _xlpm.leftValue, _xlfn.CONCAT(_xlpm.leftValue, "…"))
)</f>
        <v>#VALUE!</v>
      </c>
      <c r="E1108" s="15" t="e" cm="1">
        <f t="array" ref="E1108">_xlfn.LET(
_xlpm.inTower, COUNTIF(Tower_Num_Table[Tower Rm Numbers], LEFT(Task_Summary_Table[[#This Row],[Area/Room]], 3)) &gt; 0,
_xlpm.typeResult, _xlfn.SWITCH(LEFT(Tasks[[#This Row],[Page]], 2), "Hi", "Historic", "An", "Annex", "Si", "Site", "S5", "Project Task", "SWITCH ERROR"),
IF(_xlpm.inTower, "West Tower", _xlpm.typeResult)
)</f>
        <v>#VALUE!</v>
      </c>
      <c r="F1108" s="15" t="str">
        <f>IFERROR(MID(Tasks[[#This Row],[Page]], FIND("Level", Tasks[[#This Row],[Page]]), 7), IF(ISNUMBER(FIND("Roof", Tasks[[#This Row],[Page]])), "Roof",  IF(ISNUMBER(FIND("S590", Tasks[[#This Row],[Page]])), "",  IF(ISNUMBER(FIND("Site", Tasks[[#This Row],[Page]])), "", "ERROR"))))</f>
        <v>ERROR</v>
      </c>
      <c r="G1108" s="15" t="e">
        <f>IF(Tasks[[#This Row],[Location]]=0, "", Tasks[[#This Row],[Location]])</f>
        <v>#VALUE!</v>
      </c>
      <c r="H1108" s="15" t="e">
        <f>Tasks[[#This Row],[To Package]]</f>
        <v>#VALUE!</v>
      </c>
      <c r="I1108" s="15" t="e">
        <f>Tasks[[#This Row],[To Organisation]]</f>
        <v>#VALUE!</v>
      </c>
    </row>
    <row r="1109" spans="1:9" ht="15.5" x14ac:dyDescent="0.35">
      <c r="A1109" s="16" t="e">
        <f>HYPERLINK(_xlfn.CONCAT(Edit_URL,Tasks[[#This Row],[Ref]]),Tasks[[#This Row],[Ref]])</f>
        <v>#VALUE!</v>
      </c>
      <c r="B1109" s="15" t="e" cm="1">
        <f t="array" ref="B1109">_xlfn.SWITCH(LEFT(Tasks[[#This Row],[Status]],1),"O","Opened","C","Completed","S","Signed Off", "V", "Signed Off","ERROR")</f>
        <v>#VALUE!</v>
      </c>
      <c r="C1109" s="15" t="e" cm="1">
        <f t="array" ref="C1109">_xlfn.SWITCH(LEFT(Tasks[[#This Row],[Type]], 3), "Fie", "Field Report", "Con", "Contractor QC", "Gen", "Contractor QC", "Pun", "Contractor QC", "Qua", "Contractor QC", "Fin", "Punch List")</f>
        <v>#VALUE!</v>
      </c>
      <c r="D1109" s="15" t="e">
        <f>_xlfn.LET(
_xlpm.leftValue, TRIM(LEFT(Tasks[[#This Row],[Description]], 45)),
IF(LEN(_xlpm.leftValue) &lt; 40, _xlpm.leftValue, _xlfn.CONCAT(_xlpm.leftValue, "…"))
)</f>
        <v>#VALUE!</v>
      </c>
      <c r="E1109" s="15" t="e" cm="1">
        <f t="array" ref="E1109">_xlfn.LET(
_xlpm.inTower, COUNTIF(Tower_Num_Table[Tower Rm Numbers], LEFT(Task_Summary_Table[[#This Row],[Area/Room]], 3)) &gt; 0,
_xlpm.typeResult, _xlfn.SWITCH(LEFT(Tasks[[#This Row],[Page]], 2), "Hi", "Historic", "An", "Annex", "Si", "Site", "S5", "Project Task", "SWITCH ERROR"),
IF(_xlpm.inTower, "West Tower", _xlpm.typeResult)
)</f>
        <v>#VALUE!</v>
      </c>
      <c r="F1109" s="15" t="str">
        <f>IFERROR(MID(Tasks[[#This Row],[Page]], FIND("Level", Tasks[[#This Row],[Page]]), 7), IF(ISNUMBER(FIND("Roof", Tasks[[#This Row],[Page]])), "Roof",  IF(ISNUMBER(FIND("S590", Tasks[[#This Row],[Page]])), "",  IF(ISNUMBER(FIND("Site", Tasks[[#This Row],[Page]])), "", "ERROR"))))</f>
        <v>ERROR</v>
      </c>
      <c r="G1109" s="15" t="e">
        <f>IF(Tasks[[#This Row],[Location]]=0, "", Tasks[[#This Row],[Location]])</f>
        <v>#VALUE!</v>
      </c>
      <c r="H1109" s="15" t="e">
        <f>Tasks[[#This Row],[To Package]]</f>
        <v>#VALUE!</v>
      </c>
      <c r="I1109" s="15" t="e">
        <f>Tasks[[#This Row],[To Organisation]]</f>
        <v>#VALUE!</v>
      </c>
    </row>
    <row r="1110" spans="1:9" ht="15.5" x14ac:dyDescent="0.35">
      <c r="A1110" s="16" t="e">
        <f>HYPERLINK(_xlfn.CONCAT(Edit_URL,Tasks[[#This Row],[Ref]]),Tasks[[#This Row],[Ref]])</f>
        <v>#VALUE!</v>
      </c>
      <c r="B1110" s="15" t="e" cm="1">
        <f t="array" ref="B1110">_xlfn.SWITCH(LEFT(Tasks[[#This Row],[Status]],1),"O","Opened","C","Completed","S","Signed Off", "V", "Signed Off","ERROR")</f>
        <v>#VALUE!</v>
      </c>
      <c r="C1110" s="15" t="e" cm="1">
        <f t="array" ref="C1110">_xlfn.SWITCH(LEFT(Tasks[[#This Row],[Type]], 3), "Fie", "Field Report", "Con", "Contractor QC", "Gen", "Contractor QC", "Pun", "Contractor QC", "Qua", "Contractor QC", "Fin", "Punch List")</f>
        <v>#VALUE!</v>
      </c>
      <c r="D1110" s="15" t="e">
        <f>_xlfn.LET(
_xlpm.leftValue, TRIM(LEFT(Tasks[[#This Row],[Description]], 45)),
IF(LEN(_xlpm.leftValue) &lt; 40, _xlpm.leftValue, _xlfn.CONCAT(_xlpm.leftValue, "…"))
)</f>
        <v>#VALUE!</v>
      </c>
      <c r="E1110" s="15" t="e" cm="1">
        <f t="array" ref="E1110">_xlfn.LET(
_xlpm.inTower, COUNTIF(Tower_Num_Table[Tower Rm Numbers], LEFT(Task_Summary_Table[[#This Row],[Area/Room]], 3)) &gt; 0,
_xlpm.typeResult, _xlfn.SWITCH(LEFT(Tasks[[#This Row],[Page]], 2), "Hi", "Historic", "An", "Annex", "Si", "Site", "S5", "Project Task", "SWITCH ERROR"),
IF(_xlpm.inTower, "West Tower", _xlpm.typeResult)
)</f>
        <v>#VALUE!</v>
      </c>
      <c r="F1110" s="15" t="str">
        <f>IFERROR(MID(Tasks[[#This Row],[Page]], FIND("Level", Tasks[[#This Row],[Page]]), 7), IF(ISNUMBER(FIND("Roof", Tasks[[#This Row],[Page]])), "Roof",  IF(ISNUMBER(FIND("S590", Tasks[[#This Row],[Page]])), "",  IF(ISNUMBER(FIND("Site", Tasks[[#This Row],[Page]])), "", "ERROR"))))</f>
        <v>ERROR</v>
      </c>
      <c r="G1110" s="15" t="e">
        <f>IF(Tasks[[#This Row],[Location]]=0, "", Tasks[[#This Row],[Location]])</f>
        <v>#VALUE!</v>
      </c>
      <c r="H1110" s="15" t="e">
        <f>Tasks[[#This Row],[To Package]]</f>
        <v>#VALUE!</v>
      </c>
      <c r="I1110" s="15" t="e">
        <f>Tasks[[#This Row],[To Organisation]]</f>
        <v>#VALUE!</v>
      </c>
    </row>
    <row r="1111" spans="1:9" ht="15.5" x14ac:dyDescent="0.35">
      <c r="A1111" s="16" t="e">
        <f>HYPERLINK(_xlfn.CONCAT(Edit_URL,Tasks[[#This Row],[Ref]]),Tasks[[#This Row],[Ref]])</f>
        <v>#VALUE!</v>
      </c>
      <c r="B1111" s="15" t="e" cm="1">
        <f t="array" ref="B1111">_xlfn.SWITCH(LEFT(Tasks[[#This Row],[Status]],1),"O","Opened","C","Completed","S","Signed Off", "V", "Signed Off","ERROR")</f>
        <v>#VALUE!</v>
      </c>
      <c r="C1111" s="15" t="e" cm="1">
        <f t="array" ref="C1111">_xlfn.SWITCH(LEFT(Tasks[[#This Row],[Type]], 3), "Fie", "Field Report", "Con", "Contractor QC", "Gen", "Contractor QC", "Pun", "Contractor QC", "Qua", "Contractor QC", "Fin", "Punch List")</f>
        <v>#VALUE!</v>
      </c>
      <c r="D1111" s="15" t="e">
        <f>_xlfn.LET(
_xlpm.leftValue, TRIM(LEFT(Tasks[[#This Row],[Description]], 45)),
IF(LEN(_xlpm.leftValue) &lt; 40, _xlpm.leftValue, _xlfn.CONCAT(_xlpm.leftValue, "…"))
)</f>
        <v>#VALUE!</v>
      </c>
      <c r="E1111" s="15" t="e" cm="1">
        <f t="array" ref="E1111">_xlfn.LET(
_xlpm.inTower, COUNTIF(Tower_Num_Table[Tower Rm Numbers], LEFT(Task_Summary_Table[[#This Row],[Area/Room]], 3)) &gt; 0,
_xlpm.typeResult, _xlfn.SWITCH(LEFT(Tasks[[#This Row],[Page]], 2), "Hi", "Historic", "An", "Annex", "Si", "Site", "S5", "Project Task", "SWITCH ERROR"),
IF(_xlpm.inTower, "West Tower", _xlpm.typeResult)
)</f>
        <v>#VALUE!</v>
      </c>
      <c r="F1111" s="15" t="str">
        <f>IFERROR(MID(Tasks[[#This Row],[Page]], FIND("Level", Tasks[[#This Row],[Page]]), 7), IF(ISNUMBER(FIND("Roof", Tasks[[#This Row],[Page]])), "Roof",  IF(ISNUMBER(FIND("S590", Tasks[[#This Row],[Page]])), "",  IF(ISNUMBER(FIND("Site", Tasks[[#This Row],[Page]])), "", "ERROR"))))</f>
        <v>ERROR</v>
      </c>
      <c r="G1111" s="15" t="e">
        <f>IF(Tasks[[#This Row],[Location]]=0, "", Tasks[[#This Row],[Location]])</f>
        <v>#VALUE!</v>
      </c>
      <c r="H1111" s="15" t="e">
        <f>Tasks[[#This Row],[To Package]]</f>
        <v>#VALUE!</v>
      </c>
      <c r="I1111" s="15" t="e">
        <f>Tasks[[#This Row],[To Organisation]]</f>
        <v>#VALUE!</v>
      </c>
    </row>
    <row r="1112" spans="1:9" ht="15.5" x14ac:dyDescent="0.35">
      <c r="A1112" s="16" t="e">
        <f>HYPERLINK(_xlfn.CONCAT(Edit_URL,Tasks[[#This Row],[Ref]]),Tasks[[#This Row],[Ref]])</f>
        <v>#VALUE!</v>
      </c>
      <c r="B1112" s="15" t="e" cm="1">
        <f t="array" ref="B1112">_xlfn.SWITCH(LEFT(Tasks[[#This Row],[Status]],1),"O","Opened","C","Completed","S","Signed Off", "V", "Signed Off","ERROR")</f>
        <v>#VALUE!</v>
      </c>
      <c r="C1112" s="15" t="e" cm="1">
        <f t="array" ref="C1112">_xlfn.SWITCH(LEFT(Tasks[[#This Row],[Type]], 3), "Fie", "Field Report", "Con", "Contractor QC", "Gen", "Contractor QC", "Pun", "Contractor QC", "Qua", "Contractor QC", "Fin", "Punch List")</f>
        <v>#VALUE!</v>
      </c>
      <c r="D1112" s="15" t="e">
        <f>_xlfn.LET(
_xlpm.leftValue, TRIM(LEFT(Tasks[[#This Row],[Description]], 45)),
IF(LEN(_xlpm.leftValue) &lt; 40, _xlpm.leftValue, _xlfn.CONCAT(_xlpm.leftValue, "…"))
)</f>
        <v>#VALUE!</v>
      </c>
      <c r="E1112" s="15" t="e" cm="1">
        <f t="array" ref="E1112">_xlfn.LET(
_xlpm.inTower, COUNTIF(Tower_Num_Table[Tower Rm Numbers], LEFT(Task_Summary_Table[[#This Row],[Area/Room]], 3)) &gt; 0,
_xlpm.typeResult, _xlfn.SWITCH(LEFT(Tasks[[#This Row],[Page]], 2), "Hi", "Historic", "An", "Annex", "Si", "Site", "S5", "Project Task", "SWITCH ERROR"),
IF(_xlpm.inTower, "West Tower", _xlpm.typeResult)
)</f>
        <v>#VALUE!</v>
      </c>
      <c r="F1112" s="15" t="str">
        <f>IFERROR(MID(Tasks[[#This Row],[Page]], FIND("Level", Tasks[[#This Row],[Page]]), 7), IF(ISNUMBER(FIND("Roof", Tasks[[#This Row],[Page]])), "Roof",  IF(ISNUMBER(FIND("S590", Tasks[[#This Row],[Page]])), "",  IF(ISNUMBER(FIND("Site", Tasks[[#This Row],[Page]])), "", "ERROR"))))</f>
        <v>ERROR</v>
      </c>
      <c r="G1112" s="15" t="e">
        <f>IF(Tasks[[#This Row],[Location]]=0, "", Tasks[[#This Row],[Location]])</f>
        <v>#VALUE!</v>
      </c>
      <c r="H1112" s="15" t="e">
        <f>Tasks[[#This Row],[To Package]]</f>
        <v>#VALUE!</v>
      </c>
      <c r="I1112" s="15" t="e">
        <f>Tasks[[#This Row],[To Organisation]]</f>
        <v>#VALUE!</v>
      </c>
    </row>
    <row r="1113" spans="1:9" ht="15.5" x14ac:dyDescent="0.35">
      <c r="A1113" s="16" t="e">
        <f>HYPERLINK(_xlfn.CONCAT(Edit_URL,Tasks[[#This Row],[Ref]]),Tasks[[#This Row],[Ref]])</f>
        <v>#VALUE!</v>
      </c>
      <c r="B1113" s="15" t="e" cm="1">
        <f t="array" ref="B1113">_xlfn.SWITCH(LEFT(Tasks[[#This Row],[Status]],1),"O","Opened","C","Completed","S","Signed Off", "V", "Signed Off","ERROR")</f>
        <v>#VALUE!</v>
      </c>
      <c r="C1113" s="15" t="e" cm="1">
        <f t="array" ref="C1113">_xlfn.SWITCH(LEFT(Tasks[[#This Row],[Type]], 3), "Fie", "Field Report", "Con", "Contractor QC", "Gen", "Contractor QC", "Pun", "Contractor QC", "Qua", "Contractor QC", "Fin", "Punch List")</f>
        <v>#VALUE!</v>
      </c>
      <c r="D1113" s="15" t="e">
        <f>_xlfn.LET(
_xlpm.leftValue, TRIM(LEFT(Tasks[[#This Row],[Description]], 45)),
IF(LEN(_xlpm.leftValue) &lt; 40, _xlpm.leftValue, _xlfn.CONCAT(_xlpm.leftValue, "…"))
)</f>
        <v>#VALUE!</v>
      </c>
      <c r="E1113" s="15" t="e" cm="1">
        <f t="array" ref="E1113">_xlfn.LET(
_xlpm.inTower, COUNTIF(Tower_Num_Table[Tower Rm Numbers], LEFT(Task_Summary_Table[[#This Row],[Area/Room]], 3)) &gt; 0,
_xlpm.typeResult, _xlfn.SWITCH(LEFT(Tasks[[#This Row],[Page]], 2), "Hi", "Historic", "An", "Annex", "Si", "Site", "S5", "Project Task", "SWITCH ERROR"),
IF(_xlpm.inTower, "West Tower", _xlpm.typeResult)
)</f>
        <v>#VALUE!</v>
      </c>
      <c r="F1113" s="15" t="str">
        <f>IFERROR(MID(Tasks[[#This Row],[Page]], FIND("Level", Tasks[[#This Row],[Page]]), 7), IF(ISNUMBER(FIND("Roof", Tasks[[#This Row],[Page]])), "Roof",  IF(ISNUMBER(FIND("S590", Tasks[[#This Row],[Page]])), "",  IF(ISNUMBER(FIND("Site", Tasks[[#This Row],[Page]])), "", "ERROR"))))</f>
        <v>ERROR</v>
      </c>
      <c r="G1113" s="15" t="e">
        <f>IF(Tasks[[#This Row],[Location]]=0, "", Tasks[[#This Row],[Location]])</f>
        <v>#VALUE!</v>
      </c>
      <c r="H1113" s="15" t="e">
        <f>Tasks[[#This Row],[To Package]]</f>
        <v>#VALUE!</v>
      </c>
      <c r="I1113" s="15" t="e">
        <f>Tasks[[#This Row],[To Organisation]]</f>
        <v>#VALUE!</v>
      </c>
    </row>
    <row r="1114" spans="1:9" ht="15.5" x14ac:dyDescent="0.35">
      <c r="A1114" s="16" t="e">
        <f>HYPERLINK(_xlfn.CONCAT(Edit_URL,Tasks[[#This Row],[Ref]]),Tasks[[#This Row],[Ref]])</f>
        <v>#VALUE!</v>
      </c>
      <c r="B1114" s="15" t="e" cm="1">
        <f t="array" ref="B1114">_xlfn.SWITCH(LEFT(Tasks[[#This Row],[Status]],1),"O","Opened","C","Completed","S","Signed Off", "V", "Signed Off","ERROR")</f>
        <v>#VALUE!</v>
      </c>
      <c r="C1114" s="15" t="e" cm="1">
        <f t="array" ref="C1114">_xlfn.SWITCH(LEFT(Tasks[[#This Row],[Type]], 3), "Fie", "Field Report", "Con", "Contractor QC", "Gen", "Contractor QC", "Pun", "Contractor QC", "Qua", "Contractor QC", "Fin", "Punch List")</f>
        <v>#VALUE!</v>
      </c>
      <c r="D1114" s="15" t="e">
        <f>_xlfn.LET(
_xlpm.leftValue, TRIM(LEFT(Tasks[[#This Row],[Description]], 45)),
IF(LEN(_xlpm.leftValue) &lt; 40, _xlpm.leftValue, _xlfn.CONCAT(_xlpm.leftValue, "…"))
)</f>
        <v>#VALUE!</v>
      </c>
      <c r="E1114" s="15" t="e" cm="1">
        <f t="array" ref="E1114">_xlfn.LET(
_xlpm.inTower, COUNTIF(Tower_Num_Table[Tower Rm Numbers], LEFT(Task_Summary_Table[[#This Row],[Area/Room]], 3)) &gt; 0,
_xlpm.typeResult, _xlfn.SWITCH(LEFT(Tasks[[#This Row],[Page]], 2), "Hi", "Historic", "An", "Annex", "Si", "Site", "S5", "Project Task", "SWITCH ERROR"),
IF(_xlpm.inTower, "West Tower", _xlpm.typeResult)
)</f>
        <v>#VALUE!</v>
      </c>
      <c r="F1114" s="15" t="str">
        <f>IFERROR(MID(Tasks[[#This Row],[Page]], FIND("Level", Tasks[[#This Row],[Page]]), 7), IF(ISNUMBER(FIND("Roof", Tasks[[#This Row],[Page]])), "Roof",  IF(ISNUMBER(FIND("S590", Tasks[[#This Row],[Page]])), "",  IF(ISNUMBER(FIND("Site", Tasks[[#This Row],[Page]])), "", "ERROR"))))</f>
        <v>ERROR</v>
      </c>
      <c r="G1114" s="15" t="e">
        <f>IF(Tasks[[#This Row],[Location]]=0, "", Tasks[[#This Row],[Location]])</f>
        <v>#VALUE!</v>
      </c>
      <c r="H1114" s="15" t="e">
        <f>Tasks[[#This Row],[To Package]]</f>
        <v>#VALUE!</v>
      </c>
      <c r="I1114" s="15" t="e">
        <f>Tasks[[#This Row],[To Organisation]]</f>
        <v>#VALUE!</v>
      </c>
    </row>
    <row r="1115" spans="1:9" ht="15.5" x14ac:dyDescent="0.35">
      <c r="A1115" s="16" t="e">
        <f>HYPERLINK(_xlfn.CONCAT(Edit_URL,Tasks[[#This Row],[Ref]]),Tasks[[#This Row],[Ref]])</f>
        <v>#VALUE!</v>
      </c>
      <c r="B1115" s="15" t="e" cm="1">
        <f t="array" ref="B1115">_xlfn.SWITCH(LEFT(Tasks[[#This Row],[Status]],1),"O","Opened","C","Completed","S","Signed Off", "V", "Signed Off","ERROR")</f>
        <v>#VALUE!</v>
      </c>
      <c r="C1115" s="15" t="e" cm="1">
        <f t="array" ref="C1115">_xlfn.SWITCH(LEFT(Tasks[[#This Row],[Type]], 3), "Fie", "Field Report", "Con", "Contractor QC", "Gen", "Contractor QC", "Pun", "Contractor QC", "Qua", "Contractor QC", "Fin", "Punch List")</f>
        <v>#VALUE!</v>
      </c>
      <c r="D1115" s="15" t="e">
        <f>_xlfn.LET(
_xlpm.leftValue, TRIM(LEFT(Tasks[[#This Row],[Description]], 45)),
IF(LEN(_xlpm.leftValue) &lt; 40, _xlpm.leftValue, _xlfn.CONCAT(_xlpm.leftValue, "…"))
)</f>
        <v>#VALUE!</v>
      </c>
      <c r="E1115" s="15" t="e" cm="1">
        <f t="array" ref="E1115">_xlfn.LET(
_xlpm.inTower, COUNTIF(Tower_Num_Table[Tower Rm Numbers], LEFT(Task_Summary_Table[[#This Row],[Area/Room]], 3)) &gt; 0,
_xlpm.typeResult, _xlfn.SWITCH(LEFT(Tasks[[#This Row],[Page]], 2), "Hi", "Historic", "An", "Annex", "Si", "Site", "S5", "Project Task", "SWITCH ERROR"),
IF(_xlpm.inTower, "West Tower", _xlpm.typeResult)
)</f>
        <v>#VALUE!</v>
      </c>
      <c r="F1115" s="15" t="str">
        <f>IFERROR(MID(Tasks[[#This Row],[Page]], FIND("Level", Tasks[[#This Row],[Page]]), 7), IF(ISNUMBER(FIND("Roof", Tasks[[#This Row],[Page]])), "Roof",  IF(ISNUMBER(FIND("S590", Tasks[[#This Row],[Page]])), "",  IF(ISNUMBER(FIND("Site", Tasks[[#This Row],[Page]])), "", "ERROR"))))</f>
        <v>ERROR</v>
      </c>
      <c r="G1115" s="15" t="e">
        <f>IF(Tasks[[#This Row],[Location]]=0, "", Tasks[[#This Row],[Location]])</f>
        <v>#VALUE!</v>
      </c>
      <c r="H1115" s="15" t="e">
        <f>Tasks[[#This Row],[To Package]]</f>
        <v>#VALUE!</v>
      </c>
      <c r="I1115" s="15" t="e">
        <f>Tasks[[#This Row],[To Organisation]]</f>
        <v>#VALUE!</v>
      </c>
    </row>
    <row r="1116" spans="1:9" ht="15.5" x14ac:dyDescent="0.35">
      <c r="A1116" s="16" t="e">
        <f>HYPERLINK(_xlfn.CONCAT(Edit_URL,Tasks[[#This Row],[Ref]]),Tasks[[#This Row],[Ref]])</f>
        <v>#VALUE!</v>
      </c>
      <c r="B1116" s="15" t="e" cm="1">
        <f t="array" ref="B1116">_xlfn.SWITCH(LEFT(Tasks[[#This Row],[Status]],1),"O","Opened","C","Completed","S","Signed Off", "V", "Signed Off","ERROR")</f>
        <v>#VALUE!</v>
      </c>
      <c r="C1116" s="15" t="e" cm="1">
        <f t="array" ref="C1116">_xlfn.SWITCH(LEFT(Tasks[[#This Row],[Type]], 3), "Fie", "Field Report", "Con", "Contractor QC", "Gen", "Contractor QC", "Pun", "Contractor QC", "Qua", "Contractor QC", "Fin", "Punch List")</f>
        <v>#VALUE!</v>
      </c>
      <c r="D1116" s="15" t="e">
        <f>_xlfn.LET(
_xlpm.leftValue, TRIM(LEFT(Tasks[[#This Row],[Description]], 45)),
IF(LEN(_xlpm.leftValue) &lt; 40, _xlpm.leftValue, _xlfn.CONCAT(_xlpm.leftValue, "…"))
)</f>
        <v>#VALUE!</v>
      </c>
      <c r="E1116" s="15" t="e" cm="1">
        <f t="array" ref="E1116">_xlfn.LET(
_xlpm.inTower, COUNTIF(Tower_Num_Table[Tower Rm Numbers], LEFT(Task_Summary_Table[[#This Row],[Area/Room]], 3)) &gt; 0,
_xlpm.typeResult, _xlfn.SWITCH(LEFT(Tasks[[#This Row],[Page]], 2), "Hi", "Historic", "An", "Annex", "Si", "Site", "S5", "Project Task", "SWITCH ERROR"),
IF(_xlpm.inTower, "West Tower", _xlpm.typeResult)
)</f>
        <v>#VALUE!</v>
      </c>
      <c r="F1116" s="15" t="str">
        <f>IFERROR(MID(Tasks[[#This Row],[Page]], FIND("Level", Tasks[[#This Row],[Page]]), 7), IF(ISNUMBER(FIND("Roof", Tasks[[#This Row],[Page]])), "Roof",  IF(ISNUMBER(FIND("S590", Tasks[[#This Row],[Page]])), "",  IF(ISNUMBER(FIND("Site", Tasks[[#This Row],[Page]])), "", "ERROR"))))</f>
        <v>ERROR</v>
      </c>
      <c r="G1116" s="15" t="e">
        <f>IF(Tasks[[#This Row],[Location]]=0, "", Tasks[[#This Row],[Location]])</f>
        <v>#VALUE!</v>
      </c>
      <c r="H1116" s="15" t="e">
        <f>Tasks[[#This Row],[To Package]]</f>
        <v>#VALUE!</v>
      </c>
      <c r="I1116" s="15" t="e">
        <f>Tasks[[#This Row],[To Organisation]]</f>
        <v>#VALUE!</v>
      </c>
    </row>
    <row r="1117" spans="1:9" ht="15.5" x14ac:dyDescent="0.35">
      <c r="A1117" s="16" t="e">
        <f>HYPERLINK(_xlfn.CONCAT(Edit_URL,Tasks[[#This Row],[Ref]]),Tasks[[#This Row],[Ref]])</f>
        <v>#VALUE!</v>
      </c>
      <c r="B1117" s="15" t="e" cm="1">
        <f t="array" ref="B1117">_xlfn.SWITCH(LEFT(Tasks[[#This Row],[Status]],1),"O","Opened","C","Completed","S","Signed Off", "V", "Signed Off","ERROR")</f>
        <v>#VALUE!</v>
      </c>
      <c r="C1117" s="15" t="e" cm="1">
        <f t="array" ref="C1117">_xlfn.SWITCH(LEFT(Tasks[[#This Row],[Type]], 3), "Fie", "Field Report", "Con", "Contractor QC", "Gen", "Contractor QC", "Pun", "Contractor QC", "Qua", "Contractor QC", "Fin", "Punch List")</f>
        <v>#VALUE!</v>
      </c>
      <c r="D1117" s="15" t="e">
        <f>_xlfn.LET(
_xlpm.leftValue, TRIM(LEFT(Tasks[[#This Row],[Description]], 45)),
IF(LEN(_xlpm.leftValue) &lt; 40, _xlpm.leftValue, _xlfn.CONCAT(_xlpm.leftValue, "…"))
)</f>
        <v>#VALUE!</v>
      </c>
      <c r="E1117" s="15" t="e" cm="1">
        <f t="array" ref="E1117">_xlfn.LET(
_xlpm.inTower, COUNTIF(Tower_Num_Table[Tower Rm Numbers], LEFT(Task_Summary_Table[[#This Row],[Area/Room]], 3)) &gt; 0,
_xlpm.typeResult, _xlfn.SWITCH(LEFT(Tasks[[#This Row],[Page]], 2), "Hi", "Historic", "An", "Annex", "Si", "Site", "S5", "Project Task", "SWITCH ERROR"),
IF(_xlpm.inTower, "West Tower", _xlpm.typeResult)
)</f>
        <v>#VALUE!</v>
      </c>
      <c r="F1117" s="15" t="str">
        <f>IFERROR(MID(Tasks[[#This Row],[Page]], FIND("Level", Tasks[[#This Row],[Page]]), 7), IF(ISNUMBER(FIND("Roof", Tasks[[#This Row],[Page]])), "Roof",  IF(ISNUMBER(FIND("S590", Tasks[[#This Row],[Page]])), "",  IF(ISNUMBER(FIND("Site", Tasks[[#This Row],[Page]])), "", "ERROR"))))</f>
        <v>ERROR</v>
      </c>
      <c r="G1117" s="15" t="e">
        <f>IF(Tasks[[#This Row],[Location]]=0, "", Tasks[[#This Row],[Location]])</f>
        <v>#VALUE!</v>
      </c>
      <c r="H1117" s="15" t="e">
        <f>Tasks[[#This Row],[To Package]]</f>
        <v>#VALUE!</v>
      </c>
      <c r="I1117" s="15" t="e">
        <f>Tasks[[#This Row],[To Organisation]]</f>
        <v>#VALUE!</v>
      </c>
    </row>
    <row r="1118" spans="1:9" ht="15.5" x14ac:dyDescent="0.35">
      <c r="A1118" s="16" t="e">
        <f>HYPERLINK(_xlfn.CONCAT(Edit_URL,Tasks[[#This Row],[Ref]]),Tasks[[#This Row],[Ref]])</f>
        <v>#VALUE!</v>
      </c>
      <c r="B1118" s="15" t="e" cm="1">
        <f t="array" ref="B1118">_xlfn.SWITCH(LEFT(Tasks[[#This Row],[Status]],1),"O","Opened","C","Completed","S","Signed Off", "V", "Signed Off","ERROR")</f>
        <v>#VALUE!</v>
      </c>
      <c r="C1118" s="15" t="e" cm="1">
        <f t="array" ref="C1118">_xlfn.SWITCH(LEFT(Tasks[[#This Row],[Type]], 3), "Fie", "Field Report", "Con", "Contractor QC", "Gen", "Contractor QC", "Pun", "Contractor QC", "Qua", "Contractor QC", "Fin", "Punch List")</f>
        <v>#VALUE!</v>
      </c>
      <c r="D1118" s="15" t="e">
        <f>_xlfn.LET(
_xlpm.leftValue, TRIM(LEFT(Tasks[[#This Row],[Description]], 45)),
IF(LEN(_xlpm.leftValue) &lt; 40, _xlpm.leftValue, _xlfn.CONCAT(_xlpm.leftValue, "…"))
)</f>
        <v>#VALUE!</v>
      </c>
      <c r="E1118" s="15" t="e" cm="1">
        <f t="array" ref="E1118">_xlfn.LET(
_xlpm.inTower, COUNTIF(Tower_Num_Table[Tower Rm Numbers], LEFT(Task_Summary_Table[[#This Row],[Area/Room]], 3)) &gt; 0,
_xlpm.typeResult, _xlfn.SWITCH(LEFT(Tasks[[#This Row],[Page]], 2), "Hi", "Historic", "An", "Annex", "Si", "Site", "S5", "Project Task", "SWITCH ERROR"),
IF(_xlpm.inTower, "West Tower", _xlpm.typeResult)
)</f>
        <v>#VALUE!</v>
      </c>
      <c r="F1118" s="15" t="str">
        <f>IFERROR(MID(Tasks[[#This Row],[Page]], FIND("Level", Tasks[[#This Row],[Page]]), 7), IF(ISNUMBER(FIND("Roof", Tasks[[#This Row],[Page]])), "Roof",  IF(ISNUMBER(FIND("S590", Tasks[[#This Row],[Page]])), "",  IF(ISNUMBER(FIND("Site", Tasks[[#This Row],[Page]])), "", "ERROR"))))</f>
        <v>ERROR</v>
      </c>
      <c r="G1118" s="15" t="e">
        <f>IF(Tasks[[#This Row],[Location]]=0, "", Tasks[[#This Row],[Location]])</f>
        <v>#VALUE!</v>
      </c>
      <c r="H1118" s="15" t="e">
        <f>Tasks[[#This Row],[To Package]]</f>
        <v>#VALUE!</v>
      </c>
      <c r="I1118" s="15" t="e">
        <f>Tasks[[#This Row],[To Organisation]]</f>
        <v>#VALUE!</v>
      </c>
    </row>
    <row r="1119" spans="1:9" ht="15.5" x14ac:dyDescent="0.35">
      <c r="A1119" s="16" t="e">
        <f>HYPERLINK(_xlfn.CONCAT(Edit_URL,Tasks[[#This Row],[Ref]]),Tasks[[#This Row],[Ref]])</f>
        <v>#VALUE!</v>
      </c>
      <c r="B1119" s="15" t="e" cm="1">
        <f t="array" ref="B1119">_xlfn.SWITCH(LEFT(Tasks[[#This Row],[Status]],1),"O","Opened","C","Completed","S","Signed Off", "V", "Signed Off","ERROR")</f>
        <v>#VALUE!</v>
      </c>
      <c r="C1119" s="15" t="e" cm="1">
        <f t="array" ref="C1119">_xlfn.SWITCH(LEFT(Tasks[[#This Row],[Type]], 3), "Fie", "Field Report", "Con", "Contractor QC", "Gen", "Contractor QC", "Pun", "Contractor QC", "Qua", "Contractor QC", "Fin", "Punch List")</f>
        <v>#VALUE!</v>
      </c>
      <c r="D1119" s="15" t="e">
        <f>_xlfn.LET(
_xlpm.leftValue, TRIM(LEFT(Tasks[[#This Row],[Description]], 45)),
IF(LEN(_xlpm.leftValue) &lt; 40, _xlpm.leftValue, _xlfn.CONCAT(_xlpm.leftValue, "…"))
)</f>
        <v>#VALUE!</v>
      </c>
      <c r="E1119" s="15" t="e" cm="1">
        <f t="array" ref="E1119">_xlfn.LET(
_xlpm.inTower, COUNTIF(Tower_Num_Table[Tower Rm Numbers], LEFT(Task_Summary_Table[[#This Row],[Area/Room]], 3)) &gt; 0,
_xlpm.typeResult, _xlfn.SWITCH(LEFT(Tasks[[#This Row],[Page]], 2), "Hi", "Historic", "An", "Annex", "Si", "Site", "S5", "Project Task", "SWITCH ERROR"),
IF(_xlpm.inTower, "West Tower", _xlpm.typeResult)
)</f>
        <v>#VALUE!</v>
      </c>
      <c r="F1119" s="15" t="str">
        <f>IFERROR(MID(Tasks[[#This Row],[Page]], FIND("Level", Tasks[[#This Row],[Page]]), 7), IF(ISNUMBER(FIND("Roof", Tasks[[#This Row],[Page]])), "Roof",  IF(ISNUMBER(FIND("S590", Tasks[[#This Row],[Page]])), "",  IF(ISNUMBER(FIND("Site", Tasks[[#This Row],[Page]])), "", "ERROR"))))</f>
        <v>ERROR</v>
      </c>
      <c r="G1119" s="15" t="e">
        <f>IF(Tasks[[#This Row],[Location]]=0, "", Tasks[[#This Row],[Location]])</f>
        <v>#VALUE!</v>
      </c>
      <c r="H1119" s="15" t="e">
        <f>Tasks[[#This Row],[To Package]]</f>
        <v>#VALUE!</v>
      </c>
      <c r="I1119" s="15" t="e">
        <f>Tasks[[#This Row],[To Organisation]]</f>
        <v>#VALUE!</v>
      </c>
    </row>
    <row r="1120" spans="1:9" ht="15.5" x14ac:dyDescent="0.35">
      <c r="A1120" s="16" t="e">
        <f>HYPERLINK(_xlfn.CONCAT(Edit_URL,Tasks[[#This Row],[Ref]]),Tasks[[#This Row],[Ref]])</f>
        <v>#VALUE!</v>
      </c>
      <c r="B1120" s="15" t="e" cm="1">
        <f t="array" ref="B1120">_xlfn.SWITCH(LEFT(Tasks[[#This Row],[Status]],1),"O","Opened","C","Completed","S","Signed Off", "V", "Signed Off","ERROR")</f>
        <v>#VALUE!</v>
      </c>
      <c r="C1120" s="15" t="e" cm="1">
        <f t="array" ref="C1120">_xlfn.SWITCH(LEFT(Tasks[[#This Row],[Type]], 3), "Fie", "Field Report", "Con", "Contractor QC", "Gen", "Contractor QC", "Pun", "Contractor QC", "Qua", "Contractor QC", "Fin", "Punch List")</f>
        <v>#VALUE!</v>
      </c>
      <c r="D1120" s="15" t="e">
        <f>_xlfn.LET(
_xlpm.leftValue, TRIM(LEFT(Tasks[[#This Row],[Description]], 45)),
IF(LEN(_xlpm.leftValue) &lt; 40, _xlpm.leftValue, _xlfn.CONCAT(_xlpm.leftValue, "…"))
)</f>
        <v>#VALUE!</v>
      </c>
      <c r="E1120" s="15" t="e" cm="1">
        <f t="array" ref="E1120">_xlfn.LET(
_xlpm.inTower, COUNTIF(Tower_Num_Table[Tower Rm Numbers], LEFT(Task_Summary_Table[[#This Row],[Area/Room]], 3)) &gt; 0,
_xlpm.typeResult, _xlfn.SWITCH(LEFT(Tasks[[#This Row],[Page]], 2), "Hi", "Historic", "An", "Annex", "Si", "Site", "S5", "Project Task", "SWITCH ERROR"),
IF(_xlpm.inTower, "West Tower", _xlpm.typeResult)
)</f>
        <v>#VALUE!</v>
      </c>
      <c r="F1120" s="15" t="str">
        <f>IFERROR(MID(Tasks[[#This Row],[Page]], FIND("Level", Tasks[[#This Row],[Page]]), 7), IF(ISNUMBER(FIND("Roof", Tasks[[#This Row],[Page]])), "Roof",  IF(ISNUMBER(FIND("S590", Tasks[[#This Row],[Page]])), "",  IF(ISNUMBER(FIND("Site", Tasks[[#This Row],[Page]])), "", "ERROR"))))</f>
        <v>ERROR</v>
      </c>
      <c r="G1120" s="15" t="e">
        <f>IF(Tasks[[#This Row],[Location]]=0, "", Tasks[[#This Row],[Location]])</f>
        <v>#VALUE!</v>
      </c>
      <c r="H1120" s="15" t="e">
        <f>Tasks[[#This Row],[To Package]]</f>
        <v>#VALUE!</v>
      </c>
      <c r="I1120" s="15" t="e">
        <f>Tasks[[#This Row],[To Organisation]]</f>
        <v>#VALUE!</v>
      </c>
    </row>
    <row r="1121" spans="1:9" ht="15.5" x14ac:dyDescent="0.35">
      <c r="A1121" s="16" t="e">
        <f>HYPERLINK(_xlfn.CONCAT(Edit_URL,Tasks[[#This Row],[Ref]]),Tasks[[#This Row],[Ref]])</f>
        <v>#VALUE!</v>
      </c>
      <c r="B1121" s="15" t="e" cm="1">
        <f t="array" ref="B1121">_xlfn.SWITCH(LEFT(Tasks[[#This Row],[Status]],1),"O","Opened","C","Completed","S","Signed Off", "V", "Signed Off","ERROR")</f>
        <v>#VALUE!</v>
      </c>
      <c r="C1121" s="15" t="e" cm="1">
        <f t="array" ref="C1121">_xlfn.SWITCH(LEFT(Tasks[[#This Row],[Type]], 3), "Fie", "Field Report", "Con", "Contractor QC", "Gen", "Contractor QC", "Pun", "Contractor QC", "Qua", "Contractor QC", "Fin", "Punch List")</f>
        <v>#VALUE!</v>
      </c>
      <c r="D1121" s="15" t="e">
        <f>_xlfn.LET(
_xlpm.leftValue, TRIM(LEFT(Tasks[[#This Row],[Description]], 45)),
IF(LEN(_xlpm.leftValue) &lt; 40, _xlpm.leftValue, _xlfn.CONCAT(_xlpm.leftValue, "…"))
)</f>
        <v>#VALUE!</v>
      </c>
      <c r="E1121" s="15" t="e" cm="1">
        <f t="array" ref="E1121">_xlfn.LET(
_xlpm.inTower, COUNTIF(Tower_Num_Table[Tower Rm Numbers], LEFT(Task_Summary_Table[[#This Row],[Area/Room]], 3)) &gt; 0,
_xlpm.typeResult, _xlfn.SWITCH(LEFT(Tasks[[#This Row],[Page]], 2), "Hi", "Historic", "An", "Annex", "Si", "Site", "S5", "Project Task", "SWITCH ERROR"),
IF(_xlpm.inTower, "West Tower", _xlpm.typeResult)
)</f>
        <v>#VALUE!</v>
      </c>
      <c r="F1121" s="15" t="str">
        <f>IFERROR(MID(Tasks[[#This Row],[Page]], FIND("Level", Tasks[[#This Row],[Page]]), 7), IF(ISNUMBER(FIND("Roof", Tasks[[#This Row],[Page]])), "Roof",  IF(ISNUMBER(FIND("S590", Tasks[[#This Row],[Page]])), "",  IF(ISNUMBER(FIND("Site", Tasks[[#This Row],[Page]])), "", "ERROR"))))</f>
        <v>ERROR</v>
      </c>
      <c r="G1121" s="15" t="e">
        <f>IF(Tasks[[#This Row],[Location]]=0, "", Tasks[[#This Row],[Location]])</f>
        <v>#VALUE!</v>
      </c>
      <c r="H1121" s="15" t="e">
        <f>Tasks[[#This Row],[To Package]]</f>
        <v>#VALUE!</v>
      </c>
      <c r="I1121" s="15" t="e">
        <f>Tasks[[#This Row],[To Organisation]]</f>
        <v>#VALUE!</v>
      </c>
    </row>
    <row r="1122" spans="1:9" ht="15.5" x14ac:dyDescent="0.35">
      <c r="A1122" s="16" t="e">
        <f>HYPERLINK(_xlfn.CONCAT(Edit_URL,Tasks[[#This Row],[Ref]]),Tasks[[#This Row],[Ref]])</f>
        <v>#VALUE!</v>
      </c>
      <c r="B1122" s="15" t="e" cm="1">
        <f t="array" ref="B1122">_xlfn.SWITCH(LEFT(Tasks[[#This Row],[Status]],1),"O","Opened","C","Completed","S","Signed Off", "V", "Signed Off","ERROR")</f>
        <v>#VALUE!</v>
      </c>
      <c r="C1122" s="15" t="e" cm="1">
        <f t="array" ref="C1122">_xlfn.SWITCH(LEFT(Tasks[[#This Row],[Type]], 3), "Fie", "Field Report", "Con", "Contractor QC", "Gen", "Contractor QC", "Pun", "Contractor QC", "Qua", "Contractor QC", "Fin", "Punch List")</f>
        <v>#VALUE!</v>
      </c>
      <c r="D1122" s="15" t="e">
        <f>_xlfn.LET(
_xlpm.leftValue, TRIM(LEFT(Tasks[[#This Row],[Description]], 45)),
IF(LEN(_xlpm.leftValue) &lt; 40, _xlpm.leftValue, _xlfn.CONCAT(_xlpm.leftValue, "…"))
)</f>
        <v>#VALUE!</v>
      </c>
      <c r="E1122" s="15" t="e" cm="1">
        <f t="array" ref="E1122">_xlfn.LET(
_xlpm.inTower, COUNTIF(Tower_Num_Table[Tower Rm Numbers], LEFT(Task_Summary_Table[[#This Row],[Area/Room]], 3)) &gt; 0,
_xlpm.typeResult, _xlfn.SWITCH(LEFT(Tasks[[#This Row],[Page]], 2), "Hi", "Historic", "An", "Annex", "Si", "Site", "S5", "Project Task", "SWITCH ERROR"),
IF(_xlpm.inTower, "West Tower", _xlpm.typeResult)
)</f>
        <v>#VALUE!</v>
      </c>
      <c r="F1122" s="15" t="str">
        <f>IFERROR(MID(Tasks[[#This Row],[Page]], FIND("Level", Tasks[[#This Row],[Page]]), 7), IF(ISNUMBER(FIND("Roof", Tasks[[#This Row],[Page]])), "Roof",  IF(ISNUMBER(FIND("S590", Tasks[[#This Row],[Page]])), "",  IF(ISNUMBER(FIND("Site", Tasks[[#This Row],[Page]])), "", "ERROR"))))</f>
        <v>ERROR</v>
      </c>
      <c r="G1122" s="15" t="e">
        <f>IF(Tasks[[#This Row],[Location]]=0, "", Tasks[[#This Row],[Location]])</f>
        <v>#VALUE!</v>
      </c>
      <c r="H1122" s="15" t="e">
        <f>Tasks[[#This Row],[To Package]]</f>
        <v>#VALUE!</v>
      </c>
      <c r="I1122" s="15" t="e">
        <f>Tasks[[#This Row],[To Organisation]]</f>
        <v>#VALUE!</v>
      </c>
    </row>
    <row r="1123" spans="1:9" ht="15.5" x14ac:dyDescent="0.35">
      <c r="A1123" s="16" t="e">
        <f>HYPERLINK(_xlfn.CONCAT(Edit_URL,Tasks[[#This Row],[Ref]]),Tasks[[#This Row],[Ref]])</f>
        <v>#VALUE!</v>
      </c>
      <c r="B1123" s="15" t="e" cm="1">
        <f t="array" ref="B1123">_xlfn.SWITCH(LEFT(Tasks[[#This Row],[Status]],1),"O","Opened","C","Completed","S","Signed Off", "V", "Signed Off","ERROR")</f>
        <v>#VALUE!</v>
      </c>
      <c r="C1123" s="15" t="e" cm="1">
        <f t="array" ref="C1123">_xlfn.SWITCH(LEFT(Tasks[[#This Row],[Type]], 3), "Fie", "Field Report", "Con", "Contractor QC", "Gen", "Contractor QC", "Pun", "Contractor QC", "Qua", "Contractor QC", "Fin", "Punch List")</f>
        <v>#VALUE!</v>
      </c>
      <c r="D1123" s="15" t="e">
        <f>_xlfn.LET(
_xlpm.leftValue, TRIM(LEFT(Tasks[[#This Row],[Description]], 45)),
IF(LEN(_xlpm.leftValue) &lt; 40, _xlpm.leftValue, _xlfn.CONCAT(_xlpm.leftValue, "…"))
)</f>
        <v>#VALUE!</v>
      </c>
      <c r="E1123" s="15" t="e" cm="1">
        <f t="array" ref="E1123">_xlfn.LET(
_xlpm.inTower, COUNTIF(Tower_Num_Table[Tower Rm Numbers], LEFT(Task_Summary_Table[[#This Row],[Area/Room]], 3)) &gt; 0,
_xlpm.typeResult, _xlfn.SWITCH(LEFT(Tasks[[#This Row],[Page]], 2), "Hi", "Historic", "An", "Annex", "Si", "Site", "S5", "Project Task", "SWITCH ERROR"),
IF(_xlpm.inTower, "West Tower", _xlpm.typeResult)
)</f>
        <v>#VALUE!</v>
      </c>
      <c r="F1123" s="15" t="str">
        <f>IFERROR(MID(Tasks[[#This Row],[Page]], FIND("Level", Tasks[[#This Row],[Page]]), 7), IF(ISNUMBER(FIND("Roof", Tasks[[#This Row],[Page]])), "Roof",  IF(ISNUMBER(FIND("S590", Tasks[[#This Row],[Page]])), "",  IF(ISNUMBER(FIND("Site", Tasks[[#This Row],[Page]])), "", "ERROR"))))</f>
        <v>ERROR</v>
      </c>
      <c r="G1123" s="15" t="e">
        <f>IF(Tasks[[#This Row],[Location]]=0, "", Tasks[[#This Row],[Location]])</f>
        <v>#VALUE!</v>
      </c>
      <c r="H1123" s="15" t="e">
        <f>Tasks[[#This Row],[To Package]]</f>
        <v>#VALUE!</v>
      </c>
      <c r="I1123" s="15" t="e">
        <f>Tasks[[#This Row],[To Organisation]]</f>
        <v>#VALUE!</v>
      </c>
    </row>
    <row r="1124" spans="1:9" ht="15.5" x14ac:dyDescent="0.35">
      <c r="A1124" s="16" t="e">
        <f>HYPERLINK(_xlfn.CONCAT(Edit_URL,Tasks[[#This Row],[Ref]]),Tasks[[#This Row],[Ref]])</f>
        <v>#VALUE!</v>
      </c>
      <c r="B1124" s="15" t="e" cm="1">
        <f t="array" ref="B1124">_xlfn.SWITCH(LEFT(Tasks[[#This Row],[Status]],1),"O","Opened","C","Completed","S","Signed Off", "V", "Signed Off","ERROR")</f>
        <v>#VALUE!</v>
      </c>
      <c r="C1124" s="15" t="e" cm="1">
        <f t="array" ref="C1124">_xlfn.SWITCH(LEFT(Tasks[[#This Row],[Type]], 3), "Fie", "Field Report", "Con", "Contractor QC", "Gen", "Contractor QC", "Pun", "Contractor QC", "Qua", "Contractor QC", "Fin", "Punch List")</f>
        <v>#VALUE!</v>
      </c>
      <c r="D1124" s="15" t="e">
        <f>_xlfn.LET(
_xlpm.leftValue, TRIM(LEFT(Tasks[[#This Row],[Description]], 45)),
IF(LEN(_xlpm.leftValue) &lt; 40, _xlpm.leftValue, _xlfn.CONCAT(_xlpm.leftValue, "…"))
)</f>
        <v>#VALUE!</v>
      </c>
      <c r="E1124" s="15" t="e" cm="1">
        <f t="array" ref="E1124">_xlfn.LET(
_xlpm.inTower, COUNTIF(Tower_Num_Table[Tower Rm Numbers], LEFT(Task_Summary_Table[[#This Row],[Area/Room]], 3)) &gt; 0,
_xlpm.typeResult, _xlfn.SWITCH(LEFT(Tasks[[#This Row],[Page]], 2), "Hi", "Historic", "An", "Annex", "Si", "Site", "S5", "Project Task", "SWITCH ERROR"),
IF(_xlpm.inTower, "West Tower", _xlpm.typeResult)
)</f>
        <v>#VALUE!</v>
      </c>
      <c r="F1124" s="15" t="str">
        <f>IFERROR(MID(Tasks[[#This Row],[Page]], FIND("Level", Tasks[[#This Row],[Page]]), 7), IF(ISNUMBER(FIND("Roof", Tasks[[#This Row],[Page]])), "Roof",  IF(ISNUMBER(FIND("S590", Tasks[[#This Row],[Page]])), "",  IF(ISNUMBER(FIND("Site", Tasks[[#This Row],[Page]])), "", "ERROR"))))</f>
        <v>ERROR</v>
      </c>
      <c r="G1124" s="15" t="e">
        <f>IF(Tasks[[#This Row],[Location]]=0, "", Tasks[[#This Row],[Location]])</f>
        <v>#VALUE!</v>
      </c>
      <c r="H1124" s="15" t="e">
        <f>Tasks[[#This Row],[To Package]]</f>
        <v>#VALUE!</v>
      </c>
      <c r="I1124" s="15" t="e">
        <f>Tasks[[#This Row],[To Organisation]]</f>
        <v>#VALUE!</v>
      </c>
    </row>
    <row r="1125" spans="1:9" ht="15.5" x14ac:dyDescent="0.35">
      <c r="A1125" s="16" t="e">
        <f>HYPERLINK(_xlfn.CONCAT(Edit_URL,Tasks[[#This Row],[Ref]]),Tasks[[#This Row],[Ref]])</f>
        <v>#VALUE!</v>
      </c>
      <c r="B1125" s="15" t="e" cm="1">
        <f t="array" ref="B1125">_xlfn.SWITCH(LEFT(Tasks[[#This Row],[Status]],1),"O","Opened","C","Completed","S","Signed Off", "V", "Signed Off","ERROR")</f>
        <v>#VALUE!</v>
      </c>
      <c r="C1125" s="15" t="e" cm="1">
        <f t="array" ref="C1125">_xlfn.SWITCH(LEFT(Tasks[[#This Row],[Type]], 3), "Fie", "Field Report", "Con", "Contractor QC", "Gen", "Contractor QC", "Pun", "Contractor QC", "Qua", "Contractor QC", "Fin", "Punch List")</f>
        <v>#VALUE!</v>
      </c>
      <c r="D1125" s="15" t="e">
        <f>_xlfn.LET(
_xlpm.leftValue, TRIM(LEFT(Tasks[[#This Row],[Description]], 45)),
IF(LEN(_xlpm.leftValue) &lt; 40, _xlpm.leftValue, _xlfn.CONCAT(_xlpm.leftValue, "…"))
)</f>
        <v>#VALUE!</v>
      </c>
      <c r="E1125" s="15" t="e" cm="1">
        <f t="array" ref="E1125">_xlfn.LET(
_xlpm.inTower, COUNTIF(Tower_Num_Table[Tower Rm Numbers], LEFT(Task_Summary_Table[[#This Row],[Area/Room]], 3)) &gt; 0,
_xlpm.typeResult, _xlfn.SWITCH(LEFT(Tasks[[#This Row],[Page]], 2), "Hi", "Historic", "An", "Annex", "Si", "Site", "S5", "Project Task", "SWITCH ERROR"),
IF(_xlpm.inTower, "West Tower", _xlpm.typeResult)
)</f>
        <v>#VALUE!</v>
      </c>
      <c r="F1125" s="15" t="str">
        <f>IFERROR(MID(Tasks[[#This Row],[Page]], FIND("Level", Tasks[[#This Row],[Page]]), 7), IF(ISNUMBER(FIND("Roof", Tasks[[#This Row],[Page]])), "Roof",  IF(ISNUMBER(FIND("S590", Tasks[[#This Row],[Page]])), "",  IF(ISNUMBER(FIND("Site", Tasks[[#This Row],[Page]])), "", "ERROR"))))</f>
        <v>ERROR</v>
      </c>
      <c r="G1125" s="15" t="e">
        <f>IF(Tasks[[#This Row],[Location]]=0, "", Tasks[[#This Row],[Location]])</f>
        <v>#VALUE!</v>
      </c>
      <c r="H1125" s="15" t="e">
        <f>Tasks[[#This Row],[To Package]]</f>
        <v>#VALUE!</v>
      </c>
      <c r="I1125" s="15" t="e">
        <f>Tasks[[#This Row],[To Organisation]]</f>
        <v>#VALUE!</v>
      </c>
    </row>
    <row r="1126" spans="1:9" ht="15.5" x14ac:dyDescent="0.35">
      <c r="A1126" s="16" t="e">
        <f>HYPERLINK(_xlfn.CONCAT(Edit_URL,Tasks[[#This Row],[Ref]]),Tasks[[#This Row],[Ref]])</f>
        <v>#VALUE!</v>
      </c>
      <c r="B1126" s="15" t="e" cm="1">
        <f t="array" ref="B1126">_xlfn.SWITCH(LEFT(Tasks[[#This Row],[Status]],1),"O","Opened","C","Completed","S","Signed Off", "V", "Signed Off","ERROR")</f>
        <v>#VALUE!</v>
      </c>
      <c r="C1126" s="15" t="e" cm="1">
        <f t="array" ref="C1126">_xlfn.SWITCH(LEFT(Tasks[[#This Row],[Type]], 3), "Fie", "Field Report", "Con", "Contractor QC", "Gen", "Contractor QC", "Pun", "Contractor QC", "Qua", "Contractor QC", "Fin", "Punch List")</f>
        <v>#VALUE!</v>
      </c>
      <c r="D1126" s="15" t="e">
        <f>_xlfn.LET(
_xlpm.leftValue, TRIM(LEFT(Tasks[[#This Row],[Description]], 45)),
IF(LEN(_xlpm.leftValue) &lt; 40, _xlpm.leftValue, _xlfn.CONCAT(_xlpm.leftValue, "…"))
)</f>
        <v>#VALUE!</v>
      </c>
      <c r="E1126" s="15" t="e" cm="1">
        <f t="array" ref="E1126">_xlfn.LET(
_xlpm.inTower, COUNTIF(Tower_Num_Table[Tower Rm Numbers], LEFT(Task_Summary_Table[[#This Row],[Area/Room]], 3)) &gt; 0,
_xlpm.typeResult, _xlfn.SWITCH(LEFT(Tasks[[#This Row],[Page]], 2), "Hi", "Historic", "An", "Annex", "Si", "Site", "S5", "Project Task", "SWITCH ERROR"),
IF(_xlpm.inTower, "West Tower", _xlpm.typeResult)
)</f>
        <v>#VALUE!</v>
      </c>
      <c r="F1126" s="15" t="str">
        <f>IFERROR(MID(Tasks[[#This Row],[Page]], FIND("Level", Tasks[[#This Row],[Page]]), 7), IF(ISNUMBER(FIND("Roof", Tasks[[#This Row],[Page]])), "Roof",  IF(ISNUMBER(FIND("S590", Tasks[[#This Row],[Page]])), "",  IF(ISNUMBER(FIND("Site", Tasks[[#This Row],[Page]])), "", "ERROR"))))</f>
        <v>ERROR</v>
      </c>
      <c r="G1126" s="15" t="e">
        <f>IF(Tasks[[#This Row],[Location]]=0, "", Tasks[[#This Row],[Location]])</f>
        <v>#VALUE!</v>
      </c>
      <c r="H1126" s="15" t="e">
        <f>Tasks[[#This Row],[To Package]]</f>
        <v>#VALUE!</v>
      </c>
      <c r="I1126" s="15" t="e">
        <f>Tasks[[#This Row],[To Organisation]]</f>
        <v>#VALUE!</v>
      </c>
    </row>
    <row r="1127" spans="1:9" ht="15.5" x14ac:dyDescent="0.35">
      <c r="A1127" s="16" t="e">
        <f>HYPERLINK(_xlfn.CONCAT(Edit_URL,Tasks[[#This Row],[Ref]]),Tasks[[#This Row],[Ref]])</f>
        <v>#VALUE!</v>
      </c>
      <c r="B1127" s="15" t="e" cm="1">
        <f t="array" ref="B1127">_xlfn.SWITCH(LEFT(Tasks[[#This Row],[Status]],1),"O","Opened","C","Completed","S","Signed Off", "V", "Signed Off","ERROR")</f>
        <v>#VALUE!</v>
      </c>
      <c r="C1127" s="15" t="e" cm="1">
        <f t="array" ref="C1127">_xlfn.SWITCH(LEFT(Tasks[[#This Row],[Type]], 3), "Fie", "Field Report", "Con", "Contractor QC", "Gen", "Contractor QC", "Pun", "Contractor QC", "Qua", "Contractor QC", "Fin", "Punch List")</f>
        <v>#VALUE!</v>
      </c>
      <c r="D1127" s="15" t="e">
        <f>_xlfn.LET(
_xlpm.leftValue, TRIM(LEFT(Tasks[[#This Row],[Description]], 45)),
IF(LEN(_xlpm.leftValue) &lt; 40, _xlpm.leftValue, _xlfn.CONCAT(_xlpm.leftValue, "…"))
)</f>
        <v>#VALUE!</v>
      </c>
      <c r="E1127" s="15" t="e" cm="1">
        <f t="array" ref="E1127">_xlfn.LET(
_xlpm.inTower, COUNTIF(Tower_Num_Table[Tower Rm Numbers], LEFT(Task_Summary_Table[[#This Row],[Area/Room]], 3)) &gt; 0,
_xlpm.typeResult, _xlfn.SWITCH(LEFT(Tasks[[#This Row],[Page]], 2), "Hi", "Historic", "An", "Annex", "Si", "Site", "S5", "Project Task", "SWITCH ERROR"),
IF(_xlpm.inTower, "West Tower", _xlpm.typeResult)
)</f>
        <v>#VALUE!</v>
      </c>
      <c r="F1127" s="15" t="str">
        <f>IFERROR(MID(Tasks[[#This Row],[Page]], FIND("Level", Tasks[[#This Row],[Page]]), 7), IF(ISNUMBER(FIND("Roof", Tasks[[#This Row],[Page]])), "Roof",  IF(ISNUMBER(FIND("S590", Tasks[[#This Row],[Page]])), "",  IF(ISNUMBER(FIND("Site", Tasks[[#This Row],[Page]])), "", "ERROR"))))</f>
        <v>ERROR</v>
      </c>
      <c r="G1127" s="15" t="e">
        <f>IF(Tasks[[#This Row],[Location]]=0, "", Tasks[[#This Row],[Location]])</f>
        <v>#VALUE!</v>
      </c>
      <c r="H1127" s="15" t="e">
        <f>Tasks[[#This Row],[To Package]]</f>
        <v>#VALUE!</v>
      </c>
      <c r="I1127" s="15" t="e">
        <f>Tasks[[#This Row],[To Organisation]]</f>
        <v>#VALUE!</v>
      </c>
    </row>
    <row r="1128" spans="1:9" ht="15.5" x14ac:dyDescent="0.35">
      <c r="A1128" s="16" t="e">
        <f>HYPERLINK(_xlfn.CONCAT(Edit_URL,Tasks[[#This Row],[Ref]]),Tasks[[#This Row],[Ref]])</f>
        <v>#VALUE!</v>
      </c>
      <c r="B1128" s="15" t="e" cm="1">
        <f t="array" ref="B1128">_xlfn.SWITCH(LEFT(Tasks[[#This Row],[Status]],1),"O","Opened","C","Completed","S","Signed Off", "V", "Signed Off","ERROR")</f>
        <v>#VALUE!</v>
      </c>
      <c r="C1128" s="15" t="e" cm="1">
        <f t="array" ref="C1128">_xlfn.SWITCH(LEFT(Tasks[[#This Row],[Type]], 3), "Fie", "Field Report", "Con", "Contractor QC", "Gen", "Contractor QC", "Pun", "Contractor QC", "Qua", "Contractor QC", "Fin", "Punch List")</f>
        <v>#VALUE!</v>
      </c>
      <c r="D1128" s="15" t="e">
        <f>_xlfn.LET(
_xlpm.leftValue, TRIM(LEFT(Tasks[[#This Row],[Description]], 45)),
IF(LEN(_xlpm.leftValue) &lt; 40, _xlpm.leftValue, _xlfn.CONCAT(_xlpm.leftValue, "…"))
)</f>
        <v>#VALUE!</v>
      </c>
      <c r="E1128" s="15" t="e" cm="1">
        <f t="array" ref="E1128">_xlfn.LET(
_xlpm.inTower, COUNTIF(Tower_Num_Table[Tower Rm Numbers], LEFT(Task_Summary_Table[[#This Row],[Area/Room]], 3)) &gt; 0,
_xlpm.typeResult, _xlfn.SWITCH(LEFT(Tasks[[#This Row],[Page]], 2), "Hi", "Historic", "An", "Annex", "Si", "Site", "S5", "Project Task", "SWITCH ERROR"),
IF(_xlpm.inTower, "West Tower", _xlpm.typeResult)
)</f>
        <v>#VALUE!</v>
      </c>
      <c r="F1128" s="15" t="str">
        <f>IFERROR(MID(Tasks[[#This Row],[Page]], FIND("Level", Tasks[[#This Row],[Page]]), 7), IF(ISNUMBER(FIND("Roof", Tasks[[#This Row],[Page]])), "Roof",  IF(ISNUMBER(FIND("S590", Tasks[[#This Row],[Page]])), "",  IF(ISNUMBER(FIND("Site", Tasks[[#This Row],[Page]])), "", "ERROR"))))</f>
        <v>ERROR</v>
      </c>
      <c r="G1128" s="15" t="e">
        <f>IF(Tasks[[#This Row],[Location]]=0, "", Tasks[[#This Row],[Location]])</f>
        <v>#VALUE!</v>
      </c>
      <c r="H1128" s="15" t="e">
        <f>Tasks[[#This Row],[To Package]]</f>
        <v>#VALUE!</v>
      </c>
      <c r="I1128" s="15" t="e">
        <f>Tasks[[#This Row],[To Organisation]]</f>
        <v>#VALUE!</v>
      </c>
    </row>
    <row r="1129" spans="1:9" ht="15.5" x14ac:dyDescent="0.35">
      <c r="A1129" s="16" t="e">
        <f>HYPERLINK(_xlfn.CONCAT(Edit_URL,Tasks[[#This Row],[Ref]]),Tasks[[#This Row],[Ref]])</f>
        <v>#VALUE!</v>
      </c>
      <c r="B1129" s="15" t="e" cm="1">
        <f t="array" ref="B1129">_xlfn.SWITCH(LEFT(Tasks[[#This Row],[Status]],1),"O","Opened","C","Completed","S","Signed Off", "V", "Signed Off","ERROR")</f>
        <v>#VALUE!</v>
      </c>
      <c r="C1129" s="15" t="e" cm="1">
        <f t="array" ref="C1129">_xlfn.SWITCH(LEFT(Tasks[[#This Row],[Type]], 3), "Fie", "Field Report", "Con", "Contractor QC", "Gen", "Contractor QC", "Pun", "Contractor QC", "Qua", "Contractor QC", "Fin", "Punch List")</f>
        <v>#VALUE!</v>
      </c>
      <c r="D1129" s="15" t="e">
        <f>_xlfn.LET(
_xlpm.leftValue, TRIM(LEFT(Tasks[[#This Row],[Description]], 45)),
IF(LEN(_xlpm.leftValue) &lt; 40, _xlpm.leftValue, _xlfn.CONCAT(_xlpm.leftValue, "…"))
)</f>
        <v>#VALUE!</v>
      </c>
      <c r="E1129" s="15" t="e" cm="1">
        <f t="array" ref="E1129">_xlfn.LET(
_xlpm.inTower, COUNTIF(Tower_Num_Table[Tower Rm Numbers], LEFT(Task_Summary_Table[[#This Row],[Area/Room]], 3)) &gt; 0,
_xlpm.typeResult, _xlfn.SWITCH(LEFT(Tasks[[#This Row],[Page]], 2), "Hi", "Historic", "An", "Annex", "Si", "Site", "S5", "Project Task", "SWITCH ERROR"),
IF(_xlpm.inTower, "West Tower", _xlpm.typeResult)
)</f>
        <v>#VALUE!</v>
      </c>
      <c r="F1129" s="15" t="str">
        <f>IFERROR(MID(Tasks[[#This Row],[Page]], FIND("Level", Tasks[[#This Row],[Page]]), 7), IF(ISNUMBER(FIND("Roof", Tasks[[#This Row],[Page]])), "Roof",  IF(ISNUMBER(FIND("S590", Tasks[[#This Row],[Page]])), "",  IF(ISNUMBER(FIND("Site", Tasks[[#This Row],[Page]])), "", "ERROR"))))</f>
        <v>ERROR</v>
      </c>
      <c r="G1129" s="15" t="e">
        <f>IF(Tasks[[#This Row],[Location]]=0, "", Tasks[[#This Row],[Location]])</f>
        <v>#VALUE!</v>
      </c>
      <c r="H1129" s="15" t="e">
        <f>Tasks[[#This Row],[To Package]]</f>
        <v>#VALUE!</v>
      </c>
      <c r="I1129" s="15" t="e">
        <f>Tasks[[#This Row],[To Organisation]]</f>
        <v>#VALUE!</v>
      </c>
    </row>
    <row r="1130" spans="1:9" ht="15.5" x14ac:dyDescent="0.35">
      <c r="A1130" s="16" t="e">
        <f>HYPERLINK(_xlfn.CONCAT(Edit_URL,Tasks[[#This Row],[Ref]]),Tasks[[#This Row],[Ref]])</f>
        <v>#VALUE!</v>
      </c>
      <c r="B1130" s="15" t="e" cm="1">
        <f t="array" ref="B1130">_xlfn.SWITCH(LEFT(Tasks[[#This Row],[Status]],1),"O","Opened","C","Completed","S","Signed Off", "V", "Signed Off","ERROR")</f>
        <v>#VALUE!</v>
      </c>
      <c r="C1130" s="15" t="e" cm="1">
        <f t="array" ref="C1130">_xlfn.SWITCH(LEFT(Tasks[[#This Row],[Type]], 3), "Fie", "Field Report", "Con", "Contractor QC", "Gen", "Contractor QC", "Pun", "Contractor QC", "Qua", "Contractor QC", "Fin", "Punch List")</f>
        <v>#VALUE!</v>
      </c>
      <c r="D1130" s="15" t="e">
        <f>_xlfn.LET(
_xlpm.leftValue, TRIM(LEFT(Tasks[[#This Row],[Description]], 45)),
IF(LEN(_xlpm.leftValue) &lt; 40, _xlpm.leftValue, _xlfn.CONCAT(_xlpm.leftValue, "…"))
)</f>
        <v>#VALUE!</v>
      </c>
      <c r="E1130" s="15" t="e" cm="1">
        <f t="array" ref="E1130">_xlfn.LET(
_xlpm.inTower, COUNTIF(Tower_Num_Table[Tower Rm Numbers], LEFT(Task_Summary_Table[[#This Row],[Area/Room]], 3)) &gt; 0,
_xlpm.typeResult, _xlfn.SWITCH(LEFT(Tasks[[#This Row],[Page]], 2), "Hi", "Historic", "An", "Annex", "Si", "Site", "S5", "Project Task", "SWITCH ERROR"),
IF(_xlpm.inTower, "West Tower", _xlpm.typeResult)
)</f>
        <v>#VALUE!</v>
      </c>
      <c r="F1130" s="15" t="str">
        <f>IFERROR(MID(Tasks[[#This Row],[Page]], FIND("Level", Tasks[[#This Row],[Page]]), 7), IF(ISNUMBER(FIND("Roof", Tasks[[#This Row],[Page]])), "Roof",  IF(ISNUMBER(FIND("S590", Tasks[[#This Row],[Page]])), "",  IF(ISNUMBER(FIND("Site", Tasks[[#This Row],[Page]])), "", "ERROR"))))</f>
        <v>ERROR</v>
      </c>
      <c r="G1130" s="15" t="e">
        <f>IF(Tasks[[#This Row],[Location]]=0, "", Tasks[[#This Row],[Location]])</f>
        <v>#VALUE!</v>
      </c>
      <c r="H1130" s="15" t="e">
        <f>Tasks[[#This Row],[To Package]]</f>
        <v>#VALUE!</v>
      </c>
      <c r="I1130" s="15" t="e">
        <f>Tasks[[#This Row],[To Organisation]]</f>
        <v>#VALUE!</v>
      </c>
    </row>
    <row r="1131" spans="1:9" ht="15.5" x14ac:dyDescent="0.35">
      <c r="A1131" s="16" t="e">
        <f>HYPERLINK(_xlfn.CONCAT(Edit_URL,Tasks[[#This Row],[Ref]]),Tasks[[#This Row],[Ref]])</f>
        <v>#VALUE!</v>
      </c>
      <c r="B1131" s="15" t="e" cm="1">
        <f t="array" ref="B1131">_xlfn.SWITCH(LEFT(Tasks[[#This Row],[Status]],1),"O","Opened","C","Completed","S","Signed Off", "V", "Signed Off","ERROR")</f>
        <v>#VALUE!</v>
      </c>
      <c r="C1131" s="15" t="e" cm="1">
        <f t="array" ref="C1131">_xlfn.SWITCH(LEFT(Tasks[[#This Row],[Type]], 3), "Fie", "Field Report", "Con", "Contractor QC", "Gen", "Contractor QC", "Pun", "Contractor QC", "Qua", "Contractor QC", "Fin", "Punch List")</f>
        <v>#VALUE!</v>
      </c>
      <c r="D1131" s="15" t="e">
        <f>_xlfn.LET(
_xlpm.leftValue, TRIM(LEFT(Tasks[[#This Row],[Description]], 45)),
IF(LEN(_xlpm.leftValue) &lt; 40, _xlpm.leftValue, _xlfn.CONCAT(_xlpm.leftValue, "…"))
)</f>
        <v>#VALUE!</v>
      </c>
      <c r="E1131" s="15" t="e" cm="1">
        <f t="array" ref="E1131">_xlfn.LET(
_xlpm.inTower, COUNTIF(Tower_Num_Table[Tower Rm Numbers], LEFT(Task_Summary_Table[[#This Row],[Area/Room]], 3)) &gt; 0,
_xlpm.typeResult, _xlfn.SWITCH(LEFT(Tasks[[#This Row],[Page]], 2), "Hi", "Historic", "An", "Annex", "Si", "Site", "S5", "Project Task", "SWITCH ERROR"),
IF(_xlpm.inTower, "West Tower", _xlpm.typeResult)
)</f>
        <v>#VALUE!</v>
      </c>
      <c r="F1131" s="15" t="str">
        <f>IFERROR(MID(Tasks[[#This Row],[Page]], FIND("Level", Tasks[[#This Row],[Page]]), 7), IF(ISNUMBER(FIND("Roof", Tasks[[#This Row],[Page]])), "Roof",  IF(ISNUMBER(FIND("S590", Tasks[[#This Row],[Page]])), "",  IF(ISNUMBER(FIND("Site", Tasks[[#This Row],[Page]])), "", "ERROR"))))</f>
        <v>ERROR</v>
      </c>
      <c r="G1131" s="15" t="e">
        <f>IF(Tasks[[#This Row],[Location]]=0, "", Tasks[[#This Row],[Location]])</f>
        <v>#VALUE!</v>
      </c>
      <c r="H1131" s="15" t="e">
        <f>Tasks[[#This Row],[To Package]]</f>
        <v>#VALUE!</v>
      </c>
      <c r="I1131" s="15" t="e">
        <f>Tasks[[#This Row],[To Organisation]]</f>
        <v>#VALUE!</v>
      </c>
    </row>
    <row r="1132" spans="1:9" ht="15.5" x14ac:dyDescent="0.35">
      <c r="A1132" s="16" t="e">
        <f>HYPERLINK(_xlfn.CONCAT(Edit_URL,Tasks[[#This Row],[Ref]]),Tasks[[#This Row],[Ref]])</f>
        <v>#VALUE!</v>
      </c>
      <c r="B1132" s="15" t="e" cm="1">
        <f t="array" ref="B1132">_xlfn.SWITCH(LEFT(Tasks[[#This Row],[Status]],1),"O","Opened","C","Completed","S","Signed Off", "V", "Signed Off","ERROR")</f>
        <v>#VALUE!</v>
      </c>
      <c r="C1132" s="15" t="e" cm="1">
        <f t="array" ref="C1132">_xlfn.SWITCH(LEFT(Tasks[[#This Row],[Type]], 3), "Fie", "Field Report", "Con", "Contractor QC", "Gen", "Contractor QC", "Pun", "Contractor QC", "Qua", "Contractor QC", "Fin", "Punch List")</f>
        <v>#VALUE!</v>
      </c>
      <c r="D1132" s="15" t="e">
        <f>_xlfn.LET(
_xlpm.leftValue, TRIM(LEFT(Tasks[[#This Row],[Description]], 45)),
IF(LEN(_xlpm.leftValue) &lt; 40, _xlpm.leftValue, _xlfn.CONCAT(_xlpm.leftValue, "…"))
)</f>
        <v>#VALUE!</v>
      </c>
      <c r="E1132" s="15" t="e" cm="1">
        <f t="array" ref="E1132">_xlfn.LET(
_xlpm.inTower, COUNTIF(Tower_Num_Table[Tower Rm Numbers], LEFT(Task_Summary_Table[[#This Row],[Area/Room]], 3)) &gt; 0,
_xlpm.typeResult, _xlfn.SWITCH(LEFT(Tasks[[#This Row],[Page]], 2), "Hi", "Historic", "An", "Annex", "Si", "Site", "S5", "Project Task", "SWITCH ERROR"),
IF(_xlpm.inTower, "West Tower", _xlpm.typeResult)
)</f>
        <v>#VALUE!</v>
      </c>
      <c r="F1132" s="15" t="str">
        <f>IFERROR(MID(Tasks[[#This Row],[Page]], FIND("Level", Tasks[[#This Row],[Page]]), 7), IF(ISNUMBER(FIND("Roof", Tasks[[#This Row],[Page]])), "Roof",  IF(ISNUMBER(FIND("S590", Tasks[[#This Row],[Page]])), "",  IF(ISNUMBER(FIND("Site", Tasks[[#This Row],[Page]])), "", "ERROR"))))</f>
        <v>ERROR</v>
      </c>
      <c r="G1132" s="15" t="e">
        <f>IF(Tasks[[#This Row],[Location]]=0, "", Tasks[[#This Row],[Location]])</f>
        <v>#VALUE!</v>
      </c>
      <c r="H1132" s="15" t="e">
        <f>Tasks[[#This Row],[To Package]]</f>
        <v>#VALUE!</v>
      </c>
      <c r="I1132" s="15" t="e">
        <f>Tasks[[#This Row],[To Organisation]]</f>
        <v>#VALUE!</v>
      </c>
    </row>
    <row r="1133" spans="1:9" ht="15.5" x14ac:dyDescent="0.35">
      <c r="A1133" s="16" t="e">
        <f>HYPERLINK(_xlfn.CONCAT(Edit_URL,Tasks[[#This Row],[Ref]]),Tasks[[#This Row],[Ref]])</f>
        <v>#VALUE!</v>
      </c>
      <c r="B1133" s="15" t="e" cm="1">
        <f t="array" ref="B1133">_xlfn.SWITCH(LEFT(Tasks[[#This Row],[Status]],1),"O","Opened","C","Completed","S","Signed Off", "V", "Signed Off","ERROR")</f>
        <v>#VALUE!</v>
      </c>
      <c r="C1133" s="15" t="e" cm="1">
        <f t="array" ref="C1133">_xlfn.SWITCH(LEFT(Tasks[[#This Row],[Type]], 3), "Fie", "Field Report", "Con", "Contractor QC", "Gen", "Contractor QC", "Pun", "Contractor QC", "Qua", "Contractor QC", "Fin", "Punch List")</f>
        <v>#VALUE!</v>
      </c>
      <c r="D1133" s="15" t="e">
        <f>_xlfn.LET(
_xlpm.leftValue, TRIM(LEFT(Tasks[[#This Row],[Description]], 45)),
IF(LEN(_xlpm.leftValue) &lt; 40, _xlpm.leftValue, _xlfn.CONCAT(_xlpm.leftValue, "…"))
)</f>
        <v>#VALUE!</v>
      </c>
      <c r="E1133" s="15" t="e" cm="1">
        <f t="array" ref="E1133">_xlfn.LET(
_xlpm.inTower, COUNTIF(Tower_Num_Table[Tower Rm Numbers], LEFT(Task_Summary_Table[[#This Row],[Area/Room]], 3)) &gt; 0,
_xlpm.typeResult, _xlfn.SWITCH(LEFT(Tasks[[#This Row],[Page]], 2), "Hi", "Historic", "An", "Annex", "Si", "Site", "S5", "Project Task", "SWITCH ERROR"),
IF(_xlpm.inTower, "West Tower", _xlpm.typeResult)
)</f>
        <v>#VALUE!</v>
      </c>
      <c r="F1133" s="15" t="str">
        <f>IFERROR(MID(Tasks[[#This Row],[Page]], FIND("Level", Tasks[[#This Row],[Page]]), 7), IF(ISNUMBER(FIND("Roof", Tasks[[#This Row],[Page]])), "Roof",  IF(ISNUMBER(FIND("S590", Tasks[[#This Row],[Page]])), "",  IF(ISNUMBER(FIND("Site", Tasks[[#This Row],[Page]])), "", "ERROR"))))</f>
        <v>ERROR</v>
      </c>
      <c r="G1133" s="15" t="e">
        <f>IF(Tasks[[#This Row],[Location]]=0, "", Tasks[[#This Row],[Location]])</f>
        <v>#VALUE!</v>
      </c>
      <c r="H1133" s="15" t="e">
        <f>Tasks[[#This Row],[To Package]]</f>
        <v>#VALUE!</v>
      </c>
      <c r="I1133" s="15" t="e">
        <f>Tasks[[#This Row],[To Organisation]]</f>
        <v>#VALUE!</v>
      </c>
    </row>
    <row r="1134" spans="1:9" ht="15.5" x14ac:dyDescent="0.35">
      <c r="A1134" s="16" t="e">
        <f>HYPERLINK(_xlfn.CONCAT(Edit_URL,Tasks[[#This Row],[Ref]]),Tasks[[#This Row],[Ref]])</f>
        <v>#VALUE!</v>
      </c>
      <c r="B1134" s="15" t="e" cm="1">
        <f t="array" ref="B1134">_xlfn.SWITCH(LEFT(Tasks[[#This Row],[Status]],1),"O","Opened","C","Completed","S","Signed Off", "V", "Signed Off","ERROR")</f>
        <v>#VALUE!</v>
      </c>
      <c r="C1134" s="15" t="e" cm="1">
        <f t="array" ref="C1134">_xlfn.SWITCH(LEFT(Tasks[[#This Row],[Type]], 3), "Fie", "Field Report", "Con", "Contractor QC", "Gen", "Contractor QC", "Pun", "Contractor QC", "Qua", "Contractor QC", "Fin", "Punch List")</f>
        <v>#VALUE!</v>
      </c>
      <c r="D1134" s="15" t="e">
        <f>_xlfn.LET(
_xlpm.leftValue, TRIM(LEFT(Tasks[[#This Row],[Description]], 45)),
IF(LEN(_xlpm.leftValue) &lt; 40, _xlpm.leftValue, _xlfn.CONCAT(_xlpm.leftValue, "…"))
)</f>
        <v>#VALUE!</v>
      </c>
      <c r="E1134" s="15" t="e" cm="1">
        <f t="array" ref="E1134">_xlfn.LET(
_xlpm.inTower, COUNTIF(Tower_Num_Table[Tower Rm Numbers], LEFT(Task_Summary_Table[[#This Row],[Area/Room]], 3)) &gt; 0,
_xlpm.typeResult, _xlfn.SWITCH(LEFT(Tasks[[#This Row],[Page]], 2), "Hi", "Historic", "An", "Annex", "Si", "Site", "S5", "Project Task", "SWITCH ERROR"),
IF(_xlpm.inTower, "West Tower", _xlpm.typeResult)
)</f>
        <v>#VALUE!</v>
      </c>
      <c r="F1134" s="15" t="str">
        <f>IFERROR(MID(Tasks[[#This Row],[Page]], FIND("Level", Tasks[[#This Row],[Page]]), 7), IF(ISNUMBER(FIND("Roof", Tasks[[#This Row],[Page]])), "Roof",  IF(ISNUMBER(FIND("S590", Tasks[[#This Row],[Page]])), "",  IF(ISNUMBER(FIND("Site", Tasks[[#This Row],[Page]])), "", "ERROR"))))</f>
        <v>ERROR</v>
      </c>
      <c r="G1134" s="15" t="e">
        <f>IF(Tasks[[#This Row],[Location]]=0, "", Tasks[[#This Row],[Location]])</f>
        <v>#VALUE!</v>
      </c>
      <c r="H1134" s="15" t="e">
        <f>Tasks[[#This Row],[To Package]]</f>
        <v>#VALUE!</v>
      </c>
      <c r="I1134" s="15" t="e">
        <f>Tasks[[#This Row],[To Organisation]]</f>
        <v>#VALUE!</v>
      </c>
    </row>
    <row r="1135" spans="1:9" ht="15.5" x14ac:dyDescent="0.35">
      <c r="A1135" s="16" t="e">
        <f>HYPERLINK(_xlfn.CONCAT(Edit_URL,Tasks[[#This Row],[Ref]]),Tasks[[#This Row],[Ref]])</f>
        <v>#VALUE!</v>
      </c>
      <c r="B1135" s="15" t="e" cm="1">
        <f t="array" ref="B1135">_xlfn.SWITCH(LEFT(Tasks[[#This Row],[Status]],1),"O","Opened","C","Completed","S","Signed Off", "V", "Signed Off","ERROR")</f>
        <v>#VALUE!</v>
      </c>
      <c r="C1135" s="15" t="e" cm="1">
        <f t="array" ref="C1135">_xlfn.SWITCH(LEFT(Tasks[[#This Row],[Type]], 3), "Fie", "Field Report", "Con", "Contractor QC", "Gen", "Contractor QC", "Pun", "Contractor QC", "Qua", "Contractor QC", "Fin", "Punch List")</f>
        <v>#VALUE!</v>
      </c>
      <c r="D1135" s="15" t="e">
        <f>_xlfn.LET(
_xlpm.leftValue, TRIM(LEFT(Tasks[[#This Row],[Description]], 45)),
IF(LEN(_xlpm.leftValue) &lt; 40, _xlpm.leftValue, _xlfn.CONCAT(_xlpm.leftValue, "…"))
)</f>
        <v>#VALUE!</v>
      </c>
      <c r="E1135" s="15" t="e" cm="1">
        <f t="array" ref="E1135">_xlfn.LET(
_xlpm.inTower, COUNTIF(Tower_Num_Table[Tower Rm Numbers], LEFT(Task_Summary_Table[[#This Row],[Area/Room]], 3)) &gt; 0,
_xlpm.typeResult, _xlfn.SWITCH(LEFT(Tasks[[#This Row],[Page]], 2), "Hi", "Historic", "An", "Annex", "Si", "Site", "S5", "Project Task", "SWITCH ERROR"),
IF(_xlpm.inTower, "West Tower", _xlpm.typeResult)
)</f>
        <v>#VALUE!</v>
      </c>
      <c r="F1135" s="15" t="str">
        <f>IFERROR(MID(Tasks[[#This Row],[Page]], FIND("Level", Tasks[[#This Row],[Page]]), 7), IF(ISNUMBER(FIND("Roof", Tasks[[#This Row],[Page]])), "Roof",  IF(ISNUMBER(FIND("S590", Tasks[[#This Row],[Page]])), "",  IF(ISNUMBER(FIND("Site", Tasks[[#This Row],[Page]])), "", "ERROR"))))</f>
        <v>ERROR</v>
      </c>
      <c r="G1135" s="15" t="e">
        <f>IF(Tasks[[#This Row],[Location]]=0, "", Tasks[[#This Row],[Location]])</f>
        <v>#VALUE!</v>
      </c>
      <c r="H1135" s="15" t="e">
        <f>Tasks[[#This Row],[To Package]]</f>
        <v>#VALUE!</v>
      </c>
      <c r="I1135" s="15" t="e">
        <f>Tasks[[#This Row],[To Organisation]]</f>
        <v>#VALUE!</v>
      </c>
    </row>
    <row r="1136" spans="1:9" ht="15.5" x14ac:dyDescent="0.35">
      <c r="A1136" s="16" t="e">
        <f>HYPERLINK(_xlfn.CONCAT(Edit_URL,Tasks[[#This Row],[Ref]]),Tasks[[#This Row],[Ref]])</f>
        <v>#VALUE!</v>
      </c>
      <c r="B1136" s="15" t="e" cm="1">
        <f t="array" ref="B1136">_xlfn.SWITCH(LEFT(Tasks[[#This Row],[Status]],1),"O","Opened","C","Completed","S","Signed Off", "V", "Signed Off","ERROR")</f>
        <v>#VALUE!</v>
      </c>
      <c r="C1136" s="15" t="e" cm="1">
        <f t="array" ref="C1136">_xlfn.SWITCH(LEFT(Tasks[[#This Row],[Type]], 3), "Fie", "Field Report", "Con", "Contractor QC", "Gen", "Contractor QC", "Pun", "Contractor QC", "Qua", "Contractor QC", "Fin", "Punch List")</f>
        <v>#VALUE!</v>
      </c>
      <c r="D1136" s="15" t="e">
        <f>_xlfn.LET(
_xlpm.leftValue, TRIM(LEFT(Tasks[[#This Row],[Description]], 45)),
IF(LEN(_xlpm.leftValue) &lt; 40, _xlpm.leftValue, _xlfn.CONCAT(_xlpm.leftValue, "…"))
)</f>
        <v>#VALUE!</v>
      </c>
      <c r="E1136" s="15" t="e" cm="1">
        <f t="array" ref="E1136">_xlfn.LET(
_xlpm.inTower, COUNTIF(Tower_Num_Table[Tower Rm Numbers], LEFT(Task_Summary_Table[[#This Row],[Area/Room]], 3)) &gt; 0,
_xlpm.typeResult, _xlfn.SWITCH(LEFT(Tasks[[#This Row],[Page]], 2), "Hi", "Historic", "An", "Annex", "Si", "Site", "S5", "Project Task", "SWITCH ERROR"),
IF(_xlpm.inTower, "West Tower", _xlpm.typeResult)
)</f>
        <v>#VALUE!</v>
      </c>
      <c r="F1136" s="15" t="str">
        <f>IFERROR(MID(Tasks[[#This Row],[Page]], FIND("Level", Tasks[[#This Row],[Page]]), 7), IF(ISNUMBER(FIND("Roof", Tasks[[#This Row],[Page]])), "Roof",  IF(ISNUMBER(FIND("S590", Tasks[[#This Row],[Page]])), "",  IF(ISNUMBER(FIND("Site", Tasks[[#This Row],[Page]])), "", "ERROR"))))</f>
        <v>ERROR</v>
      </c>
      <c r="G1136" s="15" t="e">
        <f>IF(Tasks[[#This Row],[Location]]=0, "", Tasks[[#This Row],[Location]])</f>
        <v>#VALUE!</v>
      </c>
      <c r="H1136" s="15" t="e">
        <f>Tasks[[#This Row],[To Package]]</f>
        <v>#VALUE!</v>
      </c>
      <c r="I1136" s="15" t="e">
        <f>Tasks[[#This Row],[To Organisation]]</f>
        <v>#VALUE!</v>
      </c>
    </row>
    <row r="1137" spans="1:9" ht="15.5" x14ac:dyDescent="0.35">
      <c r="A1137" s="16" t="e">
        <f>HYPERLINK(_xlfn.CONCAT(Edit_URL,Tasks[[#This Row],[Ref]]),Tasks[[#This Row],[Ref]])</f>
        <v>#VALUE!</v>
      </c>
      <c r="B1137" s="15" t="e" cm="1">
        <f t="array" ref="B1137">_xlfn.SWITCH(LEFT(Tasks[[#This Row],[Status]],1),"O","Opened","C","Completed","S","Signed Off", "V", "Signed Off","ERROR")</f>
        <v>#VALUE!</v>
      </c>
      <c r="C1137" s="15" t="e" cm="1">
        <f t="array" ref="C1137">_xlfn.SWITCH(LEFT(Tasks[[#This Row],[Type]], 3), "Fie", "Field Report", "Con", "Contractor QC", "Gen", "Contractor QC", "Pun", "Contractor QC", "Qua", "Contractor QC", "Fin", "Punch List")</f>
        <v>#VALUE!</v>
      </c>
      <c r="D1137" s="15" t="e">
        <f>_xlfn.LET(
_xlpm.leftValue, TRIM(LEFT(Tasks[[#This Row],[Description]], 45)),
IF(LEN(_xlpm.leftValue) &lt; 40, _xlpm.leftValue, _xlfn.CONCAT(_xlpm.leftValue, "…"))
)</f>
        <v>#VALUE!</v>
      </c>
      <c r="E1137" s="15" t="e" cm="1">
        <f t="array" ref="E1137">_xlfn.LET(
_xlpm.inTower, COUNTIF(Tower_Num_Table[Tower Rm Numbers], LEFT(Task_Summary_Table[[#This Row],[Area/Room]], 3)) &gt; 0,
_xlpm.typeResult, _xlfn.SWITCH(LEFT(Tasks[[#This Row],[Page]], 2), "Hi", "Historic", "An", "Annex", "Si", "Site", "S5", "Project Task", "SWITCH ERROR"),
IF(_xlpm.inTower, "West Tower", _xlpm.typeResult)
)</f>
        <v>#VALUE!</v>
      </c>
      <c r="F1137" s="15" t="str">
        <f>IFERROR(MID(Tasks[[#This Row],[Page]], FIND("Level", Tasks[[#This Row],[Page]]), 7), IF(ISNUMBER(FIND("Roof", Tasks[[#This Row],[Page]])), "Roof",  IF(ISNUMBER(FIND("S590", Tasks[[#This Row],[Page]])), "",  IF(ISNUMBER(FIND("Site", Tasks[[#This Row],[Page]])), "", "ERROR"))))</f>
        <v>ERROR</v>
      </c>
      <c r="G1137" s="15" t="e">
        <f>IF(Tasks[[#This Row],[Location]]=0, "", Tasks[[#This Row],[Location]])</f>
        <v>#VALUE!</v>
      </c>
      <c r="H1137" s="15" t="e">
        <f>Tasks[[#This Row],[To Package]]</f>
        <v>#VALUE!</v>
      </c>
      <c r="I1137" s="15" t="e">
        <f>Tasks[[#This Row],[To Organisation]]</f>
        <v>#VALUE!</v>
      </c>
    </row>
    <row r="1138" spans="1:9" ht="15.5" x14ac:dyDescent="0.35">
      <c r="A1138" s="16" t="e">
        <f>HYPERLINK(_xlfn.CONCAT(Edit_URL,Tasks[[#This Row],[Ref]]),Tasks[[#This Row],[Ref]])</f>
        <v>#VALUE!</v>
      </c>
      <c r="B1138" s="15" t="e" cm="1">
        <f t="array" ref="B1138">_xlfn.SWITCH(LEFT(Tasks[[#This Row],[Status]],1),"O","Opened","C","Completed","S","Signed Off", "V", "Signed Off","ERROR")</f>
        <v>#VALUE!</v>
      </c>
      <c r="C1138" s="15" t="e" cm="1">
        <f t="array" ref="C1138">_xlfn.SWITCH(LEFT(Tasks[[#This Row],[Type]], 3), "Fie", "Field Report", "Con", "Contractor QC", "Gen", "Contractor QC", "Pun", "Contractor QC", "Qua", "Contractor QC", "Fin", "Punch List")</f>
        <v>#VALUE!</v>
      </c>
      <c r="D1138" s="15" t="e">
        <f>_xlfn.LET(
_xlpm.leftValue, TRIM(LEFT(Tasks[[#This Row],[Description]], 45)),
IF(LEN(_xlpm.leftValue) &lt; 40, _xlpm.leftValue, _xlfn.CONCAT(_xlpm.leftValue, "…"))
)</f>
        <v>#VALUE!</v>
      </c>
      <c r="E1138" s="15" t="e" cm="1">
        <f t="array" ref="E1138">_xlfn.LET(
_xlpm.inTower, COUNTIF(Tower_Num_Table[Tower Rm Numbers], LEFT(Task_Summary_Table[[#This Row],[Area/Room]], 3)) &gt; 0,
_xlpm.typeResult, _xlfn.SWITCH(LEFT(Tasks[[#This Row],[Page]], 2), "Hi", "Historic", "An", "Annex", "Si", "Site", "S5", "Project Task", "SWITCH ERROR"),
IF(_xlpm.inTower, "West Tower", _xlpm.typeResult)
)</f>
        <v>#VALUE!</v>
      </c>
      <c r="F1138" s="15" t="str">
        <f>IFERROR(MID(Tasks[[#This Row],[Page]], FIND("Level", Tasks[[#This Row],[Page]]), 7), IF(ISNUMBER(FIND("Roof", Tasks[[#This Row],[Page]])), "Roof",  IF(ISNUMBER(FIND("S590", Tasks[[#This Row],[Page]])), "",  IF(ISNUMBER(FIND("Site", Tasks[[#This Row],[Page]])), "", "ERROR"))))</f>
        <v>ERROR</v>
      </c>
      <c r="G1138" s="15" t="e">
        <f>IF(Tasks[[#This Row],[Location]]=0, "", Tasks[[#This Row],[Location]])</f>
        <v>#VALUE!</v>
      </c>
      <c r="H1138" s="15" t="e">
        <f>Tasks[[#This Row],[To Package]]</f>
        <v>#VALUE!</v>
      </c>
      <c r="I1138" s="15" t="e">
        <f>Tasks[[#This Row],[To Organisation]]</f>
        <v>#VALUE!</v>
      </c>
    </row>
    <row r="1139" spans="1:9" ht="15.5" x14ac:dyDescent="0.35">
      <c r="A1139" s="16" t="e">
        <f>HYPERLINK(_xlfn.CONCAT(Edit_URL,Tasks[[#This Row],[Ref]]),Tasks[[#This Row],[Ref]])</f>
        <v>#VALUE!</v>
      </c>
      <c r="B1139" s="15" t="e" cm="1">
        <f t="array" ref="B1139">_xlfn.SWITCH(LEFT(Tasks[[#This Row],[Status]],1),"O","Opened","C","Completed","S","Signed Off", "V", "Signed Off","ERROR")</f>
        <v>#VALUE!</v>
      </c>
      <c r="C1139" s="15" t="e" cm="1">
        <f t="array" ref="C1139">_xlfn.SWITCH(LEFT(Tasks[[#This Row],[Type]], 3), "Fie", "Field Report", "Con", "Contractor QC", "Gen", "Contractor QC", "Pun", "Contractor QC", "Qua", "Contractor QC", "Fin", "Punch List")</f>
        <v>#VALUE!</v>
      </c>
      <c r="D1139" s="15" t="e">
        <f>_xlfn.LET(
_xlpm.leftValue, TRIM(LEFT(Tasks[[#This Row],[Description]], 45)),
IF(LEN(_xlpm.leftValue) &lt; 40, _xlpm.leftValue, _xlfn.CONCAT(_xlpm.leftValue, "…"))
)</f>
        <v>#VALUE!</v>
      </c>
      <c r="E1139" s="15" t="e" cm="1">
        <f t="array" ref="E1139">_xlfn.LET(
_xlpm.inTower, COUNTIF(Tower_Num_Table[Tower Rm Numbers], LEFT(Task_Summary_Table[[#This Row],[Area/Room]], 3)) &gt; 0,
_xlpm.typeResult, _xlfn.SWITCH(LEFT(Tasks[[#This Row],[Page]], 2), "Hi", "Historic", "An", "Annex", "Si", "Site", "S5", "Project Task", "SWITCH ERROR"),
IF(_xlpm.inTower, "West Tower", _xlpm.typeResult)
)</f>
        <v>#VALUE!</v>
      </c>
      <c r="F1139" s="15" t="str">
        <f>IFERROR(MID(Tasks[[#This Row],[Page]], FIND("Level", Tasks[[#This Row],[Page]]), 7), IF(ISNUMBER(FIND("Roof", Tasks[[#This Row],[Page]])), "Roof",  IF(ISNUMBER(FIND("S590", Tasks[[#This Row],[Page]])), "",  IF(ISNUMBER(FIND("Site", Tasks[[#This Row],[Page]])), "", "ERROR"))))</f>
        <v>ERROR</v>
      </c>
      <c r="G1139" s="15" t="e">
        <f>IF(Tasks[[#This Row],[Location]]=0, "", Tasks[[#This Row],[Location]])</f>
        <v>#VALUE!</v>
      </c>
      <c r="H1139" s="15" t="e">
        <f>Tasks[[#This Row],[To Package]]</f>
        <v>#VALUE!</v>
      </c>
      <c r="I1139" s="15" t="e">
        <f>Tasks[[#This Row],[To Organisation]]</f>
        <v>#VALUE!</v>
      </c>
    </row>
    <row r="1140" spans="1:9" ht="15.5" x14ac:dyDescent="0.35">
      <c r="A1140" s="16" t="e">
        <f>HYPERLINK(_xlfn.CONCAT(Edit_URL,Tasks[[#This Row],[Ref]]),Tasks[[#This Row],[Ref]])</f>
        <v>#VALUE!</v>
      </c>
      <c r="B1140" s="15" t="e" cm="1">
        <f t="array" ref="B1140">_xlfn.SWITCH(LEFT(Tasks[[#This Row],[Status]],1),"O","Opened","C","Completed","S","Signed Off", "V", "Signed Off","ERROR")</f>
        <v>#VALUE!</v>
      </c>
      <c r="C1140" s="15" t="e" cm="1">
        <f t="array" ref="C1140">_xlfn.SWITCH(LEFT(Tasks[[#This Row],[Type]], 3), "Fie", "Field Report", "Con", "Contractor QC", "Gen", "Contractor QC", "Pun", "Contractor QC", "Qua", "Contractor QC", "Fin", "Punch List")</f>
        <v>#VALUE!</v>
      </c>
      <c r="D1140" s="15" t="e">
        <f>_xlfn.LET(
_xlpm.leftValue, TRIM(LEFT(Tasks[[#This Row],[Description]], 45)),
IF(LEN(_xlpm.leftValue) &lt; 40, _xlpm.leftValue, _xlfn.CONCAT(_xlpm.leftValue, "…"))
)</f>
        <v>#VALUE!</v>
      </c>
      <c r="E1140" s="15" t="e" cm="1">
        <f t="array" ref="E1140">_xlfn.LET(
_xlpm.inTower, COUNTIF(Tower_Num_Table[Tower Rm Numbers], LEFT(Task_Summary_Table[[#This Row],[Area/Room]], 3)) &gt; 0,
_xlpm.typeResult, _xlfn.SWITCH(LEFT(Tasks[[#This Row],[Page]], 2), "Hi", "Historic", "An", "Annex", "Si", "Site", "S5", "Project Task", "SWITCH ERROR"),
IF(_xlpm.inTower, "West Tower", _xlpm.typeResult)
)</f>
        <v>#VALUE!</v>
      </c>
      <c r="F1140" s="15" t="str">
        <f>IFERROR(MID(Tasks[[#This Row],[Page]], FIND("Level", Tasks[[#This Row],[Page]]), 7), IF(ISNUMBER(FIND("Roof", Tasks[[#This Row],[Page]])), "Roof",  IF(ISNUMBER(FIND("S590", Tasks[[#This Row],[Page]])), "",  IF(ISNUMBER(FIND("Site", Tasks[[#This Row],[Page]])), "", "ERROR"))))</f>
        <v>ERROR</v>
      </c>
      <c r="G1140" s="15" t="e">
        <f>IF(Tasks[[#This Row],[Location]]=0, "", Tasks[[#This Row],[Location]])</f>
        <v>#VALUE!</v>
      </c>
      <c r="H1140" s="15" t="e">
        <f>Tasks[[#This Row],[To Package]]</f>
        <v>#VALUE!</v>
      </c>
      <c r="I1140" s="15" t="e">
        <f>Tasks[[#This Row],[To Organisation]]</f>
        <v>#VALUE!</v>
      </c>
    </row>
    <row r="1141" spans="1:9" ht="15.5" x14ac:dyDescent="0.35">
      <c r="A1141" s="16" t="e">
        <f>HYPERLINK(_xlfn.CONCAT(Edit_URL,Tasks[[#This Row],[Ref]]),Tasks[[#This Row],[Ref]])</f>
        <v>#VALUE!</v>
      </c>
      <c r="B1141" s="15" t="e" cm="1">
        <f t="array" ref="B1141">_xlfn.SWITCH(LEFT(Tasks[[#This Row],[Status]],1),"O","Opened","C","Completed","S","Signed Off", "V", "Signed Off","ERROR")</f>
        <v>#VALUE!</v>
      </c>
      <c r="C1141" s="15" t="e" cm="1">
        <f t="array" ref="C1141">_xlfn.SWITCH(LEFT(Tasks[[#This Row],[Type]], 3), "Fie", "Field Report", "Con", "Contractor QC", "Gen", "Contractor QC", "Pun", "Contractor QC", "Qua", "Contractor QC", "Fin", "Punch List")</f>
        <v>#VALUE!</v>
      </c>
      <c r="D1141" s="15" t="e">
        <f>_xlfn.LET(
_xlpm.leftValue, TRIM(LEFT(Tasks[[#This Row],[Description]], 45)),
IF(LEN(_xlpm.leftValue) &lt; 40, _xlpm.leftValue, _xlfn.CONCAT(_xlpm.leftValue, "…"))
)</f>
        <v>#VALUE!</v>
      </c>
      <c r="E1141" s="15" t="e" cm="1">
        <f t="array" ref="E1141">_xlfn.LET(
_xlpm.inTower, COUNTIF(Tower_Num_Table[Tower Rm Numbers], LEFT(Task_Summary_Table[[#This Row],[Area/Room]], 3)) &gt; 0,
_xlpm.typeResult, _xlfn.SWITCH(LEFT(Tasks[[#This Row],[Page]], 2), "Hi", "Historic", "An", "Annex", "Si", "Site", "S5", "Project Task", "SWITCH ERROR"),
IF(_xlpm.inTower, "West Tower", _xlpm.typeResult)
)</f>
        <v>#VALUE!</v>
      </c>
      <c r="F1141" s="15" t="str">
        <f>IFERROR(MID(Tasks[[#This Row],[Page]], FIND("Level", Tasks[[#This Row],[Page]]), 7), IF(ISNUMBER(FIND("Roof", Tasks[[#This Row],[Page]])), "Roof",  IF(ISNUMBER(FIND("S590", Tasks[[#This Row],[Page]])), "",  IF(ISNUMBER(FIND("Site", Tasks[[#This Row],[Page]])), "", "ERROR"))))</f>
        <v>ERROR</v>
      </c>
      <c r="G1141" s="15" t="e">
        <f>IF(Tasks[[#This Row],[Location]]=0, "", Tasks[[#This Row],[Location]])</f>
        <v>#VALUE!</v>
      </c>
      <c r="H1141" s="15" t="e">
        <f>Tasks[[#This Row],[To Package]]</f>
        <v>#VALUE!</v>
      </c>
      <c r="I1141" s="15" t="e">
        <f>Tasks[[#This Row],[To Organisation]]</f>
        <v>#VALUE!</v>
      </c>
    </row>
    <row r="1142" spans="1:9" ht="15.5" x14ac:dyDescent="0.35">
      <c r="A1142" s="16" t="e">
        <f>HYPERLINK(_xlfn.CONCAT(Edit_URL,Tasks[[#This Row],[Ref]]),Tasks[[#This Row],[Ref]])</f>
        <v>#VALUE!</v>
      </c>
      <c r="B1142" s="15" t="e" cm="1">
        <f t="array" ref="B1142">_xlfn.SWITCH(LEFT(Tasks[[#This Row],[Status]],1),"O","Opened","C","Completed","S","Signed Off", "V", "Signed Off","ERROR")</f>
        <v>#VALUE!</v>
      </c>
      <c r="C1142" s="15" t="e" cm="1">
        <f t="array" ref="C1142">_xlfn.SWITCH(LEFT(Tasks[[#This Row],[Type]], 3), "Fie", "Field Report", "Con", "Contractor QC", "Gen", "Contractor QC", "Pun", "Contractor QC", "Qua", "Contractor QC", "Fin", "Punch List")</f>
        <v>#VALUE!</v>
      </c>
      <c r="D1142" s="15" t="e">
        <f>_xlfn.LET(
_xlpm.leftValue, TRIM(LEFT(Tasks[[#This Row],[Description]], 45)),
IF(LEN(_xlpm.leftValue) &lt; 40, _xlpm.leftValue, _xlfn.CONCAT(_xlpm.leftValue, "…"))
)</f>
        <v>#VALUE!</v>
      </c>
      <c r="E1142" s="15" t="e" cm="1">
        <f t="array" ref="E1142">_xlfn.LET(
_xlpm.inTower, COUNTIF(Tower_Num_Table[Tower Rm Numbers], LEFT(Task_Summary_Table[[#This Row],[Area/Room]], 3)) &gt; 0,
_xlpm.typeResult, _xlfn.SWITCH(LEFT(Tasks[[#This Row],[Page]], 2), "Hi", "Historic", "An", "Annex", "Si", "Site", "S5", "Project Task", "SWITCH ERROR"),
IF(_xlpm.inTower, "West Tower", _xlpm.typeResult)
)</f>
        <v>#VALUE!</v>
      </c>
      <c r="F1142" s="15" t="str">
        <f>IFERROR(MID(Tasks[[#This Row],[Page]], FIND("Level", Tasks[[#This Row],[Page]]), 7), IF(ISNUMBER(FIND("Roof", Tasks[[#This Row],[Page]])), "Roof",  IF(ISNUMBER(FIND("S590", Tasks[[#This Row],[Page]])), "",  IF(ISNUMBER(FIND("Site", Tasks[[#This Row],[Page]])), "", "ERROR"))))</f>
        <v>ERROR</v>
      </c>
      <c r="G1142" s="15" t="e">
        <f>IF(Tasks[[#This Row],[Location]]=0, "", Tasks[[#This Row],[Location]])</f>
        <v>#VALUE!</v>
      </c>
      <c r="H1142" s="15" t="e">
        <f>Tasks[[#This Row],[To Package]]</f>
        <v>#VALUE!</v>
      </c>
      <c r="I1142" s="15" t="e">
        <f>Tasks[[#This Row],[To Organisation]]</f>
        <v>#VALUE!</v>
      </c>
    </row>
    <row r="1143" spans="1:9" ht="15.5" x14ac:dyDescent="0.35">
      <c r="A1143" s="16" t="e">
        <f>HYPERLINK(_xlfn.CONCAT(Edit_URL,Tasks[[#This Row],[Ref]]),Tasks[[#This Row],[Ref]])</f>
        <v>#VALUE!</v>
      </c>
      <c r="B1143" s="15" t="e" cm="1">
        <f t="array" ref="B1143">_xlfn.SWITCH(LEFT(Tasks[[#This Row],[Status]],1),"O","Opened","C","Completed","S","Signed Off", "V", "Signed Off","ERROR")</f>
        <v>#VALUE!</v>
      </c>
      <c r="C1143" s="15" t="e" cm="1">
        <f t="array" ref="C1143">_xlfn.SWITCH(LEFT(Tasks[[#This Row],[Type]], 3), "Fie", "Field Report", "Con", "Contractor QC", "Gen", "Contractor QC", "Pun", "Contractor QC", "Qua", "Contractor QC", "Fin", "Punch List")</f>
        <v>#VALUE!</v>
      </c>
      <c r="D1143" s="15" t="e">
        <f>_xlfn.LET(
_xlpm.leftValue, TRIM(LEFT(Tasks[[#This Row],[Description]], 45)),
IF(LEN(_xlpm.leftValue) &lt; 40, _xlpm.leftValue, _xlfn.CONCAT(_xlpm.leftValue, "…"))
)</f>
        <v>#VALUE!</v>
      </c>
      <c r="E1143" s="15" t="e" cm="1">
        <f t="array" ref="E1143">_xlfn.LET(
_xlpm.inTower, COUNTIF(Tower_Num_Table[Tower Rm Numbers], LEFT(Task_Summary_Table[[#This Row],[Area/Room]], 3)) &gt; 0,
_xlpm.typeResult, _xlfn.SWITCH(LEFT(Tasks[[#This Row],[Page]], 2), "Hi", "Historic", "An", "Annex", "Si", "Site", "S5", "Project Task", "SWITCH ERROR"),
IF(_xlpm.inTower, "West Tower", _xlpm.typeResult)
)</f>
        <v>#VALUE!</v>
      </c>
      <c r="F1143" s="15" t="str">
        <f>IFERROR(MID(Tasks[[#This Row],[Page]], FIND("Level", Tasks[[#This Row],[Page]]), 7), IF(ISNUMBER(FIND("Roof", Tasks[[#This Row],[Page]])), "Roof",  IF(ISNUMBER(FIND("S590", Tasks[[#This Row],[Page]])), "",  IF(ISNUMBER(FIND("Site", Tasks[[#This Row],[Page]])), "", "ERROR"))))</f>
        <v>ERROR</v>
      </c>
      <c r="G1143" s="15" t="e">
        <f>IF(Tasks[[#This Row],[Location]]=0, "", Tasks[[#This Row],[Location]])</f>
        <v>#VALUE!</v>
      </c>
      <c r="H1143" s="15" t="e">
        <f>Tasks[[#This Row],[To Package]]</f>
        <v>#VALUE!</v>
      </c>
      <c r="I1143" s="15" t="e">
        <f>Tasks[[#This Row],[To Organisation]]</f>
        <v>#VALUE!</v>
      </c>
    </row>
    <row r="1144" spans="1:9" ht="15.5" x14ac:dyDescent="0.35">
      <c r="A1144" s="16" t="e">
        <f>HYPERLINK(_xlfn.CONCAT(Edit_URL,Tasks[[#This Row],[Ref]]),Tasks[[#This Row],[Ref]])</f>
        <v>#VALUE!</v>
      </c>
      <c r="B1144" s="15" t="e" cm="1">
        <f t="array" ref="B1144">_xlfn.SWITCH(LEFT(Tasks[[#This Row],[Status]],1),"O","Opened","C","Completed","S","Signed Off", "V", "Signed Off","ERROR")</f>
        <v>#VALUE!</v>
      </c>
      <c r="C1144" s="15" t="e" cm="1">
        <f t="array" ref="C1144">_xlfn.SWITCH(LEFT(Tasks[[#This Row],[Type]], 3), "Fie", "Field Report", "Con", "Contractor QC", "Gen", "Contractor QC", "Pun", "Contractor QC", "Qua", "Contractor QC", "Fin", "Punch List")</f>
        <v>#VALUE!</v>
      </c>
      <c r="D1144" s="15" t="e">
        <f>_xlfn.LET(
_xlpm.leftValue, TRIM(LEFT(Tasks[[#This Row],[Description]], 45)),
IF(LEN(_xlpm.leftValue) &lt; 40, _xlpm.leftValue, _xlfn.CONCAT(_xlpm.leftValue, "…"))
)</f>
        <v>#VALUE!</v>
      </c>
      <c r="E1144" s="15" t="e" cm="1">
        <f t="array" ref="E1144">_xlfn.LET(
_xlpm.inTower, COUNTIF(Tower_Num_Table[Tower Rm Numbers], LEFT(Task_Summary_Table[[#This Row],[Area/Room]], 3)) &gt; 0,
_xlpm.typeResult, _xlfn.SWITCH(LEFT(Tasks[[#This Row],[Page]], 2), "Hi", "Historic", "An", "Annex", "Si", "Site", "S5", "Project Task", "SWITCH ERROR"),
IF(_xlpm.inTower, "West Tower", _xlpm.typeResult)
)</f>
        <v>#VALUE!</v>
      </c>
      <c r="F1144" s="15" t="str">
        <f>IFERROR(MID(Tasks[[#This Row],[Page]], FIND("Level", Tasks[[#This Row],[Page]]), 7), IF(ISNUMBER(FIND("Roof", Tasks[[#This Row],[Page]])), "Roof",  IF(ISNUMBER(FIND("S590", Tasks[[#This Row],[Page]])), "",  IF(ISNUMBER(FIND("Site", Tasks[[#This Row],[Page]])), "", "ERROR"))))</f>
        <v>ERROR</v>
      </c>
      <c r="G1144" s="15" t="e">
        <f>IF(Tasks[[#This Row],[Location]]=0, "", Tasks[[#This Row],[Location]])</f>
        <v>#VALUE!</v>
      </c>
      <c r="H1144" s="15" t="e">
        <f>Tasks[[#This Row],[To Package]]</f>
        <v>#VALUE!</v>
      </c>
      <c r="I1144" s="15" t="e">
        <f>Tasks[[#This Row],[To Organisation]]</f>
        <v>#VALUE!</v>
      </c>
    </row>
    <row r="1145" spans="1:9" ht="15.5" x14ac:dyDescent="0.35">
      <c r="A1145" s="16" t="e">
        <f>HYPERLINK(_xlfn.CONCAT(Edit_URL,Tasks[[#This Row],[Ref]]),Tasks[[#This Row],[Ref]])</f>
        <v>#VALUE!</v>
      </c>
      <c r="B1145" s="15" t="e" cm="1">
        <f t="array" ref="B1145">_xlfn.SWITCH(LEFT(Tasks[[#This Row],[Status]],1),"O","Opened","C","Completed","S","Signed Off", "V", "Signed Off","ERROR")</f>
        <v>#VALUE!</v>
      </c>
      <c r="C1145" s="15" t="e" cm="1">
        <f t="array" ref="C1145">_xlfn.SWITCH(LEFT(Tasks[[#This Row],[Type]], 3), "Fie", "Field Report", "Con", "Contractor QC", "Gen", "Contractor QC", "Pun", "Contractor QC", "Qua", "Contractor QC", "Fin", "Punch List")</f>
        <v>#VALUE!</v>
      </c>
      <c r="D1145" s="15" t="e">
        <f>_xlfn.LET(
_xlpm.leftValue, TRIM(LEFT(Tasks[[#This Row],[Description]], 45)),
IF(LEN(_xlpm.leftValue) &lt; 40, _xlpm.leftValue, _xlfn.CONCAT(_xlpm.leftValue, "…"))
)</f>
        <v>#VALUE!</v>
      </c>
      <c r="E1145" s="15" t="e" cm="1">
        <f t="array" ref="E1145">_xlfn.LET(
_xlpm.inTower, COUNTIF(Tower_Num_Table[Tower Rm Numbers], LEFT(Task_Summary_Table[[#This Row],[Area/Room]], 3)) &gt; 0,
_xlpm.typeResult, _xlfn.SWITCH(LEFT(Tasks[[#This Row],[Page]], 2), "Hi", "Historic", "An", "Annex", "Si", "Site", "S5", "Project Task", "SWITCH ERROR"),
IF(_xlpm.inTower, "West Tower", _xlpm.typeResult)
)</f>
        <v>#VALUE!</v>
      </c>
      <c r="F1145" s="15" t="str">
        <f>IFERROR(MID(Tasks[[#This Row],[Page]], FIND("Level", Tasks[[#This Row],[Page]]), 7), IF(ISNUMBER(FIND("Roof", Tasks[[#This Row],[Page]])), "Roof",  IF(ISNUMBER(FIND("S590", Tasks[[#This Row],[Page]])), "",  IF(ISNUMBER(FIND("Site", Tasks[[#This Row],[Page]])), "", "ERROR"))))</f>
        <v>ERROR</v>
      </c>
      <c r="G1145" s="15" t="e">
        <f>IF(Tasks[[#This Row],[Location]]=0, "", Tasks[[#This Row],[Location]])</f>
        <v>#VALUE!</v>
      </c>
      <c r="H1145" s="15" t="e">
        <f>Tasks[[#This Row],[To Package]]</f>
        <v>#VALUE!</v>
      </c>
      <c r="I1145" s="15" t="e">
        <f>Tasks[[#This Row],[To Organisation]]</f>
        <v>#VALUE!</v>
      </c>
    </row>
    <row r="1146" spans="1:9" ht="15.5" x14ac:dyDescent="0.35">
      <c r="A1146" s="16" t="e">
        <f>HYPERLINK(_xlfn.CONCAT(Edit_URL,Tasks[[#This Row],[Ref]]),Tasks[[#This Row],[Ref]])</f>
        <v>#VALUE!</v>
      </c>
      <c r="B1146" s="15" t="e" cm="1">
        <f t="array" ref="B1146">_xlfn.SWITCH(LEFT(Tasks[[#This Row],[Status]],1),"O","Opened","C","Completed","S","Signed Off", "V", "Signed Off","ERROR")</f>
        <v>#VALUE!</v>
      </c>
      <c r="C1146" s="15" t="e" cm="1">
        <f t="array" ref="C1146">_xlfn.SWITCH(LEFT(Tasks[[#This Row],[Type]], 3), "Fie", "Field Report", "Con", "Contractor QC", "Gen", "Contractor QC", "Pun", "Contractor QC", "Qua", "Contractor QC", "Fin", "Punch List")</f>
        <v>#VALUE!</v>
      </c>
      <c r="D1146" s="15" t="e">
        <f>_xlfn.LET(
_xlpm.leftValue, TRIM(LEFT(Tasks[[#This Row],[Description]], 45)),
IF(LEN(_xlpm.leftValue) &lt; 40, _xlpm.leftValue, _xlfn.CONCAT(_xlpm.leftValue, "…"))
)</f>
        <v>#VALUE!</v>
      </c>
      <c r="E1146" s="15" t="e" cm="1">
        <f t="array" ref="E1146">_xlfn.LET(
_xlpm.inTower, COUNTIF(Tower_Num_Table[Tower Rm Numbers], LEFT(Task_Summary_Table[[#This Row],[Area/Room]], 3)) &gt; 0,
_xlpm.typeResult, _xlfn.SWITCH(LEFT(Tasks[[#This Row],[Page]], 2), "Hi", "Historic", "An", "Annex", "Si", "Site", "S5", "Project Task", "SWITCH ERROR"),
IF(_xlpm.inTower, "West Tower", _xlpm.typeResult)
)</f>
        <v>#VALUE!</v>
      </c>
      <c r="F1146" s="15" t="str">
        <f>IFERROR(MID(Tasks[[#This Row],[Page]], FIND("Level", Tasks[[#This Row],[Page]]), 7), IF(ISNUMBER(FIND("Roof", Tasks[[#This Row],[Page]])), "Roof",  IF(ISNUMBER(FIND("S590", Tasks[[#This Row],[Page]])), "",  IF(ISNUMBER(FIND("Site", Tasks[[#This Row],[Page]])), "", "ERROR"))))</f>
        <v>ERROR</v>
      </c>
      <c r="G1146" s="15" t="e">
        <f>IF(Tasks[[#This Row],[Location]]=0, "", Tasks[[#This Row],[Location]])</f>
        <v>#VALUE!</v>
      </c>
      <c r="H1146" s="15" t="e">
        <f>Tasks[[#This Row],[To Package]]</f>
        <v>#VALUE!</v>
      </c>
      <c r="I1146" s="15" t="e">
        <f>Tasks[[#This Row],[To Organisation]]</f>
        <v>#VALUE!</v>
      </c>
    </row>
    <row r="1147" spans="1:9" ht="15.5" x14ac:dyDescent="0.35">
      <c r="A1147" s="16" t="e">
        <f>HYPERLINK(_xlfn.CONCAT(Edit_URL,Tasks[[#This Row],[Ref]]),Tasks[[#This Row],[Ref]])</f>
        <v>#VALUE!</v>
      </c>
      <c r="B1147" s="15" t="e" cm="1">
        <f t="array" ref="B1147">_xlfn.SWITCH(LEFT(Tasks[[#This Row],[Status]],1),"O","Opened","C","Completed","S","Signed Off", "V", "Signed Off","ERROR")</f>
        <v>#VALUE!</v>
      </c>
      <c r="C1147" s="15" t="e" cm="1">
        <f t="array" ref="C1147">_xlfn.SWITCH(LEFT(Tasks[[#This Row],[Type]], 3), "Fie", "Field Report", "Con", "Contractor QC", "Gen", "Contractor QC", "Pun", "Contractor QC", "Qua", "Contractor QC", "Fin", "Punch List")</f>
        <v>#VALUE!</v>
      </c>
      <c r="D1147" s="15" t="e">
        <f>_xlfn.LET(
_xlpm.leftValue, TRIM(LEFT(Tasks[[#This Row],[Description]], 45)),
IF(LEN(_xlpm.leftValue) &lt; 40, _xlpm.leftValue, _xlfn.CONCAT(_xlpm.leftValue, "…"))
)</f>
        <v>#VALUE!</v>
      </c>
      <c r="E1147" s="15" t="e" cm="1">
        <f t="array" ref="E1147">_xlfn.LET(
_xlpm.inTower, COUNTIF(Tower_Num_Table[Tower Rm Numbers], LEFT(Task_Summary_Table[[#This Row],[Area/Room]], 3)) &gt; 0,
_xlpm.typeResult, _xlfn.SWITCH(LEFT(Tasks[[#This Row],[Page]], 2), "Hi", "Historic", "An", "Annex", "Si", "Site", "S5", "Project Task", "SWITCH ERROR"),
IF(_xlpm.inTower, "West Tower", _xlpm.typeResult)
)</f>
        <v>#VALUE!</v>
      </c>
      <c r="F1147" s="15" t="str">
        <f>IFERROR(MID(Tasks[[#This Row],[Page]], FIND("Level", Tasks[[#This Row],[Page]]), 7), IF(ISNUMBER(FIND("Roof", Tasks[[#This Row],[Page]])), "Roof",  IF(ISNUMBER(FIND("S590", Tasks[[#This Row],[Page]])), "",  IF(ISNUMBER(FIND("Site", Tasks[[#This Row],[Page]])), "", "ERROR"))))</f>
        <v>ERROR</v>
      </c>
      <c r="G1147" s="15" t="e">
        <f>IF(Tasks[[#This Row],[Location]]=0, "", Tasks[[#This Row],[Location]])</f>
        <v>#VALUE!</v>
      </c>
      <c r="H1147" s="15" t="e">
        <f>Tasks[[#This Row],[To Package]]</f>
        <v>#VALUE!</v>
      </c>
      <c r="I1147" s="15" t="e">
        <f>Tasks[[#This Row],[To Organisation]]</f>
        <v>#VALUE!</v>
      </c>
    </row>
    <row r="1148" spans="1:9" ht="15.5" x14ac:dyDescent="0.35">
      <c r="A1148" s="16" t="e">
        <f>HYPERLINK(_xlfn.CONCAT(Edit_URL,Tasks[[#This Row],[Ref]]),Tasks[[#This Row],[Ref]])</f>
        <v>#VALUE!</v>
      </c>
      <c r="B1148" s="15" t="e" cm="1">
        <f t="array" ref="B1148">_xlfn.SWITCH(LEFT(Tasks[[#This Row],[Status]],1),"O","Opened","C","Completed","S","Signed Off", "V", "Signed Off","ERROR")</f>
        <v>#VALUE!</v>
      </c>
      <c r="C1148" s="15" t="e" cm="1">
        <f t="array" ref="C1148">_xlfn.SWITCH(LEFT(Tasks[[#This Row],[Type]], 3), "Fie", "Field Report", "Con", "Contractor QC", "Gen", "Contractor QC", "Pun", "Contractor QC", "Qua", "Contractor QC", "Fin", "Punch List")</f>
        <v>#VALUE!</v>
      </c>
      <c r="D1148" s="15" t="e">
        <f>_xlfn.LET(
_xlpm.leftValue, TRIM(LEFT(Tasks[[#This Row],[Description]], 45)),
IF(LEN(_xlpm.leftValue) &lt; 40, _xlpm.leftValue, _xlfn.CONCAT(_xlpm.leftValue, "…"))
)</f>
        <v>#VALUE!</v>
      </c>
      <c r="E1148" s="15" t="e" cm="1">
        <f t="array" ref="E1148">_xlfn.LET(
_xlpm.inTower, COUNTIF(Tower_Num_Table[Tower Rm Numbers], LEFT(Task_Summary_Table[[#This Row],[Area/Room]], 3)) &gt; 0,
_xlpm.typeResult, _xlfn.SWITCH(LEFT(Tasks[[#This Row],[Page]], 2), "Hi", "Historic", "An", "Annex", "Si", "Site", "S5", "Project Task", "SWITCH ERROR"),
IF(_xlpm.inTower, "West Tower", _xlpm.typeResult)
)</f>
        <v>#VALUE!</v>
      </c>
      <c r="F1148" s="15" t="str">
        <f>IFERROR(MID(Tasks[[#This Row],[Page]], FIND("Level", Tasks[[#This Row],[Page]]), 7), IF(ISNUMBER(FIND("Roof", Tasks[[#This Row],[Page]])), "Roof",  IF(ISNUMBER(FIND("S590", Tasks[[#This Row],[Page]])), "",  IF(ISNUMBER(FIND("Site", Tasks[[#This Row],[Page]])), "", "ERROR"))))</f>
        <v>ERROR</v>
      </c>
      <c r="G1148" s="15" t="e">
        <f>IF(Tasks[[#This Row],[Location]]=0, "", Tasks[[#This Row],[Location]])</f>
        <v>#VALUE!</v>
      </c>
      <c r="H1148" s="15" t="e">
        <f>Tasks[[#This Row],[To Package]]</f>
        <v>#VALUE!</v>
      </c>
      <c r="I1148" s="15" t="e">
        <f>Tasks[[#This Row],[To Organisation]]</f>
        <v>#VALUE!</v>
      </c>
    </row>
    <row r="1149" spans="1:9" ht="15.5" x14ac:dyDescent="0.35">
      <c r="A1149" s="16" t="e">
        <f>HYPERLINK(_xlfn.CONCAT(Edit_URL,Tasks[[#This Row],[Ref]]),Tasks[[#This Row],[Ref]])</f>
        <v>#VALUE!</v>
      </c>
      <c r="B1149" s="15" t="e" cm="1">
        <f t="array" ref="B1149">_xlfn.SWITCH(LEFT(Tasks[[#This Row],[Status]],1),"O","Opened","C","Completed","S","Signed Off", "V", "Signed Off","ERROR")</f>
        <v>#VALUE!</v>
      </c>
      <c r="C1149" s="15" t="e" cm="1">
        <f t="array" ref="C1149">_xlfn.SWITCH(LEFT(Tasks[[#This Row],[Type]], 3), "Fie", "Field Report", "Con", "Contractor QC", "Gen", "Contractor QC", "Pun", "Contractor QC", "Qua", "Contractor QC", "Fin", "Punch List")</f>
        <v>#VALUE!</v>
      </c>
      <c r="D1149" s="15" t="e">
        <f>_xlfn.LET(
_xlpm.leftValue, TRIM(LEFT(Tasks[[#This Row],[Description]], 45)),
IF(LEN(_xlpm.leftValue) &lt; 40, _xlpm.leftValue, _xlfn.CONCAT(_xlpm.leftValue, "…"))
)</f>
        <v>#VALUE!</v>
      </c>
      <c r="E1149" s="15" t="e" cm="1">
        <f t="array" ref="E1149">_xlfn.LET(
_xlpm.inTower, COUNTIF(Tower_Num_Table[Tower Rm Numbers], LEFT(Task_Summary_Table[[#This Row],[Area/Room]], 3)) &gt; 0,
_xlpm.typeResult, _xlfn.SWITCH(LEFT(Tasks[[#This Row],[Page]], 2), "Hi", "Historic", "An", "Annex", "Si", "Site", "S5", "Project Task", "SWITCH ERROR"),
IF(_xlpm.inTower, "West Tower", _xlpm.typeResult)
)</f>
        <v>#VALUE!</v>
      </c>
      <c r="F1149" s="15" t="str">
        <f>IFERROR(MID(Tasks[[#This Row],[Page]], FIND("Level", Tasks[[#This Row],[Page]]), 7), IF(ISNUMBER(FIND("Roof", Tasks[[#This Row],[Page]])), "Roof",  IF(ISNUMBER(FIND("S590", Tasks[[#This Row],[Page]])), "",  IF(ISNUMBER(FIND("Site", Tasks[[#This Row],[Page]])), "", "ERROR"))))</f>
        <v>ERROR</v>
      </c>
      <c r="G1149" s="15" t="e">
        <f>IF(Tasks[[#This Row],[Location]]=0, "", Tasks[[#This Row],[Location]])</f>
        <v>#VALUE!</v>
      </c>
      <c r="H1149" s="15" t="e">
        <f>Tasks[[#This Row],[To Package]]</f>
        <v>#VALUE!</v>
      </c>
      <c r="I1149" s="15" t="e">
        <f>Tasks[[#This Row],[To Organisation]]</f>
        <v>#VALUE!</v>
      </c>
    </row>
    <row r="1150" spans="1:9" ht="15.5" x14ac:dyDescent="0.35">
      <c r="A1150" s="16" t="e">
        <f>HYPERLINK(_xlfn.CONCAT(Edit_URL,Tasks[[#This Row],[Ref]]),Tasks[[#This Row],[Ref]])</f>
        <v>#VALUE!</v>
      </c>
      <c r="B1150" s="15" t="e" cm="1">
        <f t="array" ref="B1150">_xlfn.SWITCH(LEFT(Tasks[[#This Row],[Status]],1),"O","Opened","C","Completed","S","Signed Off", "V", "Signed Off","ERROR")</f>
        <v>#VALUE!</v>
      </c>
      <c r="C1150" s="15" t="e" cm="1">
        <f t="array" ref="C1150">_xlfn.SWITCH(LEFT(Tasks[[#This Row],[Type]], 3), "Fie", "Field Report", "Con", "Contractor QC", "Gen", "Contractor QC", "Pun", "Contractor QC", "Qua", "Contractor QC", "Fin", "Punch List")</f>
        <v>#VALUE!</v>
      </c>
      <c r="D1150" s="15" t="e">
        <f>_xlfn.LET(
_xlpm.leftValue, TRIM(LEFT(Tasks[[#This Row],[Description]], 45)),
IF(LEN(_xlpm.leftValue) &lt; 40, _xlpm.leftValue, _xlfn.CONCAT(_xlpm.leftValue, "…"))
)</f>
        <v>#VALUE!</v>
      </c>
      <c r="E1150" s="15" t="e" cm="1">
        <f t="array" ref="E1150">_xlfn.LET(
_xlpm.inTower, COUNTIF(Tower_Num_Table[Tower Rm Numbers], LEFT(Task_Summary_Table[[#This Row],[Area/Room]], 3)) &gt; 0,
_xlpm.typeResult, _xlfn.SWITCH(LEFT(Tasks[[#This Row],[Page]], 2), "Hi", "Historic", "An", "Annex", "Si", "Site", "S5", "Project Task", "SWITCH ERROR"),
IF(_xlpm.inTower, "West Tower", _xlpm.typeResult)
)</f>
        <v>#VALUE!</v>
      </c>
      <c r="F1150" s="15" t="str">
        <f>IFERROR(MID(Tasks[[#This Row],[Page]], FIND("Level", Tasks[[#This Row],[Page]]), 7), IF(ISNUMBER(FIND("Roof", Tasks[[#This Row],[Page]])), "Roof",  IF(ISNUMBER(FIND("S590", Tasks[[#This Row],[Page]])), "",  IF(ISNUMBER(FIND("Site", Tasks[[#This Row],[Page]])), "", "ERROR"))))</f>
        <v>ERROR</v>
      </c>
      <c r="G1150" s="15" t="e">
        <f>IF(Tasks[[#This Row],[Location]]=0, "", Tasks[[#This Row],[Location]])</f>
        <v>#VALUE!</v>
      </c>
      <c r="H1150" s="15" t="e">
        <f>Tasks[[#This Row],[To Package]]</f>
        <v>#VALUE!</v>
      </c>
      <c r="I1150" s="15" t="e">
        <f>Tasks[[#This Row],[To Organisation]]</f>
        <v>#VALUE!</v>
      </c>
    </row>
    <row r="1151" spans="1:9" ht="15.5" x14ac:dyDescent="0.35">
      <c r="A1151" s="16" t="e">
        <f>HYPERLINK(_xlfn.CONCAT(Edit_URL,Tasks[[#This Row],[Ref]]),Tasks[[#This Row],[Ref]])</f>
        <v>#VALUE!</v>
      </c>
      <c r="B1151" s="15" t="e" cm="1">
        <f t="array" ref="B1151">_xlfn.SWITCH(LEFT(Tasks[[#This Row],[Status]],1),"O","Opened","C","Completed","S","Signed Off", "V", "Signed Off","ERROR")</f>
        <v>#VALUE!</v>
      </c>
      <c r="C1151" s="15" t="e" cm="1">
        <f t="array" ref="C1151">_xlfn.SWITCH(LEFT(Tasks[[#This Row],[Type]], 3), "Fie", "Field Report", "Con", "Contractor QC", "Gen", "Contractor QC", "Pun", "Contractor QC", "Qua", "Contractor QC", "Fin", "Punch List")</f>
        <v>#VALUE!</v>
      </c>
      <c r="D1151" s="15" t="e">
        <f>_xlfn.LET(
_xlpm.leftValue, TRIM(LEFT(Tasks[[#This Row],[Description]], 45)),
IF(LEN(_xlpm.leftValue) &lt; 40, _xlpm.leftValue, _xlfn.CONCAT(_xlpm.leftValue, "…"))
)</f>
        <v>#VALUE!</v>
      </c>
      <c r="E1151" s="15" t="e" cm="1">
        <f t="array" ref="E1151">_xlfn.LET(
_xlpm.inTower, COUNTIF(Tower_Num_Table[Tower Rm Numbers], LEFT(Task_Summary_Table[[#This Row],[Area/Room]], 3)) &gt; 0,
_xlpm.typeResult, _xlfn.SWITCH(LEFT(Tasks[[#This Row],[Page]], 2), "Hi", "Historic", "An", "Annex", "Si", "Site", "S5", "Project Task", "SWITCH ERROR"),
IF(_xlpm.inTower, "West Tower", _xlpm.typeResult)
)</f>
        <v>#VALUE!</v>
      </c>
      <c r="F1151" s="15" t="str">
        <f>IFERROR(MID(Tasks[[#This Row],[Page]], FIND("Level", Tasks[[#This Row],[Page]]), 7), IF(ISNUMBER(FIND("Roof", Tasks[[#This Row],[Page]])), "Roof",  IF(ISNUMBER(FIND("S590", Tasks[[#This Row],[Page]])), "",  IF(ISNUMBER(FIND("Site", Tasks[[#This Row],[Page]])), "", "ERROR"))))</f>
        <v>ERROR</v>
      </c>
      <c r="G1151" s="15" t="e">
        <f>IF(Tasks[[#This Row],[Location]]=0, "", Tasks[[#This Row],[Location]])</f>
        <v>#VALUE!</v>
      </c>
      <c r="H1151" s="15" t="e">
        <f>Tasks[[#This Row],[To Package]]</f>
        <v>#VALUE!</v>
      </c>
      <c r="I1151" s="15" t="e">
        <f>Tasks[[#This Row],[To Organisation]]</f>
        <v>#VALUE!</v>
      </c>
    </row>
    <row r="1152" spans="1:9" ht="15.5" x14ac:dyDescent="0.35">
      <c r="A1152" s="16" t="e">
        <f>HYPERLINK(_xlfn.CONCAT(Edit_URL,Tasks[[#This Row],[Ref]]),Tasks[[#This Row],[Ref]])</f>
        <v>#VALUE!</v>
      </c>
      <c r="B1152" s="15" t="e" cm="1">
        <f t="array" ref="B1152">_xlfn.SWITCH(LEFT(Tasks[[#This Row],[Status]],1),"O","Opened","C","Completed","S","Signed Off", "V", "Signed Off","ERROR")</f>
        <v>#VALUE!</v>
      </c>
      <c r="C1152" s="15" t="e" cm="1">
        <f t="array" ref="C1152">_xlfn.SWITCH(LEFT(Tasks[[#This Row],[Type]], 3), "Fie", "Field Report", "Con", "Contractor QC", "Gen", "Contractor QC", "Pun", "Contractor QC", "Qua", "Contractor QC", "Fin", "Punch List")</f>
        <v>#VALUE!</v>
      </c>
      <c r="D1152" s="15" t="e">
        <f>_xlfn.LET(
_xlpm.leftValue, TRIM(LEFT(Tasks[[#This Row],[Description]], 45)),
IF(LEN(_xlpm.leftValue) &lt; 40, _xlpm.leftValue, _xlfn.CONCAT(_xlpm.leftValue, "…"))
)</f>
        <v>#VALUE!</v>
      </c>
      <c r="E1152" s="15" t="e" cm="1">
        <f t="array" ref="E1152">_xlfn.LET(
_xlpm.inTower, COUNTIF(Tower_Num_Table[Tower Rm Numbers], LEFT(Task_Summary_Table[[#This Row],[Area/Room]], 3)) &gt; 0,
_xlpm.typeResult, _xlfn.SWITCH(LEFT(Tasks[[#This Row],[Page]], 2), "Hi", "Historic", "An", "Annex", "Si", "Site", "S5", "Project Task", "SWITCH ERROR"),
IF(_xlpm.inTower, "West Tower", _xlpm.typeResult)
)</f>
        <v>#VALUE!</v>
      </c>
      <c r="F1152" s="15" t="str">
        <f>IFERROR(MID(Tasks[[#This Row],[Page]], FIND("Level", Tasks[[#This Row],[Page]]), 7), IF(ISNUMBER(FIND("Roof", Tasks[[#This Row],[Page]])), "Roof",  IF(ISNUMBER(FIND("S590", Tasks[[#This Row],[Page]])), "",  IF(ISNUMBER(FIND("Site", Tasks[[#This Row],[Page]])), "", "ERROR"))))</f>
        <v>ERROR</v>
      </c>
      <c r="G1152" s="15" t="e">
        <f>IF(Tasks[[#This Row],[Location]]=0, "", Tasks[[#This Row],[Location]])</f>
        <v>#VALUE!</v>
      </c>
      <c r="H1152" s="15" t="e">
        <f>Tasks[[#This Row],[To Package]]</f>
        <v>#VALUE!</v>
      </c>
      <c r="I1152" s="15" t="e">
        <f>Tasks[[#This Row],[To Organisation]]</f>
        <v>#VALUE!</v>
      </c>
    </row>
    <row r="1153" spans="1:9" ht="15.5" x14ac:dyDescent="0.35">
      <c r="A1153" s="16" t="e">
        <f>HYPERLINK(_xlfn.CONCAT(Edit_URL,Tasks[[#This Row],[Ref]]),Tasks[[#This Row],[Ref]])</f>
        <v>#VALUE!</v>
      </c>
      <c r="B1153" s="15" t="e" cm="1">
        <f t="array" ref="B1153">_xlfn.SWITCH(LEFT(Tasks[[#This Row],[Status]],1),"O","Opened","C","Completed","S","Signed Off", "V", "Signed Off","ERROR")</f>
        <v>#VALUE!</v>
      </c>
      <c r="C1153" s="15" t="e" cm="1">
        <f t="array" ref="C1153">_xlfn.SWITCH(LEFT(Tasks[[#This Row],[Type]], 3), "Fie", "Field Report", "Con", "Contractor QC", "Gen", "Contractor QC", "Pun", "Contractor QC", "Qua", "Contractor QC", "Fin", "Punch List")</f>
        <v>#VALUE!</v>
      </c>
      <c r="D1153" s="15" t="e">
        <f>_xlfn.LET(
_xlpm.leftValue, TRIM(LEFT(Tasks[[#This Row],[Description]], 45)),
IF(LEN(_xlpm.leftValue) &lt; 40, _xlpm.leftValue, _xlfn.CONCAT(_xlpm.leftValue, "…"))
)</f>
        <v>#VALUE!</v>
      </c>
      <c r="E1153" s="15" t="e" cm="1">
        <f t="array" ref="E1153">_xlfn.LET(
_xlpm.inTower, COUNTIF(Tower_Num_Table[Tower Rm Numbers], LEFT(Task_Summary_Table[[#This Row],[Area/Room]], 3)) &gt; 0,
_xlpm.typeResult, _xlfn.SWITCH(LEFT(Tasks[[#This Row],[Page]], 2), "Hi", "Historic", "An", "Annex", "Si", "Site", "S5", "Project Task", "SWITCH ERROR"),
IF(_xlpm.inTower, "West Tower", _xlpm.typeResult)
)</f>
        <v>#VALUE!</v>
      </c>
      <c r="F1153" s="15" t="str">
        <f>IFERROR(MID(Tasks[[#This Row],[Page]], FIND("Level", Tasks[[#This Row],[Page]]), 7), IF(ISNUMBER(FIND("Roof", Tasks[[#This Row],[Page]])), "Roof",  IF(ISNUMBER(FIND("S590", Tasks[[#This Row],[Page]])), "",  IF(ISNUMBER(FIND("Site", Tasks[[#This Row],[Page]])), "", "ERROR"))))</f>
        <v>ERROR</v>
      </c>
      <c r="G1153" s="15" t="e">
        <f>IF(Tasks[[#This Row],[Location]]=0, "", Tasks[[#This Row],[Location]])</f>
        <v>#VALUE!</v>
      </c>
      <c r="H1153" s="15" t="e">
        <f>Tasks[[#This Row],[To Package]]</f>
        <v>#VALUE!</v>
      </c>
      <c r="I1153" s="15" t="e">
        <f>Tasks[[#This Row],[To Organisation]]</f>
        <v>#VALUE!</v>
      </c>
    </row>
    <row r="1154" spans="1:9" ht="15.5" x14ac:dyDescent="0.35">
      <c r="A1154" s="16" t="e">
        <f>HYPERLINK(_xlfn.CONCAT(Edit_URL,Tasks[[#This Row],[Ref]]),Tasks[[#This Row],[Ref]])</f>
        <v>#VALUE!</v>
      </c>
      <c r="B1154" s="15" t="e" cm="1">
        <f t="array" ref="B1154">_xlfn.SWITCH(LEFT(Tasks[[#This Row],[Status]],1),"O","Opened","C","Completed","S","Signed Off", "V", "Signed Off","ERROR")</f>
        <v>#VALUE!</v>
      </c>
      <c r="C1154" s="15" t="e" cm="1">
        <f t="array" ref="C1154">_xlfn.SWITCH(LEFT(Tasks[[#This Row],[Type]], 3), "Fie", "Field Report", "Con", "Contractor QC", "Gen", "Contractor QC", "Pun", "Contractor QC", "Qua", "Contractor QC", "Fin", "Punch List")</f>
        <v>#VALUE!</v>
      </c>
      <c r="D1154" s="15" t="e">
        <f>_xlfn.LET(
_xlpm.leftValue, TRIM(LEFT(Tasks[[#This Row],[Description]], 45)),
IF(LEN(_xlpm.leftValue) &lt; 40, _xlpm.leftValue, _xlfn.CONCAT(_xlpm.leftValue, "…"))
)</f>
        <v>#VALUE!</v>
      </c>
      <c r="E1154" s="15" t="e" cm="1">
        <f t="array" ref="E1154">_xlfn.LET(
_xlpm.inTower, COUNTIF(Tower_Num_Table[Tower Rm Numbers], LEFT(Task_Summary_Table[[#This Row],[Area/Room]], 3)) &gt; 0,
_xlpm.typeResult, _xlfn.SWITCH(LEFT(Tasks[[#This Row],[Page]], 2), "Hi", "Historic", "An", "Annex", "Si", "Site", "S5", "Project Task", "SWITCH ERROR"),
IF(_xlpm.inTower, "West Tower", _xlpm.typeResult)
)</f>
        <v>#VALUE!</v>
      </c>
      <c r="F1154" s="15" t="str">
        <f>IFERROR(MID(Tasks[[#This Row],[Page]], FIND("Level", Tasks[[#This Row],[Page]]), 7), IF(ISNUMBER(FIND("Roof", Tasks[[#This Row],[Page]])), "Roof",  IF(ISNUMBER(FIND("S590", Tasks[[#This Row],[Page]])), "",  IF(ISNUMBER(FIND("Site", Tasks[[#This Row],[Page]])), "", "ERROR"))))</f>
        <v>ERROR</v>
      </c>
      <c r="G1154" s="15" t="e">
        <f>IF(Tasks[[#This Row],[Location]]=0, "", Tasks[[#This Row],[Location]])</f>
        <v>#VALUE!</v>
      </c>
      <c r="H1154" s="15" t="e">
        <f>Tasks[[#This Row],[To Package]]</f>
        <v>#VALUE!</v>
      </c>
      <c r="I1154" s="15" t="e">
        <f>Tasks[[#This Row],[To Organisation]]</f>
        <v>#VALUE!</v>
      </c>
    </row>
    <row r="1155" spans="1:9" ht="15.5" x14ac:dyDescent="0.35">
      <c r="A1155" s="16" t="e">
        <f>HYPERLINK(_xlfn.CONCAT(Edit_URL,Tasks[[#This Row],[Ref]]),Tasks[[#This Row],[Ref]])</f>
        <v>#VALUE!</v>
      </c>
      <c r="B1155" s="15" t="e" cm="1">
        <f t="array" ref="B1155">_xlfn.SWITCH(LEFT(Tasks[[#This Row],[Status]],1),"O","Opened","C","Completed","S","Signed Off", "V", "Signed Off","ERROR")</f>
        <v>#VALUE!</v>
      </c>
      <c r="C1155" s="15" t="e" cm="1">
        <f t="array" ref="C1155">_xlfn.SWITCH(LEFT(Tasks[[#This Row],[Type]], 3), "Fie", "Field Report", "Con", "Contractor QC", "Gen", "Contractor QC", "Pun", "Contractor QC", "Qua", "Contractor QC", "Fin", "Punch List")</f>
        <v>#VALUE!</v>
      </c>
      <c r="D1155" s="15" t="e">
        <f>_xlfn.LET(
_xlpm.leftValue, TRIM(LEFT(Tasks[[#This Row],[Description]], 45)),
IF(LEN(_xlpm.leftValue) &lt; 40, _xlpm.leftValue, _xlfn.CONCAT(_xlpm.leftValue, "…"))
)</f>
        <v>#VALUE!</v>
      </c>
      <c r="E1155" s="15" t="e" cm="1">
        <f t="array" ref="E1155">_xlfn.LET(
_xlpm.inTower, COUNTIF(Tower_Num_Table[Tower Rm Numbers], LEFT(Task_Summary_Table[[#This Row],[Area/Room]], 3)) &gt; 0,
_xlpm.typeResult, _xlfn.SWITCH(LEFT(Tasks[[#This Row],[Page]], 2), "Hi", "Historic", "An", "Annex", "Si", "Site", "S5", "Project Task", "SWITCH ERROR"),
IF(_xlpm.inTower, "West Tower", _xlpm.typeResult)
)</f>
        <v>#VALUE!</v>
      </c>
      <c r="F1155" s="15" t="str">
        <f>IFERROR(MID(Tasks[[#This Row],[Page]], FIND("Level", Tasks[[#This Row],[Page]]), 7), IF(ISNUMBER(FIND("Roof", Tasks[[#This Row],[Page]])), "Roof",  IF(ISNUMBER(FIND("S590", Tasks[[#This Row],[Page]])), "",  IF(ISNUMBER(FIND("Site", Tasks[[#This Row],[Page]])), "", "ERROR"))))</f>
        <v>ERROR</v>
      </c>
      <c r="G1155" s="15" t="e">
        <f>IF(Tasks[[#This Row],[Location]]=0, "", Tasks[[#This Row],[Location]])</f>
        <v>#VALUE!</v>
      </c>
      <c r="H1155" s="15" t="e">
        <f>Tasks[[#This Row],[To Package]]</f>
        <v>#VALUE!</v>
      </c>
      <c r="I1155" s="15" t="e">
        <f>Tasks[[#This Row],[To Organisation]]</f>
        <v>#VALUE!</v>
      </c>
    </row>
    <row r="1156" spans="1:9" ht="15.5" x14ac:dyDescent="0.35">
      <c r="A1156" s="16" t="e">
        <f>HYPERLINK(_xlfn.CONCAT(Edit_URL,Tasks[[#This Row],[Ref]]),Tasks[[#This Row],[Ref]])</f>
        <v>#VALUE!</v>
      </c>
      <c r="B1156" s="15" t="e" cm="1">
        <f t="array" ref="B1156">_xlfn.SWITCH(LEFT(Tasks[[#This Row],[Status]],1),"O","Opened","C","Completed","S","Signed Off", "V", "Signed Off","ERROR")</f>
        <v>#VALUE!</v>
      </c>
      <c r="C1156" s="15" t="e" cm="1">
        <f t="array" ref="C1156">_xlfn.SWITCH(LEFT(Tasks[[#This Row],[Type]], 3), "Fie", "Field Report", "Con", "Contractor QC", "Gen", "Contractor QC", "Pun", "Contractor QC", "Qua", "Contractor QC", "Fin", "Punch List")</f>
        <v>#VALUE!</v>
      </c>
      <c r="D1156" s="15" t="e">
        <f>_xlfn.LET(
_xlpm.leftValue, TRIM(LEFT(Tasks[[#This Row],[Description]], 45)),
IF(LEN(_xlpm.leftValue) &lt; 40, _xlpm.leftValue, _xlfn.CONCAT(_xlpm.leftValue, "…"))
)</f>
        <v>#VALUE!</v>
      </c>
      <c r="E1156" s="15" t="e" cm="1">
        <f t="array" ref="E1156">_xlfn.LET(
_xlpm.inTower, COUNTIF(Tower_Num_Table[Tower Rm Numbers], LEFT(Task_Summary_Table[[#This Row],[Area/Room]], 3)) &gt; 0,
_xlpm.typeResult, _xlfn.SWITCH(LEFT(Tasks[[#This Row],[Page]], 2), "Hi", "Historic", "An", "Annex", "Si", "Site", "S5", "Project Task", "SWITCH ERROR"),
IF(_xlpm.inTower, "West Tower", _xlpm.typeResult)
)</f>
        <v>#VALUE!</v>
      </c>
      <c r="F1156" s="15" t="str">
        <f>IFERROR(MID(Tasks[[#This Row],[Page]], FIND("Level", Tasks[[#This Row],[Page]]), 7), IF(ISNUMBER(FIND("Roof", Tasks[[#This Row],[Page]])), "Roof",  IF(ISNUMBER(FIND("S590", Tasks[[#This Row],[Page]])), "",  IF(ISNUMBER(FIND("Site", Tasks[[#This Row],[Page]])), "", "ERROR"))))</f>
        <v>ERROR</v>
      </c>
      <c r="G1156" s="15" t="e">
        <f>IF(Tasks[[#This Row],[Location]]=0, "", Tasks[[#This Row],[Location]])</f>
        <v>#VALUE!</v>
      </c>
      <c r="H1156" s="15" t="e">
        <f>Tasks[[#This Row],[To Package]]</f>
        <v>#VALUE!</v>
      </c>
      <c r="I1156" s="15" t="e">
        <f>Tasks[[#This Row],[To Organisation]]</f>
        <v>#VALUE!</v>
      </c>
    </row>
    <row r="1157" spans="1:9" ht="15.5" x14ac:dyDescent="0.35">
      <c r="A1157" s="16" t="e">
        <f>HYPERLINK(_xlfn.CONCAT(Edit_URL,Tasks[[#This Row],[Ref]]),Tasks[[#This Row],[Ref]])</f>
        <v>#VALUE!</v>
      </c>
      <c r="B1157" s="15" t="e" cm="1">
        <f t="array" ref="B1157">_xlfn.SWITCH(LEFT(Tasks[[#This Row],[Status]],1),"O","Opened","C","Completed","S","Signed Off", "V", "Signed Off","ERROR")</f>
        <v>#VALUE!</v>
      </c>
      <c r="C1157" s="15" t="e" cm="1">
        <f t="array" ref="C1157">_xlfn.SWITCH(LEFT(Tasks[[#This Row],[Type]], 3), "Fie", "Field Report", "Con", "Contractor QC", "Gen", "Contractor QC", "Pun", "Contractor QC", "Qua", "Contractor QC", "Fin", "Punch List")</f>
        <v>#VALUE!</v>
      </c>
      <c r="D1157" s="15" t="e">
        <f>_xlfn.LET(
_xlpm.leftValue, TRIM(LEFT(Tasks[[#This Row],[Description]], 45)),
IF(LEN(_xlpm.leftValue) &lt; 40, _xlpm.leftValue, _xlfn.CONCAT(_xlpm.leftValue, "…"))
)</f>
        <v>#VALUE!</v>
      </c>
      <c r="E1157" s="15" t="e" cm="1">
        <f t="array" ref="E1157">_xlfn.LET(
_xlpm.inTower, COUNTIF(Tower_Num_Table[Tower Rm Numbers], LEFT(Task_Summary_Table[[#This Row],[Area/Room]], 3)) &gt; 0,
_xlpm.typeResult, _xlfn.SWITCH(LEFT(Tasks[[#This Row],[Page]], 2), "Hi", "Historic", "An", "Annex", "Si", "Site", "S5", "Project Task", "SWITCH ERROR"),
IF(_xlpm.inTower, "West Tower", _xlpm.typeResult)
)</f>
        <v>#VALUE!</v>
      </c>
      <c r="F1157" s="15" t="str">
        <f>IFERROR(MID(Tasks[[#This Row],[Page]], FIND("Level", Tasks[[#This Row],[Page]]), 7), IF(ISNUMBER(FIND("Roof", Tasks[[#This Row],[Page]])), "Roof",  IF(ISNUMBER(FIND("S590", Tasks[[#This Row],[Page]])), "",  IF(ISNUMBER(FIND("Site", Tasks[[#This Row],[Page]])), "", "ERROR"))))</f>
        <v>ERROR</v>
      </c>
      <c r="G1157" s="15" t="e">
        <f>IF(Tasks[[#This Row],[Location]]=0, "", Tasks[[#This Row],[Location]])</f>
        <v>#VALUE!</v>
      </c>
      <c r="H1157" s="15" t="e">
        <f>Tasks[[#This Row],[To Package]]</f>
        <v>#VALUE!</v>
      </c>
      <c r="I1157" s="15" t="e">
        <f>Tasks[[#This Row],[To Organisation]]</f>
        <v>#VALUE!</v>
      </c>
    </row>
    <row r="1158" spans="1:9" ht="15.5" x14ac:dyDescent="0.35">
      <c r="A1158" s="16" t="e">
        <f>HYPERLINK(_xlfn.CONCAT(Edit_URL,Tasks[[#This Row],[Ref]]),Tasks[[#This Row],[Ref]])</f>
        <v>#VALUE!</v>
      </c>
      <c r="B1158" s="15" t="e" cm="1">
        <f t="array" ref="B1158">_xlfn.SWITCH(LEFT(Tasks[[#This Row],[Status]],1),"O","Opened","C","Completed","S","Signed Off", "V", "Signed Off","ERROR")</f>
        <v>#VALUE!</v>
      </c>
      <c r="C1158" s="15" t="e" cm="1">
        <f t="array" ref="C1158">_xlfn.SWITCH(LEFT(Tasks[[#This Row],[Type]], 3), "Fie", "Field Report", "Con", "Contractor QC", "Gen", "Contractor QC", "Pun", "Contractor QC", "Qua", "Contractor QC", "Fin", "Punch List")</f>
        <v>#VALUE!</v>
      </c>
      <c r="D1158" s="15" t="e">
        <f>_xlfn.LET(
_xlpm.leftValue, TRIM(LEFT(Tasks[[#This Row],[Description]], 45)),
IF(LEN(_xlpm.leftValue) &lt; 40, _xlpm.leftValue, _xlfn.CONCAT(_xlpm.leftValue, "…"))
)</f>
        <v>#VALUE!</v>
      </c>
      <c r="E1158" s="15" t="e" cm="1">
        <f t="array" ref="E1158">_xlfn.LET(
_xlpm.inTower, COUNTIF(Tower_Num_Table[Tower Rm Numbers], LEFT(Task_Summary_Table[[#This Row],[Area/Room]], 3)) &gt; 0,
_xlpm.typeResult, _xlfn.SWITCH(LEFT(Tasks[[#This Row],[Page]], 2), "Hi", "Historic", "An", "Annex", "Si", "Site", "S5", "Project Task", "SWITCH ERROR"),
IF(_xlpm.inTower, "West Tower", _xlpm.typeResult)
)</f>
        <v>#VALUE!</v>
      </c>
      <c r="F1158" s="15" t="str">
        <f>IFERROR(MID(Tasks[[#This Row],[Page]], FIND("Level", Tasks[[#This Row],[Page]]), 7), IF(ISNUMBER(FIND("Roof", Tasks[[#This Row],[Page]])), "Roof",  IF(ISNUMBER(FIND("S590", Tasks[[#This Row],[Page]])), "",  IF(ISNUMBER(FIND("Site", Tasks[[#This Row],[Page]])), "", "ERROR"))))</f>
        <v>ERROR</v>
      </c>
      <c r="G1158" s="15" t="e">
        <f>IF(Tasks[[#This Row],[Location]]=0, "", Tasks[[#This Row],[Location]])</f>
        <v>#VALUE!</v>
      </c>
      <c r="H1158" s="15" t="e">
        <f>Tasks[[#This Row],[To Package]]</f>
        <v>#VALUE!</v>
      </c>
      <c r="I1158" s="15" t="e">
        <f>Tasks[[#This Row],[To Organisation]]</f>
        <v>#VALUE!</v>
      </c>
    </row>
    <row r="1159" spans="1:9" ht="15.5" x14ac:dyDescent="0.35">
      <c r="A1159" s="16" t="e">
        <f>HYPERLINK(_xlfn.CONCAT(Edit_URL,Tasks[[#This Row],[Ref]]),Tasks[[#This Row],[Ref]])</f>
        <v>#VALUE!</v>
      </c>
      <c r="B1159" s="15" t="e" cm="1">
        <f t="array" ref="B1159">_xlfn.SWITCH(LEFT(Tasks[[#This Row],[Status]],1),"O","Opened","C","Completed","S","Signed Off", "V", "Signed Off","ERROR")</f>
        <v>#VALUE!</v>
      </c>
      <c r="C1159" s="15" t="e" cm="1">
        <f t="array" ref="C1159">_xlfn.SWITCH(LEFT(Tasks[[#This Row],[Type]], 3), "Fie", "Field Report", "Con", "Contractor QC", "Gen", "Contractor QC", "Pun", "Contractor QC", "Qua", "Contractor QC", "Fin", "Punch List")</f>
        <v>#VALUE!</v>
      </c>
      <c r="D1159" s="15" t="e">
        <f>_xlfn.LET(
_xlpm.leftValue, TRIM(LEFT(Tasks[[#This Row],[Description]], 45)),
IF(LEN(_xlpm.leftValue) &lt; 40, _xlpm.leftValue, _xlfn.CONCAT(_xlpm.leftValue, "…"))
)</f>
        <v>#VALUE!</v>
      </c>
      <c r="E1159" s="15" t="e" cm="1">
        <f t="array" ref="E1159">_xlfn.LET(
_xlpm.inTower, COUNTIF(Tower_Num_Table[Tower Rm Numbers], LEFT(Task_Summary_Table[[#This Row],[Area/Room]], 3)) &gt; 0,
_xlpm.typeResult, _xlfn.SWITCH(LEFT(Tasks[[#This Row],[Page]], 2), "Hi", "Historic", "An", "Annex", "Si", "Site", "S5", "Project Task", "SWITCH ERROR"),
IF(_xlpm.inTower, "West Tower", _xlpm.typeResult)
)</f>
        <v>#VALUE!</v>
      </c>
      <c r="F1159" s="15" t="str">
        <f>IFERROR(MID(Tasks[[#This Row],[Page]], FIND("Level", Tasks[[#This Row],[Page]]), 7), IF(ISNUMBER(FIND("Roof", Tasks[[#This Row],[Page]])), "Roof",  IF(ISNUMBER(FIND("S590", Tasks[[#This Row],[Page]])), "",  IF(ISNUMBER(FIND("Site", Tasks[[#This Row],[Page]])), "", "ERROR"))))</f>
        <v>ERROR</v>
      </c>
      <c r="G1159" s="15" t="e">
        <f>IF(Tasks[[#This Row],[Location]]=0, "", Tasks[[#This Row],[Location]])</f>
        <v>#VALUE!</v>
      </c>
      <c r="H1159" s="15" t="e">
        <f>Tasks[[#This Row],[To Package]]</f>
        <v>#VALUE!</v>
      </c>
      <c r="I1159" s="15" t="e">
        <f>Tasks[[#This Row],[To Organisation]]</f>
        <v>#VALUE!</v>
      </c>
    </row>
    <row r="1160" spans="1:9" ht="15.5" x14ac:dyDescent="0.35">
      <c r="A1160" s="16" t="e">
        <f>HYPERLINK(_xlfn.CONCAT(Edit_URL,Tasks[[#This Row],[Ref]]),Tasks[[#This Row],[Ref]])</f>
        <v>#VALUE!</v>
      </c>
      <c r="B1160" s="15" t="e" cm="1">
        <f t="array" ref="B1160">_xlfn.SWITCH(LEFT(Tasks[[#This Row],[Status]],1),"O","Opened","C","Completed","S","Signed Off", "V", "Signed Off","ERROR")</f>
        <v>#VALUE!</v>
      </c>
      <c r="C1160" s="15" t="e" cm="1">
        <f t="array" ref="C1160">_xlfn.SWITCH(LEFT(Tasks[[#This Row],[Type]], 3), "Fie", "Field Report", "Con", "Contractor QC", "Gen", "Contractor QC", "Pun", "Contractor QC", "Qua", "Contractor QC", "Fin", "Punch List")</f>
        <v>#VALUE!</v>
      </c>
      <c r="D1160" s="15" t="e">
        <f>_xlfn.LET(
_xlpm.leftValue, TRIM(LEFT(Tasks[[#This Row],[Description]], 45)),
IF(LEN(_xlpm.leftValue) &lt; 40, _xlpm.leftValue, _xlfn.CONCAT(_xlpm.leftValue, "…"))
)</f>
        <v>#VALUE!</v>
      </c>
      <c r="E1160" s="15" t="e" cm="1">
        <f t="array" ref="E1160">_xlfn.LET(
_xlpm.inTower, COUNTIF(Tower_Num_Table[Tower Rm Numbers], LEFT(Task_Summary_Table[[#This Row],[Area/Room]], 3)) &gt; 0,
_xlpm.typeResult, _xlfn.SWITCH(LEFT(Tasks[[#This Row],[Page]], 2), "Hi", "Historic", "An", "Annex", "Si", "Site", "S5", "Project Task", "SWITCH ERROR"),
IF(_xlpm.inTower, "West Tower", _xlpm.typeResult)
)</f>
        <v>#VALUE!</v>
      </c>
      <c r="F1160" s="15" t="str">
        <f>IFERROR(MID(Tasks[[#This Row],[Page]], FIND("Level", Tasks[[#This Row],[Page]]), 7), IF(ISNUMBER(FIND("Roof", Tasks[[#This Row],[Page]])), "Roof",  IF(ISNUMBER(FIND("S590", Tasks[[#This Row],[Page]])), "",  IF(ISNUMBER(FIND("Site", Tasks[[#This Row],[Page]])), "", "ERROR"))))</f>
        <v>ERROR</v>
      </c>
      <c r="G1160" s="15" t="e">
        <f>IF(Tasks[[#This Row],[Location]]=0, "", Tasks[[#This Row],[Location]])</f>
        <v>#VALUE!</v>
      </c>
      <c r="H1160" s="15" t="e">
        <f>Tasks[[#This Row],[To Package]]</f>
        <v>#VALUE!</v>
      </c>
      <c r="I1160" s="15" t="e">
        <f>Tasks[[#This Row],[To Organisation]]</f>
        <v>#VALUE!</v>
      </c>
    </row>
    <row r="1161" spans="1:9" ht="15.5" x14ac:dyDescent="0.35">
      <c r="A1161" s="16" t="e">
        <f>HYPERLINK(_xlfn.CONCAT(Edit_URL,Tasks[[#This Row],[Ref]]),Tasks[[#This Row],[Ref]])</f>
        <v>#VALUE!</v>
      </c>
      <c r="B1161" s="15" t="e" cm="1">
        <f t="array" ref="B1161">_xlfn.SWITCH(LEFT(Tasks[[#This Row],[Status]],1),"O","Opened","C","Completed","S","Signed Off", "V", "Signed Off","ERROR")</f>
        <v>#VALUE!</v>
      </c>
      <c r="C1161" s="15" t="e" cm="1">
        <f t="array" ref="C1161">_xlfn.SWITCH(LEFT(Tasks[[#This Row],[Type]], 3), "Fie", "Field Report", "Con", "Contractor QC", "Gen", "Contractor QC", "Pun", "Contractor QC", "Qua", "Contractor QC", "Fin", "Punch List")</f>
        <v>#VALUE!</v>
      </c>
      <c r="D1161" s="15" t="e">
        <f>_xlfn.LET(
_xlpm.leftValue, TRIM(LEFT(Tasks[[#This Row],[Description]], 45)),
IF(LEN(_xlpm.leftValue) &lt; 40, _xlpm.leftValue, _xlfn.CONCAT(_xlpm.leftValue, "…"))
)</f>
        <v>#VALUE!</v>
      </c>
      <c r="E1161" s="15" t="e" cm="1">
        <f t="array" ref="E1161">_xlfn.LET(
_xlpm.inTower, COUNTIF(Tower_Num_Table[Tower Rm Numbers], LEFT(Task_Summary_Table[[#This Row],[Area/Room]], 3)) &gt; 0,
_xlpm.typeResult, _xlfn.SWITCH(LEFT(Tasks[[#This Row],[Page]], 2), "Hi", "Historic", "An", "Annex", "Si", "Site", "S5", "Project Task", "SWITCH ERROR"),
IF(_xlpm.inTower, "West Tower", _xlpm.typeResult)
)</f>
        <v>#VALUE!</v>
      </c>
      <c r="F1161" s="15" t="str">
        <f>IFERROR(MID(Tasks[[#This Row],[Page]], FIND("Level", Tasks[[#This Row],[Page]]), 7), IF(ISNUMBER(FIND("Roof", Tasks[[#This Row],[Page]])), "Roof",  IF(ISNUMBER(FIND("S590", Tasks[[#This Row],[Page]])), "",  IF(ISNUMBER(FIND("Site", Tasks[[#This Row],[Page]])), "", "ERROR"))))</f>
        <v>ERROR</v>
      </c>
      <c r="G1161" s="15" t="e">
        <f>IF(Tasks[[#This Row],[Location]]=0, "", Tasks[[#This Row],[Location]])</f>
        <v>#VALUE!</v>
      </c>
      <c r="H1161" s="15" t="e">
        <f>Tasks[[#This Row],[To Package]]</f>
        <v>#VALUE!</v>
      </c>
      <c r="I1161" s="15" t="e">
        <f>Tasks[[#This Row],[To Organisation]]</f>
        <v>#VALUE!</v>
      </c>
    </row>
    <row r="1162" spans="1:9" ht="15.5" x14ac:dyDescent="0.35">
      <c r="A1162" s="16" t="e">
        <f>HYPERLINK(_xlfn.CONCAT(Edit_URL,Tasks[[#This Row],[Ref]]),Tasks[[#This Row],[Ref]])</f>
        <v>#VALUE!</v>
      </c>
      <c r="B1162" s="15" t="e" cm="1">
        <f t="array" ref="B1162">_xlfn.SWITCH(LEFT(Tasks[[#This Row],[Status]],1),"O","Opened","C","Completed","S","Signed Off", "V", "Signed Off","ERROR")</f>
        <v>#VALUE!</v>
      </c>
      <c r="C1162" s="15" t="e" cm="1">
        <f t="array" ref="C1162">_xlfn.SWITCH(LEFT(Tasks[[#This Row],[Type]], 3), "Fie", "Field Report", "Con", "Contractor QC", "Gen", "Contractor QC", "Pun", "Contractor QC", "Qua", "Contractor QC", "Fin", "Punch List")</f>
        <v>#VALUE!</v>
      </c>
      <c r="D1162" s="15" t="e">
        <f>_xlfn.LET(
_xlpm.leftValue, TRIM(LEFT(Tasks[[#This Row],[Description]], 45)),
IF(LEN(_xlpm.leftValue) &lt; 40, _xlpm.leftValue, _xlfn.CONCAT(_xlpm.leftValue, "…"))
)</f>
        <v>#VALUE!</v>
      </c>
      <c r="E1162" s="15" t="e" cm="1">
        <f t="array" ref="E1162">_xlfn.LET(
_xlpm.inTower, COUNTIF(Tower_Num_Table[Tower Rm Numbers], LEFT(Task_Summary_Table[[#This Row],[Area/Room]], 3)) &gt; 0,
_xlpm.typeResult, _xlfn.SWITCH(LEFT(Tasks[[#This Row],[Page]], 2), "Hi", "Historic", "An", "Annex", "Si", "Site", "S5", "Project Task", "SWITCH ERROR"),
IF(_xlpm.inTower, "West Tower", _xlpm.typeResult)
)</f>
        <v>#VALUE!</v>
      </c>
      <c r="F1162" s="15" t="str">
        <f>IFERROR(MID(Tasks[[#This Row],[Page]], FIND("Level", Tasks[[#This Row],[Page]]), 7), IF(ISNUMBER(FIND("Roof", Tasks[[#This Row],[Page]])), "Roof",  IF(ISNUMBER(FIND("S590", Tasks[[#This Row],[Page]])), "",  IF(ISNUMBER(FIND("Site", Tasks[[#This Row],[Page]])), "", "ERROR"))))</f>
        <v>ERROR</v>
      </c>
      <c r="G1162" s="15" t="e">
        <f>IF(Tasks[[#This Row],[Location]]=0, "", Tasks[[#This Row],[Location]])</f>
        <v>#VALUE!</v>
      </c>
      <c r="H1162" s="15" t="e">
        <f>Tasks[[#This Row],[To Package]]</f>
        <v>#VALUE!</v>
      </c>
      <c r="I1162" s="15" t="e">
        <f>Tasks[[#This Row],[To Organisation]]</f>
        <v>#VALUE!</v>
      </c>
    </row>
    <row r="1163" spans="1:9" ht="15.5" x14ac:dyDescent="0.35">
      <c r="A1163" s="16" t="e">
        <f>HYPERLINK(_xlfn.CONCAT(Edit_URL,Tasks[[#This Row],[Ref]]),Tasks[[#This Row],[Ref]])</f>
        <v>#VALUE!</v>
      </c>
      <c r="B1163" s="15" t="e" cm="1">
        <f t="array" ref="B1163">_xlfn.SWITCH(LEFT(Tasks[[#This Row],[Status]],1),"O","Opened","C","Completed","S","Signed Off", "V", "Signed Off","ERROR")</f>
        <v>#VALUE!</v>
      </c>
      <c r="C1163" s="15" t="e" cm="1">
        <f t="array" ref="C1163">_xlfn.SWITCH(LEFT(Tasks[[#This Row],[Type]], 3), "Fie", "Field Report", "Con", "Contractor QC", "Gen", "Contractor QC", "Pun", "Contractor QC", "Qua", "Contractor QC", "Fin", "Punch List")</f>
        <v>#VALUE!</v>
      </c>
      <c r="D1163" s="15" t="e">
        <f>_xlfn.LET(
_xlpm.leftValue, TRIM(LEFT(Tasks[[#This Row],[Description]], 45)),
IF(LEN(_xlpm.leftValue) &lt; 40, _xlpm.leftValue, _xlfn.CONCAT(_xlpm.leftValue, "…"))
)</f>
        <v>#VALUE!</v>
      </c>
      <c r="E1163" s="15" t="e" cm="1">
        <f t="array" ref="E1163">_xlfn.LET(
_xlpm.inTower, COUNTIF(Tower_Num_Table[Tower Rm Numbers], LEFT(Task_Summary_Table[[#This Row],[Area/Room]], 3)) &gt; 0,
_xlpm.typeResult, _xlfn.SWITCH(LEFT(Tasks[[#This Row],[Page]], 2), "Hi", "Historic", "An", "Annex", "Si", "Site", "S5", "Project Task", "SWITCH ERROR"),
IF(_xlpm.inTower, "West Tower", _xlpm.typeResult)
)</f>
        <v>#VALUE!</v>
      </c>
      <c r="F1163" s="15" t="str">
        <f>IFERROR(MID(Tasks[[#This Row],[Page]], FIND("Level", Tasks[[#This Row],[Page]]), 7), IF(ISNUMBER(FIND("Roof", Tasks[[#This Row],[Page]])), "Roof",  IF(ISNUMBER(FIND("S590", Tasks[[#This Row],[Page]])), "",  IF(ISNUMBER(FIND("Site", Tasks[[#This Row],[Page]])), "", "ERROR"))))</f>
        <v>ERROR</v>
      </c>
      <c r="G1163" s="15" t="e">
        <f>IF(Tasks[[#This Row],[Location]]=0, "", Tasks[[#This Row],[Location]])</f>
        <v>#VALUE!</v>
      </c>
      <c r="H1163" s="15" t="e">
        <f>Tasks[[#This Row],[To Package]]</f>
        <v>#VALUE!</v>
      </c>
      <c r="I1163" s="15" t="e">
        <f>Tasks[[#This Row],[To Organisation]]</f>
        <v>#VALUE!</v>
      </c>
    </row>
    <row r="1164" spans="1:9" ht="15.5" x14ac:dyDescent="0.35">
      <c r="A1164" s="16" t="e">
        <f>HYPERLINK(_xlfn.CONCAT(Edit_URL,Tasks[[#This Row],[Ref]]),Tasks[[#This Row],[Ref]])</f>
        <v>#VALUE!</v>
      </c>
      <c r="B1164" s="15" t="e" cm="1">
        <f t="array" ref="B1164">_xlfn.SWITCH(LEFT(Tasks[[#This Row],[Status]],1),"O","Opened","C","Completed","S","Signed Off", "V", "Signed Off","ERROR")</f>
        <v>#VALUE!</v>
      </c>
      <c r="C1164" s="15" t="e" cm="1">
        <f t="array" ref="C1164">_xlfn.SWITCH(LEFT(Tasks[[#This Row],[Type]], 3), "Fie", "Field Report", "Con", "Contractor QC", "Gen", "Contractor QC", "Pun", "Contractor QC", "Qua", "Contractor QC", "Fin", "Punch List")</f>
        <v>#VALUE!</v>
      </c>
      <c r="D1164" s="15" t="e">
        <f>_xlfn.LET(
_xlpm.leftValue, TRIM(LEFT(Tasks[[#This Row],[Description]], 45)),
IF(LEN(_xlpm.leftValue) &lt; 40, _xlpm.leftValue, _xlfn.CONCAT(_xlpm.leftValue, "…"))
)</f>
        <v>#VALUE!</v>
      </c>
      <c r="E1164" s="15" t="e" cm="1">
        <f t="array" ref="E1164">_xlfn.LET(
_xlpm.inTower, COUNTIF(Tower_Num_Table[Tower Rm Numbers], LEFT(Task_Summary_Table[[#This Row],[Area/Room]], 3)) &gt; 0,
_xlpm.typeResult, _xlfn.SWITCH(LEFT(Tasks[[#This Row],[Page]], 2), "Hi", "Historic", "An", "Annex", "Si", "Site", "S5", "Project Task", "SWITCH ERROR"),
IF(_xlpm.inTower, "West Tower", _xlpm.typeResult)
)</f>
        <v>#VALUE!</v>
      </c>
      <c r="F1164" s="15" t="str">
        <f>IFERROR(MID(Tasks[[#This Row],[Page]], FIND("Level", Tasks[[#This Row],[Page]]), 7), IF(ISNUMBER(FIND("Roof", Tasks[[#This Row],[Page]])), "Roof",  IF(ISNUMBER(FIND("S590", Tasks[[#This Row],[Page]])), "",  IF(ISNUMBER(FIND("Site", Tasks[[#This Row],[Page]])), "", "ERROR"))))</f>
        <v>ERROR</v>
      </c>
      <c r="G1164" s="15" t="e">
        <f>IF(Tasks[[#This Row],[Location]]=0, "", Tasks[[#This Row],[Location]])</f>
        <v>#VALUE!</v>
      </c>
      <c r="H1164" s="15" t="e">
        <f>Tasks[[#This Row],[To Package]]</f>
        <v>#VALUE!</v>
      </c>
      <c r="I1164" s="15" t="e">
        <f>Tasks[[#This Row],[To Organisation]]</f>
        <v>#VALUE!</v>
      </c>
    </row>
    <row r="1165" spans="1:9" ht="15.5" x14ac:dyDescent="0.35">
      <c r="A1165" s="16" t="e">
        <f>HYPERLINK(_xlfn.CONCAT(Edit_URL,Tasks[[#This Row],[Ref]]),Tasks[[#This Row],[Ref]])</f>
        <v>#VALUE!</v>
      </c>
      <c r="B1165" s="15" t="e" cm="1">
        <f t="array" ref="B1165">_xlfn.SWITCH(LEFT(Tasks[[#This Row],[Status]],1),"O","Opened","C","Completed","S","Signed Off", "V", "Signed Off","ERROR")</f>
        <v>#VALUE!</v>
      </c>
      <c r="C1165" s="15" t="e" cm="1">
        <f t="array" ref="C1165">_xlfn.SWITCH(LEFT(Tasks[[#This Row],[Type]], 3), "Fie", "Field Report", "Con", "Contractor QC", "Gen", "Contractor QC", "Pun", "Contractor QC", "Qua", "Contractor QC", "Fin", "Punch List")</f>
        <v>#VALUE!</v>
      </c>
      <c r="D1165" s="15" t="e">
        <f>_xlfn.LET(
_xlpm.leftValue, TRIM(LEFT(Tasks[[#This Row],[Description]], 45)),
IF(LEN(_xlpm.leftValue) &lt; 40, _xlpm.leftValue, _xlfn.CONCAT(_xlpm.leftValue, "…"))
)</f>
        <v>#VALUE!</v>
      </c>
      <c r="E1165" s="15" t="e" cm="1">
        <f t="array" ref="E1165">_xlfn.LET(
_xlpm.inTower, COUNTIF(Tower_Num_Table[Tower Rm Numbers], LEFT(Task_Summary_Table[[#This Row],[Area/Room]], 3)) &gt; 0,
_xlpm.typeResult, _xlfn.SWITCH(LEFT(Tasks[[#This Row],[Page]], 2), "Hi", "Historic", "An", "Annex", "Si", "Site", "S5", "Project Task", "SWITCH ERROR"),
IF(_xlpm.inTower, "West Tower", _xlpm.typeResult)
)</f>
        <v>#VALUE!</v>
      </c>
      <c r="F1165" s="15" t="str">
        <f>IFERROR(MID(Tasks[[#This Row],[Page]], FIND("Level", Tasks[[#This Row],[Page]]), 7), IF(ISNUMBER(FIND("Roof", Tasks[[#This Row],[Page]])), "Roof",  IF(ISNUMBER(FIND("S590", Tasks[[#This Row],[Page]])), "",  IF(ISNUMBER(FIND("Site", Tasks[[#This Row],[Page]])), "", "ERROR"))))</f>
        <v>ERROR</v>
      </c>
      <c r="G1165" s="15" t="e">
        <f>IF(Tasks[[#This Row],[Location]]=0, "", Tasks[[#This Row],[Location]])</f>
        <v>#VALUE!</v>
      </c>
      <c r="H1165" s="15" t="e">
        <f>Tasks[[#This Row],[To Package]]</f>
        <v>#VALUE!</v>
      </c>
      <c r="I1165" s="15" t="e">
        <f>Tasks[[#This Row],[To Organisation]]</f>
        <v>#VALUE!</v>
      </c>
    </row>
    <row r="1166" spans="1:9" ht="15.5" x14ac:dyDescent="0.35">
      <c r="A1166" s="16" t="e">
        <f>HYPERLINK(_xlfn.CONCAT(Edit_URL,Tasks[[#This Row],[Ref]]),Tasks[[#This Row],[Ref]])</f>
        <v>#VALUE!</v>
      </c>
      <c r="B1166" s="15" t="e" cm="1">
        <f t="array" ref="B1166">_xlfn.SWITCH(LEFT(Tasks[[#This Row],[Status]],1),"O","Opened","C","Completed","S","Signed Off", "V", "Signed Off","ERROR")</f>
        <v>#VALUE!</v>
      </c>
      <c r="C1166" s="15" t="e" cm="1">
        <f t="array" ref="C1166">_xlfn.SWITCH(LEFT(Tasks[[#This Row],[Type]], 3), "Fie", "Field Report", "Con", "Contractor QC", "Gen", "Contractor QC", "Pun", "Contractor QC", "Qua", "Contractor QC", "Fin", "Punch List")</f>
        <v>#VALUE!</v>
      </c>
      <c r="D1166" s="15" t="e">
        <f>_xlfn.LET(
_xlpm.leftValue, TRIM(LEFT(Tasks[[#This Row],[Description]], 45)),
IF(LEN(_xlpm.leftValue) &lt; 40, _xlpm.leftValue, _xlfn.CONCAT(_xlpm.leftValue, "…"))
)</f>
        <v>#VALUE!</v>
      </c>
      <c r="E1166" s="15" t="e" cm="1">
        <f t="array" ref="E1166">_xlfn.LET(
_xlpm.inTower, COUNTIF(Tower_Num_Table[Tower Rm Numbers], LEFT(Task_Summary_Table[[#This Row],[Area/Room]], 3)) &gt; 0,
_xlpm.typeResult, _xlfn.SWITCH(LEFT(Tasks[[#This Row],[Page]], 2), "Hi", "Historic", "An", "Annex", "Si", "Site", "S5", "Project Task", "SWITCH ERROR"),
IF(_xlpm.inTower, "West Tower", _xlpm.typeResult)
)</f>
        <v>#VALUE!</v>
      </c>
      <c r="F1166" s="15" t="str">
        <f>IFERROR(MID(Tasks[[#This Row],[Page]], FIND("Level", Tasks[[#This Row],[Page]]), 7), IF(ISNUMBER(FIND("Roof", Tasks[[#This Row],[Page]])), "Roof",  IF(ISNUMBER(FIND("S590", Tasks[[#This Row],[Page]])), "",  IF(ISNUMBER(FIND("Site", Tasks[[#This Row],[Page]])), "", "ERROR"))))</f>
        <v>ERROR</v>
      </c>
      <c r="G1166" s="15" t="e">
        <f>IF(Tasks[[#This Row],[Location]]=0, "", Tasks[[#This Row],[Location]])</f>
        <v>#VALUE!</v>
      </c>
      <c r="H1166" s="15" t="e">
        <f>Tasks[[#This Row],[To Package]]</f>
        <v>#VALUE!</v>
      </c>
      <c r="I1166" s="15" t="e">
        <f>Tasks[[#This Row],[To Organisation]]</f>
        <v>#VALUE!</v>
      </c>
    </row>
    <row r="1167" spans="1:9" ht="15.5" x14ac:dyDescent="0.35">
      <c r="A1167" s="16" t="e">
        <f>HYPERLINK(_xlfn.CONCAT(Edit_URL,Tasks[[#This Row],[Ref]]),Tasks[[#This Row],[Ref]])</f>
        <v>#VALUE!</v>
      </c>
      <c r="B1167" s="15" t="e" cm="1">
        <f t="array" ref="B1167">_xlfn.SWITCH(LEFT(Tasks[[#This Row],[Status]],1),"O","Opened","C","Completed","S","Signed Off", "V", "Signed Off","ERROR")</f>
        <v>#VALUE!</v>
      </c>
      <c r="C1167" s="15" t="e" cm="1">
        <f t="array" ref="C1167">_xlfn.SWITCH(LEFT(Tasks[[#This Row],[Type]], 3), "Fie", "Field Report", "Con", "Contractor QC", "Gen", "Contractor QC", "Pun", "Contractor QC", "Qua", "Contractor QC", "Fin", "Punch List")</f>
        <v>#VALUE!</v>
      </c>
      <c r="D1167" s="15" t="e">
        <f>_xlfn.LET(
_xlpm.leftValue, TRIM(LEFT(Tasks[[#This Row],[Description]], 45)),
IF(LEN(_xlpm.leftValue) &lt; 40, _xlpm.leftValue, _xlfn.CONCAT(_xlpm.leftValue, "…"))
)</f>
        <v>#VALUE!</v>
      </c>
      <c r="E1167" s="15" t="e" cm="1">
        <f t="array" ref="E1167">_xlfn.LET(
_xlpm.inTower, COUNTIF(Tower_Num_Table[Tower Rm Numbers], LEFT(Task_Summary_Table[[#This Row],[Area/Room]], 3)) &gt; 0,
_xlpm.typeResult, _xlfn.SWITCH(LEFT(Tasks[[#This Row],[Page]], 2), "Hi", "Historic", "An", "Annex", "Si", "Site", "S5", "Project Task", "SWITCH ERROR"),
IF(_xlpm.inTower, "West Tower", _xlpm.typeResult)
)</f>
        <v>#VALUE!</v>
      </c>
      <c r="F1167" s="15" t="str">
        <f>IFERROR(MID(Tasks[[#This Row],[Page]], FIND("Level", Tasks[[#This Row],[Page]]), 7), IF(ISNUMBER(FIND("Roof", Tasks[[#This Row],[Page]])), "Roof",  IF(ISNUMBER(FIND("S590", Tasks[[#This Row],[Page]])), "",  IF(ISNUMBER(FIND("Site", Tasks[[#This Row],[Page]])), "", "ERROR"))))</f>
        <v>ERROR</v>
      </c>
      <c r="G1167" s="15" t="e">
        <f>IF(Tasks[[#This Row],[Location]]=0, "", Tasks[[#This Row],[Location]])</f>
        <v>#VALUE!</v>
      </c>
      <c r="H1167" s="15" t="e">
        <f>Tasks[[#This Row],[To Package]]</f>
        <v>#VALUE!</v>
      </c>
      <c r="I1167" s="15" t="e">
        <f>Tasks[[#This Row],[To Organisation]]</f>
        <v>#VALUE!</v>
      </c>
    </row>
    <row r="1168" spans="1:9" ht="15.5" x14ac:dyDescent="0.35">
      <c r="A1168" s="16" t="e">
        <f>HYPERLINK(_xlfn.CONCAT(Edit_URL,Tasks[[#This Row],[Ref]]),Tasks[[#This Row],[Ref]])</f>
        <v>#VALUE!</v>
      </c>
      <c r="B1168" s="15" t="e" cm="1">
        <f t="array" ref="B1168">_xlfn.SWITCH(LEFT(Tasks[[#This Row],[Status]],1),"O","Opened","C","Completed","S","Signed Off", "V", "Signed Off","ERROR")</f>
        <v>#VALUE!</v>
      </c>
      <c r="C1168" s="15" t="e" cm="1">
        <f t="array" ref="C1168">_xlfn.SWITCH(LEFT(Tasks[[#This Row],[Type]], 3), "Fie", "Field Report", "Con", "Contractor QC", "Gen", "Contractor QC", "Pun", "Contractor QC", "Qua", "Contractor QC", "Fin", "Punch List")</f>
        <v>#VALUE!</v>
      </c>
      <c r="D1168" s="15" t="e">
        <f>_xlfn.LET(
_xlpm.leftValue, TRIM(LEFT(Tasks[[#This Row],[Description]], 45)),
IF(LEN(_xlpm.leftValue) &lt; 40, _xlpm.leftValue, _xlfn.CONCAT(_xlpm.leftValue, "…"))
)</f>
        <v>#VALUE!</v>
      </c>
      <c r="E1168" s="15" t="e" cm="1">
        <f t="array" ref="E1168">_xlfn.LET(
_xlpm.inTower, COUNTIF(Tower_Num_Table[Tower Rm Numbers], LEFT(Task_Summary_Table[[#This Row],[Area/Room]], 3)) &gt; 0,
_xlpm.typeResult, _xlfn.SWITCH(LEFT(Tasks[[#This Row],[Page]], 2), "Hi", "Historic", "An", "Annex", "Si", "Site", "S5", "Project Task", "SWITCH ERROR"),
IF(_xlpm.inTower, "West Tower", _xlpm.typeResult)
)</f>
        <v>#VALUE!</v>
      </c>
      <c r="F1168" s="15" t="str">
        <f>IFERROR(MID(Tasks[[#This Row],[Page]], FIND("Level", Tasks[[#This Row],[Page]]), 7), IF(ISNUMBER(FIND("Roof", Tasks[[#This Row],[Page]])), "Roof",  IF(ISNUMBER(FIND("S590", Tasks[[#This Row],[Page]])), "",  IF(ISNUMBER(FIND("Site", Tasks[[#This Row],[Page]])), "", "ERROR"))))</f>
        <v>ERROR</v>
      </c>
      <c r="G1168" s="15" t="e">
        <f>IF(Tasks[[#This Row],[Location]]=0, "", Tasks[[#This Row],[Location]])</f>
        <v>#VALUE!</v>
      </c>
      <c r="H1168" s="15" t="e">
        <f>Tasks[[#This Row],[To Package]]</f>
        <v>#VALUE!</v>
      </c>
      <c r="I1168" s="15" t="e">
        <f>Tasks[[#This Row],[To Organisation]]</f>
        <v>#VALUE!</v>
      </c>
    </row>
    <row r="1169" spans="1:9" ht="15.5" x14ac:dyDescent="0.35">
      <c r="A1169" s="16" t="e">
        <f>HYPERLINK(_xlfn.CONCAT(Edit_URL,Tasks[[#This Row],[Ref]]),Tasks[[#This Row],[Ref]])</f>
        <v>#VALUE!</v>
      </c>
      <c r="B1169" s="15" t="e" cm="1">
        <f t="array" ref="B1169">_xlfn.SWITCH(LEFT(Tasks[[#This Row],[Status]],1),"O","Opened","C","Completed","S","Signed Off", "V", "Signed Off","ERROR")</f>
        <v>#VALUE!</v>
      </c>
      <c r="C1169" s="15" t="e" cm="1">
        <f t="array" ref="C1169">_xlfn.SWITCH(LEFT(Tasks[[#This Row],[Type]], 3), "Fie", "Field Report", "Con", "Contractor QC", "Gen", "Contractor QC", "Pun", "Contractor QC", "Qua", "Contractor QC", "Fin", "Punch List")</f>
        <v>#VALUE!</v>
      </c>
      <c r="D1169" s="15" t="e">
        <f>_xlfn.LET(
_xlpm.leftValue, TRIM(LEFT(Tasks[[#This Row],[Description]], 45)),
IF(LEN(_xlpm.leftValue) &lt; 40, _xlpm.leftValue, _xlfn.CONCAT(_xlpm.leftValue, "…"))
)</f>
        <v>#VALUE!</v>
      </c>
      <c r="E1169" s="15" t="e" cm="1">
        <f t="array" ref="E1169">_xlfn.LET(
_xlpm.inTower, COUNTIF(Tower_Num_Table[Tower Rm Numbers], LEFT(Task_Summary_Table[[#This Row],[Area/Room]], 3)) &gt; 0,
_xlpm.typeResult, _xlfn.SWITCH(LEFT(Tasks[[#This Row],[Page]], 2), "Hi", "Historic", "An", "Annex", "Si", "Site", "S5", "Project Task", "SWITCH ERROR"),
IF(_xlpm.inTower, "West Tower", _xlpm.typeResult)
)</f>
        <v>#VALUE!</v>
      </c>
      <c r="F1169" s="15" t="str">
        <f>IFERROR(MID(Tasks[[#This Row],[Page]], FIND("Level", Tasks[[#This Row],[Page]]), 7), IF(ISNUMBER(FIND("Roof", Tasks[[#This Row],[Page]])), "Roof",  IF(ISNUMBER(FIND("S590", Tasks[[#This Row],[Page]])), "",  IF(ISNUMBER(FIND("Site", Tasks[[#This Row],[Page]])), "", "ERROR"))))</f>
        <v>ERROR</v>
      </c>
      <c r="G1169" s="15" t="e">
        <f>IF(Tasks[[#This Row],[Location]]=0, "", Tasks[[#This Row],[Location]])</f>
        <v>#VALUE!</v>
      </c>
      <c r="H1169" s="15" t="e">
        <f>Tasks[[#This Row],[To Package]]</f>
        <v>#VALUE!</v>
      </c>
      <c r="I1169" s="15" t="e">
        <f>Tasks[[#This Row],[To Organisation]]</f>
        <v>#VALUE!</v>
      </c>
    </row>
    <row r="1170" spans="1:9" ht="15.5" x14ac:dyDescent="0.35">
      <c r="A1170" s="16" t="e">
        <f>HYPERLINK(_xlfn.CONCAT(Edit_URL,Tasks[[#This Row],[Ref]]),Tasks[[#This Row],[Ref]])</f>
        <v>#VALUE!</v>
      </c>
      <c r="B1170" s="15" t="e" cm="1">
        <f t="array" ref="B1170">_xlfn.SWITCH(LEFT(Tasks[[#This Row],[Status]],1),"O","Opened","C","Completed","S","Signed Off", "V", "Signed Off","ERROR")</f>
        <v>#VALUE!</v>
      </c>
      <c r="C1170" s="15" t="e" cm="1">
        <f t="array" ref="C1170">_xlfn.SWITCH(LEFT(Tasks[[#This Row],[Type]], 3), "Fie", "Field Report", "Con", "Contractor QC", "Gen", "Contractor QC", "Pun", "Contractor QC", "Qua", "Contractor QC", "Fin", "Punch List")</f>
        <v>#VALUE!</v>
      </c>
      <c r="D1170" s="15" t="e">
        <f>_xlfn.LET(
_xlpm.leftValue, TRIM(LEFT(Tasks[[#This Row],[Description]], 45)),
IF(LEN(_xlpm.leftValue) &lt; 40, _xlpm.leftValue, _xlfn.CONCAT(_xlpm.leftValue, "…"))
)</f>
        <v>#VALUE!</v>
      </c>
      <c r="E1170" s="15" t="e" cm="1">
        <f t="array" ref="E1170">_xlfn.LET(
_xlpm.inTower, COUNTIF(Tower_Num_Table[Tower Rm Numbers], LEFT(Task_Summary_Table[[#This Row],[Area/Room]], 3)) &gt; 0,
_xlpm.typeResult, _xlfn.SWITCH(LEFT(Tasks[[#This Row],[Page]], 2), "Hi", "Historic", "An", "Annex", "Si", "Site", "S5", "Project Task", "SWITCH ERROR"),
IF(_xlpm.inTower, "West Tower", _xlpm.typeResult)
)</f>
        <v>#VALUE!</v>
      </c>
      <c r="F1170" s="15" t="str">
        <f>IFERROR(MID(Tasks[[#This Row],[Page]], FIND("Level", Tasks[[#This Row],[Page]]), 7), IF(ISNUMBER(FIND("Roof", Tasks[[#This Row],[Page]])), "Roof",  IF(ISNUMBER(FIND("S590", Tasks[[#This Row],[Page]])), "",  IF(ISNUMBER(FIND("Site", Tasks[[#This Row],[Page]])), "", "ERROR"))))</f>
        <v>ERROR</v>
      </c>
      <c r="G1170" s="15" t="e">
        <f>IF(Tasks[[#This Row],[Location]]=0, "", Tasks[[#This Row],[Location]])</f>
        <v>#VALUE!</v>
      </c>
      <c r="H1170" s="15" t="e">
        <f>Tasks[[#This Row],[To Package]]</f>
        <v>#VALUE!</v>
      </c>
      <c r="I1170" s="15" t="e">
        <f>Tasks[[#This Row],[To Organisation]]</f>
        <v>#VALUE!</v>
      </c>
    </row>
    <row r="1171" spans="1:9" ht="15.5" x14ac:dyDescent="0.35">
      <c r="A1171" s="16" t="e">
        <f>HYPERLINK(_xlfn.CONCAT(Edit_URL,Tasks[[#This Row],[Ref]]),Tasks[[#This Row],[Ref]])</f>
        <v>#VALUE!</v>
      </c>
      <c r="B1171" s="15" t="e" cm="1">
        <f t="array" ref="B1171">_xlfn.SWITCH(LEFT(Tasks[[#This Row],[Status]],1),"O","Opened","C","Completed","S","Signed Off", "V", "Signed Off","ERROR")</f>
        <v>#VALUE!</v>
      </c>
      <c r="C1171" s="15" t="e" cm="1">
        <f t="array" ref="C1171">_xlfn.SWITCH(LEFT(Tasks[[#This Row],[Type]], 3), "Fie", "Field Report", "Con", "Contractor QC", "Gen", "Contractor QC", "Pun", "Contractor QC", "Qua", "Contractor QC", "Fin", "Punch List")</f>
        <v>#VALUE!</v>
      </c>
      <c r="D1171" s="15" t="e">
        <f>_xlfn.LET(
_xlpm.leftValue, TRIM(LEFT(Tasks[[#This Row],[Description]], 45)),
IF(LEN(_xlpm.leftValue) &lt; 40, _xlpm.leftValue, _xlfn.CONCAT(_xlpm.leftValue, "…"))
)</f>
        <v>#VALUE!</v>
      </c>
      <c r="E1171" s="15" t="e" cm="1">
        <f t="array" ref="E1171">_xlfn.LET(
_xlpm.inTower, COUNTIF(Tower_Num_Table[Tower Rm Numbers], LEFT(Task_Summary_Table[[#This Row],[Area/Room]], 3)) &gt; 0,
_xlpm.typeResult, _xlfn.SWITCH(LEFT(Tasks[[#This Row],[Page]], 2), "Hi", "Historic", "An", "Annex", "Si", "Site", "S5", "Project Task", "SWITCH ERROR"),
IF(_xlpm.inTower, "West Tower", _xlpm.typeResult)
)</f>
        <v>#VALUE!</v>
      </c>
      <c r="F1171" s="15" t="str">
        <f>IFERROR(MID(Tasks[[#This Row],[Page]], FIND("Level", Tasks[[#This Row],[Page]]), 7), IF(ISNUMBER(FIND("Roof", Tasks[[#This Row],[Page]])), "Roof",  IF(ISNUMBER(FIND("S590", Tasks[[#This Row],[Page]])), "",  IF(ISNUMBER(FIND("Site", Tasks[[#This Row],[Page]])), "", "ERROR"))))</f>
        <v>ERROR</v>
      </c>
      <c r="G1171" s="15" t="e">
        <f>IF(Tasks[[#This Row],[Location]]=0, "", Tasks[[#This Row],[Location]])</f>
        <v>#VALUE!</v>
      </c>
      <c r="H1171" s="15" t="e">
        <f>Tasks[[#This Row],[To Package]]</f>
        <v>#VALUE!</v>
      </c>
      <c r="I1171" s="15" t="e">
        <f>Tasks[[#This Row],[To Organisation]]</f>
        <v>#VALUE!</v>
      </c>
    </row>
    <row r="1172" spans="1:9" ht="15.5" x14ac:dyDescent="0.35">
      <c r="A1172" s="16" t="e">
        <f>HYPERLINK(_xlfn.CONCAT(Edit_URL,Tasks[[#This Row],[Ref]]),Tasks[[#This Row],[Ref]])</f>
        <v>#VALUE!</v>
      </c>
      <c r="B1172" s="15" t="e" cm="1">
        <f t="array" ref="B1172">_xlfn.SWITCH(LEFT(Tasks[[#This Row],[Status]],1),"O","Opened","C","Completed","S","Signed Off", "V", "Signed Off","ERROR")</f>
        <v>#VALUE!</v>
      </c>
      <c r="C1172" s="15" t="e" cm="1">
        <f t="array" ref="C1172">_xlfn.SWITCH(LEFT(Tasks[[#This Row],[Type]], 3), "Fie", "Field Report", "Con", "Contractor QC", "Gen", "Contractor QC", "Pun", "Contractor QC", "Qua", "Contractor QC", "Fin", "Punch List")</f>
        <v>#VALUE!</v>
      </c>
      <c r="D1172" s="15" t="e">
        <f>_xlfn.LET(
_xlpm.leftValue, TRIM(LEFT(Tasks[[#This Row],[Description]], 45)),
IF(LEN(_xlpm.leftValue) &lt; 40, _xlpm.leftValue, _xlfn.CONCAT(_xlpm.leftValue, "…"))
)</f>
        <v>#VALUE!</v>
      </c>
      <c r="E1172" s="15" t="e" cm="1">
        <f t="array" ref="E1172">_xlfn.LET(
_xlpm.inTower, COUNTIF(Tower_Num_Table[Tower Rm Numbers], LEFT(Task_Summary_Table[[#This Row],[Area/Room]], 3)) &gt; 0,
_xlpm.typeResult, _xlfn.SWITCH(LEFT(Tasks[[#This Row],[Page]], 2), "Hi", "Historic", "An", "Annex", "Si", "Site", "S5", "Project Task", "SWITCH ERROR"),
IF(_xlpm.inTower, "West Tower", _xlpm.typeResult)
)</f>
        <v>#VALUE!</v>
      </c>
      <c r="F1172" s="15" t="str">
        <f>IFERROR(MID(Tasks[[#This Row],[Page]], FIND("Level", Tasks[[#This Row],[Page]]), 7), IF(ISNUMBER(FIND("Roof", Tasks[[#This Row],[Page]])), "Roof",  IF(ISNUMBER(FIND("S590", Tasks[[#This Row],[Page]])), "",  IF(ISNUMBER(FIND("Site", Tasks[[#This Row],[Page]])), "", "ERROR"))))</f>
        <v>ERROR</v>
      </c>
      <c r="G1172" s="15" t="e">
        <f>IF(Tasks[[#This Row],[Location]]=0, "", Tasks[[#This Row],[Location]])</f>
        <v>#VALUE!</v>
      </c>
      <c r="H1172" s="15" t="e">
        <f>Tasks[[#This Row],[To Package]]</f>
        <v>#VALUE!</v>
      </c>
      <c r="I1172" s="15" t="e">
        <f>Tasks[[#This Row],[To Organisation]]</f>
        <v>#VALUE!</v>
      </c>
    </row>
    <row r="1173" spans="1:9" ht="15.5" x14ac:dyDescent="0.35">
      <c r="A1173" s="16" t="e">
        <f>HYPERLINK(_xlfn.CONCAT(Edit_URL,Tasks[[#This Row],[Ref]]),Tasks[[#This Row],[Ref]])</f>
        <v>#VALUE!</v>
      </c>
      <c r="B1173" s="15" t="e" cm="1">
        <f t="array" ref="B1173">_xlfn.SWITCH(LEFT(Tasks[[#This Row],[Status]],1),"O","Opened","C","Completed","S","Signed Off", "V", "Signed Off","ERROR")</f>
        <v>#VALUE!</v>
      </c>
      <c r="C1173" s="15" t="e" cm="1">
        <f t="array" ref="C1173">_xlfn.SWITCH(LEFT(Tasks[[#This Row],[Type]], 3), "Fie", "Field Report", "Con", "Contractor QC", "Gen", "Contractor QC", "Pun", "Contractor QC", "Qua", "Contractor QC", "Fin", "Punch List")</f>
        <v>#VALUE!</v>
      </c>
      <c r="D1173" s="15" t="e">
        <f>_xlfn.LET(
_xlpm.leftValue, TRIM(LEFT(Tasks[[#This Row],[Description]], 45)),
IF(LEN(_xlpm.leftValue) &lt; 40, _xlpm.leftValue, _xlfn.CONCAT(_xlpm.leftValue, "…"))
)</f>
        <v>#VALUE!</v>
      </c>
      <c r="E1173" s="15" t="e" cm="1">
        <f t="array" ref="E1173">_xlfn.LET(
_xlpm.inTower, COUNTIF(Tower_Num_Table[Tower Rm Numbers], LEFT(Task_Summary_Table[[#This Row],[Area/Room]], 3)) &gt; 0,
_xlpm.typeResult, _xlfn.SWITCH(LEFT(Tasks[[#This Row],[Page]], 2), "Hi", "Historic", "An", "Annex", "Si", "Site", "S5", "Project Task", "SWITCH ERROR"),
IF(_xlpm.inTower, "West Tower", _xlpm.typeResult)
)</f>
        <v>#VALUE!</v>
      </c>
      <c r="F1173" s="15" t="str">
        <f>IFERROR(MID(Tasks[[#This Row],[Page]], FIND("Level", Tasks[[#This Row],[Page]]), 7), IF(ISNUMBER(FIND("Roof", Tasks[[#This Row],[Page]])), "Roof",  IF(ISNUMBER(FIND("S590", Tasks[[#This Row],[Page]])), "",  IF(ISNUMBER(FIND("Site", Tasks[[#This Row],[Page]])), "", "ERROR"))))</f>
        <v>ERROR</v>
      </c>
      <c r="G1173" s="15" t="e">
        <f>IF(Tasks[[#This Row],[Location]]=0, "", Tasks[[#This Row],[Location]])</f>
        <v>#VALUE!</v>
      </c>
      <c r="H1173" s="15" t="e">
        <f>Tasks[[#This Row],[To Package]]</f>
        <v>#VALUE!</v>
      </c>
      <c r="I1173" s="15" t="e">
        <f>Tasks[[#This Row],[To Organisation]]</f>
        <v>#VALUE!</v>
      </c>
    </row>
    <row r="1174" spans="1:9" ht="15.5" x14ac:dyDescent="0.35">
      <c r="A1174" s="16" t="e">
        <f>HYPERLINK(_xlfn.CONCAT(Edit_URL,Tasks[[#This Row],[Ref]]),Tasks[[#This Row],[Ref]])</f>
        <v>#VALUE!</v>
      </c>
      <c r="B1174" s="15" t="e" cm="1">
        <f t="array" ref="B1174">_xlfn.SWITCH(LEFT(Tasks[[#This Row],[Status]],1),"O","Opened","C","Completed","S","Signed Off", "V", "Signed Off","ERROR")</f>
        <v>#VALUE!</v>
      </c>
      <c r="C1174" s="15" t="e" cm="1">
        <f t="array" ref="C1174">_xlfn.SWITCH(LEFT(Tasks[[#This Row],[Type]], 3), "Fie", "Field Report", "Con", "Contractor QC", "Gen", "Contractor QC", "Pun", "Contractor QC", "Qua", "Contractor QC", "Fin", "Punch List")</f>
        <v>#VALUE!</v>
      </c>
      <c r="D1174" s="15" t="e">
        <f>_xlfn.LET(
_xlpm.leftValue, TRIM(LEFT(Tasks[[#This Row],[Description]], 45)),
IF(LEN(_xlpm.leftValue) &lt; 40, _xlpm.leftValue, _xlfn.CONCAT(_xlpm.leftValue, "…"))
)</f>
        <v>#VALUE!</v>
      </c>
      <c r="E1174" s="15" t="e" cm="1">
        <f t="array" ref="E1174">_xlfn.LET(
_xlpm.inTower, COUNTIF(Tower_Num_Table[Tower Rm Numbers], LEFT(Task_Summary_Table[[#This Row],[Area/Room]], 3)) &gt; 0,
_xlpm.typeResult, _xlfn.SWITCH(LEFT(Tasks[[#This Row],[Page]], 2), "Hi", "Historic", "An", "Annex", "Si", "Site", "S5", "Project Task", "SWITCH ERROR"),
IF(_xlpm.inTower, "West Tower", _xlpm.typeResult)
)</f>
        <v>#VALUE!</v>
      </c>
      <c r="F1174" s="15" t="str">
        <f>IFERROR(MID(Tasks[[#This Row],[Page]], FIND("Level", Tasks[[#This Row],[Page]]), 7), IF(ISNUMBER(FIND("Roof", Tasks[[#This Row],[Page]])), "Roof",  IF(ISNUMBER(FIND("S590", Tasks[[#This Row],[Page]])), "",  IF(ISNUMBER(FIND("Site", Tasks[[#This Row],[Page]])), "", "ERROR"))))</f>
        <v>ERROR</v>
      </c>
      <c r="G1174" s="15" t="e">
        <f>IF(Tasks[[#This Row],[Location]]=0, "", Tasks[[#This Row],[Location]])</f>
        <v>#VALUE!</v>
      </c>
      <c r="H1174" s="15" t="e">
        <f>Tasks[[#This Row],[To Package]]</f>
        <v>#VALUE!</v>
      </c>
      <c r="I1174" s="15" t="e">
        <f>Tasks[[#This Row],[To Organisation]]</f>
        <v>#VALUE!</v>
      </c>
    </row>
    <row r="1175" spans="1:9" ht="15.5" x14ac:dyDescent="0.35">
      <c r="A1175" s="16" t="e">
        <f>HYPERLINK(_xlfn.CONCAT(Edit_URL,Tasks[[#This Row],[Ref]]),Tasks[[#This Row],[Ref]])</f>
        <v>#VALUE!</v>
      </c>
      <c r="B1175" s="15" t="e" cm="1">
        <f t="array" ref="B1175">_xlfn.SWITCH(LEFT(Tasks[[#This Row],[Status]],1),"O","Opened","C","Completed","S","Signed Off", "V", "Signed Off","ERROR")</f>
        <v>#VALUE!</v>
      </c>
      <c r="C1175" s="15" t="e" cm="1">
        <f t="array" ref="C1175">_xlfn.SWITCH(LEFT(Tasks[[#This Row],[Type]], 3), "Fie", "Field Report", "Con", "Contractor QC", "Gen", "Contractor QC", "Pun", "Contractor QC", "Qua", "Contractor QC", "Fin", "Punch List")</f>
        <v>#VALUE!</v>
      </c>
      <c r="D1175" s="15" t="e">
        <f>_xlfn.LET(
_xlpm.leftValue, TRIM(LEFT(Tasks[[#This Row],[Description]], 45)),
IF(LEN(_xlpm.leftValue) &lt; 40, _xlpm.leftValue, _xlfn.CONCAT(_xlpm.leftValue, "…"))
)</f>
        <v>#VALUE!</v>
      </c>
      <c r="E1175" s="15" t="e" cm="1">
        <f t="array" ref="E1175">_xlfn.LET(
_xlpm.inTower, COUNTIF(Tower_Num_Table[Tower Rm Numbers], LEFT(Task_Summary_Table[[#This Row],[Area/Room]], 3)) &gt; 0,
_xlpm.typeResult, _xlfn.SWITCH(LEFT(Tasks[[#This Row],[Page]], 2), "Hi", "Historic", "An", "Annex", "Si", "Site", "S5", "Project Task", "SWITCH ERROR"),
IF(_xlpm.inTower, "West Tower", _xlpm.typeResult)
)</f>
        <v>#VALUE!</v>
      </c>
      <c r="F1175" s="15" t="str">
        <f>IFERROR(MID(Tasks[[#This Row],[Page]], FIND("Level", Tasks[[#This Row],[Page]]), 7), IF(ISNUMBER(FIND("Roof", Tasks[[#This Row],[Page]])), "Roof",  IF(ISNUMBER(FIND("S590", Tasks[[#This Row],[Page]])), "",  IF(ISNUMBER(FIND("Site", Tasks[[#This Row],[Page]])), "", "ERROR"))))</f>
        <v>ERROR</v>
      </c>
      <c r="G1175" s="15" t="e">
        <f>IF(Tasks[[#This Row],[Location]]=0, "", Tasks[[#This Row],[Location]])</f>
        <v>#VALUE!</v>
      </c>
      <c r="H1175" s="15" t="e">
        <f>Tasks[[#This Row],[To Package]]</f>
        <v>#VALUE!</v>
      </c>
      <c r="I1175" s="15" t="e">
        <f>Tasks[[#This Row],[To Organisation]]</f>
        <v>#VALUE!</v>
      </c>
    </row>
    <row r="1176" spans="1:9" ht="15.5" x14ac:dyDescent="0.35">
      <c r="A1176" s="16" t="e">
        <f>HYPERLINK(_xlfn.CONCAT(Edit_URL,Tasks[[#This Row],[Ref]]),Tasks[[#This Row],[Ref]])</f>
        <v>#VALUE!</v>
      </c>
      <c r="B1176" s="15" t="e" cm="1">
        <f t="array" ref="B1176">_xlfn.SWITCH(LEFT(Tasks[[#This Row],[Status]],1),"O","Opened","C","Completed","S","Signed Off", "V", "Signed Off","ERROR")</f>
        <v>#VALUE!</v>
      </c>
      <c r="C1176" s="15" t="e" cm="1">
        <f t="array" ref="C1176">_xlfn.SWITCH(LEFT(Tasks[[#This Row],[Type]], 3), "Fie", "Field Report", "Con", "Contractor QC", "Gen", "Contractor QC", "Pun", "Contractor QC", "Qua", "Contractor QC", "Fin", "Punch List")</f>
        <v>#VALUE!</v>
      </c>
      <c r="D1176" s="15" t="e">
        <f>_xlfn.LET(
_xlpm.leftValue, TRIM(LEFT(Tasks[[#This Row],[Description]], 45)),
IF(LEN(_xlpm.leftValue) &lt; 40, _xlpm.leftValue, _xlfn.CONCAT(_xlpm.leftValue, "…"))
)</f>
        <v>#VALUE!</v>
      </c>
      <c r="E1176" s="15" t="e" cm="1">
        <f t="array" ref="E1176">_xlfn.LET(
_xlpm.inTower, COUNTIF(Tower_Num_Table[Tower Rm Numbers], LEFT(Task_Summary_Table[[#This Row],[Area/Room]], 3)) &gt; 0,
_xlpm.typeResult, _xlfn.SWITCH(LEFT(Tasks[[#This Row],[Page]], 2), "Hi", "Historic", "An", "Annex", "Si", "Site", "S5", "Project Task", "SWITCH ERROR"),
IF(_xlpm.inTower, "West Tower", _xlpm.typeResult)
)</f>
        <v>#VALUE!</v>
      </c>
      <c r="F1176" s="15" t="str">
        <f>IFERROR(MID(Tasks[[#This Row],[Page]], FIND("Level", Tasks[[#This Row],[Page]]), 7), IF(ISNUMBER(FIND("Roof", Tasks[[#This Row],[Page]])), "Roof",  IF(ISNUMBER(FIND("S590", Tasks[[#This Row],[Page]])), "",  IF(ISNUMBER(FIND("Site", Tasks[[#This Row],[Page]])), "", "ERROR"))))</f>
        <v>ERROR</v>
      </c>
      <c r="G1176" s="15" t="e">
        <f>IF(Tasks[[#This Row],[Location]]=0, "", Tasks[[#This Row],[Location]])</f>
        <v>#VALUE!</v>
      </c>
      <c r="H1176" s="15" t="e">
        <f>Tasks[[#This Row],[To Package]]</f>
        <v>#VALUE!</v>
      </c>
      <c r="I1176" s="15" t="e">
        <f>Tasks[[#This Row],[To Organisation]]</f>
        <v>#VALUE!</v>
      </c>
    </row>
    <row r="1177" spans="1:9" ht="15.5" x14ac:dyDescent="0.35">
      <c r="A1177" s="16" t="e">
        <f>HYPERLINK(_xlfn.CONCAT(Edit_URL,Tasks[[#This Row],[Ref]]),Tasks[[#This Row],[Ref]])</f>
        <v>#VALUE!</v>
      </c>
      <c r="B1177" s="15" t="e" cm="1">
        <f t="array" ref="B1177">_xlfn.SWITCH(LEFT(Tasks[[#This Row],[Status]],1),"O","Opened","C","Completed","S","Signed Off", "V", "Signed Off","ERROR")</f>
        <v>#VALUE!</v>
      </c>
      <c r="C1177" s="15" t="e" cm="1">
        <f t="array" ref="C1177">_xlfn.SWITCH(LEFT(Tasks[[#This Row],[Type]], 3), "Fie", "Field Report", "Con", "Contractor QC", "Gen", "Contractor QC", "Pun", "Contractor QC", "Qua", "Contractor QC", "Fin", "Punch List")</f>
        <v>#VALUE!</v>
      </c>
      <c r="D1177" s="15" t="e">
        <f>_xlfn.LET(
_xlpm.leftValue, TRIM(LEFT(Tasks[[#This Row],[Description]], 45)),
IF(LEN(_xlpm.leftValue) &lt; 40, _xlpm.leftValue, _xlfn.CONCAT(_xlpm.leftValue, "…"))
)</f>
        <v>#VALUE!</v>
      </c>
      <c r="E1177" s="15" t="e" cm="1">
        <f t="array" ref="E1177">_xlfn.LET(
_xlpm.inTower, COUNTIF(Tower_Num_Table[Tower Rm Numbers], LEFT(Task_Summary_Table[[#This Row],[Area/Room]], 3)) &gt; 0,
_xlpm.typeResult, _xlfn.SWITCH(LEFT(Tasks[[#This Row],[Page]], 2), "Hi", "Historic", "An", "Annex", "Si", "Site", "S5", "Project Task", "SWITCH ERROR"),
IF(_xlpm.inTower, "West Tower", _xlpm.typeResult)
)</f>
        <v>#VALUE!</v>
      </c>
      <c r="F1177" s="15" t="str">
        <f>IFERROR(MID(Tasks[[#This Row],[Page]], FIND("Level", Tasks[[#This Row],[Page]]), 7), IF(ISNUMBER(FIND("Roof", Tasks[[#This Row],[Page]])), "Roof",  IF(ISNUMBER(FIND("S590", Tasks[[#This Row],[Page]])), "",  IF(ISNUMBER(FIND("Site", Tasks[[#This Row],[Page]])), "", "ERROR"))))</f>
        <v>ERROR</v>
      </c>
      <c r="G1177" s="15" t="e">
        <f>IF(Tasks[[#This Row],[Location]]=0, "", Tasks[[#This Row],[Location]])</f>
        <v>#VALUE!</v>
      </c>
      <c r="H1177" s="15" t="e">
        <f>Tasks[[#This Row],[To Package]]</f>
        <v>#VALUE!</v>
      </c>
      <c r="I1177" s="15" t="e">
        <f>Tasks[[#This Row],[To Organisation]]</f>
        <v>#VALUE!</v>
      </c>
    </row>
    <row r="1178" spans="1:9" ht="15.5" x14ac:dyDescent="0.35">
      <c r="A1178" s="16" t="e">
        <f>HYPERLINK(_xlfn.CONCAT(Edit_URL,Tasks[[#This Row],[Ref]]),Tasks[[#This Row],[Ref]])</f>
        <v>#VALUE!</v>
      </c>
      <c r="B1178" s="15" t="e" cm="1">
        <f t="array" ref="B1178">_xlfn.SWITCH(LEFT(Tasks[[#This Row],[Status]],1),"O","Opened","C","Completed","S","Signed Off", "V", "Signed Off","ERROR")</f>
        <v>#VALUE!</v>
      </c>
      <c r="C1178" s="15" t="e" cm="1">
        <f t="array" ref="C1178">_xlfn.SWITCH(LEFT(Tasks[[#This Row],[Type]], 3), "Fie", "Field Report", "Con", "Contractor QC", "Gen", "Contractor QC", "Pun", "Contractor QC", "Qua", "Contractor QC", "Fin", "Punch List")</f>
        <v>#VALUE!</v>
      </c>
      <c r="D1178" s="15" t="e">
        <f>_xlfn.LET(
_xlpm.leftValue, TRIM(LEFT(Tasks[[#This Row],[Description]], 45)),
IF(LEN(_xlpm.leftValue) &lt; 40, _xlpm.leftValue, _xlfn.CONCAT(_xlpm.leftValue, "…"))
)</f>
        <v>#VALUE!</v>
      </c>
      <c r="E1178" s="15" t="e" cm="1">
        <f t="array" ref="E1178">_xlfn.LET(
_xlpm.inTower, COUNTIF(Tower_Num_Table[Tower Rm Numbers], LEFT(Task_Summary_Table[[#This Row],[Area/Room]], 3)) &gt; 0,
_xlpm.typeResult, _xlfn.SWITCH(LEFT(Tasks[[#This Row],[Page]], 2), "Hi", "Historic", "An", "Annex", "Si", "Site", "S5", "Project Task", "SWITCH ERROR"),
IF(_xlpm.inTower, "West Tower", _xlpm.typeResult)
)</f>
        <v>#VALUE!</v>
      </c>
      <c r="F1178" s="15" t="str">
        <f>IFERROR(MID(Tasks[[#This Row],[Page]], FIND("Level", Tasks[[#This Row],[Page]]), 7), IF(ISNUMBER(FIND("Roof", Tasks[[#This Row],[Page]])), "Roof",  IF(ISNUMBER(FIND("S590", Tasks[[#This Row],[Page]])), "",  IF(ISNUMBER(FIND("Site", Tasks[[#This Row],[Page]])), "", "ERROR"))))</f>
        <v>ERROR</v>
      </c>
      <c r="G1178" s="15" t="e">
        <f>IF(Tasks[[#This Row],[Location]]=0, "", Tasks[[#This Row],[Location]])</f>
        <v>#VALUE!</v>
      </c>
      <c r="H1178" s="15" t="e">
        <f>Tasks[[#This Row],[To Package]]</f>
        <v>#VALUE!</v>
      </c>
      <c r="I1178" s="15" t="e">
        <f>Tasks[[#This Row],[To Organisation]]</f>
        <v>#VALUE!</v>
      </c>
    </row>
    <row r="1179" spans="1:9" ht="15.5" x14ac:dyDescent="0.35">
      <c r="A1179" s="16" t="e">
        <f>HYPERLINK(_xlfn.CONCAT(Edit_URL,Tasks[[#This Row],[Ref]]),Tasks[[#This Row],[Ref]])</f>
        <v>#VALUE!</v>
      </c>
      <c r="B1179" s="15" t="e" cm="1">
        <f t="array" ref="B1179">_xlfn.SWITCH(LEFT(Tasks[[#This Row],[Status]],1),"O","Opened","C","Completed","S","Signed Off", "V", "Signed Off","ERROR")</f>
        <v>#VALUE!</v>
      </c>
      <c r="C1179" s="15" t="e" cm="1">
        <f t="array" ref="C1179">_xlfn.SWITCH(LEFT(Tasks[[#This Row],[Type]], 3), "Fie", "Field Report", "Con", "Contractor QC", "Gen", "Contractor QC", "Pun", "Contractor QC", "Qua", "Contractor QC", "Fin", "Punch List")</f>
        <v>#VALUE!</v>
      </c>
      <c r="D1179" s="15" t="e">
        <f>_xlfn.LET(
_xlpm.leftValue, TRIM(LEFT(Tasks[[#This Row],[Description]], 45)),
IF(LEN(_xlpm.leftValue) &lt; 40, _xlpm.leftValue, _xlfn.CONCAT(_xlpm.leftValue, "…"))
)</f>
        <v>#VALUE!</v>
      </c>
      <c r="E1179" s="15" t="e" cm="1">
        <f t="array" ref="E1179">_xlfn.LET(
_xlpm.inTower, COUNTIF(Tower_Num_Table[Tower Rm Numbers], LEFT(Task_Summary_Table[[#This Row],[Area/Room]], 3)) &gt; 0,
_xlpm.typeResult, _xlfn.SWITCH(LEFT(Tasks[[#This Row],[Page]], 2), "Hi", "Historic", "An", "Annex", "Si", "Site", "S5", "Project Task", "SWITCH ERROR"),
IF(_xlpm.inTower, "West Tower", _xlpm.typeResult)
)</f>
        <v>#VALUE!</v>
      </c>
      <c r="F1179" s="15" t="str">
        <f>IFERROR(MID(Tasks[[#This Row],[Page]], FIND("Level", Tasks[[#This Row],[Page]]), 7), IF(ISNUMBER(FIND("Roof", Tasks[[#This Row],[Page]])), "Roof",  IF(ISNUMBER(FIND("S590", Tasks[[#This Row],[Page]])), "",  IF(ISNUMBER(FIND("Site", Tasks[[#This Row],[Page]])), "", "ERROR"))))</f>
        <v>ERROR</v>
      </c>
      <c r="G1179" s="15" t="e">
        <f>IF(Tasks[[#This Row],[Location]]=0, "", Tasks[[#This Row],[Location]])</f>
        <v>#VALUE!</v>
      </c>
      <c r="H1179" s="15" t="e">
        <f>Tasks[[#This Row],[To Package]]</f>
        <v>#VALUE!</v>
      </c>
      <c r="I1179" s="15" t="e">
        <f>Tasks[[#This Row],[To Organisation]]</f>
        <v>#VALUE!</v>
      </c>
    </row>
    <row r="1180" spans="1:9" ht="15.5" x14ac:dyDescent="0.35">
      <c r="A1180" s="16" t="e">
        <f>HYPERLINK(_xlfn.CONCAT(Edit_URL,Tasks[[#This Row],[Ref]]),Tasks[[#This Row],[Ref]])</f>
        <v>#VALUE!</v>
      </c>
      <c r="B1180" s="15" t="e" cm="1">
        <f t="array" ref="B1180">_xlfn.SWITCH(LEFT(Tasks[[#This Row],[Status]],1),"O","Opened","C","Completed","S","Signed Off", "V", "Signed Off","ERROR")</f>
        <v>#VALUE!</v>
      </c>
      <c r="C1180" s="15" t="e" cm="1">
        <f t="array" ref="C1180">_xlfn.SWITCH(LEFT(Tasks[[#This Row],[Type]], 3), "Fie", "Field Report", "Con", "Contractor QC", "Gen", "Contractor QC", "Pun", "Contractor QC", "Qua", "Contractor QC", "Fin", "Punch List")</f>
        <v>#VALUE!</v>
      </c>
      <c r="D1180" s="15" t="e">
        <f>_xlfn.LET(
_xlpm.leftValue, TRIM(LEFT(Tasks[[#This Row],[Description]], 45)),
IF(LEN(_xlpm.leftValue) &lt; 40, _xlpm.leftValue, _xlfn.CONCAT(_xlpm.leftValue, "…"))
)</f>
        <v>#VALUE!</v>
      </c>
      <c r="E1180" s="15" t="e" cm="1">
        <f t="array" ref="E1180">_xlfn.LET(
_xlpm.inTower, COUNTIF(Tower_Num_Table[Tower Rm Numbers], LEFT(Task_Summary_Table[[#This Row],[Area/Room]], 3)) &gt; 0,
_xlpm.typeResult, _xlfn.SWITCH(LEFT(Tasks[[#This Row],[Page]], 2), "Hi", "Historic", "An", "Annex", "Si", "Site", "S5", "Project Task", "SWITCH ERROR"),
IF(_xlpm.inTower, "West Tower", _xlpm.typeResult)
)</f>
        <v>#VALUE!</v>
      </c>
      <c r="F1180" s="15" t="str">
        <f>IFERROR(MID(Tasks[[#This Row],[Page]], FIND("Level", Tasks[[#This Row],[Page]]), 7), IF(ISNUMBER(FIND("Roof", Tasks[[#This Row],[Page]])), "Roof",  IF(ISNUMBER(FIND("S590", Tasks[[#This Row],[Page]])), "",  IF(ISNUMBER(FIND("Site", Tasks[[#This Row],[Page]])), "", "ERROR"))))</f>
        <v>ERROR</v>
      </c>
      <c r="G1180" s="15" t="e">
        <f>IF(Tasks[[#This Row],[Location]]=0, "", Tasks[[#This Row],[Location]])</f>
        <v>#VALUE!</v>
      </c>
      <c r="H1180" s="15" t="e">
        <f>Tasks[[#This Row],[To Package]]</f>
        <v>#VALUE!</v>
      </c>
      <c r="I1180" s="15" t="e">
        <f>Tasks[[#This Row],[To Organisation]]</f>
        <v>#VALUE!</v>
      </c>
    </row>
    <row r="1181" spans="1:9" ht="15.5" x14ac:dyDescent="0.35">
      <c r="A1181" s="16" t="e">
        <f>HYPERLINK(_xlfn.CONCAT(Edit_URL,Tasks[[#This Row],[Ref]]),Tasks[[#This Row],[Ref]])</f>
        <v>#VALUE!</v>
      </c>
      <c r="B1181" s="15" t="e" cm="1">
        <f t="array" ref="B1181">_xlfn.SWITCH(LEFT(Tasks[[#This Row],[Status]],1),"O","Opened","C","Completed","S","Signed Off", "V", "Signed Off","ERROR")</f>
        <v>#VALUE!</v>
      </c>
      <c r="C1181" s="15" t="e" cm="1">
        <f t="array" ref="C1181">_xlfn.SWITCH(LEFT(Tasks[[#This Row],[Type]], 3), "Fie", "Field Report", "Con", "Contractor QC", "Gen", "Contractor QC", "Pun", "Contractor QC", "Qua", "Contractor QC", "Fin", "Punch List")</f>
        <v>#VALUE!</v>
      </c>
      <c r="D1181" s="15" t="e">
        <f>_xlfn.LET(
_xlpm.leftValue, TRIM(LEFT(Tasks[[#This Row],[Description]], 45)),
IF(LEN(_xlpm.leftValue) &lt; 40, _xlpm.leftValue, _xlfn.CONCAT(_xlpm.leftValue, "…"))
)</f>
        <v>#VALUE!</v>
      </c>
      <c r="E1181" s="15" t="e" cm="1">
        <f t="array" ref="E1181">_xlfn.LET(
_xlpm.inTower, COUNTIF(Tower_Num_Table[Tower Rm Numbers], LEFT(Task_Summary_Table[[#This Row],[Area/Room]], 3)) &gt; 0,
_xlpm.typeResult, _xlfn.SWITCH(LEFT(Tasks[[#This Row],[Page]], 2), "Hi", "Historic", "An", "Annex", "Si", "Site", "S5", "Project Task", "SWITCH ERROR"),
IF(_xlpm.inTower, "West Tower", _xlpm.typeResult)
)</f>
        <v>#VALUE!</v>
      </c>
      <c r="F1181" s="15" t="str">
        <f>IFERROR(MID(Tasks[[#This Row],[Page]], FIND("Level", Tasks[[#This Row],[Page]]), 7), IF(ISNUMBER(FIND("Roof", Tasks[[#This Row],[Page]])), "Roof",  IF(ISNUMBER(FIND("S590", Tasks[[#This Row],[Page]])), "",  IF(ISNUMBER(FIND("Site", Tasks[[#This Row],[Page]])), "", "ERROR"))))</f>
        <v>ERROR</v>
      </c>
      <c r="G1181" s="15" t="e">
        <f>IF(Tasks[[#This Row],[Location]]=0, "", Tasks[[#This Row],[Location]])</f>
        <v>#VALUE!</v>
      </c>
      <c r="H1181" s="15" t="e">
        <f>Tasks[[#This Row],[To Package]]</f>
        <v>#VALUE!</v>
      </c>
      <c r="I1181" s="15" t="e">
        <f>Tasks[[#This Row],[To Organisation]]</f>
        <v>#VALUE!</v>
      </c>
    </row>
    <row r="1182" spans="1:9" ht="15.5" x14ac:dyDescent="0.35">
      <c r="A1182" s="16" t="e">
        <f>HYPERLINK(_xlfn.CONCAT(Edit_URL,Tasks[[#This Row],[Ref]]),Tasks[[#This Row],[Ref]])</f>
        <v>#VALUE!</v>
      </c>
      <c r="B1182" s="15" t="e" cm="1">
        <f t="array" ref="B1182">_xlfn.SWITCH(LEFT(Tasks[[#This Row],[Status]],1),"O","Opened","C","Completed","S","Signed Off", "V", "Signed Off","ERROR")</f>
        <v>#VALUE!</v>
      </c>
      <c r="C1182" s="15" t="e" cm="1">
        <f t="array" ref="C1182">_xlfn.SWITCH(LEFT(Tasks[[#This Row],[Type]], 3), "Fie", "Field Report", "Con", "Contractor QC", "Gen", "Contractor QC", "Pun", "Contractor QC", "Qua", "Contractor QC", "Fin", "Punch List")</f>
        <v>#VALUE!</v>
      </c>
      <c r="D1182" s="15" t="e">
        <f>_xlfn.LET(
_xlpm.leftValue, TRIM(LEFT(Tasks[[#This Row],[Description]], 45)),
IF(LEN(_xlpm.leftValue) &lt; 40, _xlpm.leftValue, _xlfn.CONCAT(_xlpm.leftValue, "…"))
)</f>
        <v>#VALUE!</v>
      </c>
      <c r="E1182" s="15" t="e" cm="1">
        <f t="array" ref="E1182">_xlfn.LET(
_xlpm.inTower, COUNTIF(Tower_Num_Table[Tower Rm Numbers], LEFT(Task_Summary_Table[[#This Row],[Area/Room]], 3)) &gt; 0,
_xlpm.typeResult, _xlfn.SWITCH(LEFT(Tasks[[#This Row],[Page]], 2), "Hi", "Historic", "An", "Annex", "Si", "Site", "S5", "Project Task", "SWITCH ERROR"),
IF(_xlpm.inTower, "West Tower", _xlpm.typeResult)
)</f>
        <v>#VALUE!</v>
      </c>
      <c r="F1182" s="15" t="str">
        <f>IFERROR(MID(Tasks[[#This Row],[Page]], FIND("Level", Tasks[[#This Row],[Page]]), 7), IF(ISNUMBER(FIND("Roof", Tasks[[#This Row],[Page]])), "Roof",  IF(ISNUMBER(FIND("S590", Tasks[[#This Row],[Page]])), "",  IF(ISNUMBER(FIND("Site", Tasks[[#This Row],[Page]])), "", "ERROR"))))</f>
        <v>ERROR</v>
      </c>
      <c r="G1182" s="15" t="e">
        <f>IF(Tasks[[#This Row],[Location]]=0, "", Tasks[[#This Row],[Location]])</f>
        <v>#VALUE!</v>
      </c>
      <c r="H1182" s="15" t="e">
        <f>Tasks[[#This Row],[To Package]]</f>
        <v>#VALUE!</v>
      </c>
      <c r="I1182" s="15" t="e">
        <f>Tasks[[#This Row],[To Organisation]]</f>
        <v>#VALUE!</v>
      </c>
    </row>
    <row r="1183" spans="1:9" ht="15.5" x14ac:dyDescent="0.35">
      <c r="A1183" s="16" t="e">
        <f>HYPERLINK(_xlfn.CONCAT(Edit_URL,Tasks[[#This Row],[Ref]]),Tasks[[#This Row],[Ref]])</f>
        <v>#VALUE!</v>
      </c>
      <c r="B1183" s="15" t="e" cm="1">
        <f t="array" ref="B1183">_xlfn.SWITCH(LEFT(Tasks[[#This Row],[Status]],1),"O","Opened","C","Completed","S","Signed Off", "V", "Signed Off","ERROR")</f>
        <v>#VALUE!</v>
      </c>
      <c r="C1183" s="15" t="e" cm="1">
        <f t="array" ref="C1183">_xlfn.SWITCH(LEFT(Tasks[[#This Row],[Type]], 3), "Fie", "Field Report", "Con", "Contractor QC", "Gen", "Contractor QC", "Pun", "Contractor QC", "Qua", "Contractor QC", "Fin", "Punch List")</f>
        <v>#VALUE!</v>
      </c>
      <c r="D1183" s="15" t="e">
        <f>_xlfn.LET(
_xlpm.leftValue, TRIM(LEFT(Tasks[[#This Row],[Description]], 45)),
IF(LEN(_xlpm.leftValue) &lt; 40, _xlpm.leftValue, _xlfn.CONCAT(_xlpm.leftValue, "…"))
)</f>
        <v>#VALUE!</v>
      </c>
      <c r="E1183" s="15" t="e" cm="1">
        <f t="array" ref="E1183">_xlfn.LET(
_xlpm.inTower, COUNTIF(Tower_Num_Table[Tower Rm Numbers], LEFT(Task_Summary_Table[[#This Row],[Area/Room]], 3)) &gt; 0,
_xlpm.typeResult, _xlfn.SWITCH(LEFT(Tasks[[#This Row],[Page]], 2), "Hi", "Historic", "An", "Annex", "Si", "Site", "S5", "Project Task", "SWITCH ERROR"),
IF(_xlpm.inTower, "West Tower", _xlpm.typeResult)
)</f>
        <v>#VALUE!</v>
      </c>
      <c r="F1183" s="15" t="str">
        <f>IFERROR(MID(Tasks[[#This Row],[Page]], FIND("Level", Tasks[[#This Row],[Page]]), 7), IF(ISNUMBER(FIND("Roof", Tasks[[#This Row],[Page]])), "Roof",  IF(ISNUMBER(FIND("S590", Tasks[[#This Row],[Page]])), "",  IF(ISNUMBER(FIND("Site", Tasks[[#This Row],[Page]])), "", "ERROR"))))</f>
        <v>ERROR</v>
      </c>
      <c r="G1183" s="15" t="e">
        <f>IF(Tasks[[#This Row],[Location]]=0, "", Tasks[[#This Row],[Location]])</f>
        <v>#VALUE!</v>
      </c>
      <c r="H1183" s="15" t="e">
        <f>Tasks[[#This Row],[To Package]]</f>
        <v>#VALUE!</v>
      </c>
      <c r="I1183" s="15" t="e">
        <f>Tasks[[#This Row],[To Organisation]]</f>
        <v>#VALUE!</v>
      </c>
    </row>
    <row r="1184" spans="1:9" ht="15.5" x14ac:dyDescent="0.35">
      <c r="A1184" s="16" t="e">
        <f>HYPERLINK(_xlfn.CONCAT(Edit_URL,Tasks[[#This Row],[Ref]]),Tasks[[#This Row],[Ref]])</f>
        <v>#VALUE!</v>
      </c>
      <c r="B1184" s="15" t="e" cm="1">
        <f t="array" ref="B1184">_xlfn.SWITCH(LEFT(Tasks[[#This Row],[Status]],1),"O","Opened","C","Completed","S","Signed Off", "V", "Signed Off","ERROR")</f>
        <v>#VALUE!</v>
      </c>
      <c r="C1184" s="15" t="e" cm="1">
        <f t="array" ref="C1184">_xlfn.SWITCH(LEFT(Tasks[[#This Row],[Type]], 3), "Fie", "Field Report", "Con", "Contractor QC", "Gen", "Contractor QC", "Pun", "Contractor QC", "Qua", "Contractor QC", "Fin", "Punch List")</f>
        <v>#VALUE!</v>
      </c>
      <c r="D1184" s="15" t="e">
        <f>_xlfn.LET(
_xlpm.leftValue, TRIM(LEFT(Tasks[[#This Row],[Description]], 45)),
IF(LEN(_xlpm.leftValue) &lt; 40, _xlpm.leftValue, _xlfn.CONCAT(_xlpm.leftValue, "…"))
)</f>
        <v>#VALUE!</v>
      </c>
      <c r="E1184" s="15" t="e" cm="1">
        <f t="array" ref="E1184">_xlfn.LET(
_xlpm.inTower, COUNTIF(Tower_Num_Table[Tower Rm Numbers], LEFT(Task_Summary_Table[[#This Row],[Area/Room]], 3)) &gt; 0,
_xlpm.typeResult, _xlfn.SWITCH(LEFT(Tasks[[#This Row],[Page]], 2), "Hi", "Historic", "An", "Annex", "Si", "Site", "S5", "Project Task", "SWITCH ERROR"),
IF(_xlpm.inTower, "West Tower", _xlpm.typeResult)
)</f>
        <v>#VALUE!</v>
      </c>
      <c r="F1184" s="15" t="str">
        <f>IFERROR(MID(Tasks[[#This Row],[Page]], FIND("Level", Tasks[[#This Row],[Page]]), 7), IF(ISNUMBER(FIND("Roof", Tasks[[#This Row],[Page]])), "Roof",  IF(ISNUMBER(FIND("S590", Tasks[[#This Row],[Page]])), "",  IF(ISNUMBER(FIND("Site", Tasks[[#This Row],[Page]])), "", "ERROR"))))</f>
        <v>ERROR</v>
      </c>
      <c r="G1184" s="15" t="e">
        <f>IF(Tasks[[#This Row],[Location]]=0, "", Tasks[[#This Row],[Location]])</f>
        <v>#VALUE!</v>
      </c>
      <c r="H1184" s="15" t="e">
        <f>Tasks[[#This Row],[To Package]]</f>
        <v>#VALUE!</v>
      </c>
      <c r="I1184" s="15" t="e">
        <f>Tasks[[#This Row],[To Organisation]]</f>
        <v>#VALUE!</v>
      </c>
    </row>
    <row r="1185" spans="1:9" ht="15.5" x14ac:dyDescent="0.35">
      <c r="A1185" s="16" t="e">
        <f>HYPERLINK(_xlfn.CONCAT(Edit_URL,Tasks[[#This Row],[Ref]]),Tasks[[#This Row],[Ref]])</f>
        <v>#VALUE!</v>
      </c>
      <c r="B1185" s="15" t="e" cm="1">
        <f t="array" ref="B1185">_xlfn.SWITCH(LEFT(Tasks[[#This Row],[Status]],1),"O","Opened","C","Completed","S","Signed Off", "V", "Signed Off","ERROR")</f>
        <v>#VALUE!</v>
      </c>
      <c r="C1185" s="15" t="e" cm="1">
        <f t="array" ref="C1185">_xlfn.SWITCH(LEFT(Tasks[[#This Row],[Type]], 3), "Fie", "Field Report", "Con", "Contractor QC", "Gen", "Contractor QC", "Pun", "Contractor QC", "Qua", "Contractor QC", "Fin", "Punch List")</f>
        <v>#VALUE!</v>
      </c>
      <c r="D1185" s="15" t="e">
        <f>_xlfn.LET(
_xlpm.leftValue, TRIM(LEFT(Tasks[[#This Row],[Description]], 45)),
IF(LEN(_xlpm.leftValue) &lt; 40, _xlpm.leftValue, _xlfn.CONCAT(_xlpm.leftValue, "…"))
)</f>
        <v>#VALUE!</v>
      </c>
      <c r="E1185" s="15" t="e" cm="1">
        <f t="array" ref="E1185">_xlfn.LET(
_xlpm.inTower, COUNTIF(Tower_Num_Table[Tower Rm Numbers], LEFT(Task_Summary_Table[[#This Row],[Area/Room]], 3)) &gt; 0,
_xlpm.typeResult, _xlfn.SWITCH(LEFT(Tasks[[#This Row],[Page]], 2), "Hi", "Historic", "An", "Annex", "Si", "Site", "S5", "Project Task", "SWITCH ERROR"),
IF(_xlpm.inTower, "West Tower", _xlpm.typeResult)
)</f>
        <v>#VALUE!</v>
      </c>
      <c r="F1185" s="15" t="str">
        <f>IFERROR(MID(Tasks[[#This Row],[Page]], FIND("Level", Tasks[[#This Row],[Page]]), 7), IF(ISNUMBER(FIND("Roof", Tasks[[#This Row],[Page]])), "Roof",  IF(ISNUMBER(FIND("S590", Tasks[[#This Row],[Page]])), "",  IF(ISNUMBER(FIND("Site", Tasks[[#This Row],[Page]])), "", "ERROR"))))</f>
        <v>ERROR</v>
      </c>
      <c r="G1185" s="15" t="e">
        <f>IF(Tasks[[#This Row],[Location]]=0, "", Tasks[[#This Row],[Location]])</f>
        <v>#VALUE!</v>
      </c>
      <c r="H1185" s="15" t="e">
        <f>Tasks[[#This Row],[To Package]]</f>
        <v>#VALUE!</v>
      </c>
      <c r="I1185" s="15" t="e">
        <f>Tasks[[#This Row],[To Organisation]]</f>
        <v>#VALUE!</v>
      </c>
    </row>
    <row r="1186" spans="1:9" ht="15.5" x14ac:dyDescent="0.35">
      <c r="A1186" s="16" t="e">
        <f>HYPERLINK(_xlfn.CONCAT(Edit_URL,Tasks[[#This Row],[Ref]]),Tasks[[#This Row],[Ref]])</f>
        <v>#VALUE!</v>
      </c>
      <c r="B1186" s="15" t="e" cm="1">
        <f t="array" ref="B1186">_xlfn.SWITCH(LEFT(Tasks[[#This Row],[Status]],1),"O","Opened","C","Completed","S","Signed Off", "V", "Signed Off","ERROR")</f>
        <v>#VALUE!</v>
      </c>
      <c r="C1186" s="15" t="e" cm="1">
        <f t="array" ref="C1186">_xlfn.SWITCH(LEFT(Tasks[[#This Row],[Type]], 3), "Fie", "Field Report", "Con", "Contractor QC", "Gen", "Contractor QC", "Pun", "Contractor QC", "Qua", "Contractor QC", "Fin", "Punch List")</f>
        <v>#VALUE!</v>
      </c>
      <c r="D1186" s="15" t="e">
        <f>_xlfn.LET(
_xlpm.leftValue, TRIM(LEFT(Tasks[[#This Row],[Description]], 45)),
IF(LEN(_xlpm.leftValue) &lt; 40, _xlpm.leftValue, _xlfn.CONCAT(_xlpm.leftValue, "…"))
)</f>
        <v>#VALUE!</v>
      </c>
      <c r="E1186" s="15" t="e" cm="1">
        <f t="array" ref="E1186">_xlfn.LET(
_xlpm.inTower, COUNTIF(Tower_Num_Table[Tower Rm Numbers], LEFT(Task_Summary_Table[[#This Row],[Area/Room]], 3)) &gt; 0,
_xlpm.typeResult, _xlfn.SWITCH(LEFT(Tasks[[#This Row],[Page]], 2), "Hi", "Historic", "An", "Annex", "Si", "Site", "S5", "Project Task", "SWITCH ERROR"),
IF(_xlpm.inTower, "West Tower", _xlpm.typeResult)
)</f>
        <v>#VALUE!</v>
      </c>
      <c r="F1186" s="15" t="str">
        <f>IFERROR(MID(Tasks[[#This Row],[Page]], FIND("Level", Tasks[[#This Row],[Page]]), 7), IF(ISNUMBER(FIND("Roof", Tasks[[#This Row],[Page]])), "Roof",  IF(ISNUMBER(FIND("S590", Tasks[[#This Row],[Page]])), "",  IF(ISNUMBER(FIND("Site", Tasks[[#This Row],[Page]])), "", "ERROR"))))</f>
        <v>ERROR</v>
      </c>
      <c r="G1186" s="15" t="e">
        <f>IF(Tasks[[#This Row],[Location]]=0, "", Tasks[[#This Row],[Location]])</f>
        <v>#VALUE!</v>
      </c>
      <c r="H1186" s="15" t="e">
        <f>Tasks[[#This Row],[To Package]]</f>
        <v>#VALUE!</v>
      </c>
      <c r="I1186" s="15" t="e">
        <f>Tasks[[#This Row],[To Organisation]]</f>
        <v>#VALUE!</v>
      </c>
    </row>
    <row r="1187" spans="1:9" ht="15.5" x14ac:dyDescent="0.35">
      <c r="A1187" s="16" t="e">
        <f>HYPERLINK(_xlfn.CONCAT(Edit_URL,Tasks[[#This Row],[Ref]]),Tasks[[#This Row],[Ref]])</f>
        <v>#VALUE!</v>
      </c>
      <c r="B1187" s="15" t="e" cm="1">
        <f t="array" ref="B1187">_xlfn.SWITCH(LEFT(Tasks[[#This Row],[Status]],1),"O","Opened","C","Completed","S","Signed Off", "V", "Signed Off","ERROR")</f>
        <v>#VALUE!</v>
      </c>
      <c r="C1187" s="15" t="e" cm="1">
        <f t="array" ref="C1187">_xlfn.SWITCH(LEFT(Tasks[[#This Row],[Type]], 3), "Fie", "Field Report", "Con", "Contractor QC", "Gen", "Contractor QC", "Pun", "Contractor QC", "Qua", "Contractor QC", "Fin", "Punch List")</f>
        <v>#VALUE!</v>
      </c>
      <c r="D1187" s="15" t="e">
        <f>_xlfn.LET(
_xlpm.leftValue, TRIM(LEFT(Tasks[[#This Row],[Description]], 45)),
IF(LEN(_xlpm.leftValue) &lt; 40, _xlpm.leftValue, _xlfn.CONCAT(_xlpm.leftValue, "…"))
)</f>
        <v>#VALUE!</v>
      </c>
      <c r="E1187" s="15" t="e" cm="1">
        <f t="array" ref="E1187">_xlfn.LET(
_xlpm.inTower, COUNTIF(Tower_Num_Table[Tower Rm Numbers], LEFT(Task_Summary_Table[[#This Row],[Area/Room]], 3)) &gt; 0,
_xlpm.typeResult, _xlfn.SWITCH(LEFT(Tasks[[#This Row],[Page]], 2), "Hi", "Historic", "An", "Annex", "Si", "Site", "S5", "Project Task", "SWITCH ERROR"),
IF(_xlpm.inTower, "West Tower", _xlpm.typeResult)
)</f>
        <v>#VALUE!</v>
      </c>
      <c r="F1187" s="15" t="str">
        <f>IFERROR(MID(Tasks[[#This Row],[Page]], FIND("Level", Tasks[[#This Row],[Page]]), 7), IF(ISNUMBER(FIND("Roof", Tasks[[#This Row],[Page]])), "Roof",  IF(ISNUMBER(FIND("S590", Tasks[[#This Row],[Page]])), "",  IF(ISNUMBER(FIND("Site", Tasks[[#This Row],[Page]])), "", "ERROR"))))</f>
        <v>ERROR</v>
      </c>
      <c r="G1187" s="15" t="e">
        <f>IF(Tasks[[#This Row],[Location]]=0, "", Tasks[[#This Row],[Location]])</f>
        <v>#VALUE!</v>
      </c>
      <c r="H1187" s="15" t="e">
        <f>Tasks[[#This Row],[To Package]]</f>
        <v>#VALUE!</v>
      </c>
      <c r="I1187" s="15" t="e">
        <f>Tasks[[#This Row],[To Organisation]]</f>
        <v>#VALUE!</v>
      </c>
    </row>
    <row r="1188" spans="1:9" ht="15.5" x14ac:dyDescent="0.35">
      <c r="A1188" s="16" t="e">
        <f>HYPERLINK(_xlfn.CONCAT(Edit_URL,Tasks[[#This Row],[Ref]]),Tasks[[#This Row],[Ref]])</f>
        <v>#VALUE!</v>
      </c>
      <c r="B1188" s="15" t="e" cm="1">
        <f t="array" ref="B1188">_xlfn.SWITCH(LEFT(Tasks[[#This Row],[Status]],1),"O","Opened","C","Completed","S","Signed Off", "V", "Signed Off","ERROR")</f>
        <v>#VALUE!</v>
      </c>
      <c r="C1188" s="15" t="e" cm="1">
        <f t="array" ref="C1188">_xlfn.SWITCH(LEFT(Tasks[[#This Row],[Type]], 3), "Fie", "Field Report", "Con", "Contractor QC", "Gen", "Contractor QC", "Pun", "Contractor QC", "Qua", "Contractor QC", "Fin", "Punch List")</f>
        <v>#VALUE!</v>
      </c>
      <c r="D1188" s="15" t="e">
        <f>_xlfn.LET(
_xlpm.leftValue, TRIM(LEFT(Tasks[[#This Row],[Description]], 45)),
IF(LEN(_xlpm.leftValue) &lt; 40, _xlpm.leftValue, _xlfn.CONCAT(_xlpm.leftValue, "…"))
)</f>
        <v>#VALUE!</v>
      </c>
      <c r="E1188" s="15" t="e" cm="1">
        <f t="array" ref="E1188">_xlfn.LET(
_xlpm.inTower, COUNTIF(Tower_Num_Table[Tower Rm Numbers], LEFT(Task_Summary_Table[[#This Row],[Area/Room]], 3)) &gt; 0,
_xlpm.typeResult, _xlfn.SWITCH(LEFT(Tasks[[#This Row],[Page]], 2), "Hi", "Historic", "An", "Annex", "Si", "Site", "S5", "Project Task", "SWITCH ERROR"),
IF(_xlpm.inTower, "West Tower", _xlpm.typeResult)
)</f>
        <v>#VALUE!</v>
      </c>
      <c r="F1188" s="15" t="str">
        <f>IFERROR(MID(Tasks[[#This Row],[Page]], FIND("Level", Tasks[[#This Row],[Page]]), 7), IF(ISNUMBER(FIND("Roof", Tasks[[#This Row],[Page]])), "Roof",  IF(ISNUMBER(FIND("S590", Tasks[[#This Row],[Page]])), "",  IF(ISNUMBER(FIND("Site", Tasks[[#This Row],[Page]])), "", "ERROR"))))</f>
        <v>ERROR</v>
      </c>
      <c r="G1188" s="15" t="e">
        <f>IF(Tasks[[#This Row],[Location]]=0, "", Tasks[[#This Row],[Location]])</f>
        <v>#VALUE!</v>
      </c>
      <c r="H1188" s="15" t="e">
        <f>Tasks[[#This Row],[To Package]]</f>
        <v>#VALUE!</v>
      </c>
      <c r="I1188" s="15" t="e">
        <f>Tasks[[#This Row],[To Organisation]]</f>
        <v>#VALUE!</v>
      </c>
    </row>
    <row r="1189" spans="1:9" ht="15.5" x14ac:dyDescent="0.35">
      <c r="A1189" s="16" t="e">
        <f>HYPERLINK(_xlfn.CONCAT(Edit_URL,Tasks[[#This Row],[Ref]]),Tasks[[#This Row],[Ref]])</f>
        <v>#VALUE!</v>
      </c>
      <c r="B1189" s="15" t="e" cm="1">
        <f t="array" ref="B1189">_xlfn.SWITCH(LEFT(Tasks[[#This Row],[Status]],1),"O","Opened","C","Completed","S","Signed Off", "V", "Signed Off","ERROR")</f>
        <v>#VALUE!</v>
      </c>
      <c r="C1189" s="15" t="e" cm="1">
        <f t="array" ref="C1189">_xlfn.SWITCH(LEFT(Tasks[[#This Row],[Type]], 3), "Fie", "Field Report", "Con", "Contractor QC", "Gen", "Contractor QC", "Pun", "Contractor QC", "Qua", "Contractor QC", "Fin", "Punch List")</f>
        <v>#VALUE!</v>
      </c>
      <c r="D1189" s="15" t="e">
        <f>_xlfn.LET(
_xlpm.leftValue, TRIM(LEFT(Tasks[[#This Row],[Description]], 45)),
IF(LEN(_xlpm.leftValue) &lt; 40, _xlpm.leftValue, _xlfn.CONCAT(_xlpm.leftValue, "…"))
)</f>
        <v>#VALUE!</v>
      </c>
      <c r="E1189" s="15" t="e" cm="1">
        <f t="array" ref="E1189">_xlfn.LET(
_xlpm.inTower, COUNTIF(Tower_Num_Table[Tower Rm Numbers], LEFT(Task_Summary_Table[[#This Row],[Area/Room]], 3)) &gt; 0,
_xlpm.typeResult, _xlfn.SWITCH(LEFT(Tasks[[#This Row],[Page]], 2), "Hi", "Historic", "An", "Annex", "Si", "Site", "S5", "Project Task", "SWITCH ERROR"),
IF(_xlpm.inTower, "West Tower", _xlpm.typeResult)
)</f>
        <v>#VALUE!</v>
      </c>
      <c r="F1189" s="15" t="str">
        <f>IFERROR(MID(Tasks[[#This Row],[Page]], FIND("Level", Tasks[[#This Row],[Page]]), 7), IF(ISNUMBER(FIND("Roof", Tasks[[#This Row],[Page]])), "Roof",  IF(ISNUMBER(FIND("S590", Tasks[[#This Row],[Page]])), "",  IF(ISNUMBER(FIND("Site", Tasks[[#This Row],[Page]])), "", "ERROR"))))</f>
        <v>ERROR</v>
      </c>
      <c r="G1189" s="15" t="e">
        <f>IF(Tasks[[#This Row],[Location]]=0, "", Tasks[[#This Row],[Location]])</f>
        <v>#VALUE!</v>
      </c>
      <c r="H1189" s="15" t="e">
        <f>Tasks[[#This Row],[To Package]]</f>
        <v>#VALUE!</v>
      </c>
      <c r="I1189" s="15" t="e">
        <f>Tasks[[#This Row],[To Organisation]]</f>
        <v>#VALUE!</v>
      </c>
    </row>
    <row r="1190" spans="1:9" ht="15.5" x14ac:dyDescent="0.35">
      <c r="A1190" s="16" t="e">
        <f>HYPERLINK(_xlfn.CONCAT(Edit_URL,Tasks[[#This Row],[Ref]]),Tasks[[#This Row],[Ref]])</f>
        <v>#VALUE!</v>
      </c>
      <c r="B1190" s="15" t="e" cm="1">
        <f t="array" ref="B1190">_xlfn.SWITCH(LEFT(Tasks[[#This Row],[Status]],1),"O","Opened","C","Completed","S","Signed Off", "V", "Signed Off","ERROR")</f>
        <v>#VALUE!</v>
      </c>
      <c r="C1190" s="15" t="e" cm="1">
        <f t="array" ref="C1190">_xlfn.SWITCH(LEFT(Tasks[[#This Row],[Type]], 3), "Fie", "Field Report", "Con", "Contractor QC", "Gen", "Contractor QC", "Pun", "Contractor QC", "Qua", "Contractor QC", "Fin", "Punch List")</f>
        <v>#VALUE!</v>
      </c>
      <c r="D1190" s="15" t="e">
        <f>_xlfn.LET(
_xlpm.leftValue, TRIM(LEFT(Tasks[[#This Row],[Description]], 45)),
IF(LEN(_xlpm.leftValue) &lt; 40, _xlpm.leftValue, _xlfn.CONCAT(_xlpm.leftValue, "…"))
)</f>
        <v>#VALUE!</v>
      </c>
      <c r="E1190" s="15" t="e" cm="1">
        <f t="array" ref="E1190">_xlfn.LET(
_xlpm.inTower, COUNTIF(Tower_Num_Table[Tower Rm Numbers], LEFT(Task_Summary_Table[[#This Row],[Area/Room]], 3)) &gt; 0,
_xlpm.typeResult, _xlfn.SWITCH(LEFT(Tasks[[#This Row],[Page]], 2), "Hi", "Historic", "An", "Annex", "Si", "Site", "S5", "Project Task", "SWITCH ERROR"),
IF(_xlpm.inTower, "West Tower", _xlpm.typeResult)
)</f>
        <v>#VALUE!</v>
      </c>
      <c r="F1190" s="15" t="str">
        <f>IFERROR(MID(Tasks[[#This Row],[Page]], FIND("Level", Tasks[[#This Row],[Page]]), 7), IF(ISNUMBER(FIND("Roof", Tasks[[#This Row],[Page]])), "Roof",  IF(ISNUMBER(FIND("S590", Tasks[[#This Row],[Page]])), "",  IF(ISNUMBER(FIND("Site", Tasks[[#This Row],[Page]])), "", "ERROR"))))</f>
        <v>ERROR</v>
      </c>
      <c r="G1190" s="15" t="e">
        <f>IF(Tasks[[#This Row],[Location]]=0, "", Tasks[[#This Row],[Location]])</f>
        <v>#VALUE!</v>
      </c>
      <c r="H1190" s="15" t="e">
        <f>Tasks[[#This Row],[To Package]]</f>
        <v>#VALUE!</v>
      </c>
      <c r="I1190" s="15" t="e">
        <f>Tasks[[#This Row],[To Organisation]]</f>
        <v>#VALUE!</v>
      </c>
    </row>
    <row r="1191" spans="1:9" ht="15.5" x14ac:dyDescent="0.35">
      <c r="A1191" s="16" t="e">
        <f>HYPERLINK(_xlfn.CONCAT(Edit_URL,Tasks[[#This Row],[Ref]]),Tasks[[#This Row],[Ref]])</f>
        <v>#VALUE!</v>
      </c>
      <c r="B1191" s="15" t="e" cm="1">
        <f t="array" ref="B1191">_xlfn.SWITCH(LEFT(Tasks[[#This Row],[Status]],1),"O","Opened","C","Completed","S","Signed Off", "V", "Signed Off","ERROR")</f>
        <v>#VALUE!</v>
      </c>
      <c r="C1191" s="15" t="e" cm="1">
        <f t="array" ref="C1191">_xlfn.SWITCH(LEFT(Tasks[[#This Row],[Type]], 3), "Fie", "Field Report", "Con", "Contractor QC", "Gen", "Contractor QC", "Pun", "Contractor QC", "Qua", "Contractor QC", "Fin", "Punch List")</f>
        <v>#VALUE!</v>
      </c>
      <c r="D1191" s="15" t="e">
        <f>_xlfn.LET(
_xlpm.leftValue, TRIM(LEFT(Tasks[[#This Row],[Description]], 45)),
IF(LEN(_xlpm.leftValue) &lt; 40, _xlpm.leftValue, _xlfn.CONCAT(_xlpm.leftValue, "…"))
)</f>
        <v>#VALUE!</v>
      </c>
      <c r="E1191" s="15" t="e" cm="1">
        <f t="array" ref="E1191">_xlfn.LET(
_xlpm.inTower, COUNTIF(Tower_Num_Table[Tower Rm Numbers], LEFT(Task_Summary_Table[[#This Row],[Area/Room]], 3)) &gt; 0,
_xlpm.typeResult, _xlfn.SWITCH(LEFT(Tasks[[#This Row],[Page]], 2), "Hi", "Historic", "An", "Annex", "Si", "Site", "S5", "Project Task", "SWITCH ERROR"),
IF(_xlpm.inTower, "West Tower", _xlpm.typeResult)
)</f>
        <v>#VALUE!</v>
      </c>
      <c r="F1191" s="15" t="str">
        <f>IFERROR(MID(Tasks[[#This Row],[Page]], FIND("Level", Tasks[[#This Row],[Page]]), 7), IF(ISNUMBER(FIND("Roof", Tasks[[#This Row],[Page]])), "Roof",  IF(ISNUMBER(FIND("S590", Tasks[[#This Row],[Page]])), "",  IF(ISNUMBER(FIND("Site", Tasks[[#This Row],[Page]])), "", "ERROR"))))</f>
        <v>ERROR</v>
      </c>
      <c r="G1191" s="15" t="e">
        <f>IF(Tasks[[#This Row],[Location]]=0, "", Tasks[[#This Row],[Location]])</f>
        <v>#VALUE!</v>
      </c>
      <c r="H1191" s="15" t="e">
        <f>Tasks[[#This Row],[To Package]]</f>
        <v>#VALUE!</v>
      </c>
      <c r="I1191" s="15" t="e">
        <f>Tasks[[#This Row],[To Organisation]]</f>
        <v>#VALUE!</v>
      </c>
    </row>
    <row r="1192" spans="1:9" ht="15.5" x14ac:dyDescent="0.35">
      <c r="A1192" s="16" t="e">
        <f>HYPERLINK(_xlfn.CONCAT(Edit_URL,Tasks[[#This Row],[Ref]]),Tasks[[#This Row],[Ref]])</f>
        <v>#VALUE!</v>
      </c>
      <c r="B1192" s="15" t="e" cm="1">
        <f t="array" ref="B1192">_xlfn.SWITCH(LEFT(Tasks[[#This Row],[Status]],1),"O","Opened","C","Completed","S","Signed Off", "V", "Signed Off","ERROR")</f>
        <v>#VALUE!</v>
      </c>
      <c r="C1192" s="15" t="e" cm="1">
        <f t="array" ref="C1192">_xlfn.SWITCH(LEFT(Tasks[[#This Row],[Type]], 3), "Fie", "Field Report", "Con", "Contractor QC", "Gen", "Contractor QC", "Pun", "Contractor QC", "Qua", "Contractor QC", "Fin", "Punch List")</f>
        <v>#VALUE!</v>
      </c>
      <c r="D1192" s="15" t="e">
        <f>_xlfn.LET(
_xlpm.leftValue, TRIM(LEFT(Tasks[[#This Row],[Description]], 45)),
IF(LEN(_xlpm.leftValue) &lt; 40, _xlpm.leftValue, _xlfn.CONCAT(_xlpm.leftValue, "…"))
)</f>
        <v>#VALUE!</v>
      </c>
      <c r="E1192" s="15" t="e" cm="1">
        <f t="array" ref="E1192">_xlfn.LET(
_xlpm.inTower, COUNTIF(Tower_Num_Table[Tower Rm Numbers], LEFT(Task_Summary_Table[[#This Row],[Area/Room]], 3)) &gt; 0,
_xlpm.typeResult, _xlfn.SWITCH(LEFT(Tasks[[#This Row],[Page]], 2), "Hi", "Historic", "An", "Annex", "Si", "Site", "S5", "Project Task", "SWITCH ERROR"),
IF(_xlpm.inTower, "West Tower", _xlpm.typeResult)
)</f>
        <v>#VALUE!</v>
      </c>
      <c r="F1192" s="15" t="str">
        <f>IFERROR(MID(Tasks[[#This Row],[Page]], FIND("Level", Tasks[[#This Row],[Page]]), 7), IF(ISNUMBER(FIND("Roof", Tasks[[#This Row],[Page]])), "Roof",  IF(ISNUMBER(FIND("S590", Tasks[[#This Row],[Page]])), "",  IF(ISNUMBER(FIND("Site", Tasks[[#This Row],[Page]])), "", "ERROR"))))</f>
        <v>ERROR</v>
      </c>
      <c r="G1192" s="15" t="e">
        <f>IF(Tasks[[#This Row],[Location]]=0, "", Tasks[[#This Row],[Location]])</f>
        <v>#VALUE!</v>
      </c>
      <c r="H1192" s="15" t="e">
        <f>Tasks[[#This Row],[To Package]]</f>
        <v>#VALUE!</v>
      </c>
      <c r="I1192" s="15" t="e">
        <f>Tasks[[#This Row],[To Organisation]]</f>
        <v>#VALUE!</v>
      </c>
    </row>
    <row r="1193" spans="1:9" ht="15.5" x14ac:dyDescent="0.35">
      <c r="A1193" s="16" t="e">
        <f>HYPERLINK(_xlfn.CONCAT(Edit_URL,Tasks[[#This Row],[Ref]]),Tasks[[#This Row],[Ref]])</f>
        <v>#VALUE!</v>
      </c>
      <c r="B1193" s="15" t="e" cm="1">
        <f t="array" ref="B1193">_xlfn.SWITCH(LEFT(Tasks[[#This Row],[Status]],1),"O","Opened","C","Completed","S","Signed Off", "V", "Signed Off","ERROR")</f>
        <v>#VALUE!</v>
      </c>
      <c r="C1193" s="15" t="e" cm="1">
        <f t="array" ref="C1193">_xlfn.SWITCH(LEFT(Tasks[[#This Row],[Type]], 3), "Fie", "Field Report", "Con", "Contractor QC", "Gen", "Contractor QC", "Pun", "Contractor QC", "Qua", "Contractor QC", "Fin", "Punch List")</f>
        <v>#VALUE!</v>
      </c>
      <c r="D1193" s="15" t="e">
        <f>_xlfn.LET(
_xlpm.leftValue, TRIM(LEFT(Tasks[[#This Row],[Description]], 45)),
IF(LEN(_xlpm.leftValue) &lt; 40, _xlpm.leftValue, _xlfn.CONCAT(_xlpm.leftValue, "…"))
)</f>
        <v>#VALUE!</v>
      </c>
      <c r="E1193" s="15" t="e" cm="1">
        <f t="array" ref="E1193">_xlfn.LET(
_xlpm.inTower, COUNTIF(Tower_Num_Table[Tower Rm Numbers], LEFT(Task_Summary_Table[[#This Row],[Area/Room]], 3)) &gt; 0,
_xlpm.typeResult, _xlfn.SWITCH(LEFT(Tasks[[#This Row],[Page]], 2), "Hi", "Historic", "An", "Annex", "Si", "Site", "S5", "Project Task", "SWITCH ERROR"),
IF(_xlpm.inTower, "West Tower", _xlpm.typeResult)
)</f>
        <v>#VALUE!</v>
      </c>
      <c r="F1193" s="15" t="str">
        <f>IFERROR(MID(Tasks[[#This Row],[Page]], FIND("Level", Tasks[[#This Row],[Page]]), 7), IF(ISNUMBER(FIND("Roof", Tasks[[#This Row],[Page]])), "Roof",  IF(ISNUMBER(FIND("S590", Tasks[[#This Row],[Page]])), "",  IF(ISNUMBER(FIND("Site", Tasks[[#This Row],[Page]])), "", "ERROR"))))</f>
        <v>ERROR</v>
      </c>
      <c r="G1193" s="15" t="e">
        <f>IF(Tasks[[#This Row],[Location]]=0, "", Tasks[[#This Row],[Location]])</f>
        <v>#VALUE!</v>
      </c>
      <c r="H1193" s="15" t="e">
        <f>Tasks[[#This Row],[To Package]]</f>
        <v>#VALUE!</v>
      </c>
      <c r="I1193" s="15" t="e">
        <f>Tasks[[#This Row],[To Organisation]]</f>
        <v>#VALUE!</v>
      </c>
    </row>
    <row r="1194" spans="1:9" ht="15.5" x14ac:dyDescent="0.35">
      <c r="A1194" s="16" t="e">
        <f>HYPERLINK(_xlfn.CONCAT(Edit_URL,Tasks[[#This Row],[Ref]]),Tasks[[#This Row],[Ref]])</f>
        <v>#VALUE!</v>
      </c>
      <c r="B1194" s="15" t="e" cm="1">
        <f t="array" ref="B1194">_xlfn.SWITCH(LEFT(Tasks[[#This Row],[Status]],1),"O","Opened","C","Completed","S","Signed Off", "V", "Signed Off","ERROR")</f>
        <v>#VALUE!</v>
      </c>
      <c r="C1194" s="15" t="e" cm="1">
        <f t="array" ref="C1194">_xlfn.SWITCH(LEFT(Tasks[[#This Row],[Type]], 3), "Fie", "Field Report", "Con", "Contractor QC", "Gen", "Contractor QC", "Pun", "Contractor QC", "Qua", "Contractor QC", "Fin", "Punch List")</f>
        <v>#VALUE!</v>
      </c>
      <c r="D1194" s="15" t="e">
        <f>_xlfn.LET(
_xlpm.leftValue, TRIM(LEFT(Tasks[[#This Row],[Description]], 45)),
IF(LEN(_xlpm.leftValue) &lt; 40, _xlpm.leftValue, _xlfn.CONCAT(_xlpm.leftValue, "…"))
)</f>
        <v>#VALUE!</v>
      </c>
      <c r="E1194" s="15" t="e" cm="1">
        <f t="array" ref="E1194">_xlfn.LET(
_xlpm.inTower, COUNTIF(Tower_Num_Table[Tower Rm Numbers], LEFT(Task_Summary_Table[[#This Row],[Area/Room]], 3)) &gt; 0,
_xlpm.typeResult, _xlfn.SWITCH(LEFT(Tasks[[#This Row],[Page]], 2), "Hi", "Historic", "An", "Annex", "Si", "Site", "S5", "Project Task", "SWITCH ERROR"),
IF(_xlpm.inTower, "West Tower", _xlpm.typeResult)
)</f>
        <v>#VALUE!</v>
      </c>
      <c r="F1194" s="15" t="str">
        <f>IFERROR(MID(Tasks[[#This Row],[Page]], FIND("Level", Tasks[[#This Row],[Page]]), 7), IF(ISNUMBER(FIND("Roof", Tasks[[#This Row],[Page]])), "Roof",  IF(ISNUMBER(FIND("S590", Tasks[[#This Row],[Page]])), "",  IF(ISNUMBER(FIND("Site", Tasks[[#This Row],[Page]])), "", "ERROR"))))</f>
        <v>ERROR</v>
      </c>
      <c r="G1194" s="15" t="e">
        <f>IF(Tasks[[#This Row],[Location]]=0, "", Tasks[[#This Row],[Location]])</f>
        <v>#VALUE!</v>
      </c>
      <c r="H1194" s="15" t="e">
        <f>Tasks[[#This Row],[To Package]]</f>
        <v>#VALUE!</v>
      </c>
      <c r="I1194" s="15" t="e">
        <f>Tasks[[#This Row],[To Organisation]]</f>
        <v>#VALUE!</v>
      </c>
    </row>
    <row r="1195" spans="1:9" ht="15.5" x14ac:dyDescent="0.35">
      <c r="A1195" s="16" t="e">
        <f>HYPERLINK(_xlfn.CONCAT(Edit_URL,Tasks[[#This Row],[Ref]]),Tasks[[#This Row],[Ref]])</f>
        <v>#VALUE!</v>
      </c>
      <c r="B1195" s="15" t="e" cm="1">
        <f t="array" ref="B1195">_xlfn.SWITCH(LEFT(Tasks[[#This Row],[Status]],1),"O","Opened","C","Completed","S","Signed Off", "V", "Signed Off","ERROR")</f>
        <v>#VALUE!</v>
      </c>
      <c r="C1195" s="15" t="e" cm="1">
        <f t="array" ref="C1195">_xlfn.SWITCH(LEFT(Tasks[[#This Row],[Type]], 3), "Fie", "Field Report", "Con", "Contractor QC", "Gen", "Contractor QC", "Pun", "Contractor QC", "Qua", "Contractor QC", "Fin", "Punch List")</f>
        <v>#VALUE!</v>
      </c>
      <c r="D1195" s="15" t="e">
        <f>_xlfn.LET(
_xlpm.leftValue, TRIM(LEFT(Tasks[[#This Row],[Description]], 45)),
IF(LEN(_xlpm.leftValue) &lt; 40, _xlpm.leftValue, _xlfn.CONCAT(_xlpm.leftValue, "…"))
)</f>
        <v>#VALUE!</v>
      </c>
      <c r="E1195" s="15" t="e" cm="1">
        <f t="array" ref="E1195">_xlfn.LET(
_xlpm.inTower, COUNTIF(Tower_Num_Table[Tower Rm Numbers], LEFT(Task_Summary_Table[[#This Row],[Area/Room]], 3)) &gt; 0,
_xlpm.typeResult, _xlfn.SWITCH(LEFT(Tasks[[#This Row],[Page]], 2), "Hi", "Historic", "An", "Annex", "Si", "Site", "S5", "Project Task", "SWITCH ERROR"),
IF(_xlpm.inTower, "West Tower", _xlpm.typeResult)
)</f>
        <v>#VALUE!</v>
      </c>
      <c r="F1195" s="15" t="str">
        <f>IFERROR(MID(Tasks[[#This Row],[Page]], FIND("Level", Tasks[[#This Row],[Page]]), 7), IF(ISNUMBER(FIND("Roof", Tasks[[#This Row],[Page]])), "Roof",  IF(ISNUMBER(FIND("S590", Tasks[[#This Row],[Page]])), "",  IF(ISNUMBER(FIND("Site", Tasks[[#This Row],[Page]])), "", "ERROR"))))</f>
        <v>ERROR</v>
      </c>
      <c r="G1195" s="15" t="e">
        <f>IF(Tasks[[#This Row],[Location]]=0, "", Tasks[[#This Row],[Location]])</f>
        <v>#VALUE!</v>
      </c>
      <c r="H1195" s="15" t="e">
        <f>Tasks[[#This Row],[To Package]]</f>
        <v>#VALUE!</v>
      </c>
      <c r="I1195" s="15" t="e">
        <f>Tasks[[#This Row],[To Organisation]]</f>
        <v>#VALUE!</v>
      </c>
    </row>
    <row r="1196" spans="1:9" ht="15.5" x14ac:dyDescent="0.35">
      <c r="A1196" s="16" t="e">
        <f>HYPERLINK(_xlfn.CONCAT(Edit_URL,Tasks[[#This Row],[Ref]]),Tasks[[#This Row],[Ref]])</f>
        <v>#VALUE!</v>
      </c>
      <c r="B1196" s="15" t="e" cm="1">
        <f t="array" ref="B1196">_xlfn.SWITCH(LEFT(Tasks[[#This Row],[Status]],1),"O","Opened","C","Completed","S","Signed Off", "V", "Signed Off","ERROR")</f>
        <v>#VALUE!</v>
      </c>
      <c r="C1196" s="15" t="e" cm="1">
        <f t="array" ref="C1196">_xlfn.SWITCH(LEFT(Tasks[[#This Row],[Type]], 3), "Fie", "Field Report", "Con", "Contractor QC", "Gen", "Contractor QC", "Pun", "Contractor QC", "Qua", "Contractor QC", "Fin", "Punch List")</f>
        <v>#VALUE!</v>
      </c>
      <c r="D1196" s="15" t="e">
        <f>_xlfn.LET(
_xlpm.leftValue, TRIM(LEFT(Tasks[[#This Row],[Description]], 45)),
IF(LEN(_xlpm.leftValue) &lt; 40, _xlpm.leftValue, _xlfn.CONCAT(_xlpm.leftValue, "…"))
)</f>
        <v>#VALUE!</v>
      </c>
      <c r="E1196" s="15" t="e" cm="1">
        <f t="array" ref="E1196">_xlfn.LET(
_xlpm.inTower, COUNTIF(Tower_Num_Table[Tower Rm Numbers], LEFT(Task_Summary_Table[[#This Row],[Area/Room]], 3)) &gt; 0,
_xlpm.typeResult, _xlfn.SWITCH(LEFT(Tasks[[#This Row],[Page]], 2), "Hi", "Historic", "An", "Annex", "Si", "Site", "S5", "Project Task", "SWITCH ERROR"),
IF(_xlpm.inTower, "West Tower", _xlpm.typeResult)
)</f>
        <v>#VALUE!</v>
      </c>
      <c r="F1196" s="15" t="str">
        <f>IFERROR(MID(Tasks[[#This Row],[Page]], FIND("Level", Tasks[[#This Row],[Page]]), 7), IF(ISNUMBER(FIND("Roof", Tasks[[#This Row],[Page]])), "Roof",  IF(ISNUMBER(FIND("S590", Tasks[[#This Row],[Page]])), "",  IF(ISNUMBER(FIND("Site", Tasks[[#This Row],[Page]])), "", "ERROR"))))</f>
        <v>ERROR</v>
      </c>
      <c r="G1196" s="15" t="e">
        <f>IF(Tasks[[#This Row],[Location]]=0, "", Tasks[[#This Row],[Location]])</f>
        <v>#VALUE!</v>
      </c>
      <c r="H1196" s="15" t="e">
        <f>Tasks[[#This Row],[To Package]]</f>
        <v>#VALUE!</v>
      </c>
      <c r="I1196" s="15" t="e">
        <f>Tasks[[#This Row],[To Organisation]]</f>
        <v>#VALUE!</v>
      </c>
    </row>
    <row r="1197" spans="1:9" ht="15.5" x14ac:dyDescent="0.35">
      <c r="A1197" s="16" t="e">
        <f>HYPERLINK(_xlfn.CONCAT(Edit_URL,Tasks[[#This Row],[Ref]]),Tasks[[#This Row],[Ref]])</f>
        <v>#VALUE!</v>
      </c>
      <c r="B1197" s="15" t="e" cm="1">
        <f t="array" ref="B1197">_xlfn.SWITCH(LEFT(Tasks[[#This Row],[Status]],1),"O","Opened","C","Completed","S","Signed Off", "V", "Signed Off","ERROR")</f>
        <v>#VALUE!</v>
      </c>
      <c r="C1197" s="15" t="e" cm="1">
        <f t="array" ref="C1197">_xlfn.SWITCH(LEFT(Tasks[[#This Row],[Type]], 3), "Fie", "Field Report", "Con", "Contractor QC", "Gen", "Contractor QC", "Pun", "Contractor QC", "Qua", "Contractor QC", "Fin", "Punch List")</f>
        <v>#VALUE!</v>
      </c>
      <c r="D1197" s="15" t="e">
        <f>_xlfn.LET(
_xlpm.leftValue, TRIM(LEFT(Tasks[[#This Row],[Description]], 45)),
IF(LEN(_xlpm.leftValue) &lt; 40, _xlpm.leftValue, _xlfn.CONCAT(_xlpm.leftValue, "…"))
)</f>
        <v>#VALUE!</v>
      </c>
      <c r="E1197" s="15" t="e" cm="1">
        <f t="array" ref="E1197">_xlfn.LET(
_xlpm.inTower, COUNTIF(Tower_Num_Table[Tower Rm Numbers], LEFT(Task_Summary_Table[[#This Row],[Area/Room]], 3)) &gt; 0,
_xlpm.typeResult, _xlfn.SWITCH(LEFT(Tasks[[#This Row],[Page]], 2), "Hi", "Historic", "An", "Annex", "Si", "Site", "S5", "Project Task", "SWITCH ERROR"),
IF(_xlpm.inTower, "West Tower", _xlpm.typeResult)
)</f>
        <v>#VALUE!</v>
      </c>
      <c r="F1197" s="15" t="str">
        <f>IFERROR(MID(Tasks[[#This Row],[Page]], FIND("Level", Tasks[[#This Row],[Page]]), 7), IF(ISNUMBER(FIND("Roof", Tasks[[#This Row],[Page]])), "Roof",  IF(ISNUMBER(FIND("S590", Tasks[[#This Row],[Page]])), "",  IF(ISNUMBER(FIND("Site", Tasks[[#This Row],[Page]])), "", "ERROR"))))</f>
        <v>ERROR</v>
      </c>
      <c r="G1197" s="15" t="e">
        <f>IF(Tasks[[#This Row],[Location]]=0, "", Tasks[[#This Row],[Location]])</f>
        <v>#VALUE!</v>
      </c>
      <c r="H1197" s="15" t="e">
        <f>Tasks[[#This Row],[To Package]]</f>
        <v>#VALUE!</v>
      </c>
      <c r="I1197" s="15" t="e">
        <f>Tasks[[#This Row],[To Organisation]]</f>
        <v>#VALUE!</v>
      </c>
    </row>
    <row r="1198" spans="1:9" ht="15.5" x14ac:dyDescent="0.35">
      <c r="A1198" s="16" t="e">
        <f>HYPERLINK(_xlfn.CONCAT(Edit_URL,Tasks[[#This Row],[Ref]]),Tasks[[#This Row],[Ref]])</f>
        <v>#VALUE!</v>
      </c>
      <c r="B1198" s="15" t="e" cm="1">
        <f t="array" ref="B1198">_xlfn.SWITCH(LEFT(Tasks[[#This Row],[Status]],1),"O","Opened","C","Completed","S","Signed Off", "V", "Signed Off","ERROR")</f>
        <v>#VALUE!</v>
      </c>
      <c r="C1198" s="15" t="e" cm="1">
        <f t="array" ref="C1198">_xlfn.SWITCH(LEFT(Tasks[[#This Row],[Type]], 3), "Fie", "Field Report", "Con", "Contractor QC", "Gen", "Contractor QC", "Pun", "Contractor QC", "Qua", "Contractor QC", "Fin", "Punch List")</f>
        <v>#VALUE!</v>
      </c>
      <c r="D1198" s="15" t="e">
        <f>_xlfn.LET(
_xlpm.leftValue, TRIM(LEFT(Tasks[[#This Row],[Description]], 45)),
IF(LEN(_xlpm.leftValue) &lt; 40, _xlpm.leftValue, _xlfn.CONCAT(_xlpm.leftValue, "…"))
)</f>
        <v>#VALUE!</v>
      </c>
      <c r="E1198" s="15" t="e" cm="1">
        <f t="array" ref="E1198">_xlfn.LET(
_xlpm.inTower, COUNTIF(Tower_Num_Table[Tower Rm Numbers], LEFT(Task_Summary_Table[[#This Row],[Area/Room]], 3)) &gt; 0,
_xlpm.typeResult, _xlfn.SWITCH(LEFT(Tasks[[#This Row],[Page]], 2), "Hi", "Historic", "An", "Annex", "Si", "Site", "S5", "Project Task", "SWITCH ERROR"),
IF(_xlpm.inTower, "West Tower", _xlpm.typeResult)
)</f>
        <v>#VALUE!</v>
      </c>
      <c r="F1198" s="15" t="str">
        <f>IFERROR(MID(Tasks[[#This Row],[Page]], FIND("Level", Tasks[[#This Row],[Page]]), 7), IF(ISNUMBER(FIND("Roof", Tasks[[#This Row],[Page]])), "Roof",  IF(ISNUMBER(FIND("S590", Tasks[[#This Row],[Page]])), "",  IF(ISNUMBER(FIND("Site", Tasks[[#This Row],[Page]])), "", "ERROR"))))</f>
        <v>ERROR</v>
      </c>
      <c r="G1198" s="15" t="e">
        <f>IF(Tasks[[#This Row],[Location]]=0, "", Tasks[[#This Row],[Location]])</f>
        <v>#VALUE!</v>
      </c>
      <c r="H1198" s="15" t="e">
        <f>Tasks[[#This Row],[To Package]]</f>
        <v>#VALUE!</v>
      </c>
      <c r="I1198" s="15" t="e">
        <f>Tasks[[#This Row],[To Organisation]]</f>
        <v>#VALUE!</v>
      </c>
    </row>
    <row r="1199" spans="1:9" ht="15.5" x14ac:dyDescent="0.35">
      <c r="A1199" s="16" t="e">
        <f>HYPERLINK(_xlfn.CONCAT(Edit_URL,Tasks[[#This Row],[Ref]]),Tasks[[#This Row],[Ref]])</f>
        <v>#VALUE!</v>
      </c>
      <c r="B1199" s="15" t="e" cm="1">
        <f t="array" ref="B1199">_xlfn.SWITCH(LEFT(Tasks[[#This Row],[Status]],1),"O","Opened","C","Completed","S","Signed Off", "V", "Signed Off","ERROR")</f>
        <v>#VALUE!</v>
      </c>
      <c r="C1199" s="15" t="e" cm="1">
        <f t="array" ref="C1199">_xlfn.SWITCH(LEFT(Tasks[[#This Row],[Type]], 3), "Fie", "Field Report", "Con", "Contractor QC", "Gen", "Contractor QC", "Pun", "Contractor QC", "Qua", "Contractor QC", "Fin", "Punch List")</f>
        <v>#VALUE!</v>
      </c>
      <c r="D1199" s="15" t="e">
        <f>_xlfn.LET(
_xlpm.leftValue, TRIM(LEFT(Tasks[[#This Row],[Description]], 45)),
IF(LEN(_xlpm.leftValue) &lt; 40, _xlpm.leftValue, _xlfn.CONCAT(_xlpm.leftValue, "…"))
)</f>
        <v>#VALUE!</v>
      </c>
      <c r="E1199" s="15" t="e" cm="1">
        <f t="array" ref="E1199">_xlfn.LET(
_xlpm.inTower, COUNTIF(Tower_Num_Table[Tower Rm Numbers], LEFT(Task_Summary_Table[[#This Row],[Area/Room]], 3)) &gt; 0,
_xlpm.typeResult, _xlfn.SWITCH(LEFT(Tasks[[#This Row],[Page]], 2), "Hi", "Historic", "An", "Annex", "Si", "Site", "S5", "Project Task", "SWITCH ERROR"),
IF(_xlpm.inTower, "West Tower", _xlpm.typeResult)
)</f>
        <v>#VALUE!</v>
      </c>
      <c r="F1199" s="15" t="str">
        <f>IFERROR(MID(Tasks[[#This Row],[Page]], FIND("Level", Tasks[[#This Row],[Page]]), 7), IF(ISNUMBER(FIND("Roof", Tasks[[#This Row],[Page]])), "Roof",  IF(ISNUMBER(FIND("S590", Tasks[[#This Row],[Page]])), "",  IF(ISNUMBER(FIND("Site", Tasks[[#This Row],[Page]])), "", "ERROR"))))</f>
        <v>ERROR</v>
      </c>
      <c r="G1199" s="15" t="e">
        <f>IF(Tasks[[#This Row],[Location]]=0, "", Tasks[[#This Row],[Location]])</f>
        <v>#VALUE!</v>
      </c>
      <c r="H1199" s="15" t="e">
        <f>Tasks[[#This Row],[To Package]]</f>
        <v>#VALUE!</v>
      </c>
      <c r="I1199" s="15" t="e">
        <f>Tasks[[#This Row],[To Organisation]]</f>
        <v>#VALUE!</v>
      </c>
    </row>
    <row r="1200" spans="1:9" ht="15.5" x14ac:dyDescent="0.35">
      <c r="A1200" s="16" t="e">
        <f>HYPERLINK(_xlfn.CONCAT(Edit_URL,Tasks[[#This Row],[Ref]]),Tasks[[#This Row],[Ref]])</f>
        <v>#VALUE!</v>
      </c>
      <c r="B1200" s="15" t="e" cm="1">
        <f t="array" ref="B1200">_xlfn.SWITCH(LEFT(Tasks[[#This Row],[Status]],1),"O","Opened","C","Completed","S","Signed Off", "V", "Signed Off","ERROR")</f>
        <v>#VALUE!</v>
      </c>
      <c r="C1200" s="15" t="e" cm="1">
        <f t="array" ref="C1200">_xlfn.SWITCH(LEFT(Tasks[[#This Row],[Type]], 3), "Fie", "Field Report", "Con", "Contractor QC", "Gen", "Contractor QC", "Pun", "Contractor QC", "Qua", "Contractor QC", "Fin", "Punch List")</f>
        <v>#VALUE!</v>
      </c>
      <c r="D1200" s="15" t="e">
        <f>_xlfn.LET(
_xlpm.leftValue, TRIM(LEFT(Tasks[[#This Row],[Description]], 45)),
IF(LEN(_xlpm.leftValue) &lt; 40, _xlpm.leftValue, _xlfn.CONCAT(_xlpm.leftValue, "…"))
)</f>
        <v>#VALUE!</v>
      </c>
      <c r="E1200" s="15" t="e" cm="1">
        <f t="array" ref="E1200">_xlfn.LET(
_xlpm.inTower, COUNTIF(Tower_Num_Table[Tower Rm Numbers], LEFT(Task_Summary_Table[[#This Row],[Area/Room]], 3)) &gt; 0,
_xlpm.typeResult, _xlfn.SWITCH(LEFT(Tasks[[#This Row],[Page]], 2), "Hi", "Historic", "An", "Annex", "Si", "Site", "S5", "Project Task", "SWITCH ERROR"),
IF(_xlpm.inTower, "West Tower", _xlpm.typeResult)
)</f>
        <v>#VALUE!</v>
      </c>
      <c r="F1200" s="15" t="str">
        <f>IFERROR(MID(Tasks[[#This Row],[Page]], FIND("Level", Tasks[[#This Row],[Page]]), 7), IF(ISNUMBER(FIND("Roof", Tasks[[#This Row],[Page]])), "Roof",  IF(ISNUMBER(FIND("S590", Tasks[[#This Row],[Page]])), "",  IF(ISNUMBER(FIND("Site", Tasks[[#This Row],[Page]])), "", "ERROR"))))</f>
        <v>ERROR</v>
      </c>
      <c r="G1200" s="15" t="e">
        <f>IF(Tasks[[#This Row],[Location]]=0, "", Tasks[[#This Row],[Location]])</f>
        <v>#VALUE!</v>
      </c>
      <c r="H1200" s="15" t="e">
        <f>Tasks[[#This Row],[To Package]]</f>
        <v>#VALUE!</v>
      </c>
      <c r="I1200" s="15" t="e">
        <f>Tasks[[#This Row],[To Organisation]]</f>
        <v>#VALUE!</v>
      </c>
    </row>
    <row r="1201" spans="1:9" ht="15.5" x14ac:dyDescent="0.35">
      <c r="A1201" s="16" t="e">
        <f>HYPERLINK(_xlfn.CONCAT(Edit_URL,Tasks[[#This Row],[Ref]]),Tasks[[#This Row],[Ref]])</f>
        <v>#VALUE!</v>
      </c>
      <c r="B1201" s="15" t="e" cm="1">
        <f t="array" ref="B1201">_xlfn.SWITCH(LEFT(Tasks[[#This Row],[Status]],1),"O","Opened","C","Completed","S","Signed Off", "V", "Signed Off","ERROR")</f>
        <v>#VALUE!</v>
      </c>
      <c r="C1201" s="15" t="e" cm="1">
        <f t="array" ref="C1201">_xlfn.SWITCH(LEFT(Tasks[[#This Row],[Type]], 3), "Fie", "Field Report", "Con", "Contractor QC", "Gen", "Contractor QC", "Pun", "Contractor QC", "Qua", "Contractor QC", "Fin", "Punch List")</f>
        <v>#VALUE!</v>
      </c>
      <c r="D1201" s="15" t="e">
        <f>_xlfn.LET(
_xlpm.leftValue, TRIM(LEFT(Tasks[[#This Row],[Description]], 45)),
IF(LEN(_xlpm.leftValue) &lt; 40, _xlpm.leftValue, _xlfn.CONCAT(_xlpm.leftValue, "…"))
)</f>
        <v>#VALUE!</v>
      </c>
      <c r="E1201" s="15" t="e" cm="1">
        <f t="array" ref="E1201">_xlfn.LET(
_xlpm.inTower, COUNTIF(Tower_Num_Table[Tower Rm Numbers], LEFT(Task_Summary_Table[[#This Row],[Area/Room]], 3)) &gt; 0,
_xlpm.typeResult, _xlfn.SWITCH(LEFT(Tasks[[#This Row],[Page]], 2), "Hi", "Historic", "An", "Annex", "Si", "Site", "S5", "Project Task", "SWITCH ERROR"),
IF(_xlpm.inTower, "West Tower", _xlpm.typeResult)
)</f>
        <v>#VALUE!</v>
      </c>
      <c r="F1201" s="15" t="str">
        <f>IFERROR(MID(Tasks[[#This Row],[Page]], FIND("Level", Tasks[[#This Row],[Page]]), 7), IF(ISNUMBER(FIND("Roof", Tasks[[#This Row],[Page]])), "Roof",  IF(ISNUMBER(FIND("S590", Tasks[[#This Row],[Page]])), "",  IF(ISNUMBER(FIND("Site", Tasks[[#This Row],[Page]])), "", "ERROR"))))</f>
        <v>ERROR</v>
      </c>
      <c r="G1201" s="15" t="e">
        <f>IF(Tasks[[#This Row],[Location]]=0, "", Tasks[[#This Row],[Location]])</f>
        <v>#VALUE!</v>
      </c>
      <c r="H1201" s="15" t="e">
        <f>Tasks[[#This Row],[To Package]]</f>
        <v>#VALUE!</v>
      </c>
      <c r="I1201" s="15" t="e">
        <f>Tasks[[#This Row],[To Organisation]]</f>
        <v>#VALUE!</v>
      </c>
    </row>
    <row r="1202" spans="1:9" ht="15.5" x14ac:dyDescent="0.35">
      <c r="A1202" s="16" t="e">
        <f>HYPERLINK(_xlfn.CONCAT(Edit_URL,Tasks[[#This Row],[Ref]]),Tasks[[#This Row],[Ref]])</f>
        <v>#VALUE!</v>
      </c>
      <c r="B1202" s="15" t="e" cm="1">
        <f t="array" ref="B1202">_xlfn.SWITCH(LEFT(Tasks[[#This Row],[Status]],1),"O","Opened","C","Completed","S","Signed Off", "V", "Signed Off","ERROR")</f>
        <v>#VALUE!</v>
      </c>
      <c r="C1202" s="15" t="e" cm="1">
        <f t="array" ref="C1202">_xlfn.SWITCH(LEFT(Tasks[[#This Row],[Type]], 3), "Fie", "Field Report", "Con", "Contractor QC", "Gen", "Contractor QC", "Pun", "Contractor QC", "Qua", "Contractor QC", "Fin", "Punch List")</f>
        <v>#VALUE!</v>
      </c>
      <c r="D1202" s="15" t="e">
        <f>_xlfn.LET(
_xlpm.leftValue, TRIM(LEFT(Tasks[[#This Row],[Description]], 45)),
IF(LEN(_xlpm.leftValue) &lt; 40, _xlpm.leftValue, _xlfn.CONCAT(_xlpm.leftValue, "…"))
)</f>
        <v>#VALUE!</v>
      </c>
      <c r="E1202" s="15" t="e" cm="1">
        <f t="array" ref="E1202">_xlfn.LET(
_xlpm.inTower, COUNTIF(Tower_Num_Table[Tower Rm Numbers], LEFT(Task_Summary_Table[[#This Row],[Area/Room]], 3)) &gt; 0,
_xlpm.typeResult, _xlfn.SWITCH(LEFT(Tasks[[#This Row],[Page]], 2), "Hi", "Historic", "An", "Annex", "Si", "Site", "S5", "Project Task", "SWITCH ERROR"),
IF(_xlpm.inTower, "West Tower", _xlpm.typeResult)
)</f>
        <v>#VALUE!</v>
      </c>
      <c r="F1202" s="15" t="str">
        <f>IFERROR(MID(Tasks[[#This Row],[Page]], FIND("Level", Tasks[[#This Row],[Page]]), 7), IF(ISNUMBER(FIND("Roof", Tasks[[#This Row],[Page]])), "Roof",  IF(ISNUMBER(FIND("S590", Tasks[[#This Row],[Page]])), "",  IF(ISNUMBER(FIND("Site", Tasks[[#This Row],[Page]])), "", "ERROR"))))</f>
        <v>ERROR</v>
      </c>
      <c r="G1202" s="15" t="e">
        <f>IF(Tasks[[#This Row],[Location]]=0, "", Tasks[[#This Row],[Location]])</f>
        <v>#VALUE!</v>
      </c>
      <c r="H1202" s="15" t="e">
        <f>Tasks[[#This Row],[To Package]]</f>
        <v>#VALUE!</v>
      </c>
      <c r="I1202" s="15" t="e">
        <f>Tasks[[#This Row],[To Organisation]]</f>
        <v>#VALUE!</v>
      </c>
    </row>
    <row r="1203" spans="1:9" ht="15.5" x14ac:dyDescent="0.35">
      <c r="A1203" s="16" t="e">
        <f>HYPERLINK(_xlfn.CONCAT(Edit_URL,Tasks[[#This Row],[Ref]]),Tasks[[#This Row],[Ref]])</f>
        <v>#VALUE!</v>
      </c>
      <c r="B1203" s="15" t="e" cm="1">
        <f t="array" ref="B1203">_xlfn.SWITCH(LEFT(Tasks[[#This Row],[Status]],1),"O","Opened","C","Completed","S","Signed Off", "V", "Signed Off","ERROR")</f>
        <v>#VALUE!</v>
      </c>
      <c r="C1203" s="15" t="e" cm="1">
        <f t="array" ref="C1203">_xlfn.SWITCH(LEFT(Tasks[[#This Row],[Type]], 3), "Fie", "Field Report", "Con", "Contractor QC", "Gen", "Contractor QC", "Pun", "Contractor QC", "Qua", "Contractor QC", "Fin", "Punch List")</f>
        <v>#VALUE!</v>
      </c>
      <c r="D1203" s="15" t="e">
        <f>_xlfn.LET(
_xlpm.leftValue, TRIM(LEFT(Tasks[[#This Row],[Description]], 45)),
IF(LEN(_xlpm.leftValue) &lt; 40, _xlpm.leftValue, _xlfn.CONCAT(_xlpm.leftValue, "…"))
)</f>
        <v>#VALUE!</v>
      </c>
      <c r="E1203" s="15" t="e" cm="1">
        <f t="array" ref="E1203">_xlfn.LET(
_xlpm.inTower, COUNTIF(Tower_Num_Table[Tower Rm Numbers], LEFT(Task_Summary_Table[[#This Row],[Area/Room]], 3)) &gt; 0,
_xlpm.typeResult, _xlfn.SWITCH(LEFT(Tasks[[#This Row],[Page]], 2), "Hi", "Historic", "An", "Annex", "Si", "Site", "S5", "Project Task", "SWITCH ERROR"),
IF(_xlpm.inTower, "West Tower", _xlpm.typeResult)
)</f>
        <v>#VALUE!</v>
      </c>
      <c r="F1203" s="15" t="str">
        <f>IFERROR(MID(Tasks[[#This Row],[Page]], FIND("Level", Tasks[[#This Row],[Page]]), 7), IF(ISNUMBER(FIND("Roof", Tasks[[#This Row],[Page]])), "Roof",  IF(ISNUMBER(FIND("S590", Tasks[[#This Row],[Page]])), "",  IF(ISNUMBER(FIND("Site", Tasks[[#This Row],[Page]])), "", "ERROR"))))</f>
        <v>ERROR</v>
      </c>
      <c r="G1203" s="15" t="e">
        <f>IF(Tasks[[#This Row],[Location]]=0, "", Tasks[[#This Row],[Location]])</f>
        <v>#VALUE!</v>
      </c>
      <c r="H1203" s="15" t="e">
        <f>Tasks[[#This Row],[To Package]]</f>
        <v>#VALUE!</v>
      </c>
      <c r="I1203" s="15" t="e">
        <f>Tasks[[#This Row],[To Organisation]]</f>
        <v>#VALUE!</v>
      </c>
    </row>
    <row r="1204" spans="1:9" ht="15.5" x14ac:dyDescent="0.35">
      <c r="A1204" s="16" t="e">
        <f>HYPERLINK(_xlfn.CONCAT(Edit_URL,Tasks[[#This Row],[Ref]]),Tasks[[#This Row],[Ref]])</f>
        <v>#VALUE!</v>
      </c>
      <c r="B1204" s="15" t="e" cm="1">
        <f t="array" ref="B1204">_xlfn.SWITCH(LEFT(Tasks[[#This Row],[Status]],1),"O","Opened","C","Completed","S","Signed Off", "V", "Signed Off","ERROR")</f>
        <v>#VALUE!</v>
      </c>
      <c r="C1204" s="15" t="e" cm="1">
        <f t="array" ref="C1204">_xlfn.SWITCH(LEFT(Tasks[[#This Row],[Type]], 3), "Fie", "Field Report", "Con", "Contractor QC", "Gen", "Contractor QC", "Pun", "Contractor QC", "Qua", "Contractor QC", "Fin", "Punch List")</f>
        <v>#VALUE!</v>
      </c>
      <c r="D1204" s="15" t="e">
        <f>_xlfn.LET(
_xlpm.leftValue, TRIM(LEFT(Tasks[[#This Row],[Description]], 45)),
IF(LEN(_xlpm.leftValue) &lt; 40, _xlpm.leftValue, _xlfn.CONCAT(_xlpm.leftValue, "…"))
)</f>
        <v>#VALUE!</v>
      </c>
      <c r="E1204" s="15" t="e" cm="1">
        <f t="array" ref="E1204">_xlfn.LET(
_xlpm.inTower, COUNTIF(Tower_Num_Table[Tower Rm Numbers], LEFT(Task_Summary_Table[[#This Row],[Area/Room]], 3)) &gt; 0,
_xlpm.typeResult, _xlfn.SWITCH(LEFT(Tasks[[#This Row],[Page]], 2), "Hi", "Historic", "An", "Annex", "Si", "Site", "S5", "Project Task", "SWITCH ERROR"),
IF(_xlpm.inTower, "West Tower", _xlpm.typeResult)
)</f>
        <v>#VALUE!</v>
      </c>
      <c r="F1204" s="15" t="str">
        <f>IFERROR(MID(Tasks[[#This Row],[Page]], FIND("Level", Tasks[[#This Row],[Page]]), 7), IF(ISNUMBER(FIND("Roof", Tasks[[#This Row],[Page]])), "Roof",  IF(ISNUMBER(FIND("S590", Tasks[[#This Row],[Page]])), "",  IF(ISNUMBER(FIND("Site", Tasks[[#This Row],[Page]])), "", "ERROR"))))</f>
        <v>ERROR</v>
      </c>
      <c r="G1204" s="15" t="e">
        <f>IF(Tasks[[#This Row],[Location]]=0, "", Tasks[[#This Row],[Location]])</f>
        <v>#VALUE!</v>
      </c>
      <c r="H1204" s="15" t="e">
        <f>Tasks[[#This Row],[To Package]]</f>
        <v>#VALUE!</v>
      </c>
      <c r="I1204" s="15" t="e">
        <f>Tasks[[#This Row],[To Organisation]]</f>
        <v>#VALUE!</v>
      </c>
    </row>
    <row r="1205" spans="1:9" ht="15.5" x14ac:dyDescent="0.35">
      <c r="A1205" s="16" t="e">
        <f>HYPERLINK(_xlfn.CONCAT(Edit_URL,Tasks[[#This Row],[Ref]]),Tasks[[#This Row],[Ref]])</f>
        <v>#VALUE!</v>
      </c>
      <c r="B1205" s="15" t="e" cm="1">
        <f t="array" ref="B1205">_xlfn.SWITCH(LEFT(Tasks[[#This Row],[Status]],1),"O","Opened","C","Completed","S","Signed Off", "V", "Signed Off","ERROR")</f>
        <v>#VALUE!</v>
      </c>
      <c r="C1205" s="15" t="e" cm="1">
        <f t="array" ref="C1205">_xlfn.SWITCH(LEFT(Tasks[[#This Row],[Type]], 3), "Fie", "Field Report", "Con", "Contractor QC", "Gen", "Contractor QC", "Pun", "Contractor QC", "Qua", "Contractor QC", "Fin", "Punch List")</f>
        <v>#VALUE!</v>
      </c>
      <c r="D1205" s="15" t="e">
        <f>_xlfn.LET(
_xlpm.leftValue, TRIM(LEFT(Tasks[[#This Row],[Description]], 45)),
IF(LEN(_xlpm.leftValue) &lt; 40, _xlpm.leftValue, _xlfn.CONCAT(_xlpm.leftValue, "…"))
)</f>
        <v>#VALUE!</v>
      </c>
      <c r="E1205" s="15" t="e" cm="1">
        <f t="array" ref="E1205">_xlfn.LET(
_xlpm.inTower, COUNTIF(Tower_Num_Table[Tower Rm Numbers], LEFT(Task_Summary_Table[[#This Row],[Area/Room]], 3)) &gt; 0,
_xlpm.typeResult, _xlfn.SWITCH(LEFT(Tasks[[#This Row],[Page]], 2), "Hi", "Historic", "An", "Annex", "Si", "Site", "S5", "Project Task", "SWITCH ERROR"),
IF(_xlpm.inTower, "West Tower", _xlpm.typeResult)
)</f>
        <v>#VALUE!</v>
      </c>
      <c r="F1205" s="15" t="str">
        <f>IFERROR(MID(Tasks[[#This Row],[Page]], FIND("Level", Tasks[[#This Row],[Page]]), 7), IF(ISNUMBER(FIND("Roof", Tasks[[#This Row],[Page]])), "Roof",  IF(ISNUMBER(FIND("S590", Tasks[[#This Row],[Page]])), "",  IF(ISNUMBER(FIND("Site", Tasks[[#This Row],[Page]])), "", "ERROR"))))</f>
        <v>ERROR</v>
      </c>
      <c r="G1205" s="15" t="e">
        <f>IF(Tasks[[#This Row],[Location]]=0, "", Tasks[[#This Row],[Location]])</f>
        <v>#VALUE!</v>
      </c>
      <c r="H1205" s="15" t="e">
        <f>Tasks[[#This Row],[To Package]]</f>
        <v>#VALUE!</v>
      </c>
      <c r="I1205" s="15" t="e">
        <f>Tasks[[#This Row],[To Organisation]]</f>
        <v>#VALUE!</v>
      </c>
    </row>
    <row r="1206" spans="1:9" ht="15.5" x14ac:dyDescent="0.35">
      <c r="A1206" s="16" t="e">
        <f>HYPERLINK(_xlfn.CONCAT(Edit_URL,Tasks[[#This Row],[Ref]]),Tasks[[#This Row],[Ref]])</f>
        <v>#VALUE!</v>
      </c>
      <c r="B1206" s="15" t="e" cm="1">
        <f t="array" ref="B1206">_xlfn.SWITCH(LEFT(Tasks[[#This Row],[Status]],1),"O","Opened","C","Completed","S","Signed Off", "V", "Signed Off","ERROR")</f>
        <v>#VALUE!</v>
      </c>
      <c r="C1206" s="15" t="e" cm="1">
        <f t="array" ref="C1206">_xlfn.SWITCH(LEFT(Tasks[[#This Row],[Type]], 3), "Fie", "Field Report", "Con", "Contractor QC", "Gen", "Contractor QC", "Pun", "Contractor QC", "Qua", "Contractor QC", "Fin", "Punch List")</f>
        <v>#VALUE!</v>
      </c>
      <c r="D1206" s="15" t="e">
        <f>_xlfn.LET(
_xlpm.leftValue, TRIM(LEFT(Tasks[[#This Row],[Description]], 45)),
IF(LEN(_xlpm.leftValue) &lt; 40, _xlpm.leftValue, _xlfn.CONCAT(_xlpm.leftValue, "…"))
)</f>
        <v>#VALUE!</v>
      </c>
      <c r="E1206" s="15" t="e" cm="1">
        <f t="array" ref="E1206">_xlfn.LET(
_xlpm.inTower, COUNTIF(Tower_Num_Table[Tower Rm Numbers], LEFT(Task_Summary_Table[[#This Row],[Area/Room]], 3)) &gt; 0,
_xlpm.typeResult, _xlfn.SWITCH(LEFT(Tasks[[#This Row],[Page]], 2), "Hi", "Historic", "An", "Annex", "Si", "Site", "S5", "Project Task", "SWITCH ERROR"),
IF(_xlpm.inTower, "West Tower", _xlpm.typeResult)
)</f>
        <v>#VALUE!</v>
      </c>
      <c r="F1206" s="15" t="str">
        <f>IFERROR(MID(Tasks[[#This Row],[Page]], FIND("Level", Tasks[[#This Row],[Page]]), 7), IF(ISNUMBER(FIND("Roof", Tasks[[#This Row],[Page]])), "Roof",  IF(ISNUMBER(FIND("S590", Tasks[[#This Row],[Page]])), "",  IF(ISNUMBER(FIND("Site", Tasks[[#This Row],[Page]])), "", "ERROR"))))</f>
        <v>ERROR</v>
      </c>
      <c r="G1206" s="15" t="e">
        <f>IF(Tasks[[#This Row],[Location]]=0, "", Tasks[[#This Row],[Location]])</f>
        <v>#VALUE!</v>
      </c>
      <c r="H1206" s="15" t="e">
        <f>Tasks[[#This Row],[To Package]]</f>
        <v>#VALUE!</v>
      </c>
      <c r="I1206" s="15" t="e">
        <f>Tasks[[#This Row],[To Organisation]]</f>
        <v>#VALUE!</v>
      </c>
    </row>
    <row r="1207" spans="1:9" ht="15.5" x14ac:dyDescent="0.35">
      <c r="A1207" s="16" t="e">
        <f>HYPERLINK(_xlfn.CONCAT(Edit_URL,Tasks[[#This Row],[Ref]]),Tasks[[#This Row],[Ref]])</f>
        <v>#VALUE!</v>
      </c>
      <c r="B1207" s="15" t="e" cm="1">
        <f t="array" ref="B1207">_xlfn.SWITCH(LEFT(Tasks[[#This Row],[Status]],1),"O","Opened","C","Completed","S","Signed Off", "V", "Signed Off","ERROR")</f>
        <v>#VALUE!</v>
      </c>
      <c r="C1207" s="15" t="e" cm="1">
        <f t="array" ref="C1207">_xlfn.SWITCH(LEFT(Tasks[[#This Row],[Type]], 3), "Fie", "Field Report", "Con", "Contractor QC", "Gen", "Contractor QC", "Pun", "Contractor QC", "Qua", "Contractor QC", "Fin", "Punch List")</f>
        <v>#VALUE!</v>
      </c>
      <c r="D1207" s="15" t="e">
        <f>_xlfn.LET(
_xlpm.leftValue, TRIM(LEFT(Tasks[[#This Row],[Description]], 45)),
IF(LEN(_xlpm.leftValue) &lt; 40, _xlpm.leftValue, _xlfn.CONCAT(_xlpm.leftValue, "…"))
)</f>
        <v>#VALUE!</v>
      </c>
      <c r="E1207" s="15" t="e" cm="1">
        <f t="array" ref="E1207">_xlfn.LET(
_xlpm.inTower, COUNTIF(Tower_Num_Table[Tower Rm Numbers], LEFT(Task_Summary_Table[[#This Row],[Area/Room]], 3)) &gt; 0,
_xlpm.typeResult, _xlfn.SWITCH(LEFT(Tasks[[#This Row],[Page]], 2), "Hi", "Historic", "An", "Annex", "Si", "Site", "S5", "Project Task", "SWITCH ERROR"),
IF(_xlpm.inTower, "West Tower", _xlpm.typeResult)
)</f>
        <v>#VALUE!</v>
      </c>
      <c r="F1207" s="15" t="str">
        <f>IFERROR(MID(Tasks[[#This Row],[Page]], FIND("Level", Tasks[[#This Row],[Page]]), 7), IF(ISNUMBER(FIND("Roof", Tasks[[#This Row],[Page]])), "Roof",  IF(ISNUMBER(FIND("S590", Tasks[[#This Row],[Page]])), "",  IF(ISNUMBER(FIND("Site", Tasks[[#This Row],[Page]])), "", "ERROR"))))</f>
        <v>ERROR</v>
      </c>
      <c r="G1207" s="15" t="e">
        <f>IF(Tasks[[#This Row],[Location]]=0, "", Tasks[[#This Row],[Location]])</f>
        <v>#VALUE!</v>
      </c>
      <c r="H1207" s="15" t="e">
        <f>Tasks[[#This Row],[To Package]]</f>
        <v>#VALUE!</v>
      </c>
      <c r="I1207" s="15" t="e">
        <f>Tasks[[#This Row],[To Organisation]]</f>
        <v>#VALUE!</v>
      </c>
    </row>
    <row r="1208" spans="1:9" ht="15.5" x14ac:dyDescent="0.35">
      <c r="A1208" s="16" t="e">
        <f>HYPERLINK(_xlfn.CONCAT(Edit_URL,Tasks[[#This Row],[Ref]]),Tasks[[#This Row],[Ref]])</f>
        <v>#VALUE!</v>
      </c>
      <c r="B1208" s="15" t="e" cm="1">
        <f t="array" ref="B1208">_xlfn.SWITCH(LEFT(Tasks[[#This Row],[Status]],1),"O","Opened","C","Completed","S","Signed Off", "V", "Signed Off","ERROR")</f>
        <v>#VALUE!</v>
      </c>
      <c r="C1208" s="15" t="e" cm="1">
        <f t="array" ref="C1208">_xlfn.SWITCH(LEFT(Tasks[[#This Row],[Type]], 3), "Fie", "Field Report", "Con", "Contractor QC", "Gen", "Contractor QC", "Pun", "Contractor QC", "Qua", "Contractor QC", "Fin", "Punch List")</f>
        <v>#VALUE!</v>
      </c>
      <c r="D1208" s="15" t="e">
        <f>_xlfn.LET(
_xlpm.leftValue, TRIM(LEFT(Tasks[[#This Row],[Description]], 45)),
IF(LEN(_xlpm.leftValue) &lt; 40, _xlpm.leftValue, _xlfn.CONCAT(_xlpm.leftValue, "…"))
)</f>
        <v>#VALUE!</v>
      </c>
      <c r="E1208" s="15" t="e" cm="1">
        <f t="array" ref="E1208">_xlfn.LET(
_xlpm.inTower, COUNTIF(Tower_Num_Table[Tower Rm Numbers], LEFT(Task_Summary_Table[[#This Row],[Area/Room]], 3)) &gt; 0,
_xlpm.typeResult, _xlfn.SWITCH(LEFT(Tasks[[#This Row],[Page]], 2), "Hi", "Historic", "An", "Annex", "Si", "Site", "S5", "Project Task", "SWITCH ERROR"),
IF(_xlpm.inTower, "West Tower", _xlpm.typeResult)
)</f>
        <v>#VALUE!</v>
      </c>
      <c r="F1208" s="15" t="str">
        <f>IFERROR(MID(Tasks[[#This Row],[Page]], FIND("Level", Tasks[[#This Row],[Page]]), 7), IF(ISNUMBER(FIND("Roof", Tasks[[#This Row],[Page]])), "Roof",  IF(ISNUMBER(FIND("S590", Tasks[[#This Row],[Page]])), "",  IF(ISNUMBER(FIND("Site", Tasks[[#This Row],[Page]])), "", "ERROR"))))</f>
        <v>ERROR</v>
      </c>
      <c r="G1208" s="15" t="e">
        <f>IF(Tasks[[#This Row],[Location]]=0, "", Tasks[[#This Row],[Location]])</f>
        <v>#VALUE!</v>
      </c>
      <c r="H1208" s="15" t="e">
        <f>Tasks[[#This Row],[To Package]]</f>
        <v>#VALUE!</v>
      </c>
      <c r="I1208" s="15" t="e">
        <f>Tasks[[#This Row],[To Organisation]]</f>
        <v>#VALUE!</v>
      </c>
    </row>
    <row r="1209" spans="1:9" ht="15.5" x14ac:dyDescent="0.35">
      <c r="A1209" s="16" t="e">
        <f>HYPERLINK(_xlfn.CONCAT(Edit_URL,Tasks[[#This Row],[Ref]]),Tasks[[#This Row],[Ref]])</f>
        <v>#VALUE!</v>
      </c>
      <c r="B1209" s="15" t="e" cm="1">
        <f t="array" ref="B1209">_xlfn.SWITCH(LEFT(Tasks[[#This Row],[Status]],1),"O","Opened","C","Completed","S","Signed Off", "V", "Signed Off","ERROR")</f>
        <v>#VALUE!</v>
      </c>
      <c r="C1209" s="15" t="e" cm="1">
        <f t="array" ref="C1209">_xlfn.SWITCH(LEFT(Tasks[[#This Row],[Type]], 3), "Fie", "Field Report", "Con", "Contractor QC", "Gen", "Contractor QC", "Pun", "Contractor QC", "Qua", "Contractor QC", "Fin", "Punch List")</f>
        <v>#VALUE!</v>
      </c>
      <c r="D1209" s="15" t="e">
        <f>_xlfn.LET(
_xlpm.leftValue, TRIM(LEFT(Tasks[[#This Row],[Description]], 45)),
IF(LEN(_xlpm.leftValue) &lt; 40, _xlpm.leftValue, _xlfn.CONCAT(_xlpm.leftValue, "…"))
)</f>
        <v>#VALUE!</v>
      </c>
      <c r="E1209" s="15" t="e" cm="1">
        <f t="array" ref="E1209">_xlfn.LET(
_xlpm.inTower, COUNTIF(Tower_Num_Table[Tower Rm Numbers], LEFT(Task_Summary_Table[[#This Row],[Area/Room]], 3)) &gt; 0,
_xlpm.typeResult, _xlfn.SWITCH(LEFT(Tasks[[#This Row],[Page]], 2), "Hi", "Historic", "An", "Annex", "Si", "Site", "S5", "Project Task", "SWITCH ERROR"),
IF(_xlpm.inTower, "West Tower", _xlpm.typeResult)
)</f>
        <v>#VALUE!</v>
      </c>
      <c r="F1209" s="15" t="str">
        <f>IFERROR(MID(Tasks[[#This Row],[Page]], FIND("Level", Tasks[[#This Row],[Page]]), 7), IF(ISNUMBER(FIND("Roof", Tasks[[#This Row],[Page]])), "Roof",  IF(ISNUMBER(FIND("S590", Tasks[[#This Row],[Page]])), "",  IF(ISNUMBER(FIND("Site", Tasks[[#This Row],[Page]])), "", "ERROR"))))</f>
        <v>ERROR</v>
      </c>
      <c r="G1209" s="15" t="e">
        <f>IF(Tasks[[#This Row],[Location]]=0, "", Tasks[[#This Row],[Location]])</f>
        <v>#VALUE!</v>
      </c>
      <c r="H1209" s="15" t="e">
        <f>Tasks[[#This Row],[To Package]]</f>
        <v>#VALUE!</v>
      </c>
      <c r="I1209" s="15" t="e">
        <f>Tasks[[#This Row],[To Organisation]]</f>
        <v>#VALUE!</v>
      </c>
    </row>
    <row r="1210" spans="1:9" ht="15.5" x14ac:dyDescent="0.35">
      <c r="A1210" s="16" t="e">
        <f>HYPERLINK(_xlfn.CONCAT(Edit_URL,Tasks[[#This Row],[Ref]]),Tasks[[#This Row],[Ref]])</f>
        <v>#VALUE!</v>
      </c>
      <c r="B1210" s="15" t="e" cm="1">
        <f t="array" ref="B1210">_xlfn.SWITCH(LEFT(Tasks[[#This Row],[Status]],1),"O","Opened","C","Completed","S","Signed Off", "V", "Signed Off","ERROR")</f>
        <v>#VALUE!</v>
      </c>
      <c r="C1210" s="15" t="e" cm="1">
        <f t="array" ref="C1210">_xlfn.SWITCH(LEFT(Tasks[[#This Row],[Type]], 3), "Fie", "Field Report", "Con", "Contractor QC", "Gen", "Contractor QC", "Pun", "Contractor QC", "Qua", "Contractor QC", "Fin", "Punch List")</f>
        <v>#VALUE!</v>
      </c>
      <c r="D1210" s="15" t="e">
        <f>_xlfn.LET(
_xlpm.leftValue, TRIM(LEFT(Tasks[[#This Row],[Description]], 45)),
IF(LEN(_xlpm.leftValue) &lt; 40, _xlpm.leftValue, _xlfn.CONCAT(_xlpm.leftValue, "…"))
)</f>
        <v>#VALUE!</v>
      </c>
      <c r="E1210" s="15" t="e" cm="1">
        <f t="array" ref="E1210">_xlfn.LET(
_xlpm.inTower, COUNTIF(Tower_Num_Table[Tower Rm Numbers], LEFT(Task_Summary_Table[[#This Row],[Area/Room]], 3)) &gt; 0,
_xlpm.typeResult, _xlfn.SWITCH(LEFT(Tasks[[#This Row],[Page]], 2), "Hi", "Historic", "An", "Annex", "Si", "Site", "S5", "Project Task", "SWITCH ERROR"),
IF(_xlpm.inTower, "West Tower", _xlpm.typeResult)
)</f>
        <v>#VALUE!</v>
      </c>
      <c r="F1210" s="15" t="str">
        <f>IFERROR(MID(Tasks[[#This Row],[Page]], FIND("Level", Tasks[[#This Row],[Page]]), 7), IF(ISNUMBER(FIND("Roof", Tasks[[#This Row],[Page]])), "Roof",  IF(ISNUMBER(FIND("S590", Tasks[[#This Row],[Page]])), "",  IF(ISNUMBER(FIND("Site", Tasks[[#This Row],[Page]])), "", "ERROR"))))</f>
        <v>ERROR</v>
      </c>
      <c r="G1210" s="15" t="e">
        <f>IF(Tasks[[#This Row],[Location]]=0, "", Tasks[[#This Row],[Location]])</f>
        <v>#VALUE!</v>
      </c>
      <c r="H1210" s="15" t="e">
        <f>Tasks[[#This Row],[To Package]]</f>
        <v>#VALUE!</v>
      </c>
      <c r="I1210" s="15" t="e">
        <f>Tasks[[#This Row],[To Organisation]]</f>
        <v>#VALUE!</v>
      </c>
    </row>
    <row r="1211" spans="1:9" ht="15.5" x14ac:dyDescent="0.35">
      <c r="A1211" s="16" t="e">
        <f>HYPERLINK(_xlfn.CONCAT(Edit_URL,Tasks[[#This Row],[Ref]]),Tasks[[#This Row],[Ref]])</f>
        <v>#VALUE!</v>
      </c>
      <c r="B1211" s="15" t="e" cm="1">
        <f t="array" ref="B1211">_xlfn.SWITCH(LEFT(Tasks[[#This Row],[Status]],1),"O","Opened","C","Completed","S","Signed Off", "V", "Signed Off","ERROR")</f>
        <v>#VALUE!</v>
      </c>
      <c r="C1211" s="15" t="e" cm="1">
        <f t="array" ref="C1211">_xlfn.SWITCH(LEFT(Tasks[[#This Row],[Type]], 3), "Fie", "Field Report", "Con", "Contractor QC", "Gen", "Contractor QC", "Pun", "Contractor QC", "Qua", "Contractor QC", "Fin", "Punch List")</f>
        <v>#VALUE!</v>
      </c>
      <c r="D1211" s="15" t="e">
        <f>_xlfn.LET(
_xlpm.leftValue, TRIM(LEFT(Tasks[[#This Row],[Description]], 45)),
IF(LEN(_xlpm.leftValue) &lt; 40, _xlpm.leftValue, _xlfn.CONCAT(_xlpm.leftValue, "…"))
)</f>
        <v>#VALUE!</v>
      </c>
      <c r="E1211" s="15" t="e" cm="1">
        <f t="array" ref="E1211">_xlfn.LET(
_xlpm.inTower, COUNTIF(Tower_Num_Table[Tower Rm Numbers], LEFT(Task_Summary_Table[[#This Row],[Area/Room]], 3)) &gt; 0,
_xlpm.typeResult, _xlfn.SWITCH(LEFT(Tasks[[#This Row],[Page]], 2), "Hi", "Historic", "An", "Annex", "Si", "Site", "S5", "Project Task", "SWITCH ERROR"),
IF(_xlpm.inTower, "West Tower", _xlpm.typeResult)
)</f>
        <v>#VALUE!</v>
      </c>
      <c r="F1211" s="15" t="str">
        <f>IFERROR(MID(Tasks[[#This Row],[Page]], FIND("Level", Tasks[[#This Row],[Page]]), 7), IF(ISNUMBER(FIND("Roof", Tasks[[#This Row],[Page]])), "Roof",  IF(ISNUMBER(FIND("S590", Tasks[[#This Row],[Page]])), "",  IF(ISNUMBER(FIND("Site", Tasks[[#This Row],[Page]])), "", "ERROR"))))</f>
        <v>ERROR</v>
      </c>
      <c r="G1211" s="15" t="e">
        <f>IF(Tasks[[#This Row],[Location]]=0, "", Tasks[[#This Row],[Location]])</f>
        <v>#VALUE!</v>
      </c>
      <c r="H1211" s="15" t="e">
        <f>Tasks[[#This Row],[To Package]]</f>
        <v>#VALUE!</v>
      </c>
      <c r="I1211" s="15" t="e">
        <f>Tasks[[#This Row],[To Organisation]]</f>
        <v>#VALUE!</v>
      </c>
    </row>
    <row r="1212" spans="1:9" ht="15.5" x14ac:dyDescent="0.35">
      <c r="A1212" s="16" t="e">
        <f>HYPERLINK(_xlfn.CONCAT(Edit_URL,Tasks[[#This Row],[Ref]]),Tasks[[#This Row],[Ref]])</f>
        <v>#VALUE!</v>
      </c>
      <c r="B1212" s="15" t="e" cm="1">
        <f t="array" ref="B1212">_xlfn.SWITCH(LEFT(Tasks[[#This Row],[Status]],1),"O","Opened","C","Completed","S","Signed Off", "V", "Signed Off","ERROR")</f>
        <v>#VALUE!</v>
      </c>
      <c r="C1212" s="15" t="e" cm="1">
        <f t="array" ref="C1212">_xlfn.SWITCH(LEFT(Tasks[[#This Row],[Type]], 3), "Fie", "Field Report", "Con", "Contractor QC", "Gen", "Contractor QC", "Pun", "Contractor QC", "Qua", "Contractor QC", "Fin", "Punch List")</f>
        <v>#VALUE!</v>
      </c>
      <c r="D1212" s="15" t="e">
        <f>_xlfn.LET(
_xlpm.leftValue, TRIM(LEFT(Tasks[[#This Row],[Description]], 45)),
IF(LEN(_xlpm.leftValue) &lt; 40, _xlpm.leftValue, _xlfn.CONCAT(_xlpm.leftValue, "…"))
)</f>
        <v>#VALUE!</v>
      </c>
      <c r="E1212" s="15" t="e" cm="1">
        <f t="array" ref="E1212">_xlfn.LET(
_xlpm.inTower, COUNTIF(Tower_Num_Table[Tower Rm Numbers], LEFT(Task_Summary_Table[[#This Row],[Area/Room]], 3)) &gt; 0,
_xlpm.typeResult, _xlfn.SWITCH(LEFT(Tasks[[#This Row],[Page]], 2), "Hi", "Historic", "An", "Annex", "Si", "Site", "S5", "Project Task", "SWITCH ERROR"),
IF(_xlpm.inTower, "West Tower", _xlpm.typeResult)
)</f>
        <v>#VALUE!</v>
      </c>
      <c r="F1212" s="15" t="str">
        <f>IFERROR(MID(Tasks[[#This Row],[Page]], FIND("Level", Tasks[[#This Row],[Page]]), 7), IF(ISNUMBER(FIND("Roof", Tasks[[#This Row],[Page]])), "Roof",  IF(ISNUMBER(FIND("S590", Tasks[[#This Row],[Page]])), "",  IF(ISNUMBER(FIND("Site", Tasks[[#This Row],[Page]])), "", "ERROR"))))</f>
        <v>ERROR</v>
      </c>
      <c r="G1212" s="15" t="e">
        <f>IF(Tasks[[#This Row],[Location]]=0, "", Tasks[[#This Row],[Location]])</f>
        <v>#VALUE!</v>
      </c>
      <c r="H1212" s="15" t="e">
        <f>Tasks[[#This Row],[To Package]]</f>
        <v>#VALUE!</v>
      </c>
      <c r="I1212" s="15" t="e">
        <f>Tasks[[#This Row],[To Organisation]]</f>
        <v>#VALUE!</v>
      </c>
    </row>
    <row r="1213" spans="1:9" ht="15.5" x14ac:dyDescent="0.35">
      <c r="A1213" s="16" t="e">
        <f>HYPERLINK(_xlfn.CONCAT(Edit_URL,Tasks[[#This Row],[Ref]]),Tasks[[#This Row],[Ref]])</f>
        <v>#VALUE!</v>
      </c>
      <c r="B1213" s="15" t="e" cm="1">
        <f t="array" ref="B1213">_xlfn.SWITCH(LEFT(Tasks[[#This Row],[Status]],1),"O","Opened","C","Completed","S","Signed Off", "V", "Signed Off","ERROR")</f>
        <v>#VALUE!</v>
      </c>
      <c r="C1213" s="15" t="e" cm="1">
        <f t="array" ref="C1213">_xlfn.SWITCH(LEFT(Tasks[[#This Row],[Type]], 3), "Fie", "Field Report", "Con", "Contractor QC", "Gen", "Contractor QC", "Pun", "Contractor QC", "Qua", "Contractor QC", "Fin", "Punch List")</f>
        <v>#VALUE!</v>
      </c>
      <c r="D1213" s="15" t="e">
        <f>_xlfn.LET(
_xlpm.leftValue, TRIM(LEFT(Tasks[[#This Row],[Description]], 45)),
IF(LEN(_xlpm.leftValue) &lt; 40, _xlpm.leftValue, _xlfn.CONCAT(_xlpm.leftValue, "…"))
)</f>
        <v>#VALUE!</v>
      </c>
      <c r="E1213" s="15" t="e" cm="1">
        <f t="array" ref="E1213">_xlfn.LET(
_xlpm.inTower, COUNTIF(Tower_Num_Table[Tower Rm Numbers], LEFT(Task_Summary_Table[[#This Row],[Area/Room]], 3)) &gt; 0,
_xlpm.typeResult, _xlfn.SWITCH(LEFT(Tasks[[#This Row],[Page]], 2), "Hi", "Historic", "An", "Annex", "Si", "Site", "S5", "Project Task", "SWITCH ERROR"),
IF(_xlpm.inTower, "West Tower", _xlpm.typeResult)
)</f>
        <v>#VALUE!</v>
      </c>
      <c r="F1213" s="15" t="str">
        <f>IFERROR(MID(Tasks[[#This Row],[Page]], FIND("Level", Tasks[[#This Row],[Page]]), 7), IF(ISNUMBER(FIND("Roof", Tasks[[#This Row],[Page]])), "Roof",  IF(ISNUMBER(FIND("S590", Tasks[[#This Row],[Page]])), "",  IF(ISNUMBER(FIND("Site", Tasks[[#This Row],[Page]])), "", "ERROR"))))</f>
        <v>ERROR</v>
      </c>
      <c r="G1213" s="15" t="e">
        <f>IF(Tasks[[#This Row],[Location]]=0, "", Tasks[[#This Row],[Location]])</f>
        <v>#VALUE!</v>
      </c>
      <c r="H1213" s="15" t="e">
        <f>Tasks[[#This Row],[To Package]]</f>
        <v>#VALUE!</v>
      </c>
      <c r="I1213" s="15" t="e">
        <f>Tasks[[#This Row],[To Organisation]]</f>
        <v>#VALUE!</v>
      </c>
    </row>
    <row r="1214" spans="1:9" ht="15.5" x14ac:dyDescent="0.35">
      <c r="A1214" s="16" t="e">
        <f>HYPERLINK(_xlfn.CONCAT(Edit_URL,Tasks[[#This Row],[Ref]]),Tasks[[#This Row],[Ref]])</f>
        <v>#VALUE!</v>
      </c>
      <c r="B1214" s="15" t="e" cm="1">
        <f t="array" ref="B1214">_xlfn.SWITCH(LEFT(Tasks[[#This Row],[Status]],1),"O","Opened","C","Completed","S","Signed Off", "V", "Signed Off","ERROR")</f>
        <v>#VALUE!</v>
      </c>
      <c r="C1214" s="15" t="e" cm="1">
        <f t="array" ref="C1214">_xlfn.SWITCH(LEFT(Tasks[[#This Row],[Type]], 3), "Fie", "Field Report", "Con", "Contractor QC", "Gen", "Contractor QC", "Pun", "Contractor QC", "Qua", "Contractor QC", "Fin", "Punch List")</f>
        <v>#VALUE!</v>
      </c>
      <c r="D1214" s="15" t="e">
        <f>_xlfn.LET(
_xlpm.leftValue, TRIM(LEFT(Tasks[[#This Row],[Description]], 45)),
IF(LEN(_xlpm.leftValue) &lt; 40, _xlpm.leftValue, _xlfn.CONCAT(_xlpm.leftValue, "…"))
)</f>
        <v>#VALUE!</v>
      </c>
      <c r="E1214" s="15" t="e" cm="1">
        <f t="array" ref="E1214">_xlfn.LET(
_xlpm.inTower, COUNTIF(Tower_Num_Table[Tower Rm Numbers], LEFT(Task_Summary_Table[[#This Row],[Area/Room]], 3)) &gt; 0,
_xlpm.typeResult, _xlfn.SWITCH(LEFT(Tasks[[#This Row],[Page]], 2), "Hi", "Historic", "An", "Annex", "Si", "Site", "S5", "Project Task", "SWITCH ERROR"),
IF(_xlpm.inTower, "West Tower", _xlpm.typeResult)
)</f>
        <v>#VALUE!</v>
      </c>
      <c r="F1214" s="15" t="str">
        <f>IFERROR(MID(Tasks[[#This Row],[Page]], FIND("Level", Tasks[[#This Row],[Page]]), 7), IF(ISNUMBER(FIND("Roof", Tasks[[#This Row],[Page]])), "Roof",  IF(ISNUMBER(FIND("S590", Tasks[[#This Row],[Page]])), "",  IF(ISNUMBER(FIND("Site", Tasks[[#This Row],[Page]])), "", "ERROR"))))</f>
        <v>ERROR</v>
      </c>
      <c r="G1214" s="15" t="e">
        <f>IF(Tasks[[#This Row],[Location]]=0, "", Tasks[[#This Row],[Location]])</f>
        <v>#VALUE!</v>
      </c>
      <c r="H1214" s="15" t="e">
        <f>Tasks[[#This Row],[To Package]]</f>
        <v>#VALUE!</v>
      </c>
      <c r="I1214" s="15" t="e">
        <f>Tasks[[#This Row],[To Organisation]]</f>
        <v>#VALUE!</v>
      </c>
    </row>
    <row r="1215" spans="1:9" ht="15.5" x14ac:dyDescent="0.35">
      <c r="A1215" s="16" t="e">
        <f>HYPERLINK(_xlfn.CONCAT(Edit_URL,Tasks[[#This Row],[Ref]]),Tasks[[#This Row],[Ref]])</f>
        <v>#VALUE!</v>
      </c>
      <c r="B1215" s="15" t="e" cm="1">
        <f t="array" ref="B1215">_xlfn.SWITCH(LEFT(Tasks[[#This Row],[Status]],1),"O","Opened","C","Completed","S","Signed Off", "V", "Signed Off","ERROR")</f>
        <v>#VALUE!</v>
      </c>
      <c r="C1215" s="15" t="e" cm="1">
        <f t="array" ref="C1215">_xlfn.SWITCH(LEFT(Tasks[[#This Row],[Type]], 3), "Fie", "Field Report", "Con", "Contractor QC", "Gen", "Contractor QC", "Pun", "Contractor QC", "Qua", "Contractor QC", "Fin", "Punch List")</f>
        <v>#VALUE!</v>
      </c>
      <c r="D1215" s="15" t="e">
        <f>_xlfn.LET(
_xlpm.leftValue, TRIM(LEFT(Tasks[[#This Row],[Description]], 45)),
IF(LEN(_xlpm.leftValue) &lt; 40, _xlpm.leftValue, _xlfn.CONCAT(_xlpm.leftValue, "…"))
)</f>
        <v>#VALUE!</v>
      </c>
      <c r="E1215" s="15" t="e" cm="1">
        <f t="array" ref="E1215">_xlfn.LET(
_xlpm.inTower, COUNTIF(Tower_Num_Table[Tower Rm Numbers], LEFT(Task_Summary_Table[[#This Row],[Area/Room]], 3)) &gt; 0,
_xlpm.typeResult, _xlfn.SWITCH(LEFT(Tasks[[#This Row],[Page]], 2), "Hi", "Historic", "An", "Annex", "Si", "Site", "S5", "Project Task", "SWITCH ERROR"),
IF(_xlpm.inTower, "West Tower", _xlpm.typeResult)
)</f>
        <v>#VALUE!</v>
      </c>
      <c r="F1215" s="15" t="str">
        <f>IFERROR(MID(Tasks[[#This Row],[Page]], FIND("Level", Tasks[[#This Row],[Page]]), 7), IF(ISNUMBER(FIND("Roof", Tasks[[#This Row],[Page]])), "Roof",  IF(ISNUMBER(FIND("S590", Tasks[[#This Row],[Page]])), "",  IF(ISNUMBER(FIND("Site", Tasks[[#This Row],[Page]])), "", "ERROR"))))</f>
        <v>ERROR</v>
      </c>
      <c r="G1215" s="15" t="e">
        <f>IF(Tasks[[#This Row],[Location]]=0, "", Tasks[[#This Row],[Location]])</f>
        <v>#VALUE!</v>
      </c>
      <c r="H1215" s="15" t="e">
        <f>Tasks[[#This Row],[To Package]]</f>
        <v>#VALUE!</v>
      </c>
      <c r="I1215" s="15" t="e">
        <f>Tasks[[#This Row],[To Organisation]]</f>
        <v>#VALUE!</v>
      </c>
    </row>
    <row r="1216" spans="1:9" ht="15.5" x14ac:dyDescent="0.35">
      <c r="A1216" s="16" t="e">
        <f>HYPERLINK(_xlfn.CONCAT(Edit_URL,Tasks[[#This Row],[Ref]]),Tasks[[#This Row],[Ref]])</f>
        <v>#VALUE!</v>
      </c>
      <c r="B1216" s="15" t="e" cm="1">
        <f t="array" ref="B1216">_xlfn.SWITCH(LEFT(Tasks[[#This Row],[Status]],1),"O","Opened","C","Completed","S","Signed Off", "V", "Signed Off","ERROR")</f>
        <v>#VALUE!</v>
      </c>
      <c r="C1216" s="15" t="e" cm="1">
        <f t="array" ref="C1216">_xlfn.SWITCH(LEFT(Tasks[[#This Row],[Type]], 3), "Fie", "Field Report", "Con", "Contractor QC", "Gen", "Contractor QC", "Pun", "Contractor QC", "Qua", "Contractor QC", "Fin", "Punch List")</f>
        <v>#VALUE!</v>
      </c>
      <c r="D1216" s="15" t="e">
        <f>_xlfn.LET(
_xlpm.leftValue, TRIM(LEFT(Tasks[[#This Row],[Description]], 45)),
IF(LEN(_xlpm.leftValue) &lt; 40, _xlpm.leftValue, _xlfn.CONCAT(_xlpm.leftValue, "…"))
)</f>
        <v>#VALUE!</v>
      </c>
      <c r="E1216" s="15" t="e" cm="1">
        <f t="array" ref="E1216">_xlfn.LET(
_xlpm.inTower, COUNTIF(Tower_Num_Table[Tower Rm Numbers], LEFT(Task_Summary_Table[[#This Row],[Area/Room]], 3)) &gt; 0,
_xlpm.typeResult, _xlfn.SWITCH(LEFT(Tasks[[#This Row],[Page]], 2), "Hi", "Historic", "An", "Annex", "Si", "Site", "S5", "Project Task", "SWITCH ERROR"),
IF(_xlpm.inTower, "West Tower", _xlpm.typeResult)
)</f>
        <v>#VALUE!</v>
      </c>
      <c r="F1216" s="15" t="str">
        <f>IFERROR(MID(Tasks[[#This Row],[Page]], FIND("Level", Tasks[[#This Row],[Page]]), 7), IF(ISNUMBER(FIND("Roof", Tasks[[#This Row],[Page]])), "Roof",  IF(ISNUMBER(FIND("S590", Tasks[[#This Row],[Page]])), "",  IF(ISNUMBER(FIND("Site", Tasks[[#This Row],[Page]])), "", "ERROR"))))</f>
        <v>ERROR</v>
      </c>
      <c r="G1216" s="15" t="e">
        <f>IF(Tasks[[#This Row],[Location]]=0, "", Tasks[[#This Row],[Location]])</f>
        <v>#VALUE!</v>
      </c>
      <c r="H1216" s="15" t="e">
        <f>Tasks[[#This Row],[To Package]]</f>
        <v>#VALUE!</v>
      </c>
      <c r="I1216" s="15" t="e">
        <f>Tasks[[#This Row],[To Organisation]]</f>
        <v>#VALUE!</v>
      </c>
    </row>
    <row r="1217" spans="1:9" ht="15.5" x14ac:dyDescent="0.35">
      <c r="A1217" s="16" t="e">
        <f>HYPERLINK(_xlfn.CONCAT(Edit_URL,Tasks[[#This Row],[Ref]]),Tasks[[#This Row],[Ref]])</f>
        <v>#VALUE!</v>
      </c>
      <c r="B1217" s="15" t="e" cm="1">
        <f t="array" ref="B1217">_xlfn.SWITCH(LEFT(Tasks[[#This Row],[Status]],1),"O","Opened","C","Completed","S","Signed Off", "V", "Signed Off","ERROR")</f>
        <v>#VALUE!</v>
      </c>
      <c r="C1217" s="15" t="e" cm="1">
        <f t="array" ref="C1217">_xlfn.SWITCH(LEFT(Tasks[[#This Row],[Type]], 3), "Fie", "Field Report", "Con", "Contractor QC", "Gen", "Contractor QC", "Pun", "Contractor QC", "Qua", "Contractor QC", "Fin", "Punch List")</f>
        <v>#VALUE!</v>
      </c>
      <c r="D1217" s="15" t="e">
        <f>_xlfn.LET(
_xlpm.leftValue, TRIM(LEFT(Tasks[[#This Row],[Description]], 45)),
IF(LEN(_xlpm.leftValue) &lt; 40, _xlpm.leftValue, _xlfn.CONCAT(_xlpm.leftValue, "…"))
)</f>
        <v>#VALUE!</v>
      </c>
      <c r="E1217" s="15" t="e" cm="1">
        <f t="array" ref="E1217">_xlfn.LET(
_xlpm.inTower, COUNTIF(Tower_Num_Table[Tower Rm Numbers], LEFT(Task_Summary_Table[[#This Row],[Area/Room]], 3)) &gt; 0,
_xlpm.typeResult, _xlfn.SWITCH(LEFT(Tasks[[#This Row],[Page]], 2), "Hi", "Historic", "An", "Annex", "Si", "Site", "S5", "Project Task", "SWITCH ERROR"),
IF(_xlpm.inTower, "West Tower", _xlpm.typeResult)
)</f>
        <v>#VALUE!</v>
      </c>
      <c r="F1217" s="15" t="str">
        <f>IFERROR(MID(Tasks[[#This Row],[Page]], FIND("Level", Tasks[[#This Row],[Page]]), 7), IF(ISNUMBER(FIND("Roof", Tasks[[#This Row],[Page]])), "Roof",  IF(ISNUMBER(FIND("S590", Tasks[[#This Row],[Page]])), "",  IF(ISNUMBER(FIND("Site", Tasks[[#This Row],[Page]])), "", "ERROR"))))</f>
        <v>ERROR</v>
      </c>
      <c r="G1217" s="15" t="e">
        <f>IF(Tasks[[#This Row],[Location]]=0, "", Tasks[[#This Row],[Location]])</f>
        <v>#VALUE!</v>
      </c>
      <c r="H1217" s="15" t="e">
        <f>Tasks[[#This Row],[To Package]]</f>
        <v>#VALUE!</v>
      </c>
      <c r="I1217" s="15" t="e">
        <f>Tasks[[#This Row],[To Organisation]]</f>
        <v>#VALUE!</v>
      </c>
    </row>
    <row r="1218" spans="1:9" ht="15.5" x14ac:dyDescent="0.35">
      <c r="A1218" s="16" t="e">
        <f>HYPERLINK(_xlfn.CONCAT(Edit_URL,Tasks[[#This Row],[Ref]]),Tasks[[#This Row],[Ref]])</f>
        <v>#VALUE!</v>
      </c>
      <c r="B1218" s="15" t="e" cm="1">
        <f t="array" ref="B1218">_xlfn.SWITCH(LEFT(Tasks[[#This Row],[Status]],1),"O","Opened","C","Completed","S","Signed Off", "V", "Signed Off","ERROR")</f>
        <v>#VALUE!</v>
      </c>
      <c r="C1218" s="15" t="e" cm="1">
        <f t="array" ref="C1218">_xlfn.SWITCH(LEFT(Tasks[[#This Row],[Type]], 3), "Fie", "Field Report", "Con", "Contractor QC", "Gen", "Contractor QC", "Pun", "Contractor QC", "Qua", "Contractor QC", "Fin", "Punch List")</f>
        <v>#VALUE!</v>
      </c>
      <c r="D1218" s="15" t="e">
        <f>_xlfn.LET(
_xlpm.leftValue, TRIM(LEFT(Tasks[[#This Row],[Description]], 45)),
IF(LEN(_xlpm.leftValue) &lt; 40, _xlpm.leftValue, _xlfn.CONCAT(_xlpm.leftValue, "…"))
)</f>
        <v>#VALUE!</v>
      </c>
      <c r="E1218" s="15" t="e" cm="1">
        <f t="array" ref="E1218">_xlfn.LET(
_xlpm.inTower, COUNTIF(Tower_Num_Table[Tower Rm Numbers], LEFT(Task_Summary_Table[[#This Row],[Area/Room]], 3)) &gt; 0,
_xlpm.typeResult, _xlfn.SWITCH(LEFT(Tasks[[#This Row],[Page]], 2), "Hi", "Historic", "An", "Annex", "Si", "Site", "S5", "Project Task", "SWITCH ERROR"),
IF(_xlpm.inTower, "West Tower", _xlpm.typeResult)
)</f>
        <v>#VALUE!</v>
      </c>
      <c r="F1218" s="15" t="str">
        <f>IFERROR(MID(Tasks[[#This Row],[Page]], FIND("Level", Tasks[[#This Row],[Page]]), 7), IF(ISNUMBER(FIND("Roof", Tasks[[#This Row],[Page]])), "Roof",  IF(ISNUMBER(FIND("S590", Tasks[[#This Row],[Page]])), "",  IF(ISNUMBER(FIND("Site", Tasks[[#This Row],[Page]])), "", "ERROR"))))</f>
        <v>ERROR</v>
      </c>
      <c r="G1218" s="15" t="e">
        <f>IF(Tasks[[#This Row],[Location]]=0, "", Tasks[[#This Row],[Location]])</f>
        <v>#VALUE!</v>
      </c>
      <c r="H1218" s="15" t="e">
        <f>Tasks[[#This Row],[To Package]]</f>
        <v>#VALUE!</v>
      </c>
      <c r="I1218" s="15" t="e">
        <f>Tasks[[#This Row],[To Organisation]]</f>
        <v>#VALUE!</v>
      </c>
    </row>
    <row r="1219" spans="1:9" ht="15.5" x14ac:dyDescent="0.35">
      <c r="A1219" s="16" t="e">
        <f>HYPERLINK(_xlfn.CONCAT(Edit_URL,Tasks[[#This Row],[Ref]]),Tasks[[#This Row],[Ref]])</f>
        <v>#VALUE!</v>
      </c>
      <c r="B1219" s="15" t="e" cm="1">
        <f t="array" ref="B1219">_xlfn.SWITCH(LEFT(Tasks[[#This Row],[Status]],1),"O","Opened","C","Completed","S","Signed Off", "V", "Signed Off","ERROR")</f>
        <v>#VALUE!</v>
      </c>
      <c r="C1219" s="15" t="e" cm="1">
        <f t="array" ref="C1219">_xlfn.SWITCH(LEFT(Tasks[[#This Row],[Type]], 3), "Fie", "Field Report", "Con", "Contractor QC", "Gen", "Contractor QC", "Pun", "Contractor QC", "Qua", "Contractor QC", "Fin", "Punch List")</f>
        <v>#VALUE!</v>
      </c>
      <c r="D1219" s="15" t="e">
        <f>_xlfn.LET(
_xlpm.leftValue, TRIM(LEFT(Tasks[[#This Row],[Description]], 45)),
IF(LEN(_xlpm.leftValue) &lt; 40, _xlpm.leftValue, _xlfn.CONCAT(_xlpm.leftValue, "…"))
)</f>
        <v>#VALUE!</v>
      </c>
      <c r="E1219" s="15" t="e" cm="1">
        <f t="array" ref="E1219">_xlfn.LET(
_xlpm.inTower, COUNTIF(Tower_Num_Table[Tower Rm Numbers], LEFT(Task_Summary_Table[[#This Row],[Area/Room]], 3)) &gt; 0,
_xlpm.typeResult, _xlfn.SWITCH(LEFT(Tasks[[#This Row],[Page]], 2), "Hi", "Historic", "An", "Annex", "Si", "Site", "S5", "Project Task", "SWITCH ERROR"),
IF(_xlpm.inTower, "West Tower", _xlpm.typeResult)
)</f>
        <v>#VALUE!</v>
      </c>
      <c r="F1219" s="15" t="str">
        <f>IFERROR(MID(Tasks[[#This Row],[Page]], FIND("Level", Tasks[[#This Row],[Page]]), 7), IF(ISNUMBER(FIND("Roof", Tasks[[#This Row],[Page]])), "Roof",  IF(ISNUMBER(FIND("S590", Tasks[[#This Row],[Page]])), "",  IF(ISNUMBER(FIND("Site", Tasks[[#This Row],[Page]])), "", "ERROR"))))</f>
        <v>ERROR</v>
      </c>
      <c r="G1219" s="15" t="e">
        <f>IF(Tasks[[#This Row],[Location]]=0, "", Tasks[[#This Row],[Location]])</f>
        <v>#VALUE!</v>
      </c>
      <c r="H1219" s="15" t="e">
        <f>Tasks[[#This Row],[To Package]]</f>
        <v>#VALUE!</v>
      </c>
      <c r="I1219" s="15" t="e">
        <f>Tasks[[#This Row],[To Organisation]]</f>
        <v>#VALUE!</v>
      </c>
    </row>
    <row r="1220" spans="1:9" ht="15.5" x14ac:dyDescent="0.35">
      <c r="A1220" s="16" t="e">
        <f>HYPERLINK(_xlfn.CONCAT(Edit_URL,Tasks[[#This Row],[Ref]]),Tasks[[#This Row],[Ref]])</f>
        <v>#VALUE!</v>
      </c>
      <c r="B1220" s="15" t="e" cm="1">
        <f t="array" ref="B1220">_xlfn.SWITCH(LEFT(Tasks[[#This Row],[Status]],1),"O","Opened","C","Completed","S","Signed Off", "V", "Signed Off","ERROR")</f>
        <v>#VALUE!</v>
      </c>
      <c r="C1220" s="15" t="e" cm="1">
        <f t="array" ref="C1220">_xlfn.SWITCH(LEFT(Tasks[[#This Row],[Type]], 3), "Fie", "Field Report", "Con", "Contractor QC", "Gen", "Contractor QC", "Pun", "Contractor QC", "Qua", "Contractor QC", "Fin", "Punch List")</f>
        <v>#VALUE!</v>
      </c>
      <c r="D1220" s="15" t="e">
        <f>_xlfn.LET(
_xlpm.leftValue, TRIM(LEFT(Tasks[[#This Row],[Description]], 45)),
IF(LEN(_xlpm.leftValue) &lt; 40, _xlpm.leftValue, _xlfn.CONCAT(_xlpm.leftValue, "…"))
)</f>
        <v>#VALUE!</v>
      </c>
      <c r="E1220" s="15" t="e" cm="1">
        <f t="array" ref="E1220">_xlfn.LET(
_xlpm.inTower, COUNTIF(Tower_Num_Table[Tower Rm Numbers], LEFT(Task_Summary_Table[[#This Row],[Area/Room]], 3)) &gt; 0,
_xlpm.typeResult, _xlfn.SWITCH(LEFT(Tasks[[#This Row],[Page]], 2), "Hi", "Historic", "An", "Annex", "Si", "Site", "S5", "Project Task", "SWITCH ERROR"),
IF(_xlpm.inTower, "West Tower", _xlpm.typeResult)
)</f>
        <v>#VALUE!</v>
      </c>
      <c r="F1220" s="15" t="str">
        <f>IFERROR(MID(Tasks[[#This Row],[Page]], FIND("Level", Tasks[[#This Row],[Page]]), 7), IF(ISNUMBER(FIND("Roof", Tasks[[#This Row],[Page]])), "Roof",  IF(ISNUMBER(FIND("S590", Tasks[[#This Row],[Page]])), "",  IF(ISNUMBER(FIND("Site", Tasks[[#This Row],[Page]])), "", "ERROR"))))</f>
        <v>ERROR</v>
      </c>
      <c r="G1220" s="15" t="e">
        <f>IF(Tasks[[#This Row],[Location]]=0, "", Tasks[[#This Row],[Location]])</f>
        <v>#VALUE!</v>
      </c>
      <c r="H1220" s="15" t="e">
        <f>Tasks[[#This Row],[To Package]]</f>
        <v>#VALUE!</v>
      </c>
      <c r="I1220" s="15" t="e">
        <f>Tasks[[#This Row],[To Organisation]]</f>
        <v>#VALUE!</v>
      </c>
    </row>
    <row r="1221" spans="1:9" ht="15.5" x14ac:dyDescent="0.35">
      <c r="A1221" s="16" t="e">
        <f>HYPERLINK(_xlfn.CONCAT(Edit_URL,Tasks[[#This Row],[Ref]]),Tasks[[#This Row],[Ref]])</f>
        <v>#VALUE!</v>
      </c>
      <c r="B1221" s="15" t="e" cm="1">
        <f t="array" ref="B1221">_xlfn.SWITCH(LEFT(Tasks[[#This Row],[Status]],1),"O","Opened","C","Completed","S","Signed Off", "V", "Signed Off","ERROR")</f>
        <v>#VALUE!</v>
      </c>
      <c r="C1221" s="15" t="e" cm="1">
        <f t="array" ref="C1221">_xlfn.SWITCH(LEFT(Tasks[[#This Row],[Type]], 3), "Fie", "Field Report", "Con", "Contractor QC", "Gen", "Contractor QC", "Pun", "Contractor QC", "Qua", "Contractor QC", "Fin", "Punch List")</f>
        <v>#VALUE!</v>
      </c>
      <c r="D1221" s="15" t="e">
        <f>_xlfn.LET(
_xlpm.leftValue, TRIM(LEFT(Tasks[[#This Row],[Description]], 45)),
IF(LEN(_xlpm.leftValue) &lt; 40, _xlpm.leftValue, _xlfn.CONCAT(_xlpm.leftValue, "…"))
)</f>
        <v>#VALUE!</v>
      </c>
      <c r="E1221" s="15" t="e" cm="1">
        <f t="array" ref="E1221">_xlfn.LET(
_xlpm.inTower, COUNTIF(Tower_Num_Table[Tower Rm Numbers], LEFT(Task_Summary_Table[[#This Row],[Area/Room]], 3)) &gt; 0,
_xlpm.typeResult, _xlfn.SWITCH(LEFT(Tasks[[#This Row],[Page]], 2), "Hi", "Historic", "An", "Annex", "Si", "Site", "S5", "Project Task", "SWITCH ERROR"),
IF(_xlpm.inTower, "West Tower", _xlpm.typeResult)
)</f>
        <v>#VALUE!</v>
      </c>
      <c r="F1221" s="15" t="str">
        <f>IFERROR(MID(Tasks[[#This Row],[Page]], FIND("Level", Tasks[[#This Row],[Page]]), 7), IF(ISNUMBER(FIND("Roof", Tasks[[#This Row],[Page]])), "Roof",  IF(ISNUMBER(FIND("S590", Tasks[[#This Row],[Page]])), "",  IF(ISNUMBER(FIND("Site", Tasks[[#This Row],[Page]])), "", "ERROR"))))</f>
        <v>ERROR</v>
      </c>
      <c r="G1221" s="15" t="e">
        <f>IF(Tasks[[#This Row],[Location]]=0, "", Tasks[[#This Row],[Location]])</f>
        <v>#VALUE!</v>
      </c>
      <c r="H1221" s="15" t="e">
        <f>Tasks[[#This Row],[To Package]]</f>
        <v>#VALUE!</v>
      </c>
      <c r="I1221" s="15" t="e">
        <f>Tasks[[#This Row],[To Organisation]]</f>
        <v>#VALUE!</v>
      </c>
    </row>
    <row r="1222" spans="1:9" ht="15.5" x14ac:dyDescent="0.35">
      <c r="A1222" s="16" t="e">
        <f>HYPERLINK(_xlfn.CONCAT(Edit_URL,Tasks[[#This Row],[Ref]]),Tasks[[#This Row],[Ref]])</f>
        <v>#VALUE!</v>
      </c>
      <c r="B1222" s="15" t="e" cm="1">
        <f t="array" ref="B1222">_xlfn.SWITCH(LEFT(Tasks[[#This Row],[Status]],1),"O","Opened","C","Completed","S","Signed Off", "V", "Signed Off","ERROR")</f>
        <v>#VALUE!</v>
      </c>
      <c r="C1222" s="15" t="e" cm="1">
        <f t="array" ref="C1222">_xlfn.SWITCH(LEFT(Tasks[[#This Row],[Type]], 3), "Fie", "Field Report", "Con", "Contractor QC", "Gen", "Contractor QC", "Pun", "Contractor QC", "Qua", "Contractor QC", "Fin", "Punch List")</f>
        <v>#VALUE!</v>
      </c>
      <c r="D1222" s="15" t="e">
        <f>_xlfn.LET(
_xlpm.leftValue, TRIM(LEFT(Tasks[[#This Row],[Description]], 45)),
IF(LEN(_xlpm.leftValue) &lt; 40, _xlpm.leftValue, _xlfn.CONCAT(_xlpm.leftValue, "…"))
)</f>
        <v>#VALUE!</v>
      </c>
      <c r="E1222" s="15" t="e" cm="1">
        <f t="array" ref="E1222">_xlfn.LET(
_xlpm.inTower, COUNTIF(Tower_Num_Table[Tower Rm Numbers], LEFT(Task_Summary_Table[[#This Row],[Area/Room]], 3)) &gt; 0,
_xlpm.typeResult, _xlfn.SWITCH(LEFT(Tasks[[#This Row],[Page]], 2), "Hi", "Historic", "An", "Annex", "Si", "Site", "S5", "Project Task", "SWITCH ERROR"),
IF(_xlpm.inTower, "West Tower", _xlpm.typeResult)
)</f>
        <v>#VALUE!</v>
      </c>
      <c r="F1222" s="15" t="str">
        <f>IFERROR(MID(Tasks[[#This Row],[Page]], FIND("Level", Tasks[[#This Row],[Page]]), 7), IF(ISNUMBER(FIND("Roof", Tasks[[#This Row],[Page]])), "Roof",  IF(ISNUMBER(FIND("S590", Tasks[[#This Row],[Page]])), "",  IF(ISNUMBER(FIND("Site", Tasks[[#This Row],[Page]])), "", "ERROR"))))</f>
        <v>ERROR</v>
      </c>
      <c r="G1222" s="15" t="e">
        <f>IF(Tasks[[#This Row],[Location]]=0, "", Tasks[[#This Row],[Location]])</f>
        <v>#VALUE!</v>
      </c>
      <c r="H1222" s="15" t="e">
        <f>Tasks[[#This Row],[To Package]]</f>
        <v>#VALUE!</v>
      </c>
      <c r="I1222" s="15" t="e">
        <f>Tasks[[#This Row],[To Organisation]]</f>
        <v>#VALUE!</v>
      </c>
    </row>
    <row r="1223" spans="1:9" ht="15.5" x14ac:dyDescent="0.35">
      <c r="A1223" s="16" t="e">
        <f>HYPERLINK(_xlfn.CONCAT(Edit_URL,Tasks[[#This Row],[Ref]]),Tasks[[#This Row],[Ref]])</f>
        <v>#VALUE!</v>
      </c>
      <c r="B1223" s="15" t="e" cm="1">
        <f t="array" ref="B1223">_xlfn.SWITCH(LEFT(Tasks[[#This Row],[Status]],1),"O","Opened","C","Completed","S","Signed Off", "V", "Signed Off","ERROR")</f>
        <v>#VALUE!</v>
      </c>
      <c r="C1223" s="15" t="e" cm="1">
        <f t="array" ref="C1223">_xlfn.SWITCH(LEFT(Tasks[[#This Row],[Type]], 3), "Fie", "Field Report", "Con", "Contractor QC", "Gen", "Contractor QC", "Pun", "Contractor QC", "Qua", "Contractor QC", "Fin", "Punch List")</f>
        <v>#VALUE!</v>
      </c>
      <c r="D1223" s="15" t="e">
        <f>_xlfn.LET(
_xlpm.leftValue, TRIM(LEFT(Tasks[[#This Row],[Description]], 45)),
IF(LEN(_xlpm.leftValue) &lt; 40, _xlpm.leftValue, _xlfn.CONCAT(_xlpm.leftValue, "…"))
)</f>
        <v>#VALUE!</v>
      </c>
      <c r="E1223" s="15" t="e" cm="1">
        <f t="array" ref="E1223">_xlfn.LET(
_xlpm.inTower, COUNTIF(Tower_Num_Table[Tower Rm Numbers], LEFT(Task_Summary_Table[[#This Row],[Area/Room]], 3)) &gt; 0,
_xlpm.typeResult, _xlfn.SWITCH(LEFT(Tasks[[#This Row],[Page]], 2), "Hi", "Historic", "An", "Annex", "Si", "Site", "S5", "Project Task", "SWITCH ERROR"),
IF(_xlpm.inTower, "West Tower", _xlpm.typeResult)
)</f>
        <v>#VALUE!</v>
      </c>
      <c r="F1223" s="15" t="str">
        <f>IFERROR(MID(Tasks[[#This Row],[Page]], FIND("Level", Tasks[[#This Row],[Page]]), 7), IF(ISNUMBER(FIND("Roof", Tasks[[#This Row],[Page]])), "Roof",  IF(ISNUMBER(FIND("S590", Tasks[[#This Row],[Page]])), "",  IF(ISNUMBER(FIND("Site", Tasks[[#This Row],[Page]])), "", "ERROR"))))</f>
        <v>ERROR</v>
      </c>
      <c r="G1223" s="15" t="e">
        <f>IF(Tasks[[#This Row],[Location]]=0, "", Tasks[[#This Row],[Location]])</f>
        <v>#VALUE!</v>
      </c>
      <c r="H1223" s="15" t="e">
        <f>Tasks[[#This Row],[To Package]]</f>
        <v>#VALUE!</v>
      </c>
      <c r="I1223" s="15" t="e">
        <f>Tasks[[#This Row],[To Organisation]]</f>
        <v>#VALUE!</v>
      </c>
    </row>
    <row r="1224" spans="1:9" ht="15.5" x14ac:dyDescent="0.35">
      <c r="A1224" s="16" t="e">
        <f>HYPERLINK(_xlfn.CONCAT(Edit_URL,Tasks[[#This Row],[Ref]]),Tasks[[#This Row],[Ref]])</f>
        <v>#VALUE!</v>
      </c>
      <c r="B1224" s="15" t="e" cm="1">
        <f t="array" ref="B1224">_xlfn.SWITCH(LEFT(Tasks[[#This Row],[Status]],1),"O","Opened","C","Completed","S","Signed Off", "V", "Signed Off","ERROR")</f>
        <v>#VALUE!</v>
      </c>
      <c r="C1224" s="15" t="e" cm="1">
        <f t="array" ref="C1224">_xlfn.SWITCH(LEFT(Tasks[[#This Row],[Type]], 3), "Fie", "Field Report", "Con", "Contractor QC", "Gen", "Contractor QC", "Pun", "Contractor QC", "Qua", "Contractor QC", "Fin", "Punch List")</f>
        <v>#VALUE!</v>
      </c>
      <c r="D1224" s="15" t="e">
        <f>_xlfn.LET(
_xlpm.leftValue, TRIM(LEFT(Tasks[[#This Row],[Description]], 45)),
IF(LEN(_xlpm.leftValue) &lt; 40, _xlpm.leftValue, _xlfn.CONCAT(_xlpm.leftValue, "…"))
)</f>
        <v>#VALUE!</v>
      </c>
      <c r="E1224" s="15" t="e" cm="1">
        <f t="array" ref="E1224">_xlfn.LET(
_xlpm.inTower, COUNTIF(Tower_Num_Table[Tower Rm Numbers], LEFT(Task_Summary_Table[[#This Row],[Area/Room]], 3)) &gt; 0,
_xlpm.typeResult, _xlfn.SWITCH(LEFT(Tasks[[#This Row],[Page]], 2), "Hi", "Historic", "An", "Annex", "Si", "Site", "S5", "Project Task", "SWITCH ERROR"),
IF(_xlpm.inTower, "West Tower", _xlpm.typeResult)
)</f>
        <v>#VALUE!</v>
      </c>
      <c r="F1224" s="15" t="str">
        <f>IFERROR(MID(Tasks[[#This Row],[Page]], FIND("Level", Tasks[[#This Row],[Page]]), 7), IF(ISNUMBER(FIND("Roof", Tasks[[#This Row],[Page]])), "Roof",  IF(ISNUMBER(FIND("S590", Tasks[[#This Row],[Page]])), "",  IF(ISNUMBER(FIND("Site", Tasks[[#This Row],[Page]])), "", "ERROR"))))</f>
        <v>ERROR</v>
      </c>
      <c r="G1224" s="15" t="e">
        <f>IF(Tasks[[#This Row],[Location]]=0, "", Tasks[[#This Row],[Location]])</f>
        <v>#VALUE!</v>
      </c>
      <c r="H1224" s="15" t="e">
        <f>Tasks[[#This Row],[To Package]]</f>
        <v>#VALUE!</v>
      </c>
      <c r="I1224" s="15" t="e">
        <f>Tasks[[#This Row],[To Organisation]]</f>
        <v>#VALUE!</v>
      </c>
    </row>
    <row r="1225" spans="1:9" ht="15.5" x14ac:dyDescent="0.35">
      <c r="A1225" s="16" t="e">
        <f>HYPERLINK(_xlfn.CONCAT(Edit_URL,Tasks[[#This Row],[Ref]]),Tasks[[#This Row],[Ref]])</f>
        <v>#VALUE!</v>
      </c>
      <c r="B1225" s="15" t="e" cm="1">
        <f t="array" ref="B1225">_xlfn.SWITCH(LEFT(Tasks[[#This Row],[Status]],1),"O","Opened","C","Completed","S","Signed Off", "V", "Signed Off","ERROR")</f>
        <v>#VALUE!</v>
      </c>
      <c r="C1225" s="15" t="e" cm="1">
        <f t="array" ref="C1225">_xlfn.SWITCH(LEFT(Tasks[[#This Row],[Type]], 3), "Fie", "Field Report", "Con", "Contractor QC", "Gen", "Contractor QC", "Pun", "Contractor QC", "Qua", "Contractor QC", "Fin", "Punch List")</f>
        <v>#VALUE!</v>
      </c>
      <c r="D1225" s="15" t="e">
        <f>_xlfn.LET(
_xlpm.leftValue, TRIM(LEFT(Tasks[[#This Row],[Description]], 45)),
IF(LEN(_xlpm.leftValue) &lt; 40, _xlpm.leftValue, _xlfn.CONCAT(_xlpm.leftValue, "…"))
)</f>
        <v>#VALUE!</v>
      </c>
      <c r="E1225" s="15" t="e" cm="1">
        <f t="array" ref="E1225">_xlfn.LET(
_xlpm.inTower, COUNTIF(Tower_Num_Table[Tower Rm Numbers], LEFT(Task_Summary_Table[[#This Row],[Area/Room]], 3)) &gt; 0,
_xlpm.typeResult, _xlfn.SWITCH(LEFT(Tasks[[#This Row],[Page]], 2), "Hi", "Historic", "An", "Annex", "Si", "Site", "S5", "Project Task", "SWITCH ERROR"),
IF(_xlpm.inTower, "West Tower", _xlpm.typeResult)
)</f>
        <v>#VALUE!</v>
      </c>
      <c r="F1225" s="15" t="str">
        <f>IFERROR(MID(Tasks[[#This Row],[Page]], FIND("Level", Tasks[[#This Row],[Page]]), 7), IF(ISNUMBER(FIND("Roof", Tasks[[#This Row],[Page]])), "Roof",  IF(ISNUMBER(FIND("S590", Tasks[[#This Row],[Page]])), "",  IF(ISNUMBER(FIND("Site", Tasks[[#This Row],[Page]])), "", "ERROR"))))</f>
        <v>ERROR</v>
      </c>
      <c r="G1225" s="15" t="e">
        <f>IF(Tasks[[#This Row],[Location]]=0, "", Tasks[[#This Row],[Location]])</f>
        <v>#VALUE!</v>
      </c>
      <c r="H1225" s="15" t="e">
        <f>Tasks[[#This Row],[To Package]]</f>
        <v>#VALUE!</v>
      </c>
      <c r="I1225" s="15" t="e">
        <f>Tasks[[#This Row],[To Organisation]]</f>
        <v>#VALUE!</v>
      </c>
    </row>
    <row r="1226" spans="1:9" ht="15.5" x14ac:dyDescent="0.35">
      <c r="A1226" s="16" t="e">
        <f>HYPERLINK(_xlfn.CONCAT(Edit_URL,Tasks[[#This Row],[Ref]]),Tasks[[#This Row],[Ref]])</f>
        <v>#VALUE!</v>
      </c>
      <c r="B1226" s="15" t="e" cm="1">
        <f t="array" ref="B1226">_xlfn.SWITCH(LEFT(Tasks[[#This Row],[Status]],1),"O","Opened","C","Completed","S","Signed Off", "V", "Signed Off","ERROR")</f>
        <v>#VALUE!</v>
      </c>
      <c r="C1226" s="15" t="e" cm="1">
        <f t="array" ref="C1226">_xlfn.SWITCH(LEFT(Tasks[[#This Row],[Type]], 3), "Fie", "Field Report", "Con", "Contractor QC", "Gen", "Contractor QC", "Pun", "Contractor QC", "Qua", "Contractor QC", "Fin", "Punch List")</f>
        <v>#VALUE!</v>
      </c>
      <c r="D1226" s="15" t="e">
        <f>_xlfn.LET(
_xlpm.leftValue, TRIM(LEFT(Tasks[[#This Row],[Description]], 45)),
IF(LEN(_xlpm.leftValue) &lt; 40, _xlpm.leftValue, _xlfn.CONCAT(_xlpm.leftValue, "…"))
)</f>
        <v>#VALUE!</v>
      </c>
      <c r="E1226" s="15" t="e" cm="1">
        <f t="array" ref="E1226">_xlfn.LET(
_xlpm.inTower, COUNTIF(Tower_Num_Table[Tower Rm Numbers], LEFT(Task_Summary_Table[[#This Row],[Area/Room]], 3)) &gt; 0,
_xlpm.typeResult, _xlfn.SWITCH(LEFT(Tasks[[#This Row],[Page]], 2), "Hi", "Historic", "An", "Annex", "Si", "Site", "S5", "Project Task", "SWITCH ERROR"),
IF(_xlpm.inTower, "West Tower", _xlpm.typeResult)
)</f>
        <v>#VALUE!</v>
      </c>
      <c r="F1226" s="15" t="str">
        <f>IFERROR(MID(Tasks[[#This Row],[Page]], FIND("Level", Tasks[[#This Row],[Page]]), 7), IF(ISNUMBER(FIND("Roof", Tasks[[#This Row],[Page]])), "Roof",  IF(ISNUMBER(FIND("S590", Tasks[[#This Row],[Page]])), "",  IF(ISNUMBER(FIND("Site", Tasks[[#This Row],[Page]])), "", "ERROR"))))</f>
        <v>ERROR</v>
      </c>
      <c r="G1226" s="15" t="e">
        <f>IF(Tasks[[#This Row],[Location]]=0, "", Tasks[[#This Row],[Location]])</f>
        <v>#VALUE!</v>
      </c>
      <c r="H1226" s="15" t="e">
        <f>Tasks[[#This Row],[To Package]]</f>
        <v>#VALUE!</v>
      </c>
      <c r="I1226" s="15" t="e">
        <f>Tasks[[#This Row],[To Organisation]]</f>
        <v>#VALUE!</v>
      </c>
    </row>
    <row r="1227" spans="1:9" ht="15.5" x14ac:dyDescent="0.35">
      <c r="A1227" s="16" t="e">
        <f>HYPERLINK(_xlfn.CONCAT(Edit_URL,Tasks[[#This Row],[Ref]]),Tasks[[#This Row],[Ref]])</f>
        <v>#VALUE!</v>
      </c>
      <c r="B1227" s="15" t="e" cm="1">
        <f t="array" ref="B1227">_xlfn.SWITCH(LEFT(Tasks[[#This Row],[Status]],1),"O","Opened","C","Completed","S","Signed Off", "V", "Signed Off","ERROR")</f>
        <v>#VALUE!</v>
      </c>
      <c r="C1227" s="15" t="e" cm="1">
        <f t="array" ref="C1227">_xlfn.SWITCH(LEFT(Tasks[[#This Row],[Type]], 3), "Fie", "Field Report", "Con", "Contractor QC", "Gen", "Contractor QC", "Pun", "Contractor QC", "Qua", "Contractor QC", "Fin", "Punch List")</f>
        <v>#VALUE!</v>
      </c>
      <c r="D1227" s="15" t="e">
        <f>_xlfn.LET(
_xlpm.leftValue, TRIM(LEFT(Tasks[[#This Row],[Description]], 45)),
IF(LEN(_xlpm.leftValue) &lt; 40, _xlpm.leftValue, _xlfn.CONCAT(_xlpm.leftValue, "…"))
)</f>
        <v>#VALUE!</v>
      </c>
      <c r="E1227" s="15" t="e" cm="1">
        <f t="array" ref="E1227">_xlfn.LET(
_xlpm.inTower, COUNTIF(Tower_Num_Table[Tower Rm Numbers], LEFT(Task_Summary_Table[[#This Row],[Area/Room]], 3)) &gt; 0,
_xlpm.typeResult, _xlfn.SWITCH(LEFT(Tasks[[#This Row],[Page]], 2), "Hi", "Historic", "An", "Annex", "Si", "Site", "S5", "Project Task", "SWITCH ERROR"),
IF(_xlpm.inTower, "West Tower", _xlpm.typeResult)
)</f>
        <v>#VALUE!</v>
      </c>
      <c r="F1227" s="15" t="str">
        <f>IFERROR(MID(Tasks[[#This Row],[Page]], FIND("Level", Tasks[[#This Row],[Page]]), 7), IF(ISNUMBER(FIND("Roof", Tasks[[#This Row],[Page]])), "Roof",  IF(ISNUMBER(FIND("S590", Tasks[[#This Row],[Page]])), "",  IF(ISNUMBER(FIND("Site", Tasks[[#This Row],[Page]])), "", "ERROR"))))</f>
        <v>ERROR</v>
      </c>
      <c r="G1227" s="15" t="e">
        <f>IF(Tasks[[#This Row],[Location]]=0, "", Tasks[[#This Row],[Location]])</f>
        <v>#VALUE!</v>
      </c>
      <c r="H1227" s="15" t="e">
        <f>Tasks[[#This Row],[To Package]]</f>
        <v>#VALUE!</v>
      </c>
      <c r="I1227" s="15" t="e">
        <f>Tasks[[#This Row],[To Organisation]]</f>
        <v>#VALUE!</v>
      </c>
    </row>
    <row r="1228" spans="1:9" ht="15.5" x14ac:dyDescent="0.35">
      <c r="A1228" s="16" t="e">
        <f>HYPERLINK(_xlfn.CONCAT(Edit_URL,Tasks[[#This Row],[Ref]]),Tasks[[#This Row],[Ref]])</f>
        <v>#VALUE!</v>
      </c>
      <c r="B1228" s="15" t="e" cm="1">
        <f t="array" ref="B1228">_xlfn.SWITCH(LEFT(Tasks[[#This Row],[Status]],1),"O","Opened","C","Completed","S","Signed Off", "V", "Signed Off","ERROR")</f>
        <v>#VALUE!</v>
      </c>
      <c r="C1228" s="15" t="e" cm="1">
        <f t="array" ref="C1228">_xlfn.SWITCH(LEFT(Tasks[[#This Row],[Type]], 3), "Fie", "Field Report", "Con", "Contractor QC", "Gen", "Contractor QC", "Pun", "Contractor QC", "Qua", "Contractor QC", "Fin", "Punch List")</f>
        <v>#VALUE!</v>
      </c>
      <c r="D1228" s="15" t="e">
        <f>_xlfn.LET(
_xlpm.leftValue, TRIM(LEFT(Tasks[[#This Row],[Description]], 45)),
IF(LEN(_xlpm.leftValue) &lt; 40, _xlpm.leftValue, _xlfn.CONCAT(_xlpm.leftValue, "…"))
)</f>
        <v>#VALUE!</v>
      </c>
      <c r="E1228" s="15" t="e" cm="1">
        <f t="array" ref="E1228">_xlfn.LET(
_xlpm.inTower, COUNTIF(Tower_Num_Table[Tower Rm Numbers], LEFT(Task_Summary_Table[[#This Row],[Area/Room]], 3)) &gt; 0,
_xlpm.typeResult, _xlfn.SWITCH(LEFT(Tasks[[#This Row],[Page]], 2), "Hi", "Historic", "An", "Annex", "Si", "Site", "S5", "Project Task", "SWITCH ERROR"),
IF(_xlpm.inTower, "West Tower", _xlpm.typeResult)
)</f>
        <v>#VALUE!</v>
      </c>
      <c r="F1228" s="15" t="str">
        <f>IFERROR(MID(Tasks[[#This Row],[Page]], FIND("Level", Tasks[[#This Row],[Page]]), 7), IF(ISNUMBER(FIND("Roof", Tasks[[#This Row],[Page]])), "Roof",  IF(ISNUMBER(FIND("S590", Tasks[[#This Row],[Page]])), "",  IF(ISNUMBER(FIND("Site", Tasks[[#This Row],[Page]])), "", "ERROR"))))</f>
        <v>ERROR</v>
      </c>
      <c r="G1228" s="15" t="e">
        <f>IF(Tasks[[#This Row],[Location]]=0, "", Tasks[[#This Row],[Location]])</f>
        <v>#VALUE!</v>
      </c>
      <c r="H1228" s="15" t="e">
        <f>Tasks[[#This Row],[To Package]]</f>
        <v>#VALUE!</v>
      </c>
      <c r="I1228" s="15" t="e">
        <f>Tasks[[#This Row],[To Organisation]]</f>
        <v>#VALUE!</v>
      </c>
    </row>
    <row r="1229" spans="1:9" ht="15.5" x14ac:dyDescent="0.35">
      <c r="A1229" s="16" t="e">
        <f>HYPERLINK(_xlfn.CONCAT(Edit_URL,Tasks[[#This Row],[Ref]]),Tasks[[#This Row],[Ref]])</f>
        <v>#VALUE!</v>
      </c>
      <c r="B1229" s="15" t="e" cm="1">
        <f t="array" ref="B1229">_xlfn.SWITCH(LEFT(Tasks[[#This Row],[Status]],1),"O","Opened","C","Completed","S","Signed Off", "V", "Signed Off","ERROR")</f>
        <v>#VALUE!</v>
      </c>
      <c r="C1229" s="15" t="e" cm="1">
        <f t="array" ref="C1229">_xlfn.SWITCH(LEFT(Tasks[[#This Row],[Type]], 3), "Fie", "Field Report", "Con", "Contractor QC", "Gen", "Contractor QC", "Pun", "Contractor QC", "Qua", "Contractor QC", "Fin", "Punch List")</f>
        <v>#VALUE!</v>
      </c>
      <c r="D1229" s="15" t="e">
        <f>_xlfn.LET(
_xlpm.leftValue, TRIM(LEFT(Tasks[[#This Row],[Description]], 45)),
IF(LEN(_xlpm.leftValue) &lt; 40, _xlpm.leftValue, _xlfn.CONCAT(_xlpm.leftValue, "…"))
)</f>
        <v>#VALUE!</v>
      </c>
      <c r="E1229" s="15" t="e" cm="1">
        <f t="array" ref="E1229">_xlfn.LET(
_xlpm.inTower, COUNTIF(Tower_Num_Table[Tower Rm Numbers], LEFT(Task_Summary_Table[[#This Row],[Area/Room]], 3)) &gt; 0,
_xlpm.typeResult, _xlfn.SWITCH(LEFT(Tasks[[#This Row],[Page]], 2), "Hi", "Historic", "An", "Annex", "Si", "Site", "S5", "Project Task", "SWITCH ERROR"),
IF(_xlpm.inTower, "West Tower", _xlpm.typeResult)
)</f>
        <v>#VALUE!</v>
      </c>
      <c r="F1229" s="15" t="str">
        <f>IFERROR(MID(Tasks[[#This Row],[Page]], FIND("Level", Tasks[[#This Row],[Page]]), 7), IF(ISNUMBER(FIND("Roof", Tasks[[#This Row],[Page]])), "Roof",  IF(ISNUMBER(FIND("S590", Tasks[[#This Row],[Page]])), "",  IF(ISNUMBER(FIND("Site", Tasks[[#This Row],[Page]])), "", "ERROR"))))</f>
        <v>ERROR</v>
      </c>
      <c r="G1229" s="15" t="e">
        <f>IF(Tasks[[#This Row],[Location]]=0, "", Tasks[[#This Row],[Location]])</f>
        <v>#VALUE!</v>
      </c>
      <c r="H1229" s="15" t="e">
        <f>Tasks[[#This Row],[To Package]]</f>
        <v>#VALUE!</v>
      </c>
      <c r="I1229" s="15" t="e">
        <f>Tasks[[#This Row],[To Organisation]]</f>
        <v>#VALUE!</v>
      </c>
    </row>
    <row r="1230" spans="1:9" ht="15.5" x14ac:dyDescent="0.35">
      <c r="A1230" s="16" t="e">
        <f>HYPERLINK(_xlfn.CONCAT(Edit_URL,Tasks[[#This Row],[Ref]]),Tasks[[#This Row],[Ref]])</f>
        <v>#VALUE!</v>
      </c>
      <c r="B1230" s="15" t="e" cm="1">
        <f t="array" ref="B1230">_xlfn.SWITCH(LEFT(Tasks[[#This Row],[Status]],1),"O","Opened","C","Completed","S","Signed Off", "V", "Signed Off","ERROR")</f>
        <v>#VALUE!</v>
      </c>
      <c r="C1230" s="15" t="e" cm="1">
        <f t="array" ref="C1230">_xlfn.SWITCH(LEFT(Tasks[[#This Row],[Type]], 3), "Fie", "Field Report", "Con", "Contractor QC", "Gen", "Contractor QC", "Pun", "Contractor QC", "Qua", "Contractor QC", "Fin", "Punch List")</f>
        <v>#VALUE!</v>
      </c>
      <c r="D1230" s="15" t="e">
        <f>_xlfn.LET(
_xlpm.leftValue, TRIM(LEFT(Tasks[[#This Row],[Description]], 45)),
IF(LEN(_xlpm.leftValue) &lt; 40, _xlpm.leftValue, _xlfn.CONCAT(_xlpm.leftValue, "…"))
)</f>
        <v>#VALUE!</v>
      </c>
      <c r="E1230" s="15" t="e" cm="1">
        <f t="array" ref="E1230">_xlfn.LET(
_xlpm.inTower, COUNTIF(Tower_Num_Table[Tower Rm Numbers], LEFT(Task_Summary_Table[[#This Row],[Area/Room]], 3)) &gt; 0,
_xlpm.typeResult, _xlfn.SWITCH(LEFT(Tasks[[#This Row],[Page]], 2), "Hi", "Historic", "An", "Annex", "Si", "Site", "S5", "Project Task", "SWITCH ERROR"),
IF(_xlpm.inTower, "West Tower", _xlpm.typeResult)
)</f>
        <v>#VALUE!</v>
      </c>
      <c r="F1230" s="15" t="str">
        <f>IFERROR(MID(Tasks[[#This Row],[Page]], FIND("Level", Tasks[[#This Row],[Page]]), 7), IF(ISNUMBER(FIND("Roof", Tasks[[#This Row],[Page]])), "Roof",  IF(ISNUMBER(FIND("S590", Tasks[[#This Row],[Page]])), "",  IF(ISNUMBER(FIND("Site", Tasks[[#This Row],[Page]])), "", "ERROR"))))</f>
        <v>ERROR</v>
      </c>
      <c r="G1230" s="15" t="e">
        <f>IF(Tasks[[#This Row],[Location]]=0, "", Tasks[[#This Row],[Location]])</f>
        <v>#VALUE!</v>
      </c>
      <c r="H1230" s="15" t="e">
        <f>Tasks[[#This Row],[To Package]]</f>
        <v>#VALUE!</v>
      </c>
      <c r="I1230" s="15" t="e">
        <f>Tasks[[#This Row],[To Organisation]]</f>
        <v>#VALUE!</v>
      </c>
    </row>
    <row r="1231" spans="1:9" ht="15.5" x14ac:dyDescent="0.35">
      <c r="A1231" s="16" t="e">
        <f>HYPERLINK(_xlfn.CONCAT(Edit_URL,Tasks[[#This Row],[Ref]]),Tasks[[#This Row],[Ref]])</f>
        <v>#VALUE!</v>
      </c>
      <c r="B1231" s="15" t="e" cm="1">
        <f t="array" ref="B1231">_xlfn.SWITCH(LEFT(Tasks[[#This Row],[Status]],1),"O","Opened","C","Completed","S","Signed Off", "V", "Signed Off","ERROR")</f>
        <v>#VALUE!</v>
      </c>
      <c r="C1231" s="15" t="e" cm="1">
        <f t="array" ref="C1231">_xlfn.SWITCH(LEFT(Tasks[[#This Row],[Type]], 3), "Fie", "Field Report", "Con", "Contractor QC", "Gen", "Contractor QC", "Pun", "Contractor QC", "Qua", "Contractor QC", "Fin", "Punch List")</f>
        <v>#VALUE!</v>
      </c>
      <c r="D1231" s="15" t="e">
        <f>_xlfn.LET(
_xlpm.leftValue, TRIM(LEFT(Tasks[[#This Row],[Description]], 45)),
IF(LEN(_xlpm.leftValue) &lt; 40, _xlpm.leftValue, _xlfn.CONCAT(_xlpm.leftValue, "…"))
)</f>
        <v>#VALUE!</v>
      </c>
      <c r="E1231" s="15" t="e" cm="1">
        <f t="array" ref="E1231">_xlfn.LET(
_xlpm.inTower, COUNTIF(Tower_Num_Table[Tower Rm Numbers], LEFT(Task_Summary_Table[[#This Row],[Area/Room]], 3)) &gt; 0,
_xlpm.typeResult, _xlfn.SWITCH(LEFT(Tasks[[#This Row],[Page]], 2), "Hi", "Historic", "An", "Annex", "Si", "Site", "S5", "Project Task", "SWITCH ERROR"),
IF(_xlpm.inTower, "West Tower", _xlpm.typeResult)
)</f>
        <v>#VALUE!</v>
      </c>
      <c r="F1231" s="15" t="str">
        <f>IFERROR(MID(Tasks[[#This Row],[Page]], FIND("Level", Tasks[[#This Row],[Page]]), 7), IF(ISNUMBER(FIND("Roof", Tasks[[#This Row],[Page]])), "Roof",  IF(ISNUMBER(FIND("S590", Tasks[[#This Row],[Page]])), "",  IF(ISNUMBER(FIND("Site", Tasks[[#This Row],[Page]])), "", "ERROR"))))</f>
        <v>ERROR</v>
      </c>
      <c r="G1231" s="15" t="e">
        <f>IF(Tasks[[#This Row],[Location]]=0, "", Tasks[[#This Row],[Location]])</f>
        <v>#VALUE!</v>
      </c>
      <c r="H1231" s="15" t="e">
        <f>Tasks[[#This Row],[To Package]]</f>
        <v>#VALUE!</v>
      </c>
      <c r="I1231" s="15" t="e">
        <f>Tasks[[#This Row],[To Organisation]]</f>
        <v>#VALUE!</v>
      </c>
    </row>
    <row r="1232" spans="1:9" ht="15.5" x14ac:dyDescent="0.35">
      <c r="A1232" s="16" t="e">
        <f>HYPERLINK(_xlfn.CONCAT(Edit_URL,Tasks[[#This Row],[Ref]]),Tasks[[#This Row],[Ref]])</f>
        <v>#VALUE!</v>
      </c>
      <c r="B1232" s="15" t="e" cm="1">
        <f t="array" ref="B1232">_xlfn.SWITCH(LEFT(Tasks[[#This Row],[Status]],1),"O","Opened","C","Completed","S","Signed Off", "V", "Signed Off","ERROR")</f>
        <v>#VALUE!</v>
      </c>
      <c r="C1232" s="15" t="e" cm="1">
        <f t="array" ref="C1232">_xlfn.SWITCH(LEFT(Tasks[[#This Row],[Type]], 3), "Fie", "Field Report", "Con", "Contractor QC", "Gen", "Contractor QC", "Pun", "Contractor QC", "Qua", "Contractor QC", "Fin", "Punch List")</f>
        <v>#VALUE!</v>
      </c>
      <c r="D1232" s="15" t="e">
        <f>_xlfn.LET(
_xlpm.leftValue, TRIM(LEFT(Tasks[[#This Row],[Description]], 45)),
IF(LEN(_xlpm.leftValue) &lt; 40, _xlpm.leftValue, _xlfn.CONCAT(_xlpm.leftValue, "…"))
)</f>
        <v>#VALUE!</v>
      </c>
      <c r="E1232" s="15" t="e" cm="1">
        <f t="array" ref="E1232">_xlfn.LET(
_xlpm.inTower, COUNTIF(Tower_Num_Table[Tower Rm Numbers], LEFT(Task_Summary_Table[[#This Row],[Area/Room]], 3)) &gt; 0,
_xlpm.typeResult, _xlfn.SWITCH(LEFT(Tasks[[#This Row],[Page]], 2), "Hi", "Historic", "An", "Annex", "Si", "Site", "S5", "Project Task", "SWITCH ERROR"),
IF(_xlpm.inTower, "West Tower", _xlpm.typeResult)
)</f>
        <v>#VALUE!</v>
      </c>
      <c r="F1232" s="15" t="str">
        <f>IFERROR(MID(Tasks[[#This Row],[Page]], FIND("Level", Tasks[[#This Row],[Page]]), 7), IF(ISNUMBER(FIND("Roof", Tasks[[#This Row],[Page]])), "Roof",  IF(ISNUMBER(FIND("S590", Tasks[[#This Row],[Page]])), "",  IF(ISNUMBER(FIND("Site", Tasks[[#This Row],[Page]])), "", "ERROR"))))</f>
        <v>ERROR</v>
      </c>
      <c r="G1232" s="15" t="e">
        <f>IF(Tasks[[#This Row],[Location]]=0, "", Tasks[[#This Row],[Location]])</f>
        <v>#VALUE!</v>
      </c>
      <c r="H1232" s="15" t="e">
        <f>Tasks[[#This Row],[To Package]]</f>
        <v>#VALUE!</v>
      </c>
      <c r="I1232" s="15" t="e">
        <f>Tasks[[#This Row],[To Organisation]]</f>
        <v>#VALUE!</v>
      </c>
    </row>
    <row r="1233" spans="1:9" ht="15.5" x14ac:dyDescent="0.35">
      <c r="A1233" s="16" t="e">
        <f>HYPERLINK(_xlfn.CONCAT(Edit_URL,Tasks[[#This Row],[Ref]]),Tasks[[#This Row],[Ref]])</f>
        <v>#VALUE!</v>
      </c>
      <c r="B1233" s="15" t="e" cm="1">
        <f t="array" ref="B1233">_xlfn.SWITCH(LEFT(Tasks[[#This Row],[Status]],1),"O","Opened","C","Completed","S","Signed Off", "V", "Signed Off","ERROR")</f>
        <v>#VALUE!</v>
      </c>
      <c r="C1233" s="15" t="e" cm="1">
        <f t="array" ref="C1233">_xlfn.SWITCH(LEFT(Tasks[[#This Row],[Type]], 3), "Fie", "Field Report", "Con", "Contractor QC", "Gen", "Contractor QC", "Pun", "Contractor QC", "Qua", "Contractor QC", "Fin", "Punch List")</f>
        <v>#VALUE!</v>
      </c>
      <c r="D1233" s="15" t="e">
        <f>_xlfn.LET(
_xlpm.leftValue, TRIM(LEFT(Tasks[[#This Row],[Description]], 45)),
IF(LEN(_xlpm.leftValue) &lt; 40, _xlpm.leftValue, _xlfn.CONCAT(_xlpm.leftValue, "…"))
)</f>
        <v>#VALUE!</v>
      </c>
      <c r="E1233" s="15" t="e" cm="1">
        <f t="array" ref="E1233">_xlfn.LET(
_xlpm.inTower, COUNTIF(Tower_Num_Table[Tower Rm Numbers], LEFT(Task_Summary_Table[[#This Row],[Area/Room]], 3)) &gt; 0,
_xlpm.typeResult, _xlfn.SWITCH(LEFT(Tasks[[#This Row],[Page]], 2), "Hi", "Historic", "An", "Annex", "Si", "Site", "S5", "Project Task", "SWITCH ERROR"),
IF(_xlpm.inTower, "West Tower", _xlpm.typeResult)
)</f>
        <v>#VALUE!</v>
      </c>
      <c r="F1233" s="15" t="str">
        <f>IFERROR(MID(Tasks[[#This Row],[Page]], FIND("Level", Tasks[[#This Row],[Page]]), 7), IF(ISNUMBER(FIND("Roof", Tasks[[#This Row],[Page]])), "Roof",  IF(ISNUMBER(FIND("S590", Tasks[[#This Row],[Page]])), "",  IF(ISNUMBER(FIND("Site", Tasks[[#This Row],[Page]])), "", "ERROR"))))</f>
        <v>ERROR</v>
      </c>
      <c r="G1233" s="15" t="e">
        <f>IF(Tasks[[#This Row],[Location]]=0, "", Tasks[[#This Row],[Location]])</f>
        <v>#VALUE!</v>
      </c>
      <c r="H1233" s="15" t="e">
        <f>Tasks[[#This Row],[To Package]]</f>
        <v>#VALUE!</v>
      </c>
      <c r="I1233" s="15" t="e">
        <f>Tasks[[#This Row],[To Organisation]]</f>
        <v>#VALUE!</v>
      </c>
    </row>
    <row r="1234" spans="1:9" ht="15.5" x14ac:dyDescent="0.35">
      <c r="A1234" s="16" t="e">
        <f>HYPERLINK(_xlfn.CONCAT(Edit_URL,Tasks[[#This Row],[Ref]]),Tasks[[#This Row],[Ref]])</f>
        <v>#VALUE!</v>
      </c>
      <c r="B1234" s="15" t="e" cm="1">
        <f t="array" ref="B1234">_xlfn.SWITCH(LEFT(Tasks[[#This Row],[Status]],1),"O","Opened","C","Completed","S","Signed Off", "V", "Signed Off","ERROR")</f>
        <v>#VALUE!</v>
      </c>
      <c r="C1234" s="15" t="e" cm="1">
        <f t="array" ref="C1234">_xlfn.SWITCH(LEFT(Tasks[[#This Row],[Type]], 3), "Fie", "Field Report", "Con", "Contractor QC", "Gen", "Contractor QC", "Pun", "Contractor QC", "Qua", "Contractor QC", "Fin", "Punch List")</f>
        <v>#VALUE!</v>
      </c>
      <c r="D1234" s="15" t="e">
        <f>_xlfn.LET(
_xlpm.leftValue, TRIM(LEFT(Tasks[[#This Row],[Description]], 45)),
IF(LEN(_xlpm.leftValue) &lt; 40, _xlpm.leftValue, _xlfn.CONCAT(_xlpm.leftValue, "…"))
)</f>
        <v>#VALUE!</v>
      </c>
      <c r="E1234" s="15" t="e" cm="1">
        <f t="array" ref="E1234">_xlfn.LET(
_xlpm.inTower, COUNTIF(Tower_Num_Table[Tower Rm Numbers], LEFT(Task_Summary_Table[[#This Row],[Area/Room]], 3)) &gt; 0,
_xlpm.typeResult, _xlfn.SWITCH(LEFT(Tasks[[#This Row],[Page]], 2), "Hi", "Historic", "An", "Annex", "Si", "Site", "S5", "Project Task", "SWITCH ERROR"),
IF(_xlpm.inTower, "West Tower", _xlpm.typeResult)
)</f>
        <v>#VALUE!</v>
      </c>
      <c r="F1234" s="15" t="str">
        <f>IFERROR(MID(Tasks[[#This Row],[Page]], FIND("Level", Tasks[[#This Row],[Page]]), 7), IF(ISNUMBER(FIND("Roof", Tasks[[#This Row],[Page]])), "Roof",  IF(ISNUMBER(FIND("S590", Tasks[[#This Row],[Page]])), "",  IF(ISNUMBER(FIND("Site", Tasks[[#This Row],[Page]])), "", "ERROR"))))</f>
        <v>ERROR</v>
      </c>
      <c r="G1234" s="15" t="e">
        <f>IF(Tasks[[#This Row],[Location]]=0, "", Tasks[[#This Row],[Location]])</f>
        <v>#VALUE!</v>
      </c>
      <c r="H1234" s="15" t="e">
        <f>Tasks[[#This Row],[To Package]]</f>
        <v>#VALUE!</v>
      </c>
      <c r="I1234" s="15" t="e">
        <f>Tasks[[#This Row],[To Organisation]]</f>
        <v>#VALUE!</v>
      </c>
    </row>
    <row r="1235" spans="1:9" ht="15.5" x14ac:dyDescent="0.35">
      <c r="A1235" s="16" t="e">
        <f>HYPERLINK(_xlfn.CONCAT(Edit_URL,Tasks[[#This Row],[Ref]]),Tasks[[#This Row],[Ref]])</f>
        <v>#VALUE!</v>
      </c>
      <c r="B1235" s="15" t="e" cm="1">
        <f t="array" ref="B1235">_xlfn.SWITCH(LEFT(Tasks[[#This Row],[Status]],1),"O","Opened","C","Completed","S","Signed Off", "V", "Signed Off","ERROR")</f>
        <v>#VALUE!</v>
      </c>
      <c r="C1235" s="15" t="e" cm="1">
        <f t="array" ref="C1235">_xlfn.SWITCH(LEFT(Tasks[[#This Row],[Type]], 3), "Fie", "Field Report", "Con", "Contractor QC", "Gen", "Contractor QC", "Pun", "Contractor QC", "Qua", "Contractor QC", "Fin", "Punch List")</f>
        <v>#VALUE!</v>
      </c>
      <c r="D1235" s="15" t="e">
        <f>_xlfn.LET(
_xlpm.leftValue, TRIM(LEFT(Tasks[[#This Row],[Description]], 45)),
IF(LEN(_xlpm.leftValue) &lt; 40, _xlpm.leftValue, _xlfn.CONCAT(_xlpm.leftValue, "…"))
)</f>
        <v>#VALUE!</v>
      </c>
      <c r="E1235" s="15" t="e" cm="1">
        <f t="array" ref="E1235">_xlfn.LET(
_xlpm.inTower, COUNTIF(Tower_Num_Table[Tower Rm Numbers], LEFT(Task_Summary_Table[[#This Row],[Area/Room]], 3)) &gt; 0,
_xlpm.typeResult, _xlfn.SWITCH(LEFT(Tasks[[#This Row],[Page]], 2), "Hi", "Historic", "An", "Annex", "Si", "Site", "S5", "Project Task", "SWITCH ERROR"),
IF(_xlpm.inTower, "West Tower", _xlpm.typeResult)
)</f>
        <v>#VALUE!</v>
      </c>
      <c r="F1235" s="15" t="str">
        <f>IFERROR(MID(Tasks[[#This Row],[Page]], FIND("Level", Tasks[[#This Row],[Page]]), 7), IF(ISNUMBER(FIND("Roof", Tasks[[#This Row],[Page]])), "Roof",  IF(ISNUMBER(FIND("S590", Tasks[[#This Row],[Page]])), "",  IF(ISNUMBER(FIND("Site", Tasks[[#This Row],[Page]])), "", "ERROR"))))</f>
        <v>ERROR</v>
      </c>
      <c r="G1235" s="15" t="e">
        <f>IF(Tasks[[#This Row],[Location]]=0, "", Tasks[[#This Row],[Location]])</f>
        <v>#VALUE!</v>
      </c>
      <c r="H1235" s="15" t="e">
        <f>Tasks[[#This Row],[To Package]]</f>
        <v>#VALUE!</v>
      </c>
      <c r="I1235" s="15" t="e">
        <f>Tasks[[#This Row],[To Organisation]]</f>
        <v>#VALUE!</v>
      </c>
    </row>
    <row r="1236" spans="1:9" ht="15.5" x14ac:dyDescent="0.35">
      <c r="A1236" s="16" t="e">
        <f>HYPERLINK(_xlfn.CONCAT(Edit_URL,Tasks[[#This Row],[Ref]]),Tasks[[#This Row],[Ref]])</f>
        <v>#VALUE!</v>
      </c>
      <c r="B1236" s="15" t="e" cm="1">
        <f t="array" ref="B1236">_xlfn.SWITCH(LEFT(Tasks[[#This Row],[Status]],1),"O","Opened","C","Completed","S","Signed Off", "V", "Signed Off","ERROR")</f>
        <v>#VALUE!</v>
      </c>
      <c r="C1236" s="15" t="e" cm="1">
        <f t="array" ref="C1236">_xlfn.SWITCH(LEFT(Tasks[[#This Row],[Type]], 3), "Fie", "Field Report", "Con", "Contractor QC", "Gen", "Contractor QC", "Pun", "Contractor QC", "Qua", "Contractor QC", "Fin", "Punch List")</f>
        <v>#VALUE!</v>
      </c>
      <c r="D1236" s="15" t="e">
        <f>_xlfn.LET(
_xlpm.leftValue, TRIM(LEFT(Tasks[[#This Row],[Description]], 45)),
IF(LEN(_xlpm.leftValue) &lt; 40, _xlpm.leftValue, _xlfn.CONCAT(_xlpm.leftValue, "…"))
)</f>
        <v>#VALUE!</v>
      </c>
      <c r="E1236" s="15" t="e" cm="1">
        <f t="array" ref="E1236">_xlfn.LET(
_xlpm.inTower, COUNTIF(Tower_Num_Table[Tower Rm Numbers], LEFT(Task_Summary_Table[[#This Row],[Area/Room]], 3)) &gt; 0,
_xlpm.typeResult, _xlfn.SWITCH(LEFT(Tasks[[#This Row],[Page]], 2), "Hi", "Historic", "An", "Annex", "Si", "Site", "S5", "Project Task", "SWITCH ERROR"),
IF(_xlpm.inTower, "West Tower", _xlpm.typeResult)
)</f>
        <v>#VALUE!</v>
      </c>
      <c r="F1236" s="15" t="str">
        <f>IFERROR(MID(Tasks[[#This Row],[Page]], FIND("Level", Tasks[[#This Row],[Page]]), 7), IF(ISNUMBER(FIND("Roof", Tasks[[#This Row],[Page]])), "Roof",  IF(ISNUMBER(FIND("S590", Tasks[[#This Row],[Page]])), "",  IF(ISNUMBER(FIND("Site", Tasks[[#This Row],[Page]])), "", "ERROR"))))</f>
        <v>ERROR</v>
      </c>
      <c r="G1236" s="15" t="e">
        <f>IF(Tasks[[#This Row],[Location]]=0, "", Tasks[[#This Row],[Location]])</f>
        <v>#VALUE!</v>
      </c>
      <c r="H1236" s="15" t="e">
        <f>Tasks[[#This Row],[To Package]]</f>
        <v>#VALUE!</v>
      </c>
      <c r="I1236" s="15" t="e">
        <f>Tasks[[#This Row],[To Organisation]]</f>
        <v>#VALUE!</v>
      </c>
    </row>
    <row r="1237" spans="1:9" ht="15.5" x14ac:dyDescent="0.35">
      <c r="A1237" s="16" t="e">
        <f>HYPERLINK(_xlfn.CONCAT(Edit_URL,Tasks[[#This Row],[Ref]]),Tasks[[#This Row],[Ref]])</f>
        <v>#VALUE!</v>
      </c>
      <c r="B1237" s="15" t="e" cm="1">
        <f t="array" ref="B1237">_xlfn.SWITCH(LEFT(Tasks[[#This Row],[Status]],1),"O","Opened","C","Completed","S","Signed Off", "V", "Signed Off","ERROR")</f>
        <v>#VALUE!</v>
      </c>
      <c r="C1237" s="15" t="e" cm="1">
        <f t="array" ref="C1237">_xlfn.SWITCH(LEFT(Tasks[[#This Row],[Type]], 3), "Fie", "Field Report", "Con", "Contractor QC", "Gen", "Contractor QC", "Pun", "Contractor QC", "Qua", "Contractor QC", "Fin", "Punch List")</f>
        <v>#VALUE!</v>
      </c>
      <c r="D1237" s="15" t="e">
        <f>_xlfn.LET(
_xlpm.leftValue, TRIM(LEFT(Tasks[[#This Row],[Description]], 45)),
IF(LEN(_xlpm.leftValue) &lt; 40, _xlpm.leftValue, _xlfn.CONCAT(_xlpm.leftValue, "…"))
)</f>
        <v>#VALUE!</v>
      </c>
      <c r="E1237" s="15" t="e" cm="1">
        <f t="array" ref="E1237">_xlfn.LET(
_xlpm.inTower, COUNTIF(Tower_Num_Table[Tower Rm Numbers], LEFT(Task_Summary_Table[[#This Row],[Area/Room]], 3)) &gt; 0,
_xlpm.typeResult, _xlfn.SWITCH(LEFT(Tasks[[#This Row],[Page]], 2), "Hi", "Historic", "An", "Annex", "Si", "Site", "S5", "Project Task", "SWITCH ERROR"),
IF(_xlpm.inTower, "West Tower", _xlpm.typeResult)
)</f>
        <v>#VALUE!</v>
      </c>
      <c r="F1237" s="15" t="str">
        <f>IFERROR(MID(Tasks[[#This Row],[Page]], FIND("Level", Tasks[[#This Row],[Page]]), 7), IF(ISNUMBER(FIND("Roof", Tasks[[#This Row],[Page]])), "Roof",  IF(ISNUMBER(FIND("S590", Tasks[[#This Row],[Page]])), "",  IF(ISNUMBER(FIND("Site", Tasks[[#This Row],[Page]])), "", "ERROR"))))</f>
        <v>ERROR</v>
      </c>
      <c r="G1237" s="15" t="e">
        <f>IF(Tasks[[#This Row],[Location]]=0, "", Tasks[[#This Row],[Location]])</f>
        <v>#VALUE!</v>
      </c>
      <c r="H1237" s="15" t="e">
        <f>Tasks[[#This Row],[To Package]]</f>
        <v>#VALUE!</v>
      </c>
      <c r="I1237" s="15" t="e">
        <f>Tasks[[#This Row],[To Organisation]]</f>
        <v>#VALUE!</v>
      </c>
    </row>
    <row r="1238" spans="1:9" ht="15.5" x14ac:dyDescent="0.35">
      <c r="A1238" s="16" t="e">
        <f>HYPERLINK(_xlfn.CONCAT(Edit_URL,Tasks[[#This Row],[Ref]]),Tasks[[#This Row],[Ref]])</f>
        <v>#VALUE!</v>
      </c>
      <c r="B1238" s="15" t="e" cm="1">
        <f t="array" ref="B1238">_xlfn.SWITCH(LEFT(Tasks[[#This Row],[Status]],1),"O","Opened","C","Completed","S","Signed Off", "V", "Signed Off","ERROR")</f>
        <v>#VALUE!</v>
      </c>
      <c r="C1238" s="15" t="e" cm="1">
        <f t="array" ref="C1238">_xlfn.SWITCH(LEFT(Tasks[[#This Row],[Type]], 3), "Fie", "Field Report", "Con", "Contractor QC", "Gen", "Contractor QC", "Pun", "Contractor QC", "Qua", "Contractor QC", "Fin", "Punch List")</f>
        <v>#VALUE!</v>
      </c>
      <c r="D1238" s="15" t="e">
        <f>_xlfn.LET(
_xlpm.leftValue, TRIM(LEFT(Tasks[[#This Row],[Description]], 45)),
IF(LEN(_xlpm.leftValue) &lt; 40, _xlpm.leftValue, _xlfn.CONCAT(_xlpm.leftValue, "…"))
)</f>
        <v>#VALUE!</v>
      </c>
      <c r="E1238" s="15" t="e" cm="1">
        <f t="array" ref="E1238">_xlfn.LET(
_xlpm.inTower, COUNTIF(Tower_Num_Table[Tower Rm Numbers], LEFT(Task_Summary_Table[[#This Row],[Area/Room]], 3)) &gt; 0,
_xlpm.typeResult, _xlfn.SWITCH(LEFT(Tasks[[#This Row],[Page]], 2), "Hi", "Historic", "An", "Annex", "Si", "Site", "S5", "Project Task", "SWITCH ERROR"),
IF(_xlpm.inTower, "West Tower", _xlpm.typeResult)
)</f>
        <v>#VALUE!</v>
      </c>
      <c r="F1238" s="15" t="str">
        <f>IFERROR(MID(Tasks[[#This Row],[Page]], FIND("Level", Tasks[[#This Row],[Page]]), 7), IF(ISNUMBER(FIND("Roof", Tasks[[#This Row],[Page]])), "Roof",  IF(ISNUMBER(FIND("S590", Tasks[[#This Row],[Page]])), "",  IF(ISNUMBER(FIND("Site", Tasks[[#This Row],[Page]])), "", "ERROR"))))</f>
        <v>ERROR</v>
      </c>
      <c r="G1238" s="15" t="e">
        <f>IF(Tasks[[#This Row],[Location]]=0, "", Tasks[[#This Row],[Location]])</f>
        <v>#VALUE!</v>
      </c>
      <c r="H1238" s="15" t="e">
        <f>Tasks[[#This Row],[To Package]]</f>
        <v>#VALUE!</v>
      </c>
      <c r="I1238" s="15" t="e">
        <f>Tasks[[#This Row],[To Organisation]]</f>
        <v>#VALUE!</v>
      </c>
    </row>
    <row r="1239" spans="1:9" ht="15.5" x14ac:dyDescent="0.35">
      <c r="A1239" s="16" t="e">
        <f>HYPERLINK(_xlfn.CONCAT(Edit_URL,Tasks[[#This Row],[Ref]]),Tasks[[#This Row],[Ref]])</f>
        <v>#VALUE!</v>
      </c>
      <c r="B1239" s="15" t="e" cm="1">
        <f t="array" ref="B1239">_xlfn.SWITCH(LEFT(Tasks[[#This Row],[Status]],1),"O","Opened","C","Completed","S","Signed Off", "V", "Signed Off","ERROR")</f>
        <v>#VALUE!</v>
      </c>
      <c r="C1239" s="15" t="e" cm="1">
        <f t="array" ref="C1239">_xlfn.SWITCH(LEFT(Tasks[[#This Row],[Type]], 3), "Fie", "Field Report", "Con", "Contractor QC", "Gen", "Contractor QC", "Pun", "Contractor QC", "Qua", "Contractor QC", "Fin", "Punch List")</f>
        <v>#VALUE!</v>
      </c>
      <c r="D1239" s="15" t="e">
        <f>_xlfn.LET(
_xlpm.leftValue, TRIM(LEFT(Tasks[[#This Row],[Description]], 45)),
IF(LEN(_xlpm.leftValue) &lt; 40, _xlpm.leftValue, _xlfn.CONCAT(_xlpm.leftValue, "…"))
)</f>
        <v>#VALUE!</v>
      </c>
      <c r="E1239" s="15" t="e" cm="1">
        <f t="array" ref="E1239">_xlfn.LET(
_xlpm.inTower, COUNTIF(Tower_Num_Table[Tower Rm Numbers], LEFT(Task_Summary_Table[[#This Row],[Area/Room]], 3)) &gt; 0,
_xlpm.typeResult, _xlfn.SWITCH(LEFT(Tasks[[#This Row],[Page]], 2), "Hi", "Historic", "An", "Annex", "Si", "Site", "S5", "Project Task", "SWITCH ERROR"),
IF(_xlpm.inTower, "West Tower", _xlpm.typeResult)
)</f>
        <v>#VALUE!</v>
      </c>
      <c r="F1239" s="15" t="str">
        <f>IFERROR(MID(Tasks[[#This Row],[Page]], FIND("Level", Tasks[[#This Row],[Page]]), 7), IF(ISNUMBER(FIND("Roof", Tasks[[#This Row],[Page]])), "Roof",  IF(ISNUMBER(FIND("S590", Tasks[[#This Row],[Page]])), "",  IF(ISNUMBER(FIND("Site", Tasks[[#This Row],[Page]])), "", "ERROR"))))</f>
        <v>ERROR</v>
      </c>
      <c r="G1239" s="15" t="e">
        <f>IF(Tasks[[#This Row],[Location]]=0, "", Tasks[[#This Row],[Location]])</f>
        <v>#VALUE!</v>
      </c>
      <c r="H1239" s="15" t="e">
        <f>Tasks[[#This Row],[To Package]]</f>
        <v>#VALUE!</v>
      </c>
      <c r="I1239" s="15" t="e">
        <f>Tasks[[#This Row],[To Organisation]]</f>
        <v>#VALUE!</v>
      </c>
    </row>
    <row r="1240" spans="1:9" ht="15.5" x14ac:dyDescent="0.35">
      <c r="A1240" s="16" t="e">
        <f>HYPERLINK(_xlfn.CONCAT(Edit_URL,Tasks[[#This Row],[Ref]]),Tasks[[#This Row],[Ref]])</f>
        <v>#VALUE!</v>
      </c>
      <c r="B1240" s="15" t="e" cm="1">
        <f t="array" ref="B1240">_xlfn.SWITCH(LEFT(Tasks[[#This Row],[Status]],1),"O","Opened","C","Completed","S","Signed Off", "V", "Signed Off","ERROR")</f>
        <v>#VALUE!</v>
      </c>
      <c r="C1240" s="15" t="e" cm="1">
        <f t="array" ref="C1240">_xlfn.SWITCH(LEFT(Tasks[[#This Row],[Type]], 3), "Fie", "Field Report", "Con", "Contractor QC", "Gen", "Contractor QC", "Pun", "Contractor QC", "Qua", "Contractor QC", "Fin", "Punch List")</f>
        <v>#VALUE!</v>
      </c>
      <c r="D1240" s="15" t="e">
        <f>_xlfn.LET(
_xlpm.leftValue, TRIM(LEFT(Tasks[[#This Row],[Description]], 45)),
IF(LEN(_xlpm.leftValue) &lt; 40, _xlpm.leftValue, _xlfn.CONCAT(_xlpm.leftValue, "…"))
)</f>
        <v>#VALUE!</v>
      </c>
      <c r="E1240" s="15" t="e" cm="1">
        <f t="array" ref="E1240">_xlfn.LET(
_xlpm.inTower, COUNTIF(Tower_Num_Table[Tower Rm Numbers], LEFT(Task_Summary_Table[[#This Row],[Area/Room]], 3)) &gt; 0,
_xlpm.typeResult, _xlfn.SWITCH(LEFT(Tasks[[#This Row],[Page]], 2), "Hi", "Historic", "An", "Annex", "Si", "Site", "S5", "Project Task", "SWITCH ERROR"),
IF(_xlpm.inTower, "West Tower", _xlpm.typeResult)
)</f>
        <v>#VALUE!</v>
      </c>
      <c r="F1240" s="15" t="str">
        <f>IFERROR(MID(Tasks[[#This Row],[Page]], FIND("Level", Tasks[[#This Row],[Page]]), 7), IF(ISNUMBER(FIND("Roof", Tasks[[#This Row],[Page]])), "Roof",  IF(ISNUMBER(FIND("S590", Tasks[[#This Row],[Page]])), "",  IF(ISNUMBER(FIND("Site", Tasks[[#This Row],[Page]])), "", "ERROR"))))</f>
        <v>ERROR</v>
      </c>
      <c r="G1240" s="15" t="e">
        <f>IF(Tasks[[#This Row],[Location]]=0, "", Tasks[[#This Row],[Location]])</f>
        <v>#VALUE!</v>
      </c>
      <c r="H1240" s="15" t="e">
        <f>Tasks[[#This Row],[To Package]]</f>
        <v>#VALUE!</v>
      </c>
      <c r="I1240" s="15" t="e">
        <f>Tasks[[#This Row],[To Organisation]]</f>
        <v>#VALUE!</v>
      </c>
    </row>
    <row r="1241" spans="1:9" ht="15.5" x14ac:dyDescent="0.35">
      <c r="A1241" s="16" t="e">
        <f>HYPERLINK(_xlfn.CONCAT(Edit_URL,Tasks[[#This Row],[Ref]]),Tasks[[#This Row],[Ref]])</f>
        <v>#VALUE!</v>
      </c>
      <c r="B1241" s="15" t="e" cm="1">
        <f t="array" ref="B1241">_xlfn.SWITCH(LEFT(Tasks[[#This Row],[Status]],1),"O","Opened","C","Completed","S","Signed Off", "V", "Signed Off","ERROR")</f>
        <v>#VALUE!</v>
      </c>
      <c r="C1241" s="15" t="e" cm="1">
        <f t="array" ref="C1241">_xlfn.SWITCH(LEFT(Tasks[[#This Row],[Type]], 3), "Fie", "Field Report", "Con", "Contractor QC", "Gen", "Contractor QC", "Pun", "Contractor QC", "Qua", "Contractor QC", "Fin", "Punch List")</f>
        <v>#VALUE!</v>
      </c>
      <c r="D1241" s="15" t="e">
        <f>_xlfn.LET(
_xlpm.leftValue, TRIM(LEFT(Tasks[[#This Row],[Description]], 45)),
IF(LEN(_xlpm.leftValue) &lt; 40, _xlpm.leftValue, _xlfn.CONCAT(_xlpm.leftValue, "…"))
)</f>
        <v>#VALUE!</v>
      </c>
      <c r="E1241" s="15" t="e" cm="1">
        <f t="array" ref="E1241">_xlfn.LET(
_xlpm.inTower, COUNTIF(Tower_Num_Table[Tower Rm Numbers], LEFT(Task_Summary_Table[[#This Row],[Area/Room]], 3)) &gt; 0,
_xlpm.typeResult, _xlfn.SWITCH(LEFT(Tasks[[#This Row],[Page]], 2), "Hi", "Historic", "An", "Annex", "Si", "Site", "S5", "Project Task", "SWITCH ERROR"),
IF(_xlpm.inTower, "West Tower", _xlpm.typeResult)
)</f>
        <v>#VALUE!</v>
      </c>
      <c r="F1241" s="15" t="str">
        <f>IFERROR(MID(Tasks[[#This Row],[Page]], FIND("Level", Tasks[[#This Row],[Page]]), 7), IF(ISNUMBER(FIND("Roof", Tasks[[#This Row],[Page]])), "Roof",  IF(ISNUMBER(FIND("S590", Tasks[[#This Row],[Page]])), "",  IF(ISNUMBER(FIND("Site", Tasks[[#This Row],[Page]])), "", "ERROR"))))</f>
        <v>ERROR</v>
      </c>
      <c r="G1241" s="15" t="e">
        <f>IF(Tasks[[#This Row],[Location]]=0, "", Tasks[[#This Row],[Location]])</f>
        <v>#VALUE!</v>
      </c>
      <c r="H1241" s="15" t="e">
        <f>Tasks[[#This Row],[To Package]]</f>
        <v>#VALUE!</v>
      </c>
      <c r="I1241" s="15" t="e">
        <f>Tasks[[#This Row],[To Organisation]]</f>
        <v>#VALUE!</v>
      </c>
    </row>
    <row r="1242" spans="1:9" ht="15.5" x14ac:dyDescent="0.35">
      <c r="A1242" s="16" t="e">
        <f>HYPERLINK(_xlfn.CONCAT(Edit_URL,Tasks[[#This Row],[Ref]]),Tasks[[#This Row],[Ref]])</f>
        <v>#VALUE!</v>
      </c>
      <c r="B1242" s="15" t="e" cm="1">
        <f t="array" ref="B1242">_xlfn.SWITCH(LEFT(Tasks[[#This Row],[Status]],1),"O","Opened","C","Completed","S","Signed Off", "V", "Signed Off","ERROR")</f>
        <v>#VALUE!</v>
      </c>
      <c r="C1242" s="15" t="e" cm="1">
        <f t="array" ref="C1242">_xlfn.SWITCH(LEFT(Tasks[[#This Row],[Type]], 3), "Fie", "Field Report", "Con", "Contractor QC", "Gen", "Contractor QC", "Pun", "Contractor QC", "Qua", "Contractor QC", "Fin", "Punch List")</f>
        <v>#VALUE!</v>
      </c>
      <c r="D1242" s="15" t="e">
        <f>_xlfn.LET(
_xlpm.leftValue, TRIM(LEFT(Tasks[[#This Row],[Description]], 45)),
IF(LEN(_xlpm.leftValue) &lt; 40, _xlpm.leftValue, _xlfn.CONCAT(_xlpm.leftValue, "…"))
)</f>
        <v>#VALUE!</v>
      </c>
      <c r="E1242" s="15" t="e" cm="1">
        <f t="array" ref="E1242">_xlfn.LET(
_xlpm.inTower, COUNTIF(Tower_Num_Table[Tower Rm Numbers], LEFT(Task_Summary_Table[[#This Row],[Area/Room]], 3)) &gt; 0,
_xlpm.typeResult, _xlfn.SWITCH(LEFT(Tasks[[#This Row],[Page]], 2), "Hi", "Historic", "An", "Annex", "Si", "Site", "S5", "Project Task", "SWITCH ERROR"),
IF(_xlpm.inTower, "West Tower", _xlpm.typeResult)
)</f>
        <v>#VALUE!</v>
      </c>
      <c r="F1242" s="15" t="str">
        <f>IFERROR(MID(Tasks[[#This Row],[Page]], FIND("Level", Tasks[[#This Row],[Page]]), 7), IF(ISNUMBER(FIND("Roof", Tasks[[#This Row],[Page]])), "Roof",  IF(ISNUMBER(FIND("S590", Tasks[[#This Row],[Page]])), "",  IF(ISNUMBER(FIND("Site", Tasks[[#This Row],[Page]])), "", "ERROR"))))</f>
        <v>ERROR</v>
      </c>
      <c r="G1242" s="15" t="e">
        <f>IF(Tasks[[#This Row],[Location]]=0, "", Tasks[[#This Row],[Location]])</f>
        <v>#VALUE!</v>
      </c>
      <c r="H1242" s="15" t="e">
        <f>Tasks[[#This Row],[To Package]]</f>
        <v>#VALUE!</v>
      </c>
      <c r="I1242" s="15" t="e">
        <f>Tasks[[#This Row],[To Organisation]]</f>
        <v>#VALUE!</v>
      </c>
    </row>
    <row r="1243" spans="1:9" ht="15.5" x14ac:dyDescent="0.35">
      <c r="A1243" s="16" t="e">
        <f>HYPERLINK(_xlfn.CONCAT(Edit_URL,Tasks[[#This Row],[Ref]]),Tasks[[#This Row],[Ref]])</f>
        <v>#VALUE!</v>
      </c>
      <c r="B1243" s="15" t="e" cm="1">
        <f t="array" ref="B1243">_xlfn.SWITCH(LEFT(Tasks[[#This Row],[Status]],1),"O","Opened","C","Completed","S","Signed Off", "V", "Signed Off","ERROR")</f>
        <v>#VALUE!</v>
      </c>
      <c r="C1243" s="15" t="e" cm="1">
        <f t="array" ref="C1243">_xlfn.SWITCH(LEFT(Tasks[[#This Row],[Type]], 3), "Fie", "Field Report", "Con", "Contractor QC", "Gen", "Contractor QC", "Pun", "Contractor QC", "Qua", "Contractor QC", "Fin", "Punch List")</f>
        <v>#VALUE!</v>
      </c>
      <c r="D1243" s="15" t="e">
        <f>_xlfn.LET(
_xlpm.leftValue, TRIM(LEFT(Tasks[[#This Row],[Description]], 45)),
IF(LEN(_xlpm.leftValue) &lt; 40, _xlpm.leftValue, _xlfn.CONCAT(_xlpm.leftValue, "…"))
)</f>
        <v>#VALUE!</v>
      </c>
      <c r="E1243" s="15" t="e" cm="1">
        <f t="array" ref="E1243">_xlfn.LET(
_xlpm.inTower, COUNTIF(Tower_Num_Table[Tower Rm Numbers], LEFT(Task_Summary_Table[[#This Row],[Area/Room]], 3)) &gt; 0,
_xlpm.typeResult, _xlfn.SWITCH(LEFT(Tasks[[#This Row],[Page]], 2), "Hi", "Historic", "An", "Annex", "Si", "Site", "S5", "Project Task", "SWITCH ERROR"),
IF(_xlpm.inTower, "West Tower", _xlpm.typeResult)
)</f>
        <v>#VALUE!</v>
      </c>
      <c r="F1243" s="15" t="str">
        <f>IFERROR(MID(Tasks[[#This Row],[Page]], FIND("Level", Tasks[[#This Row],[Page]]), 7), IF(ISNUMBER(FIND("Roof", Tasks[[#This Row],[Page]])), "Roof",  IF(ISNUMBER(FIND("S590", Tasks[[#This Row],[Page]])), "",  IF(ISNUMBER(FIND("Site", Tasks[[#This Row],[Page]])), "", "ERROR"))))</f>
        <v>ERROR</v>
      </c>
      <c r="G1243" s="15" t="e">
        <f>IF(Tasks[[#This Row],[Location]]=0, "", Tasks[[#This Row],[Location]])</f>
        <v>#VALUE!</v>
      </c>
      <c r="H1243" s="15" t="e">
        <f>Tasks[[#This Row],[To Package]]</f>
        <v>#VALUE!</v>
      </c>
      <c r="I1243" s="15" t="e">
        <f>Tasks[[#This Row],[To Organisation]]</f>
        <v>#VALUE!</v>
      </c>
    </row>
    <row r="1244" spans="1:9" ht="15.5" x14ac:dyDescent="0.35">
      <c r="A1244" s="16" t="e">
        <f>HYPERLINK(_xlfn.CONCAT(Edit_URL,Tasks[[#This Row],[Ref]]),Tasks[[#This Row],[Ref]])</f>
        <v>#VALUE!</v>
      </c>
      <c r="B1244" s="15" t="e" cm="1">
        <f t="array" ref="B1244">_xlfn.SWITCH(LEFT(Tasks[[#This Row],[Status]],1),"O","Opened","C","Completed","S","Signed Off", "V", "Signed Off","ERROR")</f>
        <v>#VALUE!</v>
      </c>
      <c r="C1244" s="15" t="e" cm="1">
        <f t="array" ref="C1244">_xlfn.SWITCH(LEFT(Tasks[[#This Row],[Type]], 3), "Fie", "Field Report", "Con", "Contractor QC", "Gen", "Contractor QC", "Pun", "Contractor QC", "Qua", "Contractor QC", "Fin", "Punch List")</f>
        <v>#VALUE!</v>
      </c>
      <c r="D1244" s="15" t="e">
        <f>_xlfn.LET(
_xlpm.leftValue, TRIM(LEFT(Tasks[[#This Row],[Description]], 45)),
IF(LEN(_xlpm.leftValue) &lt; 40, _xlpm.leftValue, _xlfn.CONCAT(_xlpm.leftValue, "…"))
)</f>
        <v>#VALUE!</v>
      </c>
      <c r="E1244" s="15" t="e" cm="1">
        <f t="array" ref="E1244">_xlfn.LET(
_xlpm.inTower, COUNTIF(Tower_Num_Table[Tower Rm Numbers], LEFT(Task_Summary_Table[[#This Row],[Area/Room]], 3)) &gt; 0,
_xlpm.typeResult, _xlfn.SWITCH(LEFT(Tasks[[#This Row],[Page]], 2), "Hi", "Historic", "An", "Annex", "Si", "Site", "S5", "Project Task", "SWITCH ERROR"),
IF(_xlpm.inTower, "West Tower", _xlpm.typeResult)
)</f>
        <v>#VALUE!</v>
      </c>
      <c r="F1244" s="15" t="str">
        <f>IFERROR(MID(Tasks[[#This Row],[Page]], FIND("Level", Tasks[[#This Row],[Page]]), 7), IF(ISNUMBER(FIND("Roof", Tasks[[#This Row],[Page]])), "Roof",  IF(ISNUMBER(FIND("S590", Tasks[[#This Row],[Page]])), "",  IF(ISNUMBER(FIND("Site", Tasks[[#This Row],[Page]])), "", "ERROR"))))</f>
        <v>ERROR</v>
      </c>
      <c r="G1244" s="15" t="e">
        <f>IF(Tasks[[#This Row],[Location]]=0, "", Tasks[[#This Row],[Location]])</f>
        <v>#VALUE!</v>
      </c>
      <c r="H1244" s="15" t="e">
        <f>Tasks[[#This Row],[To Package]]</f>
        <v>#VALUE!</v>
      </c>
      <c r="I1244" s="15" t="e">
        <f>Tasks[[#This Row],[To Organisation]]</f>
        <v>#VALUE!</v>
      </c>
    </row>
    <row r="1245" spans="1:9" ht="15.5" x14ac:dyDescent="0.35">
      <c r="A1245" s="16" t="e">
        <f>HYPERLINK(_xlfn.CONCAT(Edit_URL,Tasks[[#This Row],[Ref]]),Tasks[[#This Row],[Ref]])</f>
        <v>#VALUE!</v>
      </c>
      <c r="B1245" s="15" t="e" cm="1">
        <f t="array" ref="B1245">_xlfn.SWITCH(LEFT(Tasks[[#This Row],[Status]],1),"O","Opened","C","Completed","S","Signed Off", "V", "Signed Off","ERROR")</f>
        <v>#VALUE!</v>
      </c>
      <c r="C1245" s="15" t="e" cm="1">
        <f t="array" ref="C1245">_xlfn.SWITCH(LEFT(Tasks[[#This Row],[Type]], 3), "Fie", "Field Report", "Con", "Contractor QC", "Gen", "Contractor QC", "Pun", "Contractor QC", "Qua", "Contractor QC", "Fin", "Punch List")</f>
        <v>#VALUE!</v>
      </c>
      <c r="D1245" s="15" t="e">
        <f>_xlfn.LET(
_xlpm.leftValue, TRIM(LEFT(Tasks[[#This Row],[Description]], 45)),
IF(LEN(_xlpm.leftValue) &lt; 40, _xlpm.leftValue, _xlfn.CONCAT(_xlpm.leftValue, "…"))
)</f>
        <v>#VALUE!</v>
      </c>
      <c r="E1245" s="15" t="e" cm="1">
        <f t="array" ref="E1245">_xlfn.LET(
_xlpm.inTower, COUNTIF(Tower_Num_Table[Tower Rm Numbers], LEFT(Task_Summary_Table[[#This Row],[Area/Room]], 3)) &gt; 0,
_xlpm.typeResult, _xlfn.SWITCH(LEFT(Tasks[[#This Row],[Page]], 2), "Hi", "Historic", "An", "Annex", "Si", "Site", "S5", "Project Task", "SWITCH ERROR"),
IF(_xlpm.inTower, "West Tower", _xlpm.typeResult)
)</f>
        <v>#VALUE!</v>
      </c>
      <c r="F1245" s="15" t="str">
        <f>IFERROR(MID(Tasks[[#This Row],[Page]], FIND("Level", Tasks[[#This Row],[Page]]), 7), IF(ISNUMBER(FIND("Roof", Tasks[[#This Row],[Page]])), "Roof",  IF(ISNUMBER(FIND("S590", Tasks[[#This Row],[Page]])), "",  IF(ISNUMBER(FIND("Site", Tasks[[#This Row],[Page]])), "", "ERROR"))))</f>
        <v>ERROR</v>
      </c>
      <c r="G1245" s="15" t="e">
        <f>IF(Tasks[[#This Row],[Location]]=0, "", Tasks[[#This Row],[Location]])</f>
        <v>#VALUE!</v>
      </c>
      <c r="H1245" s="15" t="e">
        <f>Tasks[[#This Row],[To Package]]</f>
        <v>#VALUE!</v>
      </c>
      <c r="I1245" s="15" t="e">
        <f>Tasks[[#This Row],[To Organisation]]</f>
        <v>#VALUE!</v>
      </c>
    </row>
    <row r="1246" spans="1:9" ht="15.5" x14ac:dyDescent="0.35">
      <c r="A1246" s="16" t="e">
        <f>HYPERLINK(_xlfn.CONCAT(Edit_URL,Tasks[[#This Row],[Ref]]),Tasks[[#This Row],[Ref]])</f>
        <v>#VALUE!</v>
      </c>
      <c r="B1246" s="15" t="e" cm="1">
        <f t="array" ref="B1246">_xlfn.SWITCH(LEFT(Tasks[[#This Row],[Status]],1),"O","Opened","C","Completed","S","Signed Off", "V", "Signed Off","ERROR")</f>
        <v>#VALUE!</v>
      </c>
      <c r="C1246" s="15" t="e" cm="1">
        <f t="array" ref="C1246">_xlfn.SWITCH(LEFT(Tasks[[#This Row],[Type]], 3), "Fie", "Field Report", "Con", "Contractor QC", "Gen", "Contractor QC", "Pun", "Contractor QC", "Qua", "Contractor QC", "Fin", "Punch List")</f>
        <v>#VALUE!</v>
      </c>
      <c r="D1246" s="15" t="e">
        <f>_xlfn.LET(
_xlpm.leftValue, TRIM(LEFT(Tasks[[#This Row],[Description]], 45)),
IF(LEN(_xlpm.leftValue) &lt; 40, _xlpm.leftValue, _xlfn.CONCAT(_xlpm.leftValue, "…"))
)</f>
        <v>#VALUE!</v>
      </c>
      <c r="E1246" s="15" t="e" cm="1">
        <f t="array" ref="E1246">_xlfn.LET(
_xlpm.inTower, COUNTIF(Tower_Num_Table[Tower Rm Numbers], LEFT(Task_Summary_Table[[#This Row],[Area/Room]], 3)) &gt; 0,
_xlpm.typeResult, _xlfn.SWITCH(LEFT(Tasks[[#This Row],[Page]], 2), "Hi", "Historic", "An", "Annex", "Si", "Site", "S5", "Project Task", "SWITCH ERROR"),
IF(_xlpm.inTower, "West Tower", _xlpm.typeResult)
)</f>
        <v>#VALUE!</v>
      </c>
      <c r="F1246" s="15" t="str">
        <f>IFERROR(MID(Tasks[[#This Row],[Page]], FIND("Level", Tasks[[#This Row],[Page]]), 7), IF(ISNUMBER(FIND("Roof", Tasks[[#This Row],[Page]])), "Roof",  IF(ISNUMBER(FIND("S590", Tasks[[#This Row],[Page]])), "",  IF(ISNUMBER(FIND("Site", Tasks[[#This Row],[Page]])), "", "ERROR"))))</f>
        <v>ERROR</v>
      </c>
      <c r="G1246" s="15" t="e">
        <f>IF(Tasks[[#This Row],[Location]]=0, "", Tasks[[#This Row],[Location]])</f>
        <v>#VALUE!</v>
      </c>
      <c r="H1246" s="15" t="e">
        <f>Tasks[[#This Row],[To Package]]</f>
        <v>#VALUE!</v>
      </c>
      <c r="I1246" s="15" t="e">
        <f>Tasks[[#This Row],[To Organisation]]</f>
        <v>#VALUE!</v>
      </c>
    </row>
    <row r="1247" spans="1:9" ht="15.5" x14ac:dyDescent="0.35">
      <c r="A1247" s="16" t="e">
        <f>HYPERLINK(_xlfn.CONCAT(Edit_URL,Tasks[[#This Row],[Ref]]),Tasks[[#This Row],[Ref]])</f>
        <v>#VALUE!</v>
      </c>
      <c r="B1247" s="15" t="e" cm="1">
        <f t="array" ref="B1247">_xlfn.SWITCH(LEFT(Tasks[[#This Row],[Status]],1),"O","Opened","C","Completed","S","Signed Off", "V", "Signed Off","ERROR")</f>
        <v>#VALUE!</v>
      </c>
      <c r="C1247" s="15" t="e" cm="1">
        <f t="array" ref="C1247">_xlfn.SWITCH(LEFT(Tasks[[#This Row],[Type]], 3), "Fie", "Field Report", "Con", "Contractor QC", "Gen", "Contractor QC", "Pun", "Contractor QC", "Qua", "Contractor QC", "Fin", "Punch List")</f>
        <v>#VALUE!</v>
      </c>
      <c r="D1247" s="15" t="e">
        <f>_xlfn.LET(
_xlpm.leftValue, TRIM(LEFT(Tasks[[#This Row],[Description]], 45)),
IF(LEN(_xlpm.leftValue) &lt; 40, _xlpm.leftValue, _xlfn.CONCAT(_xlpm.leftValue, "…"))
)</f>
        <v>#VALUE!</v>
      </c>
      <c r="E1247" s="15" t="e" cm="1">
        <f t="array" ref="E1247">_xlfn.LET(
_xlpm.inTower, COUNTIF(Tower_Num_Table[Tower Rm Numbers], LEFT(Task_Summary_Table[[#This Row],[Area/Room]], 3)) &gt; 0,
_xlpm.typeResult, _xlfn.SWITCH(LEFT(Tasks[[#This Row],[Page]], 2), "Hi", "Historic", "An", "Annex", "Si", "Site", "S5", "Project Task", "SWITCH ERROR"),
IF(_xlpm.inTower, "West Tower", _xlpm.typeResult)
)</f>
        <v>#VALUE!</v>
      </c>
      <c r="F1247" s="15" t="str">
        <f>IFERROR(MID(Tasks[[#This Row],[Page]], FIND("Level", Tasks[[#This Row],[Page]]), 7), IF(ISNUMBER(FIND("Roof", Tasks[[#This Row],[Page]])), "Roof",  IF(ISNUMBER(FIND("S590", Tasks[[#This Row],[Page]])), "",  IF(ISNUMBER(FIND("Site", Tasks[[#This Row],[Page]])), "", "ERROR"))))</f>
        <v>ERROR</v>
      </c>
      <c r="G1247" s="15" t="e">
        <f>IF(Tasks[[#This Row],[Location]]=0, "", Tasks[[#This Row],[Location]])</f>
        <v>#VALUE!</v>
      </c>
      <c r="H1247" s="15" t="e">
        <f>Tasks[[#This Row],[To Package]]</f>
        <v>#VALUE!</v>
      </c>
      <c r="I1247" s="15" t="e">
        <f>Tasks[[#This Row],[To Organisation]]</f>
        <v>#VALUE!</v>
      </c>
    </row>
    <row r="1248" spans="1:9" ht="15.5" x14ac:dyDescent="0.35">
      <c r="A1248" s="16" t="e">
        <f>HYPERLINK(_xlfn.CONCAT(Edit_URL,Tasks[[#This Row],[Ref]]),Tasks[[#This Row],[Ref]])</f>
        <v>#VALUE!</v>
      </c>
      <c r="B1248" s="15" t="e" cm="1">
        <f t="array" ref="B1248">_xlfn.SWITCH(LEFT(Tasks[[#This Row],[Status]],1),"O","Opened","C","Completed","S","Signed Off", "V", "Signed Off","ERROR")</f>
        <v>#VALUE!</v>
      </c>
      <c r="C1248" s="15" t="e" cm="1">
        <f t="array" ref="C1248">_xlfn.SWITCH(LEFT(Tasks[[#This Row],[Type]], 3), "Fie", "Field Report", "Con", "Contractor QC", "Gen", "Contractor QC", "Pun", "Contractor QC", "Qua", "Contractor QC", "Fin", "Punch List")</f>
        <v>#VALUE!</v>
      </c>
      <c r="D1248" s="15" t="e">
        <f>_xlfn.LET(
_xlpm.leftValue, TRIM(LEFT(Tasks[[#This Row],[Description]], 45)),
IF(LEN(_xlpm.leftValue) &lt; 40, _xlpm.leftValue, _xlfn.CONCAT(_xlpm.leftValue, "…"))
)</f>
        <v>#VALUE!</v>
      </c>
      <c r="E1248" s="15" t="e" cm="1">
        <f t="array" ref="E1248">_xlfn.LET(
_xlpm.inTower, COUNTIF(Tower_Num_Table[Tower Rm Numbers], LEFT(Task_Summary_Table[[#This Row],[Area/Room]], 3)) &gt; 0,
_xlpm.typeResult, _xlfn.SWITCH(LEFT(Tasks[[#This Row],[Page]], 2), "Hi", "Historic", "An", "Annex", "Si", "Site", "S5", "Project Task", "SWITCH ERROR"),
IF(_xlpm.inTower, "West Tower", _xlpm.typeResult)
)</f>
        <v>#VALUE!</v>
      </c>
      <c r="F1248" s="15" t="str">
        <f>IFERROR(MID(Tasks[[#This Row],[Page]], FIND("Level", Tasks[[#This Row],[Page]]), 7), IF(ISNUMBER(FIND("Roof", Tasks[[#This Row],[Page]])), "Roof",  IF(ISNUMBER(FIND("S590", Tasks[[#This Row],[Page]])), "",  IF(ISNUMBER(FIND("Site", Tasks[[#This Row],[Page]])), "", "ERROR"))))</f>
        <v>ERROR</v>
      </c>
      <c r="G1248" s="15" t="e">
        <f>IF(Tasks[[#This Row],[Location]]=0, "", Tasks[[#This Row],[Location]])</f>
        <v>#VALUE!</v>
      </c>
      <c r="H1248" s="15" t="e">
        <f>Tasks[[#This Row],[To Package]]</f>
        <v>#VALUE!</v>
      </c>
      <c r="I1248" s="15" t="e">
        <f>Tasks[[#This Row],[To Organisation]]</f>
        <v>#VALUE!</v>
      </c>
    </row>
    <row r="1249" spans="1:9" ht="15.5" x14ac:dyDescent="0.35">
      <c r="A1249" s="16" t="e">
        <f>HYPERLINK(_xlfn.CONCAT(Edit_URL,Tasks[[#This Row],[Ref]]),Tasks[[#This Row],[Ref]])</f>
        <v>#VALUE!</v>
      </c>
      <c r="B1249" s="15" t="e" cm="1">
        <f t="array" ref="B1249">_xlfn.SWITCH(LEFT(Tasks[[#This Row],[Status]],1),"O","Opened","C","Completed","S","Signed Off", "V", "Signed Off","ERROR")</f>
        <v>#VALUE!</v>
      </c>
      <c r="C1249" s="15" t="e" cm="1">
        <f t="array" ref="C1249">_xlfn.SWITCH(LEFT(Tasks[[#This Row],[Type]], 3), "Fie", "Field Report", "Con", "Contractor QC", "Gen", "Contractor QC", "Pun", "Contractor QC", "Qua", "Contractor QC", "Fin", "Punch List")</f>
        <v>#VALUE!</v>
      </c>
      <c r="D1249" s="15" t="e">
        <f>_xlfn.LET(
_xlpm.leftValue, TRIM(LEFT(Tasks[[#This Row],[Description]], 45)),
IF(LEN(_xlpm.leftValue) &lt; 40, _xlpm.leftValue, _xlfn.CONCAT(_xlpm.leftValue, "…"))
)</f>
        <v>#VALUE!</v>
      </c>
      <c r="E1249" s="15" t="e" cm="1">
        <f t="array" ref="E1249">_xlfn.LET(
_xlpm.inTower, COUNTIF(Tower_Num_Table[Tower Rm Numbers], LEFT(Task_Summary_Table[[#This Row],[Area/Room]], 3)) &gt; 0,
_xlpm.typeResult, _xlfn.SWITCH(LEFT(Tasks[[#This Row],[Page]], 2), "Hi", "Historic", "An", "Annex", "Si", "Site", "S5", "Project Task", "SWITCH ERROR"),
IF(_xlpm.inTower, "West Tower", _xlpm.typeResult)
)</f>
        <v>#VALUE!</v>
      </c>
      <c r="F1249" s="15" t="str">
        <f>IFERROR(MID(Tasks[[#This Row],[Page]], FIND("Level", Tasks[[#This Row],[Page]]), 7), IF(ISNUMBER(FIND("Roof", Tasks[[#This Row],[Page]])), "Roof",  IF(ISNUMBER(FIND("S590", Tasks[[#This Row],[Page]])), "",  IF(ISNUMBER(FIND("Site", Tasks[[#This Row],[Page]])), "", "ERROR"))))</f>
        <v>ERROR</v>
      </c>
      <c r="G1249" s="15" t="e">
        <f>IF(Tasks[[#This Row],[Location]]=0, "", Tasks[[#This Row],[Location]])</f>
        <v>#VALUE!</v>
      </c>
      <c r="H1249" s="15" t="e">
        <f>Tasks[[#This Row],[To Package]]</f>
        <v>#VALUE!</v>
      </c>
      <c r="I1249" s="15" t="e">
        <f>Tasks[[#This Row],[To Organisation]]</f>
        <v>#VALUE!</v>
      </c>
    </row>
    <row r="1250" spans="1:9" ht="15.5" x14ac:dyDescent="0.35">
      <c r="A1250" s="16" t="e">
        <f>HYPERLINK(_xlfn.CONCAT(Edit_URL,Tasks[[#This Row],[Ref]]),Tasks[[#This Row],[Ref]])</f>
        <v>#VALUE!</v>
      </c>
      <c r="B1250" s="15" t="e" cm="1">
        <f t="array" ref="B1250">_xlfn.SWITCH(LEFT(Tasks[[#This Row],[Status]],1),"O","Opened","C","Completed","S","Signed Off", "V", "Signed Off","ERROR")</f>
        <v>#VALUE!</v>
      </c>
      <c r="C1250" s="15" t="e" cm="1">
        <f t="array" ref="C1250">_xlfn.SWITCH(LEFT(Tasks[[#This Row],[Type]], 3), "Fie", "Field Report", "Con", "Contractor QC", "Gen", "Contractor QC", "Pun", "Contractor QC", "Qua", "Contractor QC", "Fin", "Punch List")</f>
        <v>#VALUE!</v>
      </c>
      <c r="D1250" s="15" t="e">
        <f>_xlfn.LET(
_xlpm.leftValue, TRIM(LEFT(Tasks[[#This Row],[Description]], 45)),
IF(LEN(_xlpm.leftValue) &lt; 40, _xlpm.leftValue, _xlfn.CONCAT(_xlpm.leftValue, "…"))
)</f>
        <v>#VALUE!</v>
      </c>
      <c r="E1250" s="15" t="e" cm="1">
        <f t="array" ref="E1250">_xlfn.LET(
_xlpm.inTower, COUNTIF(Tower_Num_Table[Tower Rm Numbers], LEFT(Task_Summary_Table[[#This Row],[Area/Room]], 3)) &gt; 0,
_xlpm.typeResult, _xlfn.SWITCH(LEFT(Tasks[[#This Row],[Page]], 2), "Hi", "Historic", "An", "Annex", "Si", "Site", "S5", "Project Task", "SWITCH ERROR"),
IF(_xlpm.inTower, "West Tower", _xlpm.typeResult)
)</f>
        <v>#VALUE!</v>
      </c>
      <c r="F1250" s="15" t="str">
        <f>IFERROR(MID(Tasks[[#This Row],[Page]], FIND("Level", Tasks[[#This Row],[Page]]), 7), IF(ISNUMBER(FIND("Roof", Tasks[[#This Row],[Page]])), "Roof",  IF(ISNUMBER(FIND("S590", Tasks[[#This Row],[Page]])), "",  IF(ISNUMBER(FIND("Site", Tasks[[#This Row],[Page]])), "", "ERROR"))))</f>
        <v>ERROR</v>
      </c>
      <c r="G1250" s="15" t="e">
        <f>IF(Tasks[[#This Row],[Location]]=0, "", Tasks[[#This Row],[Location]])</f>
        <v>#VALUE!</v>
      </c>
      <c r="H1250" s="15" t="e">
        <f>Tasks[[#This Row],[To Package]]</f>
        <v>#VALUE!</v>
      </c>
      <c r="I1250" s="15" t="e">
        <f>Tasks[[#This Row],[To Organisation]]</f>
        <v>#VALUE!</v>
      </c>
    </row>
    <row r="1251" spans="1:9" ht="15.5" x14ac:dyDescent="0.35">
      <c r="A1251" s="16" t="e">
        <f>HYPERLINK(_xlfn.CONCAT(Edit_URL,Tasks[[#This Row],[Ref]]),Tasks[[#This Row],[Ref]])</f>
        <v>#VALUE!</v>
      </c>
      <c r="B1251" s="15" t="e" cm="1">
        <f t="array" ref="B1251">_xlfn.SWITCH(LEFT(Tasks[[#This Row],[Status]],1),"O","Opened","C","Completed","S","Signed Off", "V", "Signed Off","ERROR")</f>
        <v>#VALUE!</v>
      </c>
      <c r="C1251" s="15" t="e" cm="1">
        <f t="array" ref="C1251">_xlfn.SWITCH(LEFT(Tasks[[#This Row],[Type]], 3), "Fie", "Field Report", "Con", "Contractor QC", "Gen", "Contractor QC", "Pun", "Contractor QC", "Qua", "Contractor QC", "Fin", "Punch List")</f>
        <v>#VALUE!</v>
      </c>
      <c r="D1251" s="15" t="e">
        <f>_xlfn.LET(
_xlpm.leftValue, TRIM(LEFT(Tasks[[#This Row],[Description]], 45)),
IF(LEN(_xlpm.leftValue) &lt; 40, _xlpm.leftValue, _xlfn.CONCAT(_xlpm.leftValue, "…"))
)</f>
        <v>#VALUE!</v>
      </c>
      <c r="E1251" s="15" t="e" cm="1">
        <f t="array" ref="E1251">_xlfn.LET(
_xlpm.inTower, COUNTIF(Tower_Num_Table[Tower Rm Numbers], LEFT(Task_Summary_Table[[#This Row],[Area/Room]], 3)) &gt; 0,
_xlpm.typeResult, _xlfn.SWITCH(LEFT(Tasks[[#This Row],[Page]], 2), "Hi", "Historic", "An", "Annex", "Si", "Site", "S5", "Project Task", "SWITCH ERROR"),
IF(_xlpm.inTower, "West Tower", _xlpm.typeResult)
)</f>
        <v>#VALUE!</v>
      </c>
      <c r="F1251" s="15" t="str">
        <f>IFERROR(MID(Tasks[[#This Row],[Page]], FIND("Level", Tasks[[#This Row],[Page]]), 7), IF(ISNUMBER(FIND("Roof", Tasks[[#This Row],[Page]])), "Roof",  IF(ISNUMBER(FIND("S590", Tasks[[#This Row],[Page]])), "",  IF(ISNUMBER(FIND("Site", Tasks[[#This Row],[Page]])), "", "ERROR"))))</f>
        <v>ERROR</v>
      </c>
      <c r="G1251" s="15" t="e">
        <f>IF(Tasks[[#This Row],[Location]]=0, "", Tasks[[#This Row],[Location]])</f>
        <v>#VALUE!</v>
      </c>
      <c r="H1251" s="15" t="e">
        <f>Tasks[[#This Row],[To Package]]</f>
        <v>#VALUE!</v>
      </c>
      <c r="I1251" s="15" t="e">
        <f>Tasks[[#This Row],[To Organisation]]</f>
        <v>#VALUE!</v>
      </c>
    </row>
    <row r="1252" spans="1:9" ht="15.5" x14ac:dyDescent="0.35">
      <c r="A1252" s="16" t="e">
        <f>HYPERLINK(_xlfn.CONCAT(Edit_URL,Tasks[[#This Row],[Ref]]),Tasks[[#This Row],[Ref]])</f>
        <v>#VALUE!</v>
      </c>
      <c r="B1252" s="15" t="e" cm="1">
        <f t="array" ref="B1252">_xlfn.SWITCH(LEFT(Tasks[[#This Row],[Status]],1),"O","Opened","C","Completed","S","Signed Off", "V", "Signed Off","ERROR")</f>
        <v>#VALUE!</v>
      </c>
      <c r="C1252" s="15" t="e" cm="1">
        <f t="array" ref="C1252">_xlfn.SWITCH(LEFT(Tasks[[#This Row],[Type]], 3), "Fie", "Field Report", "Con", "Contractor QC", "Gen", "Contractor QC", "Pun", "Contractor QC", "Qua", "Contractor QC", "Fin", "Punch List")</f>
        <v>#VALUE!</v>
      </c>
      <c r="D1252" s="15" t="e">
        <f>_xlfn.LET(
_xlpm.leftValue, TRIM(LEFT(Tasks[[#This Row],[Description]], 45)),
IF(LEN(_xlpm.leftValue) &lt; 40, _xlpm.leftValue, _xlfn.CONCAT(_xlpm.leftValue, "…"))
)</f>
        <v>#VALUE!</v>
      </c>
      <c r="E1252" s="15" t="e" cm="1">
        <f t="array" ref="E1252">_xlfn.LET(
_xlpm.inTower, COUNTIF(Tower_Num_Table[Tower Rm Numbers], LEFT(Task_Summary_Table[[#This Row],[Area/Room]], 3)) &gt; 0,
_xlpm.typeResult, _xlfn.SWITCH(LEFT(Tasks[[#This Row],[Page]], 2), "Hi", "Historic", "An", "Annex", "Si", "Site", "S5", "Project Task", "SWITCH ERROR"),
IF(_xlpm.inTower, "West Tower", _xlpm.typeResult)
)</f>
        <v>#VALUE!</v>
      </c>
      <c r="F1252" s="15" t="str">
        <f>IFERROR(MID(Tasks[[#This Row],[Page]], FIND("Level", Tasks[[#This Row],[Page]]), 7), IF(ISNUMBER(FIND("Roof", Tasks[[#This Row],[Page]])), "Roof",  IF(ISNUMBER(FIND("S590", Tasks[[#This Row],[Page]])), "",  IF(ISNUMBER(FIND("Site", Tasks[[#This Row],[Page]])), "", "ERROR"))))</f>
        <v>ERROR</v>
      </c>
      <c r="G1252" s="15" t="e">
        <f>IF(Tasks[[#This Row],[Location]]=0, "", Tasks[[#This Row],[Location]])</f>
        <v>#VALUE!</v>
      </c>
      <c r="H1252" s="15" t="e">
        <f>Tasks[[#This Row],[To Package]]</f>
        <v>#VALUE!</v>
      </c>
      <c r="I1252" s="15" t="e">
        <f>Tasks[[#This Row],[To Organisation]]</f>
        <v>#VALUE!</v>
      </c>
    </row>
    <row r="1253" spans="1:9" ht="15.5" x14ac:dyDescent="0.35">
      <c r="A1253" s="16" t="e">
        <f>HYPERLINK(_xlfn.CONCAT(Edit_URL,Tasks[[#This Row],[Ref]]),Tasks[[#This Row],[Ref]])</f>
        <v>#VALUE!</v>
      </c>
      <c r="B1253" s="15" t="e" cm="1">
        <f t="array" ref="B1253">_xlfn.SWITCH(LEFT(Tasks[[#This Row],[Status]],1),"O","Opened","C","Completed","S","Signed Off", "V", "Signed Off","ERROR")</f>
        <v>#VALUE!</v>
      </c>
      <c r="C1253" s="15" t="e" cm="1">
        <f t="array" ref="C1253">_xlfn.SWITCH(LEFT(Tasks[[#This Row],[Type]], 3), "Fie", "Field Report", "Con", "Contractor QC", "Gen", "Contractor QC", "Pun", "Contractor QC", "Qua", "Contractor QC", "Fin", "Punch List")</f>
        <v>#VALUE!</v>
      </c>
      <c r="D1253" s="15" t="e">
        <f>_xlfn.LET(
_xlpm.leftValue, TRIM(LEFT(Tasks[[#This Row],[Description]], 45)),
IF(LEN(_xlpm.leftValue) &lt; 40, _xlpm.leftValue, _xlfn.CONCAT(_xlpm.leftValue, "…"))
)</f>
        <v>#VALUE!</v>
      </c>
      <c r="E1253" s="15" t="e" cm="1">
        <f t="array" ref="E1253">_xlfn.LET(
_xlpm.inTower, COUNTIF(Tower_Num_Table[Tower Rm Numbers], LEFT(Task_Summary_Table[[#This Row],[Area/Room]], 3)) &gt; 0,
_xlpm.typeResult, _xlfn.SWITCH(LEFT(Tasks[[#This Row],[Page]], 2), "Hi", "Historic", "An", "Annex", "Si", "Site", "S5", "Project Task", "SWITCH ERROR"),
IF(_xlpm.inTower, "West Tower", _xlpm.typeResult)
)</f>
        <v>#VALUE!</v>
      </c>
      <c r="F1253" s="15" t="str">
        <f>IFERROR(MID(Tasks[[#This Row],[Page]], FIND("Level", Tasks[[#This Row],[Page]]), 7), IF(ISNUMBER(FIND("Roof", Tasks[[#This Row],[Page]])), "Roof",  IF(ISNUMBER(FIND("S590", Tasks[[#This Row],[Page]])), "",  IF(ISNUMBER(FIND("Site", Tasks[[#This Row],[Page]])), "", "ERROR"))))</f>
        <v>ERROR</v>
      </c>
      <c r="G1253" s="15" t="e">
        <f>IF(Tasks[[#This Row],[Location]]=0, "", Tasks[[#This Row],[Location]])</f>
        <v>#VALUE!</v>
      </c>
      <c r="H1253" s="15" t="e">
        <f>Tasks[[#This Row],[To Package]]</f>
        <v>#VALUE!</v>
      </c>
      <c r="I1253" s="15" t="e">
        <f>Tasks[[#This Row],[To Organisation]]</f>
        <v>#VALUE!</v>
      </c>
    </row>
    <row r="1254" spans="1:9" ht="15.5" x14ac:dyDescent="0.35">
      <c r="A1254" s="16" t="e">
        <f>HYPERLINK(_xlfn.CONCAT(Edit_URL,Tasks[[#This Row],[Ref]]),Tasks[[#This Row],[Ref]])</f>
        <v>#VALUE!</v>
      </c>
      <c r="B1254" s="15" t="e" cm="1">
        <f t="array" ref="B1254">_xlfn.SWITCH(LEFT(Tasks[[#This Row],[Status]],1),"O","Opened","C","Completed","S","Signed Off", "V", "Signed Off","ERROR")</f>
        <v>#VALUE!</v>
      </c>
      <c r="C1254" s="15" t="e" cm="1">
        <f t="array" ref="C1254">_xlfn.SWITCH(LEFT(Tasks[[#This Row],[Type]], 3), "Fie", "Field Report", "Con", "Contractor QC", "Gen", "Contractor QC", "Pun", "Contractor QC", "Qua", "Contractor QC", "Fin", "Punch List")</f>
        <v>#VALUE!</v>
      </c>
      <c r="D1254" s="15" t="e">
        <f>_xlfn.LET(
_xlpm.leftValue, TRIM(LEFT(Tasks[[#This Row],[Description]], 45)),
IF(LEN(_xlpm.leftValue) &lt; 40, _xlpm.leftValue, _xlfn.CONCAT(_xlpm.leftValue, "…"))
)</f>
        <v>#VALUE!</v>
      </c>
      <c r="E1254" s="15" t="e" cm="1">
        <f t="array" ref="E1254">_xlfn.LET(
_xlpm.inTower, COUNTIF(Tower_Num_Table[Tower Rm Numbers], LEFT(Task_Summary_Table[[#This Row],[Area/Room]], 3)) &gt; 0,
_xlpm.typeResult, _xlfn.SWITCH(LEFT(Tasks[[#This Row],[Page]], 2), "Hi", "Historic", "An", "Annex", "Si", "Site", "S5", "Project Task", "SWITCH ERROR"),
IF(_xlpm.inTower, "West Tower", _xlpm.typeResult)
)</f>
        <v>#VALUE!</v>
      </c>
      <c r="F1254" s="15" t="str">
        <f>IFERROR(MID(Tasks[[#This Row],[Page]], FIND("Level", Tasks[[#This Row],[Page]]), 7), IF(ISNUMBER(FIND("Roof", Tasks[[#This Row],[Page]])), "Roof",  IF(ISNUMBER(FIND("S590", Tasks[[#This Row],[Page]])), "",  IF(ISNUMBER(FIND("Site", Tasks[[#This Row],[Page]])), "", "ERROR"))))</f>
        <v>ERROR</v>
      </c>
      <c r="G1254" s="15" t="e">
        <f>IF(Tasks[[#This Row],[Location]]=0, "", Tasks[[#This Row],[Location]])</f>
        <v>#VALUE!</v>
      </c>
      <c r="H1254" s="15" t="e">
        <f>Tasks[[#This Row],[To Package]]</f>
        <v>#VALUE!</v>
      </c>
      <c r="I1254" s="15" t="e">
        <f>Tasks[[#This Row],[To Organisation]]</f>
        <v>#VALUE!</v>
      </c>
    </row>
    <row r="1255" spans="1:9" ht="15.5" x14ac:dyDescent="0.35">
      <c r="A1255" s="16" t="e">
        <f>HYPERLINK(_xlfn.CONCAT(Edit_URL,Tasks[[#This Row],[Ref]]),Tasks[[#This Row],[Ref]])</f>
        <v>#VALUE!</v>
      </c>
      <c r="B1255" s="15" t="e" cm="1">
        <f t="array" ref="B1255">_xlfn.SWITCH(LEFT(Tasks[[#This Row],[Status]],1),"O","Opened","C","Completed","S","Signed Off", "V", "Signed Off","ERROR")</f>
        <v>#VALUE!</v>
      </c>
      <c r="C1255" s="15" t="e" cm="1">
        <f t="array" ref="C1255">_xlfn.SWITCH(LEFT(Tasks[[#This Row],[Type]], 3), "Fie", "Field Report", "Con", "Contractor QC", "Gen", "Contractor QC", "Pun", "Contractor QC", "Qua", "Contractor QC", "Fin", "Punch List")</f>
        <v>#VALUE!</v>
      </c>
      <c r="D1255" s="15" t="e">
        <f>_xlfn.LET(
_xlpm.leftValue, TRIM(LEFT(Tasks[[#This Row],[Description]], 45)),
IF(LEN(_xlpm.leftValue) &lt; 40, _xlpm.leftValue, _xlfn.CONCAT(_xlpm.leftValue, "…"))
)</f>
        <v>#VALUE!</v>
      </c>
      <c r="E1255" s="15" t="e" cm="1">
        <f t="array" ref="E1255">_xlfn.LET(
_xlpm.inTower, COUNTIF(Tower_Num_Table[Tower Rm Numbers], LEFT(Task_Summary_Table[[#This Row],[Area/Room]], 3)) &gt; 0,
_xlpm.typeResult, _xlfn.SWITCH(LEFT(Tasks[[#This Row],[Page]], 2), "Hi", "Historic", "An", "Annex", "Si", "Site", "S5", "Project Task", "SWITCH ERROR"),
IF(_xlpm.inTower, "West Tower", _xlpm.typeResult)
)</f>
        <v>#VALUE!</v>
      </c>
      <c r="F1255" s="15" t="str">
        <f>IFERROR(MID(Tasks[[#This Row],[Page]], FIND("Level", Tasks[[#This Row],[Page]]), 7), IF(ISNUMBER(FIND("Roof", Tasks[[#This Row],[Page]])), "Roof",  IF(ISNUMBER(FIND("S590", Tasks[[#This Row],[Page]])), "",  IF(ISNUMBER(FIND("Site", Tasks[[#This Row],[Page]])), "", "ERROR"))))</f>
        <v>ERROR</v>
      </c>
      <c r="G1255" s="15" t="e">
        <f>IF(Tasks[[#This Row],[Location]]=0, "", Tasks[[#This Row],[Location]])</f>
        <v>#VALUE!</v>
      </c>
      <c r="H1255" s="15" t="e">
        <f>Tasks[[#This Row],[To Package]]</f>
        <v>#VALUE!</v>
      </c>
      <c r="I1255" s="15" t="e">
        <f>Tasks[[#This Row],[To Organisation]]</f>
        <v>#VALUE!</v>
      </c>
    </row>
    <row r="1256" spans="1:9" ht="15.5" x14ac:dyDescent="0.35">
      <c r="A1256" s="16" t="e">
        <f>HYPERLINK(_xlfn.CONCAT(Edit_URL,Tasks[[#This Row],[Ref]]),Tasks[[#This Row],[Ref]])</f>
        <v>#VALUE!</v>
      </c>
      <c r="B1256" s="15" t="e" cm="1">
        <f t="array" ref="B1256">_xlfn.SWITCH(LEFT(Tasks[[#This Row],[Status]],1),"O","Opened","C","Completed","S","Signed Off", "V", "Signed Off","ERROR")</f>
        <v>#VALUE!</v>
      </c>
      <c r="C1256" s="15" t="e" cm="1">
        <f t="array" ref="C1256">_xlfn.SWITCH(LEFT(Tasks[[#This Row],[Type]], 3), "Fie", "Field Report", "Con", "Contractor QC", "Gen", "Contractor QC", "Pun", "Contractor QC", "Qua", "Contractor QC", "Fin", "Punch List")</f>
        <v>#VALUE!</v>
      </c>
      <c r="D1256" s="15" t="e">
        <f>_xlfn.LET(
_xlpm.leftValue, TRIM(LEFT(Tasks[[#This Row],[Description]], 45)),
IF(LEN(_xlpm.leftValue) &lt; 40, _xlpm.leftValue, _xlfn.CONCAT(_xlpm.leftValue, "…"))
)</f>
        <v>#VALUE!</v>
      </c>
      <c r="E1256" s="15" t="e" cm="1">
        <f t="array" ref="E1256">_xlfn.LET(
_xlpm.inTower, COUNTIF(Tower_Num_Table[Tower Rm Numbers], LEFT(Task_Summary_Table[[#This Row],[Area/Room]], 3)) &gt; 0,
_xlpm.typeResult, _xlfn.SWITCH(LEFT(Tasks[[#This Row],[Page]], 2), "Hi", "Historic", "An", "Annex", "Si", "Site", "S5", "Project Task", "SWITCH ERROR"),
IF(_xlpm.inTower, "West Tower", _xlpm.typeResult)
)</f>
        <v>#VALUE!</v>
      </c>
      <c r="F1256" s="15" t="str">
        <f>IFERROR(MID(Tasks[[#This Row],[Page]], FIND("Level", Tasks[[#This Row],[Page]]), 7), IF(ISNUMBER(FIND("Roof", Tasks[[#This Row],[Page]])), "Roof",  IF(ISNUMBER(FIND("S590", Tasks[[#This Row],[Page]])), "",  IF(ISNUMBER(FIND("Site", Tasks[[#This Row],[Page]])), "", "ERROR"))))</f>
        <v>ERROR</v>
      </c>
      <c r="G1256" s="15" t="e">
        <f>IF(Tasks[[#This Row],[Location]]=0, "", Tasks[[#This Row],[Location]])</f>
        <v>#VALUE!</v>
      </c>
      <c r="H1256" s="15" t="e">
        <f>Tasks[[#This Row],[To Package]]</f>
        <v>#VALUE!</v>
      </c>
      <c r="I1256" s="15" t="e">
        <f>Tasks[[#This Row],[To Organisation]]</f>
        <v>#VALUE!</v>
      </c>
    </row>
    <row r="1257" spans="1:9" ht="15.5" x14ac:dyDescent="0.35">
      <c r="A1257" s="16" t="e">
        <f>HYPERLINK(_xlfn.CONCAT(Edit_URL,Tasks[[#This Row],[Ref]]),Tasks[[#This Row],[Ref]])</f>
        <v>#VALUE!</v>
      </c>
      <c r="B1257" s="15" t="e" cm="1">
        <f t="array" ref="B1257">_xlfn.SWITCH(LEFT(Tasks[[#This Row],[Status]],1),"O","Opened","C","Completed","S","Signed Off", "V", "Signed Off","ERROR")</f>
        <v>#VALUE!</v>
      </c>
      <c r="C1257" s="15" t="e" cm="1">
        <f t="array" ref="C1257">_xlfn.SWITCH(LEFT(Tasks[[#This Row],[Type]], 3), "Fie", "Field Report", "Con", "Contractor QC", "Gen", "Contractor QC", "Pun", "Contractor QC", "Qua", "Contractor QC", "Fin", "Punch List")</f>
        <v>#VALUE!</v>
      </c>
      <c r="D1257" s="15" t="e">
        <f>_xlfn.LET(
_xlpm.leftValue, TRIM(LEFT(Tasks[[#This Row],[Description]], 45)),
IF(LEN(_xlpm.leftValue) &lt; 40, _xlpm.leftValue, _xlfn.CONCAT(_xlpm.leftValue, "…"))
)</f>
        <v>#VALUE!</v>
      </c>
      <c r="E1257" s="15" t="e" cm="1">
        <f t="array" ref="E1257">_xlfn.LET(
_xlpm.inTower, COUNTIF(Tower_Num_Table[Tower Rm Numbers], LEFT(Task_Summary_Table[[#This Row],[Area/Room]], 3)) &gt; 0,
_xlpm.typeResult, _xlfn.SWITCH(LEFT(Tasks[[#This Row],[Page]], 2), "Hi", "Historic", "An", "Annex", "Si", "Site", "S5", "Project Task", "SWITCH ERROR"),
IF(_xlpm.inTower, "West Tower", _xlpm.typeResult)
)</f>
        <v>#VALUE!</v>
      </c>
      <c r="F1257" s="15" t="str">
        <f>IFERROR(MID(Tasks[[#This Row],[Page]], FIND("Level", Tasks[[#This Row],[Page]]), 7), IF(ISNUMBER(FIND("Roof", Tasks[[#This Row],[Page]])), "Roof",  IF(ISNUMBER(FIND("S590", Tasks[[#This Row],[Page]])), "",  IF(ISNUMBER(FIND("Site", Tasks[[#This Row],[Page]])), "", "ERROR"))))</f>
        <v>ERROR</v>
      </c>
      <c r="G1257" s="15" t="e">
        <f>IF(Tasks[[#This Row],[Location]]=0, "", Tasks[[#This Row],[Location]])</f>
        <v>#VALUE!</v>
      </c>
      <c r="H1257" s="15" t="e">
        <f>Tasks[[#This Row],[To Package]]</f>
        <v>#VALUE!</v>
      </c>
      <c r="I1257" s="15" t="e">
        <f>Tasks[[#This Row],[To Organisation]]</f>
        <v>#VALUE!</v>
      </c>
    </row>
    <row r="1258" spans="1:9" ht="15.5" x14ac:dyDescent="0.35">
      <c r="A1258" s="16" t="e">
        <f>HYPERLINK(_xlfn.CONCAT(Edit_URL,Tasks[[#This Row],[Ref]]),Tasks[[#This Row],[Ref]])</f>
        <v>#VALUE!</v>
      </c>
      <c r="B1258" s="15" t="e" cm="1">
        <f t="array" ref="B1258">_xlfn.SWITCH(LEFT(Tasks[[#This Row],[Status]],1),"O","Opened","C","Completed","S","Signed Off", "V", "Signed Off","ERROR")</f>
        <v>#VALUE!</v>
      </c>
      <c r="C1258" s="15" t="e" cm="1">
        <f t="array" ref="C1258">_xlfn.SWITCH(LEFT(Tasks[[#This Row],[Type]], 3), "Fie", "Field Report", "Con", "Contractor QC", "Gen", "Contractor QC", "Pun", "Contractor QC", "Qua", "Contractor QC", "Fin", "Punch List")</f>
        <v>#VALUE!</v>
      </c>
      <c r="D1258" s="15" t="e">
        <f>_xlfn.LET(
_xlpm.leftValue, TRIM(LEFT(Tasks[[#This Row],[Description]], 45)),
IF(LEN(_xlpm.leftValue) &lt; 40, _xlpm.leftValue, _xlfn.CONCAT(_xlpm.leftValue, "…"))
)</f>
        <v>#VALUE!</v>
      </c>
      <c r="E1258" s="15" t="e" cm="1">
        <f t="array" ref="E1258">_xlfn.LET(
_xlpm.inTower, COUNTIF(Tower_Num_Table[Tower Rm Numbers], LEFT(Task_Summary_Table[[#This Row],[Area/Room]], 3)) &gt; 0,
_xlpm.typeResult, _xlfn.SWITCH(LEFT(Tasks[[#This Row],[Page]], 2), "Hi", "Historic", "An", "Annex", "Si", "Site", "S5", "Project Task", "SWITCH ERROR"),
IF(_xlpm.inTower, "West Tower", _xlpm.typeResult)
)</f>
        <v>#VALUE!</v>
      </c>
      <c r="F1258" s="15" t="str">
        <f>IFERROR(MID(Tasks[[#This Row],[Page]], FIND("Level", Tasks[[#This Row],[Page]]), 7), IF(ISNUMBER(FIND("Roof", Tasks[[#This Row],[Page]])), "Roof",  IF(ISNUMBER(FIND("S590", Tasks[[#This Row],[Page]])), "",  IF(ISNUMBER(FIND("Site", Tasks[[#This Row],[Page]])), "", "ERROR"))))</f>
        <v>ERROR</v>
      </c>
      <c r="G1258" s="15" t="e">
        <f>IF(Tasks[[#This Row],[Location]]=0, "", Tasks[[#This Row],[Location]])</f>
        <v>#VALUE!</v>
      </c>
      <c r="H1258" s="15" t="e">
        <f>Tasks[[#This Row],[To Package]]</f>
        <v>#VALUE!</v>
      </c>
      <c r="I1258" s="15" t="e">
        <f>Tasks[[#This Row],[To Organisation]]</f>
        <v>#VALUE!</v>
      </c>
    </row>
    <row r="1259" spans="1:9" ht="15.5" x14ac:dyDescent="0.35">
      <c r="A1259" s="16" t="e">
        <f>HYPERLINK(_xlfn.CONCAT(Edit_URL,Tasks[[#This Row],[Ref]]),Tasks[[#This Row],[Ref]])</f>
        <v>#VALUE!</v>
      </c>
      <c r="B1259" s="15" t="e" cm="1">
        <f t="array" ref="B1259">_xlfn.SWITCH(LEFT(Tasks[[#This Row],[Status]],1),"O","Opened","C","Completed","S","Signed Off", "V", "Signed Off","ERROR")</f>
        <v>#VALUE!</v>
      </c>
      <c r="C1259" s="15" t="e" cm="1">
        <f t="array" ref="C1259">_xlfn.SWITCH(LEFT(Tasks[[#This Row],[Type]], 3), "Fie", "Field Report", "Con", "Contractor QC", "Gen", "Contractor QC", "Pun", "Contractor QC", "Qua", "Contractor QC", "Fin", "Punch List")</f>
        <v>#VALUE!</v>
      </c>
      <c r="D1259" s="15" t="e">
        <f>_xlfn.LET(
_xlpm.leftValue, TRIM(LEFT(Tasks[[#This Row],[Description]], 45)),
IF(LEN(_xlpm.leftValue) &lt; 40, _xlpm.leftValue, _xlfn.CONCAT(_xlpm.leftValue, "…"))
)</f>
        <v>#VALUE!</v>
      </c>
      <c r="E1259" s="15" t="e" cm="1">
        <f t="array" ref="E1259">_xlfn.LET(
_xlpm.inTower, COUNTIF(Tower_Num_Table[Tower Rm Numbers], LEFT(Task_Summary_Table[[#This Row],[Area/Room]], 3)) &gt; 0,
_xlpm.typeResult, _xlfn.SWITCH(LEFT(Tasks[[#This Row],[Page]], 2), "Hi", "Historic", "An", "Annex", "Si", "Site", "S5", "Project Task", "SWITCH ERROR"),
IF(_xlpm.inTower, "West Tower", _xlpm.typeResult)
)</f>
        <v>#VALUE!</v>
      </c>
      <c r="F1259" s="15" t="str">
        <f>IFERROR(MID(Tasks[[#This Row],[Page]], FIND("Level", Tasks[[#This Row],[Page]]), 7), IF(ISNUMBER(FIND("Roof", Tasks[[#This Row],[Page]])), "Roof",  IF(ISNUMBER(FIND("S590", Tasks[[#This Row],[Page]])), "",  IF(ISNUMBER(FIND("Site", Tasks[[#This Row],[Page]])), "", "ERROR"))))</f>
        <v>ERROR</v>
      </c>
      <c r="G1259" s="15" t="e">
        <f>IF(Tasks[[#This Row],[Location]]=0, "", Tasks[[#This Row],[Location]])</f>
        <v>#VALUE!</v>
      </c>
      <c r="H1259" s="15" t="e">
        <f>Tasks[[#This Row],[To Package]]</f>
        <v>#VALUE!</v>
      </c>
      <c r="I1259" s="15" t="e">
        <f>Tasks[[#This Row],[To Organisation]]</f>
        <v>#VALUE!</v>
      </c>
    </row>
    <row r="1260" spans="1:9" ht="15.5" x14ac:dyDescent="0.35">
      <c r="A1260" s="16" t="e">
        <f>HYPERLINK(_xlfn.CONCAT(Edit_URL,Tasks[[#This Row],[Ref]]),Tasks[[#This Row],[Ref]])</f>
        <v>#VALUE!</v>
      </c>
      <c r="B1260" s="15" t="e" cm="1">
        <f t="array" ref="B1260">_xlfn.SWITCH(LEFT(Tasks[[#This Row],[Status]],1),"O","Opened","C","Completed","S","Signed Off", "V", "Signed Off","ERROR")</f>
        <v>#VALUE!</v>
      </c>
      <c r="C1260" s="15" t="e" cm="1">
        <f t="array" ref="C1260">_xlfn.SWITCH(LEFT(Tasks[[#This Row],[Type]], 3), "Fie", "Field Report", "Con", "Contractor QC", "Gen", "Contractor QC", "Pun", "Contractor QC", "Qua", "Contractor QC", "Fin", "Punch List")</f>
        <v>#VALUE!</v>
      </c>
      <c r="D1260" s="15" t="e">
        <f>_xlfn.LET(
_xlpm.leftValue, TRIM(LEFT(Tasks[[#This Row],[Description]], 45)),
IF(LEN(_xlpm.leftValue) &lt; 40, _xlpm.leftValue, _xlfn.CONCAT(_xlpm.leftValue, "…"))
)</f>
        <v>#VALUE!</v>
      </c>
      <c r="E1260" s="15" t="e" cm="1">
        <f t="array" ref="E1260">_xlfn.LET(
_xlpm.inTower, COUNTIF(Tower_Num_Table[Tower Rm Numbers], LEFT(Task_Summary_Table[[#This Row],[Area/Room]], 3)) &gt; 0,
_xlpm.typeResult, _xlfn.SWITCH(LEFT(Tasks[[#This Row],[Page]], 2), "Hi", "Historic", "An", "Annex", "Si", "Site", "S5", "Project Task", "SWITCH ERROR"),
IF(_xlpm.inTower, "West Tower", _xlpm.typeResult)
)</f>
        <v>#VALUE!</v>
      </c>
      <c r="F1260" s="15" t="str">
        <f>IFERROR(MID(Tasks[[#This Row],[Page]], FIND("Level", Tasks[[#This Row],[Page]]), 7), IF(ISNUMBER(FIND("Roof", Tasks[[#This Row],[Page]])), "Roof",  IF(ISNUMBER(FIND("S590", Tasks[[#This Row],[Page]])), "",  IF(ISNUMBER(FIND("Site", Tasks[[#This Row],[Page]])), "", "ERROR"))))</f>
        <v>ERROR</v>
      </c>
      <c r="G1260" s="15" t="e">
        <f>IF(Tasks[[#This Row],[Location]]=0, "", Tasks[[#This Row],[Location]])</f>
        <v>#VALUE!</v>
      </c>
      <c r="H1260" s="15" t="e">
        <f>Tasks[[#This Row],[To Package]]</f>
        <v>#VALUE!</v>
      </c>
      <c r="I1260" s="15" t="e">
        <f>Tasks[[#This Row],[To Organisation]]</f>
        <v>#VALUE!</v>
      </c>
    </row>
    <row r="1261" spans="1:9" ht="15.5" x14ac:dyDescent="0.35">
      <c r="A1261" s="16" t="e">
        <f>HYPERLINK(_xlfn.CONCAT(Edit_URL,Tasks[[#This Row],[Ref]]),Tasks[[#This Row],[Ref]])</f>
        <v>#VALUE!</v>
      </c>
      <c r="B1261" s="15" t="e" cm="1">
        <f t="array" ref="B1261">_xlfn.SWITCH(LEFT(Tasks[[#This Row],[Status]],1),"O","Opened","C","Completed","S","Signed Off", "V", "Signed Off","ERROR")</f>
        <v>#VALUE!</v>
      </c>
      <c r="C1261" s="15" t="e" cm="1">
        <f t="array" ref="C1261">_xlfn.SWITCH(LEFT(Tasks[[#This Row],[Type]], 3), "Fie", "Field Report", "Con", "Contractor QC", "Gen", "Contractor QC", "Pun", "Contractor QC", "Qua", "Contractor QC", "Fin", "Punch List")</f>
        <v>#VALUE!</v>
      </c>
      <c r="D1261" s="15" t="e">
        <f>_xlfn.LET(
_xlpm.leftValue, TRIM(LEFT(Tasks[[#This Row],[Description]], 45)),
IF(LEN(_xlpm.leftValue) &lt; 40, _xlpm.leftValue, _xlfn.CONCAT(_xlpm.leftValue, "…"))
)</f>
        <v>#VALUE!</v>
      </c>
      <c r="E1261" s="15" t="e" cm="1">
        <f t="array" ref="E1261">_xlfn.LET(
_xlpm.inTower, COUNTIF(Tower_Num_Table[Tower Rm Numbers], LEFT(Task_Summary_Table[[#This Row],[Area/Room]], 3)) &gt; 0,
_xlpm.typeResult, _xlfn.SWITCH(LEFT(Tasks[[#This Row],[Page]], 2), "Hi", "Historic", "An", "Annex", "Si", "Site", "S5", "Project Task", "SWITCH ERROR"),
IF(_xlpm.inTower, "West Tower", _xlpm.typeResult)
)</f>
        <v>#VALUE!</v>
      </c>
      <c r="F1261" s="15" t="str">
        <f>IFERROR(MID(Tasks[[#This Row],[Page]], FIND("Level", Tasks[[#This Row],[Page]]), 7), IF(ISNUMBER(FIND("Roof", Tasks[[#This Row],[Page]])), "Roof",  IF(ISNUMBER(FIND("S590", Tasks[[#This Row],[Page]])), "",  IF(ISNUMBER(FIND("Site", Tasks[[#This Row],[Page]])), "", "ERROR"))))</f>
        <v>ERROR</v>
      </c>
      <c r="G1261" s="15" t="e">
        <f>IF(Tasks[[#This Row],[Location]]=0, "", Tasks[[#This Row],[Location]])</f>
        <v>#VALUE!</v>
      </c>
      <c r="H1261" s="15" t="e">
        <f>Tasks[[#This Row],[To Package]]</f>
        <v>#VALUE!</v>
      </c>
      <c r="I1261" s="15" t="e">
        <f>Tasks[[#This Row],[To Organisation]]</f>
        <v>#VALUE!</v>
      </c>
    </row>
    <row r="1262" spans="1:9" ht="15.5" x14ac:dyDescent="0.35">
      <c r="A1262" s="16" t="e">
        <f>HYPERLINK(_xlfn.CONCAT(Edit_URL,Tasks[[#This Row],[Ref]]),Tasks[[#This Row],[Ref]])</f>
        <v>#VALUE!</v>
      </c>
      <c r="B1262" s="15" t="e" cm="1">
        <f t="array" ref="B1262">_xlfn.SWITCH(LEFT(Tasks[[#This Row],[Status]],1),"O","Opened","C","Completed","S","Signed Off", "V", "Signed Off","ERROR")</f>
        <v>#VALUE!</v>
      </c>
      <c r="C1262" s="15" t="e" cm="1">
        <f t="array" ref="C1262">_xlfn.SWITCH(LEFT(Tasks[[#This Row],[Type]], 3), "Fie", "Field Report", "Con", "Contractor QC", "Gen", "Contractor QC", "Pun", "Contractor QC", "Qua", "Contractor QC", "Fin", "Punch List")</f>
        <v>#VALUE!</v>
      </c>
      <c r="D1262" s="15" t="e">
        <f>_xlfn.LET(
_xlpm.leftValue, TRIM(LEFT(Tasks[[#This Row],[Description]], 45)),
IF(LEN(_xlpm.leftValue) &lt; 40, _xlpm.leftValue, _xlfn.CONCAT(_xlpm.leftValue, "…"))
)</f>
        <v>#VALUE!</v>
      </c>
      <c r="E1262" s="15" t="e" cm="1">
        <f t="array" ref="E1262">_xlfn.LET(
_xlpm.inTower, COUNTIF(Tower_Num_Table[Tower Rm Numbers], LEFT(Task_Summary_Table[[#This Row],[Area/Room]], 3)) &gt; 0,
_xlpm.typeResult, _xlfn.SWITCH(LEFT(Tasks[[#This Row],[Page]], 2), "Hi", "Historic", "An", "Annex", "Si", "Site", "S5", "Project Task", "SWITCH ERROR"),
IF(_xlpm.inTower, "West Tower", _xlpm.typeResult)
)</f>
        <v>#VALUE!</v>
      </c>
      <c r="F1262" s="15" t="str">
        <f>IFERROR(MID(Tasks[[#This Row],[Page]], FIND("Level", Tasks[[#This Row],[Page]]), 7), IF(ISNUMBER(FIND("Roof", Tasks[[#This Row],[Page]])), "Roof",  IF(ISNUMBER(FIND("S590", Tasks[[#This Row],[Page]])), "",  IF(ISNUMBER(FIND("Site", Tasks[[#This Row],[Page]])), "", "ERROR"))))</f>
        <v>ERROR</v>
      </c>
      <c r="G1262" s="15" t="e">
        <f>IF(Tasks[[#This Row],[Location]]=0, "", Tasks[[#This Row],[Location]])</f>
        <v>#VALUE!</v>
      </c>
      <c r="H1262" s="15" t="e">
        <f>Tasks[[#This Row],[To Package]]</f>
        <v>#VALUE!</v>
      </c>
      <c r="I1262" s="15" t="e">
        <f>Tasks[[#This Row],[To Organisation]]</f>
        <v>#VALUE!</v>
      </c>
    </row>
    <row r="1263" spans="1:9" ht="15.5" x14ac:dyDescent="0.35">
      <c r="A1263" s="16" t="e">
        <f>HYPERLINK(_xlfn.CONCAT(Edit_URL,Tasks[[#This Row],[Ref]]),Tasks[[#This Row],[Ref]])</f>
        <v>#VALUE!</v>
      </c>
      <c r="B1263" s="15" t="e" cm="1">
        <f t="array" ref="B1263">_xlfn.SWITCH(LEFT(Tasks[[#This Row],[Status]],1),"O","Opened","C","Completed","S","Signed Off", "V", "Signed Off","ERROR")</f>
        <v>#VALUE!</v>
      </c>
      <c r="C1263" s="15" t="e" cm="1">
        <f t="array" ref="C1263">_xlfn.SWITCH(LEFT(Tasks[[#This Row],[Type]], 3), "Fie", "Field Report", "Con", "Contractor QC", "Gen", "Contractor QC", "Pun", "Contractor QC", "Qua", "Contractor QC", "Fin", "Punch List")</f>
        <v>#VALUE!</v>
      </c>
      <c r="D1263" s="15" t="e">
        <f>_xlfn.LET(
_xlpm.leftValue, TRIM(LEFT(Tasks[[#This Row],[Description]], 45)),
IF(LEN(_xlpm.leftValue) &lt; 40, _xlpm.leftValue, _xlfn.CONCAT(_xlpm.leftValue, "…"))
)</f>
        <v>#VALUE!</v>
      </c>
      <c r="E1263" s="15" t="e" cm="1">
        <f t="array" ref="E1263">_xlfn.LET(
_xlpm.inTower, COUNTIF(Tower_Num_Table[Tower Rm Numbers], LEFT(Task_Summary_Table[[#This Row],[Area/Room]], 3)) &gt; 0,
_xlpm.typeResult, _xlfn.SWITCH(LEFT(Tasks[[#This Row],[Page]], 2), "Hi", "Historic", "An", "Annex", "Si", "Site", "S5", "Project Task", "SWITCH ERROR"),
IF(_xlpm.inTower, "West Tower", _xlpm.typeResult)
)</f>
        <v>#VALUE!</v>
      </c>
      <c r="F1263" s="15" t="str">
        <f>IFERROR(MID(Tasks[[#This Row],[Page]], FIND("Level", Tasks[[#This Row],[Page]]), 7), IF(ISNUMBER(FIND("Roof", Tasks[[#This Row],[Page]])), "Roof",  IF(ISNUMBER(FIND("S590", Tasks[[#This Row],[Page]])), "",  IF(ISNUMBER(FIND("Site", Tasks[[#This Row],[Page]])), "", "ERROR"))))</f>
        <v>ERROR</v>
      </c>
      <c r="G1263" s="15" t="e">
        <f>IF(Tasks[[#This Row],[Location]]=0, "", Tasks[[#This Row],[Location]])</f>
        <v>#VALUE!</v>
      </c>
      <c r="H1263" s="15" t="e">
        <f>Tasks[[#This Row],[To Package]]</f>
        <v>#VALUE!</v>
      </c>
      <c r="I1263" s="15" t="e">
        <f>Tasks[[#This Row],[To Organisation]]</f>
        <v>#VALUE!</v>
      </c>
    </row>
    <row r="1264" spans="1:9" ht="15.5" x14ac:dyDescent="0.35">
      <c r="A1264" s="16" t="e">
        <f>HYPERLINK(_xlfn.CONCAT(Edit_URL,Tasks[[#This Row],[Ref]]),Tasks[[#This Row],[Ref]])</f>
        <v>#VALUE!</v>
      </c>
      <c r="B1264" s="15" t="e" cm="1">
        <f t="array" ref="B1264">_xlfn.SWITCH(LEFT(Tasks[[#This Row],[Status]],1),"O","Opened","C","Completed","S","Signed Off", "V", "Signed Off","ERROR")</f>
        <v>#VALUE!</v>
      </c>
      <c r="C1264" s="15" t="e" cm="1">
        <f t="array" ref="C1264">_xlfn.SWITCH(LEFT(Tasks[[#This Row],[Type]], 3), "Fie", "Field Report", "Con", "Contractor QC", "Gen", "Contractor QC", "Pun", "Contractor QC", "Qua", "Contractor QC", "Fin", "Punch List")</f>
        <v>#VALUE!</v>
      </c>
      <c r="D1264" s="15" t="e">
        <f>_xlfn.LET(
_xlpm.leftValue, TRIM(LEFT(Tasks[[#This Row],[Description]], 45)),
IF(LEN(_xlpm.leftValue) &lt; 40, _xlpm.leftValue, _xlfn.CONCAT(_xlpm.leftValue, "…"))
)</f>
        <v>#VALUE!</v>
      </c>
      <c r="E1264" s="15" t="e" cm="1">
        <f t="array" ref="E1264">_xlfn.LET(
_xlpm.inTower, COUNTIF(Tower_Num_Table[Tower Rm Numbers], LEFT(Task_Summary_Table[[#This Row],[Area/Room]], 3)) &gt; 0,
_xlpm.typeResult, _xlfn.SWITCH(LEFT(Tasks[[#This Row],[Page]], 2), "Hi", "Historic", "An", "Annex", "Si", "Site", "S5", "Project Task", "SWITCH ERROR"),
IF(_xlpm.inTower, "West Tower", _xlpm.typeResult)
)</f>
        <v>#VALUE!</v>
      </c>
      <c r="F1264" s="15" t="str">
        <f>IFERROR(MID(Tasks[[#This Row],[Page]], FIND("Level", Tasks[[#This Row],[Page]]), 7), IF(ISNUMBER(FIND("Roof", Tasks[[#This Row],[Page]])), "Roof",  IF(ISNUMBER(FIND("S590", Tasks[[#This Row],[Page]])), "",  IF(ISNUMBER(FIND("Site", Tasks[[#This Row],[Page]])), "", "ERROR"))))</f>
        <v>ERROR</v>
      </c>
      <c r="G1264" s="15" t="e">
        <f>IF(Tasks[[#This Row],[Location]]=0, "", Tasks[[#This Row],[Location]])</f>
        <v>#VALUE!</v>
      </c>
      <c r="H1264" s="15" t="e">
        <f>Tasks[[#This Row],[To Package]]</f>
        <v>#VALUE!</v>
      </c>
      <c r="I1264" s="15" t="e">
        <f>Tasks[[#This Row],[To Organisation]]</f>
        <v>#VALUE!</v>
      </c>
    </row>
    <row r="1265" spans="1:9" ht="15.5" x14ac:dyDescent="0.35">
      <c r="A1265" s="16" t="e">
        <f>HYPERLINK(_xlfn.CONCAT(Edit_URL,Tasks[[#This Row],[Ref]]),Tasks[[#This Row],[Ref]])</f>
        <v>#VALUE!</v>
      </c>
      <c r="B1265" s="15" t="e" cm="1">
        <f t="array" ref="B1265">_xlfn.SWITCH(LEFT(Tasks[[#This Row],[Status]],1),"O","Opened","C","Completed","S","Signed Off", "V", "Signed Off","ERROR")</f>
        <v>#VALUE!</v>
      </c>
      <c r="C1265" s="15" t="e" cm="1">
        <f t="array" ref="C1265">_xlfn.SWITCH(LEFT(Tasks[[#This Row],[Type]], 3), "Fie", "Field Report", "Con", "Contractor QC", "Gen", "Contractor QC", "Pun", "Contractor QC", "Qua", "Contractor QC", "Fin", "Punch List")</f>
        <v>#VALUE!</v>
      </c>
      <c r="D1265" s="15" t="e">
        <f>_xlfn.LET(
_xlpm.leftValue, TRIM(LEFT(Tasks[[#This Row],[Description]], 45)),
IF(LEN(_xlpm.leftValue) &lt; 40, _xlpm.leftValue, _xlfn.CONCAT(_xlpm.leftValue, "…"))
)</f>
        <v>#VALUE!</v>
      </c>
      <c r="E1265" s="15" t="e" cm="1">
        <f t="array" ref="E1265">_xlfn.LET(
_xlpm.inTower, COUNTIF(Tower_Num_Table[Tower Rm Numbers], LEFT(Task_Summary_Table[[#This Row],[Area/Room]], 3)) &gt; 0,
_xlpm.typeResult, _xlfn.SWITCH(LEFT(Tasks[[#This Row],[Page]], 2), "Hi", "Historic", "An", "Annex", "Si", "Site", "S5", "Project Task", "SWITCH ERROR"),
IF(_xlpm.inTower, "West Tower", _xlpm.typeResult)
)</f>
        <v>#VALUE!</v>
      </c>
      <c r="F1265" s="15" t="str">
        <f>IFERROR(MID(Tasks[[#This Row],[Page]], FIND("Level", Tasks[[#This Row],[Page]]), 7), IF(ISNUMBER(FIND("Roof", Tasks[[#This Row],[Page]])), "Roof",  IF(ISNUMBER(FIND("S590", Tasks[[#This Row],[Page]])), "",  IF(ISNUMBER(FIND("Site", Tasks[[#This Row],[Page]])), "", "ERROR"))))</f>
        <v>ERROR</v>
      </c>
      <c r="G1265" s="15" t="e">
        <f>IF(Tasks[[#This Row],[Location]]=0, "", Tasks[[#This Row],[Location]])</f>
        <v>#VALUE!</v>
      </c>
      <c r="H1265" s="15" t="e">
        <f>Tasks[[#This Row],[To Package]]</f>
        <v>#VALUE!</v>
      </c>
      <c r="I1265" s="15" t="e">
        <f>Tasks[[#This Row],[To Organisation]]</f>
        <v>#VALUE!</v>
      </c>
    </row>
    <row r="1266" spans="1:9" ht="15.5" x14ac:dyDescent="0.35">
      <c r="A1266" s="16" t="e">
        <f>HYPERLINK(_xlfn.CONCAT(Edit_URL,Tasks[[#This Row],[Ref]]),Tasks[[#This Row],[Ref]])</f>
        <v>#VALUE!</v>
      </c>
      <c r="B1266" s="15" t="e" cm="1">
        <f t="array" ref="B1266">_xlfn.SWITCH(LEFT(Tasks[[#This Row],[Status]],1),"O","Opened","C","Completed","S","Signed Off", "V", "Signed Off","ERROR")</f>
        <v>#VALUE!</v>
      </c>
      <c r="C1266" s="15" t="e" cm="1">
        <f t="array" ref="C1266">_xlfn.SWITCH(LEFT(Tasks[[#This Row],[Type]], 3), "Fie", "Field Report", "Con", "Contractor QC", "Gen", "Contractor QC", "Pun", "Contractor QC", "Qua", "Contractor QC", "Fin", "Punch List")</f>
        <v>#VALUE!</v>
      </c>
      <c r="D1266" s="15" t="e">
        <f>_xlfn.LET(
_xlpm.leftValue, TRIM(LEFT(Tasks[[#This Row],[Description]], 45)),
IF(LEN(_xlpm.leftValue) &lt; 40, _xlpm.leftValue, _xlfn.CONCAT(_xlpm.leftValue, "…"))
)</f>
        <v>#VALUE!</v>
      </c>
      <c r="E1266" s="15" t="e" cm="1">
        <f t="array" ref="E1266">_xlfn.LET(
_xlpm.inTower, COUNTIF(Tower_Num_Table[Tower Rm Numbers], LEFT(Task_Summary_Table[[#This Row],[Area/Room]], 3)) &gt; 0,
_xlpm.typeResult, _xlfn.SWITCH(LEFT(Tasks[[#This Row],[Page]], 2), "Hi", "Historic", "An", "Annex", "Si", "Site", "S5", "Project Task", "SWITCH ERROR"),
IF(_xlpm.inTower, "West Tower", _xlpm.typeResult)
)</f>
        <v>#VALUE!</v>
      </c>
      <c r="F1266" s="15" t="str">
        <f>IFERROR(MID(Tasks[[#This Row],[Page]], FIND("Level", Tasks[[#This Row],[Page]]), 7), IF(ISNUMBER(FIND("Roof", Tasks[[#This Row],[Page]])), "Roof",  IF(ISNUMBER(FIND("S590", Tasks[[#This Row],[Page]])), "",  IF(ISNUMBER(FIND("Site", Tasks[[#This Row],[Page]])), "", "ERROR"))))</f>
        <v>ERROR</v>
      </c>
      <c r="G1266" s="15" t="e">
        <f>IF(Tasks[[#This Row],[Location]]=0, "", Tasks[[#This Row],[Location]])</f>
        <v>#VALUE!</v>
      </c>
      <c r="H1266" s="15" t="e">
        <f>Tasks[[#This Row],[To Package]]</f>
        <v>#VALUE!</v>
      </c>
      <c r="I1266" s="15" t="e">
        <f>Tasks[[#This Row],[To Organisation]]</f>
        <v>#VALUE!</v>
      </c>
    </row>
    <row r="1267" spans="1:9" ht="15.5" x14ac:dyDescent="0.35">
      <c r="A1267" s="16" t="e">
        <f>HYPERLINK(_xlfn.CONCAT(Edit_URL,Tasks[[#This Row],[Ref]]),Tasks[[#This Row],[Ref]])</f>
        <v>#VALUE!</v>
      </c>
      <c r="B1267" s="15" t="e" cm="1">
        <f t="array" ref="B1267">_xlfn.SWITCH(LEFT(Tasks[[#This Row],[Status]],1),"O","Opened","C","Completed","S","Signed Off", "V", "Signed Off","ERROR")</f>
        <v>#VALUE!</v>
      </c>
      <c r="C1267" s="15" t="e" cm="1">
        <f t="array" ref="C1267">_xlfn.SWITCH(LEFT(Tasks[[#This Row],[Type]], 3), "Fie", "Field Report", "Con", "Contractor QC", "Gen", "Contractor QC", "Pun", "Contractor QC", "Qua", "Contractor QC", "Fin", "Punch List")</f>
        <v>#VALUE!</v>
      </c>
      <c r="D1267" s="15" t="e">
        <f>_xlfn.LET(
_xlpm.leftValue, TRIM(LEFT(Tasks[[#This Row],[Description]], 45)),
IF(LEN(_xlpm.leftValue) &lt; 40, _xlpm.leftValue, _xlfn.CONCAT(_xlpm.leftValue, "…"))
)</f>
        <v>#VALUE!</v>
      </c>
      <c r="E1267" s="15" t="e" cm="1">
        <f t="array" ref="E1267">_xlfn.LET(
_xlpm.inTower, COUNTIF(Tower_Num_Table[Tower Rm Numbers], LEFT(Task_Summary_Table[[#This Row],[Area/Room]], 3)) &gt; 0,
_xlpm.typeResult, _xlfn.SWITCH(LEFT(Tasks[[#This Row],[Page]], 2), "Hi", "Historic", "An", "Annex", "Si", "Site", "S5", "Project Task", "SWITCH ERROR"),
IF(_xlpm.inTower, "West Tower", _xlpm.typeResult)
)</f>
        <v>#VALUE!</v>
      </c>
      <c r="F1267" s="15" t="str">
        <f>IFERROR(MID(Tasks[[#This Row],[Page]], FIND("Level", Tasks[[#This Row],[Page]]), 7), IF(ISNUMBER(FIND("Roof", Tasks[[#This Row],[Page]])), "Roof",  IF(ISNUMBER(FIND("S590", Tasks[[#This Row],[Page]])), "",  IF(ISNUMBER(FIND("Site", Tasks[[#This Row],[Page]])), "", "ERROR"))))</f>
        <v>ERROR</v>
      </c>
      <c r="G1267" s="15" t="e">
        <f>IF(Tasks[[#This Row],[Location]]=0, "", Tasks[[#This Row],[Location]])</f>
        <v>#VALUE!</v>
      </c>
      <c r="H1267" s="15" t="e">
        <f>Tasks[[#This Row],[To Package]]</f>
        <v>#VALUE!</v>
      </c>
      <c r="I1267" s="15" t="e">
        <f>Tasks[[#This Row],[To Organisation]]</f>
        <v>#VALUE!</v>
      </c>
    </row>
    <row r="1268" spans="1:9" ht="15.5" x14ac:dyDescent="0.35">
      <c r="A1268" s="16" t="e">
        <f>HYPERLINK(_xlfn.CONCAT(Edit_URL,Tasks[[#This Row],[Ref]]),Tasks[[#This Row],[Ref]])</f>
        <v>#VALUE!</v>
      </c>
      <c r="B1268" s="15" t="e" cm="1">
        <f t="array" ref="B1268">_xlfn.SWITCH(LEFT(Tasks[[#This Row],[Status]],1),"O","Opened","C","Completed","S","Signed Off", "V", "Signed Off","ERROR")</f>
        <v>#VALUE!</v>
      </c>
      <c r="C1268" s="15" t="e" cm="1">
        <f t="array" ref="C1268">_xlfn.SWITCH(LEFT(Tasks[[#This Row],[Type]], 3), "Fie", "Field Report", "Con", "Contractor QC", "Gen", "Contractor QC", "Pun", "Contractor QC", "Qua", "Contractor QC", "Fin", "Punch List")</f>
        <v>#VALUE!</v>
      </c>
      <c r="D1268" s="15" t="e">
        <f>_xlfn.LET(
_xlpm.leftValue, TRIM(LEFT(Tasks[[#This Row],[Description]], 45)),
IF(LEN(_xlpm.leftValue) &lt; 40, _xlpm.leftValue, _xlfn.CONCAT(_xlpm.leftValue, "…"))
)</f>
        <v>#VALUE!</v>
      </c>
      <c r="E1268" s="15" t="e" cm="1">
        <f t="array" ref="E1268">_xlfn.LET(
_xlpm.inTower, COUNTIF(Tower_Num_Table[Tower Rm Numbers], LEFT(Task_Summary_Table[[#This Row],[Area/Room]], 3)) &gt; 0,
_xlpm.typeResult, _xlfn.SWITCH(LEFT(Tasks[[#This Row],[Page]], 2), "Hi", "Historic", "An", "Annex", "Si", "Site", "S5", "Project Task", "SWITCH ERROR"),
IF(_xlpm.inTower, "West Tower", _xlpm.typeResult)
)</f>
        <v>#VALUE!</v>
      </c>
      <c r="F1268" s="15" t="str">
        <f>IFERROR(MID(Tasks[[#This Row],[Page]], FIND("Level", Tasks[[#This Row],[Page]]), 7), IF(ISNUMBER(FIND("Roof", Tasks[[#This Row],[Page]])), "Roof",  IF(ISNUMBER(FIND("S590", Tasks[[#This Row],[Page]])), "",  IF(ISNUMBER(FIND("Site", Tasks[[#This Row],[Page]])), "", "ERROR"))))</f>
        <v>ERROR</v>
      </c>
      <c r="G1268" s="15" t="e">
        <f>IF(Tasks[[#This Row],[Location]]=0, "", Tasks[[#This Row],[Location]])</f>
        <v>#VALUE!</v>
      </c>
      <c r="H1268" s="15" t="e">
        <f>Tasks[[#This Row],[To Package]]</f>
        <v>#VALUE!</v>
      </c>
      <c r="I1268" s="15" t="e">
        <f>Tasks[[#This Row],[To Organisation]]</f>
        <v>#VALUE!</v>
      </c>
    </row>
    <row r="1269" spans="1:9" ht="15.5" x14ac:dyDescent="0.35">
      <c r="A1269" s="16" t="e">
        <f>HYPERLINK(_xlfn.CONCAT(Edit_URL,Tasks[[#This Row],[Ref]]),Tasks[[#This Row],[Ref]])</f>
        <v>#VALUE!</v>
      </c>
      <c r="B1269" s="15" t="e" cm="1">
        <f t="array" ref="B1269">_xlfn.SWITCH(LEFT(Tasks[[#This Row],[Status]],1),"O","Opened","C","Completed","S","Signed Off", "V", "Signed Off","ERROR")</f>
        <v>#VALUE!</v>
      </c>
      <c r="C1269" s="15" t="e" cm="1">
        <f t="array" ref="C1269">_xlfn.SWITCH(LEFT(Tasks[[#This Row],[Type]], 3), "Fie", "Field Report", "Con", "Contractor QC", "Gen", "Contractor QC", "Pun", "Contractor QC", "Qua", "Contractor QC", "Fin", "Punch List")</f>
        <v>#VALUE!</v>
      </c>
      <c r="D1269" s="15" t="e">
        <f>_xlfn.LET(
_xlpm.leftValue, TRIM(LEFT(Tasks[[#This Row],[Description]], 45)),
IF(LEN(_xlpm.leftValue) &lt; 40, _xlpm.leftValue, _xlfn.CONCAT(_xlpm.leftValue, "…"))
)</f>
        <v>#VALUE!</v>
      </c>
      <c r="E1269" s="15" t="e" cm="1">
        <f t="array" ref="E1269">_xlfn.LET(
_xlpm.inTower, COUNTIF(Tower_Num_Table[Tower Rm Numbers], LEFT(Task_Summary_Table[[#This Row],[Area/Room]], 3)) &gt; 0,
_xlpm.typeResult, _xlfn.SWITCH(LEFT(Tasks[[#This Row],[Page]], 2), "Hi", "Historic", "An", "Annex", "Si", "Site", "S5", "Project Task", "SWITCH ERROR"),
IF(_xlpm.inTower, "West Tower", _xlpm.typeResult)
)</f>
        <v>#VALUE!</v>
      </c>
      <c r="F1269" s="15" t="str">
        <f>IFERROR(MID(Tasks[[#This Row],[Page]], FIND("Level", Tasks[[#This Row],[Page]]), 7), IF(ISNUMBER(FIND("Roof", Tasks[[#This Row],[Page]])), "Roof",  IF(ISNUMBER(FIND("S590", Tasks[[#This Row],[Page]])), "",  IF(ISNUMBER(FIND("Site", Tasks[[#This Row],[Page]])), "", "ERROR"))))</f>
        <v>ERROR</v>
      </c>
      <c r="G1269" s="15" t="e">
        <f>IF(Tasks[[#This Row],[Location]]=0, "", Tasks[[#This Row],[Location]])</f>
        <v>#VALUE!</v>
      </c>
      <c r="H1269" s="15" t="e">
        <f>Tasks[[#This Row],[To Package]]</f>
        <v>#VALUE!</v>
      </c>
      <c r="I1269" s="15" t="e">
        <f>Tasks[[#This Row],[To Organisation]]</f>
        <v>#VALUE!</v>
      </c>
    </row>
    <row r="1270" spans="1:9" ht="15.5" x14ac:dyDescent="0.35">
      <c r="A1270" s="16" t="e">
        <f>HYPERLINK(_xlfn.CONCAT(Edit_URL,Tasks[[#This Row],[Ref]]),Tasks[[#This Row],[Ref]])</f>
        <v>#VALUE!</v>
      </c>
      <c r="B1270" s="15" t="e" cm="1">
        <f t="array" ref="B1270">_xlfn.SWITCH(LEFT(Tasks[[#This Row],[Status]],1),"O","Opened","C","Completed","S","Signed Off", "V", "Signed Off","ERROR")</f>
        <v>#VALUE!</v>
      </c>
      <c r="C1270" s="15" t="e" cm="1">
        <f t="array" ref="C1270">_xlfn.SWITCH(LEFT(Tasks[[#This Row],[Type]], 3), "Fie", "Field Report", "Con", "Contractor QC", "Gen", "Contractor QC", "Pun", "Contractor QC", "Qua", "Contractor QC", "Fin", "Punch List")</f>
        <v>#VALUE!</v>
      </c>
      <c r="D1270" s="15" t="e">
        <f>_xlfn.LET(
_xlpm.leftValue, TRIM(LEFT(Tasks[[#This Row],[Description]], 45)),
IF(LEN(_xlpm.leftValue) &lt; 40, _xlpm.leftValue, _xlfn.CONCAT(_xlpm.leftValue, "…"))
)</f>
        <v>#VALUE!</v>
      </c>
      <c r="E1270" s="15" t="e" cm="1">
        <f t="array" ref="E1270">_xlfn.LET(
_xlpm.inTower, COUNTIF(Tower_Num_Table[Tower Rm Numbers], LEFT(Task_Summary_Table[[#This Row],[Area/Room]], 3)) &gt; 0,
_xlpm.typeResult, _xlfn.SWITCH(LEFT(Tasks[[#This Row],[Page]], 2), "Hi", "Historic", "An", "Annex", "Si", "Site", "S5", "Project Task", "SWITCH ERROR"),
IF(_xlpm.inTower, "West Tower", _xlpm.typeResult)
)</f>
        <v>#VALUE!</v>
      </c>
      <c r="F1270" s="15" t="str">
        <f>IFERROR(MID(Tasks[[#This Row],[Page]], FIND("Level", Tasks[[#This Row],[Page]]), 7), IF(ISNUMBER(FIND("Roof", Tasks[[#This Row],[Page]])), "Roof",  IF(ISNUMBER(FIND("S590", Tasks[[#This Row],[Page]])), "",  IF(ISNUMBER(FIND("Site", Tasks[[#This Row],[Page]])), "", "ERROR"))))</f>
        <v>ERROR</v>
      </c>
      <c r="G1270" s="15" t="e">
        <f>IF(Tasks[[#This Row],[Location]]=0, "", Tasks[[#This Row],[Location]])</f>
        <v>#VALUE!</v>
      </c>
      <c r="H1270" s="15" t="e">
        <f>Tasks[[#This Row],[To Package]]</f>
        <v>#VALUE!</v>
      </c>
      <c r="I1270" s="15" t="e">
        <f>Tasks[[#This Row],[To Organisation]]</f>
        <v>#VALUE!</v>
      </c>
    </row>
    <row r="1271" spans="1:9" ht="15.5" x14ac:dyDescent="0.35">
      <c r="A1271" s="16" t="e">
        <f>HYPERLINK(_xlfn.CONCAT(Edit_URL,Tasks[[#This Row],[Ref]]),Tasks[[#This Row],[Ref]])</f>
        <v>#VALUE!</v>
      </c>
      <c r="B1271" s="15" t="e" cm="1">
        <f t="array" ref="B1271">_xlfn.SWITCH(LEFT(Tasks[[#This Row],[Status]],1),"O","Opened","C","Completed","S","Signed Off", "V", "Signed Off","ERROR")</f>
        <v>#VALUE!</v>
      </c>
      <c r="C1271" s="15" t="e" cm="1">
        <f t="array" ref="C1271">_xlfn.SWITCH(LEFT(Tasks[[#This Row],[Type]], 3), "Fie", "Field Report", "Con", "Contractor QC", "Gen", "Contractor QC", "Pun", "Contractor QC", "Qua", "Contractor QC", "Fin", "Punch List")</f>
        <v>#VALUE!</v>
      </c>
      <c r="D1271" s="15" t="e">
        <f>_xlfn.LET(
_xlpm.leftValue, TRIM(LEFT(Tasks[[#This Row],[Description]], 45)),
IF(LEN(_xlpm.leftValue) &lt; 40, _xlpm.leftValue, _xlfn.CONCAT(_xlpm.leftValue, "…"))
)</f>
        <v>#VALUE!</v>
      </c>
      <c r="E1271" s="15" t="e" cm="1">
        <f t="array" ref="E1271">_xlfn.LET(
_xlpm.inTower, COUNTIF(Tower_Num_Table[Tower Rm Numbers], LEFT(Task_Summary_Table[[#This Row],[Area/Room]], 3)) &gt; 0,
_xlpm.typeResult, _xlfn.SWITCH(LEFT(Tasks[[#This Row],[Page]], 2), "Hi", "Historic", "An", "Annex", "Si", "Site", "S5", "Project Task", "SWITCH ERROR"),
IF(_xlpm.inTower, "West Tower", _xlpm.typeResult)
)</f>
        <v>#VALUE!</v>
      </c>
      <c r="F1271" s="15" t="str">
        <f>IFERROR(MID(Tasks[[#This Row],[Page]], FIND("Level", Tasks[[#This Row],[Page]]), 7), IF(ISNUMBER(FIND("Roof", Tasks[[#This Row],[Page]])), "Roof",  IF(ISNUMBER(FIND("S590", Tasks[[#This Row],[Page]])), "",  IF(ISNUMBER(FIND("Site", Tasks[[#This Row],[Page]])), "", "ERROR"))))</f>
        <v>ERROR</v>
      </c>
      <c r="G1271" s="15" t="e">
        <f>IF(Tasks[[#This Row],[Location]]=0, "", Tasks[[#This Row],[Location]])</f>
        <v>#VALUE!</v>
      </c>
      <c r="H1271" s="15" t="e">
        <f>Tasks[[#This Row],[To Package]]</f>
        <v>#VALUE!</v>
      </c>
      <c r="I1271" s="15" t="e">
        <f>Tasks[[#This Row],[To Organisation]]</f>
        <v>#VALUE!</v>
      </c>
    </row>
    <row r="1272" spans="1:9" ht="15.5" x14ac:dyDescent="0.35">
      <c r="A1272" s="16" t="e">
        <f>HYPERLINK(_xlfn.CONCAT(Edit_URL,Tasks[[#This Row],[Ref]]),Tasks[[#This Row],[Ref]])</f>
        <v>#VALUE!</v>
      </c>
      <c r="B1272" s="15" t="e" cm="1">
        <f t="array" ref="B1272">_xlfn.SWITCH(LEFT(Tasks[[#This Row],[Status]],1),"O","Opened","C","Completed","S","Signed Off", "V", "Signed Off","ERROR")</f>
        <v>#VALUE!</v>
      </c>
      <c r="C1272" s="15" t="e" cm="1">
        <f t="array" ref="C1272">_xlfn.SWITCH(LEFT(Tasks[[#This Row],[Type]], 3), "Fie", "Field Report", "Con", "Contractor QC", "Gen", "Contractor QC", "Pun", "Contractor QC", "Qua", "Contractor QC", "Fin", "Punch List")</f>
        <v>#VALUE!</v>
      </c>
      <c r="D1272" s="15" t="e">
        <f>_xlfn.LET(
_xlpm.leftValue, TRIM(LEFT(Tasks[[#This Row],[Description]], 45)),
IF(LEN(_xlpm.leftValue) &lt; 40, _xlpm.leftValue, _xlfn.CONCAT(_xlpm.leftValue, "…"))
)</f>
        <v>#VALUE!</v>
      </c>
      <c r="E1272" s="15" t="e" cm="1">
        <f t="array" ref="E1272">_xlfn.LET(
_xlpm.inTower, COUNTIF(Tower_Num_Table[Tower Rm Numbers], LEFT(Task_Summary_Table[[#This Row],[Area/Room]], 3)) &gt; 0,
_xlpm.typeResult, _xlfn.SWITCH(LEFT(Tasks[[#This Row],[Page]], 2), "Hi", "Historic", "An", "Annex", "Si", "Site", "S5", "Project Task", "SWITCH ERROR"),
IF(_xlpm.inTower, "West Tower", _xlpm.typeResult)
)</f>
        <v>#VALUE!</v>
      </c>
      <c r="F1272" s="15" t="str">
        <f>IFERROR(MID(Tasks[[#This Row],[Page]], FIND("Level", Tasks[[#This Row],[Page]]), 7), IF(ISNUMBER(FIND("Roof", Tasks[[#This Row],[Page]])), "Roof",  IF(ISNUMBER(FIND("S590", Tasks[[#This Row],[Page]])), "",  IF(ISNUMBER(FIND("Site", Tasks[[#This Row],[Page]])), "", "ERROR"))))</f>
        <v>ERROR</v>
      </c>
      <c r="G1272" s="15" t="e">
        <f>IF(Tasks[[#This Row],[Location]]=0, "", Tasks[[#This Row],[Location]])</f>
        <v>#VALUE!</v>
      </c>
      <c r="H1272" s="15" t="e">
        <f>Tasks[[#This Row],[To Package]]</f>
        <v>#VALUE!</v>
      </c>
      <c r="I1272" s="15" t="e">
        <f>Tasks[[#This Row],[To Organisation]]</f>
        <v>#VALUE!</v>
      </c>
    </row>
    <row r="1273" spans="1:9" ht="15.5" x14ac:dyDescent="0.35">
      <c r="A1273" s="16" t="e">
        <f>HYPERLINK(_xlfn.CONCAT(Edit_URL,Tasks[[#This Row],[Ref]]),Tasks[[#This Row],[Ref]])</f>
        <v>#VALUE!</v>
      </c>
      <c r="B1273" s="15" t="e" cm="1">
        <f t="array" ref="B1273">_xlfn.SWITCH(LEFT(Tasks[[#This Row],[Status]],1),"O","Opened","C","Completed","S","Signed Off", "V", "Signed Off","ERROR")</f>
        <v>#VALUE!</v>
      </c>
      <c r="C1273" s="15" t="e" cm="1">
        <f t="array" ref="C1273">_xlfn.SWITCH(LEFT(Tasks[[#This Row],[Type]], 3), "Fie", "Field Report", "Con", "Contractor QC", "Gen", "Contractor QC", "Pun", "Contractor QC", "Qua", "Contractor QC", "Fin", "Punch List")</f>
        <v>#VALUE!</v>
      </c>
      <c r="D1273" s="15" t="e">
        <f>_xlfn.LET(
_xlpm.leftValue, TRIM(LEFT(Tasks[[#This Row],[Description]], 45)),
IF(LEN(_xlpm.leftValue) &lt; 40, _xlpm.leftValue, _xlfn.CONCAT(_xlpm.leftValue, "…"))
)</f>
        <v>#VALUE!</v>
      </c>
      <c r="E1273" s="15" t="e" cm="1">
        <f t="array" ref="E1273">_xlfn.LET(
_xlpm.inTower, COUNTIF(Tower_Num_Table[Tower Rm Numbers], LEFT(Task_Summary_Table[[#This Row],[Area/Room]], 3)) &gt; 0,
_xlpm.typeResult, _xlfn.SWITCH(LEFT(Tasks[[#This Row],[Page]], 2), "Hi", "Historic", "An", "Annex", "Si", "Site", "S5", "Project Task", "SWITCH ERROR"),
IF(_xlpm.inTower, "West Tower", _xlpm.typeResult)
)</f>
        <v>#VALUE!</v>
      </c>
      <c r="F1273" s="15" t="str">
        <f>IFERROR(MID(Tasks[[#This Row],[Page]], FIND("Level", Tasks[[#This Row],[Page]]), 7), IF(ISNUMBER(FIND("Roof", Tasks[[#This Row],[Page]])), "Roof",  IF(ISNUMBER(FIND("S590", Tasks[[#This Row],[Page]])), "",  IF(ISNUMBER(FIND("Site", Tasks[[#This Row],[Page]])), "", "ERROR"))))</f>
        <v>ERROR</v>
      </c>
      <c r="G1273" s="15" t="e">
        <f>IF(Tasks[[#This Row],[Location]]=0, "", Tasks[[#This Row],[Location]])</f>
        <v>#VALUE!</v>
      </c>
      <c r="H1273" s="15" t="e">
        <f>Tasks[[#This Row],[To Package]]</f>
        <v>#VALUE!</v>
      </c>
      <c r="I1273" s="15" t="e">
        <f>Tasks[[#This Row],[To Organisation]]</f>
        <v>#VALUE!</v>
      </c>
    </row>
    <row r="1274" spans="1:9" ht="15.5" x14ac:dyDescent="0.35">
      <c r="A1274" s="16" t="e">
        <f>HYPERLINK(_xlfn.CONCAT(Edit_URL,Tasks[[#This Row],[Ref]]),Tasks[[#This Row],[Ref]])</f>
        <v>#VALUE!</v>
      </c>
      <c r="B1274" s="15" t="e" cm="1">
        <f t="array" ref="B1274">_xlfn.SWITCH(LEFT(Tasks[[#This Row],[Status]],1),"O","Opened","C","Completed","S","Signed Off", "V", "Signed Off","ERROR")</f>
        <v>#VALUE!</v>
      </c>
      <c r="C1274" s="15" t="e" cm="1">
        <f t="array" ref="C1274">_xlfn.SWITCH(LEFT(Tasks[[#This Row],[Type]], 3), "Fie", "Field Report", "Con", "Contractor QC", "Gen", "Contractor QC", "Pun", "Contractor QC", "Qua", "Contractor QC", "Fin", "Punch List")</f>
        <v>#VALUE!</v>
      </c>
      <c r="D1274" s="15" t="e">
        <f>_xlfn.LET(
_xlpm.leftValue, TRIM(LEFT(Tasks[[#This Row],[Description]], 45)),
IF(LEN(_xlpm.leftValue) &lt; 40, _xlpm.leftValue, _xlfn.CONCAT(_xlpm.leftValue, "…"))
)</f>
        <v>#VALUE!</v>
      </c>
      <c r="E1274" s="15" t="e" cm="1">
        <f t="array" ref="E1274">_xlfn.LET(
_xlpm.inTower, COUNTIF(Tower_Num_Table[Tower Rm Numbers], LEFT(Task_Summary_Table[[#This Row],[Area/Room]], 3)) &gt; 0,
_xlpm.typeResult, _xlfn.SWITCH(LEFT(Tasks[[#This Row],[Page]], 2), "Hi", "Historic", "An", "Annex", "Si", "Site", "S5", "Project Task", "SWITCH ERROR"),
IF(_xlpm.inTower, "West Tower", _xlpm.typeResult)
)</f>
        <v>#VALUE!</v>
      </c>
      <c r="F1274" s="15" t="str">
        <f>IFERROR(MID(Tasks[[#This Row],[Page]], FIND("Level", Tasks[[#This Row],[Page]]), 7), IF(ISNUMBER(FIND("Roof", Tasks[[#This Row],[Page]])), "Roof",  IF(ISNUMBER(FIND("S590", Tasks[[#This Row],[Page]])), "",  IF(ISNUMBER(FIND("Site", Tasks[[#This Row],[Page]])), "", "ERROR"))))</f>
        <v>ERROR</v>
      </c>
      <c r="G1274" s="15" t="e">
        <f>IF(Tasks[[#This Row],[Location]]=0, "", Tasks[[#This Row],[Location]])</f>
        <v>#VALUE!</v>
      </c>
      <c r="H1274" s="15" t="e">
        <f>Tasks[[#This Row],[To Package]]</f>
        <v>#VALUE!</v>
      </c>
      <c r="I1274" s="15" t="e">
        <f>Tasks[[#This Row],[To Organisation]]</f>
        <v>#VALUE!</v>
      </c>
    </row>
    <row r="1275" spans="1:9" ht="15.5" x14ac:dyDescent="0.35">
      <c r="A1275" s="16" t="e">
        <f>HYPERLINK(_xlfn.CONCAT(Edit_URL,Tasks[[#This Row],[Ref]]),Tasks[[#This Row],[Ref]])</f>
        <v>#VALUE!</v>
      </c>
      <c r="B1275" s="15" t="e" cm="1">
        <f t="array" ref="B1275">_xlfn.SWITCH(LEFT(Tasks[[#This Row],[Status]],1),"O","Opened","C","Completed","S","Signed Off", "V", "Signed Off","ERROR")</f>
        <v>#VALUE!</v>
      </c>
      <c r="C1275" s="15" t="e" cm="1">
        <f t="array" ref="C1275">_xlfn.SWITCH(LEFT(Tasks[[#This Row],[Type]], 3), "Fie", "Field Report", "Con", "Contractor QC", "Gen", "Contractor QC", "Pun", "Contractor QC", "Qua", "Contractor QC", "Fin", "Punch List")</f>
        <v>#VALUE!</v>
      </c>
      <c r="D1275" s="15" t="e">
        <f>_xlfn.LET(
_xlpm.leftValue, TRIM(LEFT(Tasks[[#This Row],[Description]], 45)),
IF(LEN(_xlpm.leftValue) &lt; 40, _xlpm.leftValue, _xlfn.CONCAT(_xlpm.leftValue, "…"))
)</f>
        <v>#VALUE!</v>
      </c>
      <c r="E1275" s="15" t="e" cm="1">
        <f t="array" ref="E1275">_xlfn.LET(
_xlpm.inTower, COUNTIF(Tower_Num_Table[Tower Rm Numbers], LEFT(Task_Summary_Table[[#This Row],[Area/Room]], 3)) &gt; 0,
_xlpm.typeResult, _xlfn.SWITCH(LEFT(Tasks[[#This Row],[Page]], 2), "Hi", "Historic", "An", "Annex", "Si", "Site", "S5", "Project Task", "SWITCH ERROR"),
IF(_xlpm.inTower, "West Tower", _xlpm.typeResult)
)</f>
        <v>#VALUE!</v>
      </c>
      <c r="F1275" s="15" t="str">
        <f>IFERROR(MID(Tasks[[#This Row],[Page]], FIND("Level", Tasks[[#This Row],[Page]]), 7), IF(ISNUMBER(FIND("Roof", Tasks[[#This Row],[Page]])), "Roof",  IF(ISNUMBER(FIND("S590", Tasks[[#This Row],[Page]])), "",  IF(ISNUMBER(FIND("Site", Tasks[[#This Row],[Page]])), "", "ERROR"))))</f>
        <v>ERROR</v>
      </c>
      <c r="G1275" s="15" t="e">
        <f>IF(Tasks[[#This Row],[Location]]=0, "", Tasks[[#This Row],[Location]])</f>
        <v>#VALUE!</v>
      </c>
      <c r="H1275" s="15" t="e">
        <f>Tasks[[#This Row],[To Package]]</f>
        <v>#VALUE!</v>
      </c>
      <c r="I1275" s="15" t="e">
        <f>Tasks[[#This Row],[To Organisation]]</f>
        <v>#VALUE!</v>
      </c>
    </row>
    <row r="1276" spans="1:9" ht="15.5" x14ac:dyDescent="0.35">
      <c r="A1276" s="16" t="e">
        <f>HYPERLINK(_xlfn.CONCAT(Edit_URL,Tasks[[#This Row],[Ref]]),Tasks[[#This Row],[Ref]])</f>
        <v>#VALUE!</v>
      </c>
      <c r="B1276" s="15" t="e" cm="1">
        <f t="array" ref="B1276">_xlfn.SWITCH(LEFT(Tasks[[#This Row],[Status]],1),"O","Opened","C","Completed","S","Signed Off", "V", "Signed Off","ERROR")</f>
        <v>#VALUE!</v>
      </c>
      <c r="C1276" s="15" t="e" cm="1">
        <f t="array" ref="C1276">_xlfn.SWITCH(LEFT(Tasks[[#This Row],[Type]], 3), "Fie", "Field Report", "Con", "Contractor QC", "Gen", "Contractor QC", "Pun", "Contractor QC", "Qua", "Contractor QC", "Fin", "Punch List")</f>
        <v>#VALUE!</v>
      </c>
      <c r="D1276" s="15" t="e">
        <f>_xlfn.LET(
_xlpm.leftValue, TRIM(LEFT(Tasks[[#This Row],[Description]], 45)),
IF(LEN(_xlpm.leftValue) &lt; 40, _xlpm.leftValue, _xlfn.CONCAT(_xlpm.leftValue, "…"))
)</f>
        <v>#VALUE!</v>
      </c>
      <c r="E1276" s="15" t="e" cm="1">
        <f t="array" ref="E1276">_xlfn.LET(
_xlpm.inTower, COUNTIF(Tower_Num_Table[Tower Rm Numbers], LEFT(Task_Summary_Table[[#This Row],[Area/Room]], 3)) &gt; 0,
_xlpm.typeResult, _xlfn.SWITCH(LEFT(Tasks[[#This Row],[Page]], 2), "Hi", "Historic", "An", "Annex", "Si", "Site", "S5", "Project Task", "SWITCH ERROR"),
IF(_xlpm.inTower, "West Tower", _xlpm.typeResult)
)</f>
        <v>#VALUE!</v>
      </c>
      <c r="F1276" s="15" t="str">
        <f>IFERROR(MID(Tasks[[#This Row],[Page]], FIND("Level", Tasks[[#This Row],[Page]]), 7), IF(ISNUMBER(FIND("Roof", Tasks[[#This Row],[Page]])), "Roof",  IF(ISNUMBER(FIND("S590", Tasks[[#This Row],[Page]])), "",  IF(ISNUMBER(FIND("Site", Tasks[[#This Row],[Page]])), "", "ERROR"))))</f>
        <v>ERROR</v>
      </c>
      <c r="G1276" s="15" t="e">
        <f>IF(Tasks[[#This Row],[Location]]=0, "", Tasks[[#This Row],[Location]])</f>
        <v>#VALUE!</v>
      </c>
      <c r="H1276" s="15" t="e">
        <f>Tasks[[#This Row],[To Package]]</f>
        <v>#VALUE!</v>
      </c>
      <c r="I1276" s="15" t="e">
        <f>Tasks[[#This Row],[To Organisation]]</f>
        <v>#VALUE!</v>
      </c>
    </row>
    <row r="1277" spans="1:9" ht="15.5" x14ac:dyDescent="0.35">
      <c r="A1277" s="16" t="e">
        <f>HYPERLINK(_xlfn.CONCAT(Edit_URL,Tasks[[#This Row],[Ref]]),Tasks[[#This Row],[Ref]])</f>
        <v>#VALUE!</v>
      </c>
      <c r="B1277" s="15" t="e" cm="1">
        <f t="array" ref="B1277">_xlfn.SWITCH(LEFT(Tasks[[#This Row],[Status]],1),"O","Opened","C","Completed","S","Signed Off", "V", "Signed Off","ERROR")</f>
        <v>#VALUE!</v>
      </c>
      <c r="C1277" s="15" t="e" cm="1">
        <f t="array" ref="C1277">_xlfn.SWITCH(LEFT(Tasks[[#This Row],[Type]], 3), "Fie", "Field Report", "Con", "Contractor QC", "Gen", "Contractor QC", "Pun", "Contractor QC", "Qua", "Contractor QC", "Fin", "Punch List")</f>
        <v>#VALUE!</v>
      </c>
      <c r="D1277" s="15" t="e">
        <f>_xlfn.LET(
_xlpm.leftValue, TRIM(LEFT(Tasks[[#This Row],[Description]], 45)),
IF(LEN(_xlpm.leftValue) &lt; 40, _xlpm.leftValue, _xlfn.CONCAT(_xlpm.leftValue, "…"))
)</f>
        <v>#VALUE!</v>
      </c>
      <c r="E1277" s="15" t="e" cm="1">
        <f t="array" ref="E1277">_xlfn.LET(
_xlpm.inTower, COUNTIF(Tower_Num_Table[Tower Rm Numbers], LEFT(Task_Summary_Table[[#This Row],[Area/Room]], 3)) &gt; 0,
_xlpm.typeResult, _xlfn.SWITCH(LEFT(Tasks[[#This Row],[Page]], 2), "Hi", "Historic", "An", "Annex", "Si", "Site", "S5", "Project Task", "SWITCH ERROR"),
IF(_xlpm.inTower, "West Tower", _xlpm.typeResult)
)</f>
        <v>#VALUE!</v>
      </c>
      <c r="F1277" s="15" t="str">
        <f>IFERROR(MID(Tasks[[#This Row],[Page]], FIND("Level", Tasks[[#This Row],[Page]]), 7), IF(ISNUMBER(FIND("Roof", Tasks[[#This Row],[Page]])), "Roof",  IF(ISNUMBER(FIND("S590", Tasks[[#This Row],[Page]])), "",  IF(ISNUMBER(FIND("Site", Tasks[[#This Row],[Page]])), "", "ERROR"))))</f>
        <v>ERROR</v>
      </c>
      <c r="G1277" s="15" t="e">
        <f>IF(Tasks[[#This Row],[Location]]=0, "", Tasks[[#This Row],[Location]])</f>
        <v>#VALUE!</v>
      </c>
      <c r="H1277" s="15" t="e">
        <f>Tasks[[#This Row],[To Package]]</f>
        <v>#VALUE!</v>
      </c>
      <c r="I1277" s="15" t="e">
        <f>Tasks[[#This Row],[To Organisation]]</f>
        <v>#VALUE!</v>
      </c>
    </row>
    <row r="1278" spans="1:9" ht="15.5" x14ac:dyDescent="0.35">
      <c r="A1278" s="16" t="e">
        <f>HYPERLINK(_xlfn.CONCAT(Edit_URL,Tasks[[#This Row],[Ref]]),Tasks[[#This Row],[Ref]])</f>
        <v>#VALUE!</v>
      </c>
      <c r="B1278" s="15" t="e" cm="1">
        <f t="array" ref="B1278">_xlfn.SWITCH(LEFT(Tasks[[#This Row],[Status]],1),"O","Opened","C","Completed","S","Signed Off", "V", "Signed Off","ERROR")</f>
        <v>#VALUE!</v>
      </c>
      <c r="C1278" s="15" t="e" cm="1">
        <f t="array" ref="C1278">_xlfn.SWITCH(LEFT(Tasks[[#This Row],[Type]], 3), "Fie", "Field Report", "Con", "Contractor QC", "Gen", "Contractor QC", "Pun", "Contractor QC", "Qua", "Contractor QC", "Fin", "Punch List")</f>
        <v>#VALUE!</v>
      </c>
      <c r="D1278" s="15" t="e">
        <f>_xlfn.LET(
_xlpm.leftValue, TRIM(LEFT(Tasks[[#This Row],[Description]], 45)),
IF(LEN(_xlpm.leftValue) &lt; 40, _xlpm.leftValue, _xlfn.CONCAT(_xlpm.leftValue, "…"))
)</f>
        <v>#VALUE!</v>
      </c>
      <c r="E1278" s="15" t="e" cm="1">
        <f t="array" ref="E1278">_xlfn.LET(
_xlpm.inTower, COUNTIF(Tower_Num_Table[Tower Rm Numbers], LEFT(Task_Summary_Table[[#This Row],[Area/Room]], 3)) &gt; 0,
_xlpm.typeResult, _xlfn.SWITCH(LEFT(Tasks[[#This Row],[Page]], 2), "Hi", "Historic", "An", "Annex", "Si", "Site", "S5", "Project Task", "SWITCH ERROR"),
IF(_xlpm.inTower, "West Tower", _xlpm.typeResult)
)</f>
        <v>#VALUE!</v>
      </c>
      <c r="F1278" s="15" t="str">
        <f>IFERROR(MID(Tasks[[#This Row],[Page]], FIND("Level", Tasks[[#This Row],[Page]]), 7), IF(ISNUMBER(FIND("Roof", Tasks[[#This Row],[Page]])), "Roof",  IF(ISNUMBER(FIND("S590", Tasks[[#This Row],[Page]])), "",  IF(ISNUMBER(FIND("Site", Tasks[[#This Row],[Page]])), "", "ERROR"))))</f>
        <v>ERROR</v>
      </c>
      <c r="G1278" s="15" t="e">
        <f>IF(Tasks[[#This Row],[Location]]=0, "", Tasks[[#This Row],[Location]])</f>
        <v>#VALUE!</v>
      </c>
      <c r="H1278" s="15" t="e">
        <f>Tasks[[#This Row],[To Package]]</f>
        <v>#VALUE!</v>
      </c>
      <c r="I1278" s="15" t="e">
        <f>Tasks[[#This Row],[To Organisation]]</f>
        <v>#VALUE!</v>
      </c>
    </row>
    <row r="1279" spans="1:9" ht="15.5" x14ac:dyDescent="0.35">
      <c r="A1279" s="16" t="e">
        <f>HYPERLINK(_xlfn.CONCAT(Edit_URL,Tasks[[#This Row],[Ref]]),Tasks[[#This Row],[Ref]])</f>
        <v>#VALUE!</v>
      </c>
      <c r="B1279" s="15" t="e" cm="1">
        <f t="array" ref="B1279">_xlfn.SWITCH(LEFT(Tasks[[#This Row],[Status]],1),"O","Opened","C","Completed","S","Signed Off", "V", "Signed Off","ERROR")</f>
        <v>#VALUE!</v>
      </c>
      <c r="C1279" s="15" t="e" cm="1">
        <f t="array" ref="C1279">_xlfn.SWITCH(LEFT(Tasks[[#This Row],[Type]], 3), "Fie", "Field Report", "Con", "Contractor QC", "Gen", "Contractor QC", "Pun", "Contractor QC", "Qua", "Contractor QC", "Fin", "Punch List")</f>
        <v>#VALUE!</v>
      </c>
      <c r="D1279" s="15" t="e">
        <f>_xlfn.LET(
_xlpm.leftValue, TRIM(LEFT(Tasks[[#This Row],[Description]], 45)),
IF(LEN(_xlpm.leftValue) &lt; 40, _xlpm.leftValue, _xlfn.CONCAT(_xlpm.leftValue, "…"))
)</f>
        <v>#VALUE!</v>
      </c>
      <c r="E1279" s="15" t="e" cm="1">
        <f t="array" ref="E1279">_xlfn.LET(
_xlpm.inTower, COUNTIF(Tower_Num_Table[Tower Rm Numbers], LEFT(Task_Summary_Table[[#This Row],[Area/Room]], 3)) &gt; 0,
_xlpm.typeResult, _xlfn.SWITCH(LEFT(Tasks[[#This Row],[Page]], 2), "Hi", "Historic", "An", "Annex", "Si", "Site", "S5", "Project Task", "SWITCH ERROR"),
IF(_xlpm.inTower, "West Tower", _xlpm.typeResult)
)</f>
        <v>#VALUE!</v>
      </c>
      <c r="F1279" s="15" t="str">
        <f>IFERROR(MID(Tasks[[#This Row],[Page]], FIND("Level", Tasks[[#This Row],[Page]]), 7), IF(ISNUMBER(FIND("Roof", Tasks[[#This Row],[Page]])), "Roof",  IF(ISNUMBER(FIND("S590", Tasks[[#This Row],[Page]])), "",  IF(ISNUMBER(FIND("Site", Tasks[[#This Row],[Page]])), "", "ERROR"))))</f>
        <v>ERROR</v>
      </c>
      <c r="G1279" s="15" t="e">
        <f>IF(Tasks[[#This Row],[Location]]=0, "", Tasks[[#This Row],[Location]])</f>
        <v>#VALUE!</v>
      </c>
      <c r="H1279" s="15" t="e">
        <f>Tasks[[#This Row],[To Package]]</f>
        <v>#VALUE!</v>
      </c>
      <c r="I1279" s="15" t="e">
        <f>Tasks[[#This Row],[To Organisation]]</f>
        <v>#VALUE!</v>
      </c>
    </row>
    <row r="1280" spans="1:9" ht="15.5" x14ac:dyDescent="0.35">
      <c r="A1280" s="16" t="e">
        <f>HYPERLINK(_xlfn.CONCAT(Edit_URL,Tasks[[#This Row],[Ref]]),Tasks[[#This Row],[Ref]])</f>
        <v>#VALUE!</v>
      </c>
      <c r="B1280" s="15" t="e" cm="1">
        <f t="array" ref="B1280">_xlfn.SWITCH(LEFT(Tasks[[#This Row],[Status]],1),"O","Opened","C","Completed","S","Signed Off", "V", "Signed Off","ERROR")</f>
        <v>#VALUE!</v>
      </c>
      <c r="C1280" s="15" t="e" cm="1">
        <f t="array" ref="C1280">_xlfn.SWITCH(LEFT(Tasks[[#This Row],[Type]], 3), "Fie", "Field Report", "Con", "Contractor QC", "Gen", "Contractor QC", "Pun", "Contractor QC", "Qua", "Contractor QC", "Fin", "Punch List")</f>
        <v>#VALUE!</v>
      </c>
      <c r="D1280" s="15" t="e">
        <f>_xlfn.LET(
_xlpm.leftValue, TRIM(LEFT(Tasks[[#This Row],[Description]], 45)),
IF(LEN(_xlpm.leftValue) &lt; 40, _xlpm.leftValue, _xlfn.CONCAT(_xlpm.leftValue, "…"))
)</f>
        <v>#VALUE!</v>
      </c>
      <c r="E1280" s="15" t="e" cm="1">
        <f t="array" ref="E1280">_xlfn.LET(
_xlpm.inTower, COUNTIF(Tower_Num_Table[Tower Rm Numbers], LEFT(Task_Summary_Table[[#This Row],[Area/Room]], 3)) &gt; 0,
_xlpm.typeResult, _xlfn.SWITCH(LEFT(Tasks[[#This Row],[Page]], 2), "Hi", "Historic", "An", "Annex", "Si", "Site", "S5", "Project Task", "SWITCH ERROR"),
IF(_xlpm.inTower, "West Tower", _xlpm.typeResult)
)</f>
        <v>#VALUE!</v>
      </c>
      <c r="F1280" s="15" t="str">
        <f>IFERROR(MID(Tasks[[#This Row],[Page]], FIND("Level", Tasks[[#This Row],[Page]]), 7), IF(ISNUMBER(FIND("Roof", Tasks[[#This Row],[Page]])), "Roof",  IF(ISNUMBER(FIND("S590", Tasks[[#This Row],[Page]])), "",  IF(ISNUMBER(FIND("Site", Tasks[[#This Row],[Page]])), "", "ERROR"))))</f>
        <v>ERROR</v>
      </c>
      <c r="G1280" s="15" t="e">
        <f>IF(Tasks[[#This Row],[Location]]=0, "", Tasks[[#This Row],[Location]])</f>
        <v>#VALUE!</v>
      </c>
      <c r="H1280" s="15" t="e">
        <f>Tasks[[#This Row],[To Package]]</f>
        <v>#VALUE!</v>
      </c>
      <c r="I1280" s="15" t="e">
        <f>Tasks[[#This Row],[To Organisation]]</f>
        <v>#VALUE!</v>
      </c>
    </row>
    <row r="1281" spans="1:9" ht="15.5" x14ac:dyDescent="0.35">
      <c r="A1281" s="16" t="e">
        <f>HYPERLINK(_xlfn.CONCAT(Edit_URL,Tasks[[#This Row],[Ref]]),Tasks[[#This Row],[Ref]])</f>
        <v>#VALUE!</v>
      </c>
      <c r="B1281" s="15" t="e" cm="1">
        <f t="array" ref="B1281">_xlfn.SWITCH(LEFT(Tasks[[#This Row],[Status]],1),"O","Opened","C","Completed","S","Signed Off", "V", "Signed Off","ERROR")</f>
        <v>#VALUE!</v>
      </c>
      <c r="C1281" s="15" t="e" cm="1">
        <f t="array" ref="C1281">_xlfn.SWITCH(LEFT(Tasks[[#This Row],[Type]], 3), "Fie", "Field Report", "Con", "Contractor QC", "Gen", "Contractor QC", "Pun", "Contractor QC", "Qua", "Contractor QC", "Fin", "Punch List")</f>
        <v>#VALUE!</v>
      </c>
      <c r="D1281" s="15" t="e">
        <f>_xlfn.LET(
_xlpm.leftValue, TRIM(LEFT(Tasks[[#This Row],[Description]], 45)),
IF(LEN(_xlpm.leftValue) &lt; 40, _xlpm.leftValue, _xlfn.CONCAT(_xlpm.leftValue, "…"))
)</f>
        <v>#VALUE!</v>
      </c>
      <c r="E1281" s="15" t="e" cm="1">
        <f t="array" ref="E1281">_xlfn.LET(
_xlpm.inTower, COUNTIF(Tower_Num_Table[Tower Rm Numbers], LEFT(Task_Summary_Table[[#This Row],[Area/Room]], 3)) &gt; 0,
_xlpm.typeResult, _xlfn.SWITCH(LEFT(Tasks[[#This Row],[Page]], 2), "Hi", "Historic", "An", "Annex", "Si", "Site", "S5", "Project Task", "SWITCH ERROR"),
IF(_xlpm.inTower, "West Tower", _xlpm.typeResult)
)</f>
        <v>#VALUE!</v>
      </c>
      <c r="F1281" s="15" t="str">
        <f>IFERROR(MID(Tasks[[#This Row],[Page]], FIND("Level", Tasks[[#This Row],[Page]]), 7), IF(ISNUMBER(FIND("Roof", Tasks[[#This Row],[Page]])), "Roof",  IF(ISNUMBER(FIND("S590", Tasks[[#This Row],[Page]])), "",  IF(ISNUMBER(FIND("Site", Tasks[[#This Row],[Page]])), "", "ERROR"))))</f>
        <v>ERROR</v>
      </c>
      <c r="G1281" s="15" t="e">
        <f>IF(Tasks[[#This Row],[Location]]=0, "", Tasks[[#This Row],[Location]])</f>
        <v>#VALUE!</v>
      </c>
      <c r="H1281" s="15" t="e">
        <f>Tasks[[#This Row],[To Package]]</f>
        <v>#VALUE!</v>
      </c>
      <c r="I1281" s="15" t="e">
        <f>Tasks[[#This Row],[To Organisation]]</f>
        <v>#VALUE!</v>
      </c>
    </row>
    <row r="1282" spans="1:9" ht="15.5" x14ac:dyDescent="0.35">
      <c r="A1282" s="16" t="e">
        <f>HYPERLINK(_xlfn.CONCAT(Edit_URL,Tasks[[#This Row],[Ref]]),Tasks[[#This Row],[Ref]])</f>
        <v>#VALUE!</v>
      </c>
      <c r="B1282" s="15" t="e" cm="1">
        <f t="array" ref="B1282">_xlfn.SWITCH(LEFT(Tasks[[#This Row],[Status]],1),"O","Opened","C","Completed","S","Signed Off", "V", "Signed Off","ERROR")</f>
        <v>#VALUE!</v>
      </c>
      <c r="C1282" s="15" t="e" cm="1">
        <f t="array" ref="C1282">_xlfn.SWITCH(LEFT(Tasks[[#This Row],[Type]], 3), "Fie", "Field Report", "Con", "Contractor QC", "Gen", "Contractor QC", "Pun", "Contractor QC", "Qua", "Contractor QC", "Fin", "Punch List")</f>
        <v>#VALUE!</v>
      </c>
      <c r="D1282" s="15" t="e">
        <f>_xlfn.LET(
_xlpm.leftValue, TRIM(LEFT(Tasks[[#This Row],[Description]], 45)),
IF(LEN(_xlpm.leftValue) &lt; 40, _xlpm.leftValue, _xlfn.CONCAT(_xlpm.leftValue, "…"))
)</f>
        <v>#VALUE!</v>
      </c>
      <c r="E1282" s="15" t="e" cm="1">
        <f t="array" ref="E1282">_xlfn.LET(
_xlpm.inTower, COUNTIF(Tower_Num_Table[Tower Rm Numbers], LEFT(Task_Summary_Table[[#This Row],[Area/Room]], 3)) &gt; 0,
_xlpm.typeResult, _xlfn.SWITCH(LEFT(Tasks[[#This Row],[Page]], 2), "Hi", "Historic", "An", "Annex", "Si", "Site", "S5", "Project Task", "SWITCH ERROR"),
IF(_xlpm.inTower, "West Tower", _xlpm.typeResult)
)</f>
        <v>#VALUE!</v>
      </c>
      <c r="F1282" s="15" t="str">
        <f>IFERROR(MID(Tasks[[#This Row],[Page]], FIND("Level", Tasks[[#This Row],[Page]]), 7), IF(ISNUMBER(FIND("Roof", Tasks[[#This Row],[Page]])), "Roof",  IF(ISNUMBER(FIND("S590", Tasks[[#This Row],[Page]])), "",  IF(ISNUMBER(FIND("Site", Tasks[[#This Row],[Page]])), "", "ERROR"))))</f>
        <v>ERROR</v>
      </c>
      <c r="G1282" s="15" t="e">
        <f>IF(Tasks[[#This Row],[Location]]=0, "", Tasks[[#This Row],[Location]])</f>
        <v>#VALUE!</v>
      </c>
      <c r="H1282" s="15" t="e">
        <f>Tasks[[#This Row],[To Package]]</f>
        <v>#VALUE!</v>
      </c>
      <c r="I1282" s="15" t="e">
        <f>Tasks[[#This Row],[To Organisation]]</f>
        <v>#VALUE!</v>
      </c>
    </row>
    <row r="1283" spans="1:9" ht="15.5" x14ac:dyDescent="0.35">
      <c r="A1283" s="16" t="e">
        <f>HYPERLINK(_xlfn.CONCAT(Edit_URL,Tasks[[#This Row],[Ref]]),Tasks[[#This Row],[Ref]])</f>
        <v>#VALUE!</v>
      </c>
      <c r="B1283" s="15" t="e" cm="1">
        <f t="array" ref="B1283">_xlfn.SWITCH(LEFT(Tasks[[#This Row],[Status]],1),"O","Opened","C","Completed","S","Signed Off", "V", "Signed Off","ERROR")</f>
        <v>#VALUE!</v>
      </c>
      <c r="C1283" s="15" t="e" cm="1">
        <f t="array" ref="C1283">_xlfn.SWITCH(LEFT(Tasks[[#This Row],[Type]], 3), "Fie", "Field Report", "Con", "Contractor QC", "Gen", "Contractor QC", "Pun", "Contractor QC", "Qua", "Contractor QC", "Fin", "Punch List")</f>
        <v>#VALUE!</v>
      </c>
      <c r="D1283" s="15" t="e">
        <f>_xlfn.LET(
_xlpm.leftValue, TRIM(LEFT(Tasks[[#This Row],[Description]], 45)),
IF(LEN(_xlpm.leftValue) &lt; 40, _xlpm.leftValue, _xlfn.CONCAT(_xlpm.leftValue, "…"))
)</f>
        <v>#VALUE!</v>
      </c>
      <c r="E1283" s="15" t="e" cm="1">
        <f t="array" ref="E1283">_xlfn.LET(
_xlpm.inTower, COUNTIF(Tower_Num_Table[Tower Rm Numbers], LEFT(Task_Summary_Table[[#This Row],[Area/Room]], 3)) &gt; 0,
_xlpm.typeResult, _xlfn.SWITCH(LEFT(Tasks[[#This Row],[Page]], 2), "Hi", "Historic", "An", "Annex", "Si", "Site", "S5", "Project Task", "SWITCH ERROR"),
IF(_xlpm.inTower, "West Tower", _xlpm.typeResult)
)</f>
        <v>#VALUE!</v>
      </c>
      <c r="F1283" s="15" t="str">
        <f>IFERROR(MID(Tasks[[#This Row],[Page]], FIND("Level", Tasks[[#This Row],[Page]]), 7), IF(ISNUMBER(FIND("Roof", Tasks[[#This Row],[Page]])), "Roof",  IF(ISNUMBER(FIND("S590", Tasks[[#This Row],[Page]])), "",  IF(ISNUMBER(FIND("Site", Tasks[[#This Row],[Page]])), "", "ERROR"))))</f>
        <v>ERROR</v>
      </c>
      <c r="G1283" s="15" t="e">
        <f>IF(Tasks[[#This Row],[Location]]=0, "", Tasks[[#This Row],[Location]])</f>
        <v>#VALUE!</v>
      </c>
      <c r="H1283" s="15" t="e">
        <f>Tasks[[#This Row],[To Package]]</f>
        <v>#VALUE!</v>
      </c>
      <c r="I1283" s="15" t="e">
        <f>Tasks[[#This Row],[To Organisation]]</f>
        <v>#VALUE!</v>
      </c>
    </row>
    <row r="1284" spans="1:9" ht="15.5" x14ac:dyDescent="0.35">
      <c r="A1284" s="16" t="e">
        <f>HYPERLINK(_xlfn.CONCAT(Edit_URL,Tasks[[#This Row],[Ref]]),Tasks[[#This Row],[Ref]])</f>
        <v>#VALUE!</v>
      </c>
      <c r="B1284" s="15" t="e" cm="1">
        <f t="array" ref="B1284">_xlfn.SWITCH(LEFT(Tasks[[#This Row],[Status]],1),"O","Opened","C","Completed","S","Signed Off", "V", "Signed Off","ERROR")</f>
        <v>#VALUE!</v>
      </c>
      <c r="C1284" s="15" t="e" cm="1">
        <f t="array" ref="C1284">_xlfn.SWITCH(LEFT(Tasks[[#This Row],[Type]], 3), "Fie", "Field Report", "Con", "Contractor QC", "Gen", "Contractor QC", "Pun", "Contractor QC", "Qua", "Contractor QC", "Fin", "Punch List")</f>
        <v>#VALUE!</v>
      </c>
      <c r="D1284" s="15" t="e">
        <f>_xlfn.LET(
_xlpm.leftValue, TRIM(LEFT(Tasks[[#This Row],[Description]], 45)),
IF(LEN(_xlpm.leftValue) &lt; 40, _xlpm.leftValue, _xlfn.CONCAT(_xlpm.leftValue, "…"))
)</f>
        <v>#VALUE!</v>
      </c>
      <c r="E1284" s="15" t="e" cm="1">
        <f t="array" ref="E1284">_xlfn.LET(
_xlpm.inTower, COUNTIF(Tower_Num_Table[Tower Rm Numbers], LEFT(Task_Summary_Table[[#This Row],[Area/Room]], 3)) &gt; 0,
_xlpm.typeResult, _xlfn.SWITCH(LEFT(Tasks[[#This Row],[Page]], 2), "Hi", "Historic", "An", "Annex", "Si", "Site", "S5", "Project Task", "SWITCH ERROR"),
IF(_xlpm.inTower, "West Tower", _xlpm.typeResult)
)</f>
        <v>#VALUE!</v>
      </c>
      <c r="F1284" s="15" t="str">
        <f>IFERROR(MID(Tasks[[#This Row],[Page]], FIND("Level", Tasks[[#This Row],[Page]]), 7), IF(ISNUMBER(FIND("Roof", Tasks[[#This Row],[Page]])), "Roof",  IF(ISNUMBER(FIND("S590", Tasks[[#This Row],[Page]])), "",  IF(ISNUMBER(FIND("Site", Tasks[[#This Row],[Page]])), "", "ERROR"))))</f>
        <v>ERROR</v>
      </c>
      <c r="G1284" s="15" t="e">
        <f>IF(Tasks[[#This Row],[Location]]=0, "", Tasks[[#This Row],[Location]])</f>
        <v>#VALUE!</v>
      </c>
      <c r="H1284" s="15" t="e">
        <f>Tasks[[#This Row],[To Package]]</f>
        <v>#VALUE!</v>
      </c>
      <c r="I1284" s="15" t="e">
        <f>Tasks[[#This Row],[To Organisation]]</f>
        <v>#VALUE!</v>
      </c>
    </row>
    <row r="1285" spans="1:9" ht="15.5" x14ac:dyDescent="0.35">
      <c r="A1285" s="16" t="e">
        <f>HYPERLINK(_xlfn.CONCAT(Edit_URL,Tasks[[#This Row],[Ref]]),Tasks[[#This Row],[Ref]])</f>
        <v>#VALUE!</v>
      </c>
      <c r="B1285" s="15" t="e" cm="1">
        <f t="array" ref="B1285">_xlfn.SWITCH(LEFT(Tasks[[#This Row],[Status]],1),"O","Opened","C","Completed","S","Signed Off", "V", "Signed Off","ERROR")</f>
        <v>#VALUE!</v>
      </c>
      <c r="C1285" s="15" t="e" cm="1">
        <f t="array" ref="C1285">_xlfn.SWITCH(LEFT(Tasks[[#This Row],[Type]], 3), "Fie", "Field Report", "Con", "Contractor QC", "Gen", "Contractor QC", "Pun", "Contractor QC", "Qua", "Contractor QC", "Fin", "Punch List")</f>
        <v>#VALUE!</v>
      </c>
      <c r="D1285" s="15" t="e">
        <f>_xlfn.LET(
_xlpm.leftValue, TRIM(LEFT(Tasks[[#This Row],[Description]], 45)),
IF(LEN(_xlpm.leftValue) &lt; 40, _xlpm.leftValue, _xlfn.CONCAT(_xlpm.leftValue, "…"))
)</f>
        <v>#VALUE!</v>
      </c>
      <c r="E1285" s="15" t="e" cm="1">
        <f t="array" ref="E1285">_xlfn.LET(
_xlpm.inTower, COUNTIF(Tower_Num_Table[Tower Rm Numbers], LEFT(Task_Summary_Table[[#This Row],[Area/Room]], 3)) &gt; 0,
_xlpm.typeResult, _xlfn.SWITCH(LEFT(Tasks[[#This Row],[Page]], 2), "Hi", "Historic", "An", "Annex", "Si", "Site", "S5", "Project Task", "SWITCH ERROR"),
IF(_xlpm.inTower, "West Tower", _xlpm.typeResult)
)</f>
        <v>#VALUE!</v>
      </c>
      <c r="F1285" s="15" t="str">
        <f>IFERROR(MID(Tasks[[#This Row],[Page]], FIND("Level", Tasks[[#This Row],[Page]]), 7), IF(ISNUMBER(FIND("Roof", Tasks[[#This Row],[Page]])), "Roof",  IF(ISNUMBER(FIND("S590", Tasks[[#This Row],[Page]])), "",  IF(ISNUMBER(FIND("Site", Tasks[[#This Row],[Page]])), "", "ERROR"))))</f>
        <v>ERROR</v>
      </c>
      <c r="G1285" s="15" t="e">
        <f>IF(Tasks[[#This Row],[Location]]=0, "", Tasks[[#This Row],[Location]])</f>
        <v>#VALUE!</v>
      </c>
      <c r="H1285" s="15" t="e">
        <f>Tasks[[#This Row],[To Package]]</f>
        <v>#VALUE!</v>
      </c>
      <c r="I1285" s="15" t="e">
        <f>Tasks[[#This Row],[To Organisation]]</f>
        <v>#VALUE!</v>
      </c>
    </row>
    <row r="1286" spans="1:9" ht="15.5" x14ac:dyDescent="0.35">
      <c r="A1286" s="16" t="e">
        <f>HYPERLINK(_xlfn.CONCAT(Edit_URL,Tasks[[#This Row],[Ref]]),Tasks[[#This Row],[Ref]])</f>
        <v>#VALUE!</v>
      </c>
      <c r="B1286" s="15" t="e" cm="1">
        <f t="array" ref="B1286">_xlfn.SWITCH(LEFT(Tasks[[#This Row],[Status]],1),"O","Opened","C","Completed","S","Signed Off", "V", "Signed Off","ERROR")</f>
        <v>#VALUE!</v>
      </c>
      <c r="C1286" s="15" t="e" cm="1">
        <f t="array" ref="C1286">_xlfn.SWITCH(LEFT(Tasks[[#This Row],[Type]], 3), "Fie", "Field Report", "Con", "Contractor QC", "Gen", "Contractor QC", "Pun", "Contractor QC", "Qua", "Contractor QC", "Fin", "Punch List")</f>
        <v>#VALUE!</v>
      </c>
      <c r="D1286" s="15" t="e">
        <f>_xlfn.LET(
_xlpm.leftValue, TRIM(LEFT(Tasks[[#This Row],[Description]], 45)),
IF(LEN(_xlpm.leftValue) &lt; 40, _xlpm.leftValue, _xlfn.CONCAT(_xlpm.leftValue, "…"))
)</f>
        <v>#VALUE!</v>
      </c>
      <c r="E1286" s="15" t="e" cm="1">
        <f t="array" ref="E1286">_xlfn.LET(
_xlpm.inTower, COUNTIF(Tower_Num_Table[Tower Rm Numbers], LEFT(Task_Summary_Table[[#This Row],[Area/Room]], 3)) &gt; 0,
_xlpm.typeResult, _xlfn.SWITCH(LEFT(Tasks[[#This Row],[Page]], 2), "Hi", "Historic", "An", "Annex", "Si", "Site", "S5", "Project Task", "SWITCH ERROR"),
IF(_xlpm.inTower, "West Tower", _xlpm.typeResult)
)</f>
        <v>#VALUE!</v>
      </c>
      <c r="F1286" s="15" t="str">
        <f>IFERROR(MID(Tasks[[#This Row],[Page]], FIND("Level", Tasks[[#This Row],[Page]]), 7), IF(ISNUMBER(FIND("Roof", Tasks[[#This Row],[Page]])), "Roof",  IF(ISNUMBER(FIND("S590", Tasks[[#This Row],[Page]])), "",  IF(ISNUMBER(FIND("Site", Tasks[[#This Row],[Page]])), "", "ERROR"))))</f>
        <v>ERROR</v>
      </c>
      <c r="G1286" s="15" t="e">
        <f>IF(Tasks[[#This Row],[Location]]=0, "", Tasks[[#This Row],[Location]])</f>
        <v>#VALUE!</v>
      </c>
      <c r="H1286" s="15" t="e">
        <f>Tasks[[#This Row],[To Package]]</f>
        <v>#VALUE!</v>
      </c>
      <c r="I1286" s="15" t="e">
        <f>Tasks[[#This Row],[To Organisation]]</f>
        <v>#VALUE!</v>
      </c>
    </row>
    <row r="1287" spans="1:9" ht="15.5" x14ac:dyDescent="0.35">
      <c r="A1287" s="16" t="e">
        <f>HYPERLINK(_xlfn.CONCAT(Edit_URL,Tasks[[#This Row],[Ref]]),Tasks[[#This Row],[Ref]])</f>
        <v>#VALUE!</v>
      </c>
      <c r="B1287" s="15" t="e" cm="1">
        <f t="array" ref="B1287">_xlfn.SWITCH(LEFT(Tasks[[#This Row],[Status]],1),"O","Opened","C","Completed","S","Signed Off", "V", "Signed Off","ERROR")</f>
        <v>#VALUE!</v>
      </c>
      <c r="C1287" s="15" t="e" cm="1">
        <f t="array" ref="C1287">_xlfn.SWITCH(LEFT(Tasks[[#This Row],[Type]], 3), "Fie", "Field Report", "Con", "Contractor QC", "Gen", "Contractor QC", "Pun", "Contractor QC", "Qua", "Contractor QC", "Fin", "Punch List")</f>
        <v>#VALUE!</v>
      </c>
      <c r="D1287" s="15" t="e">
        <f>_xlfn.LET(
_xlpm.leftValue, TRIM(LEFT(Tasks[[#This Row],[Description]], 45)),
IF(LEN(_xlpm.leftValue) &lt; 40, _xlpm.leftValue, _xlfn.CONCAT(_xlpm.leftValue, "…"))
)</f>
        <v>#VALUE!</v>
      </c>
      <c r="E1287" s="15" t="e" cm="1">
        <f t="array" ref="E1287">_xlfn.LET(
_xlpm.inTower, COUNTIF(Tower_Num_Table[Tower Rm Numbers], LEFT(Task_Summary_Table[[#This Row],[Area/Room]], 3)) &gt; 0,
_xlpm.typeResult, _xlfn.SWITCH(LEFT(Tasks[[#This Row],[Page]], 2), "Hi", "Historic", "An", "Annex", "Si", "Site", "S5", "Project Task", "SWITCH ERROR"),
IF(_xlpm.inTower, "West Tower", _xlpm.typeResult)
)</f>
        <v>#VALUE!</v>
      </c>
      <c r="F1287" s="15" t="str">
        <f>IFERROR(MID(Tasks[[#This Row],[Page]], FIND("Level", Tasks[[#This Row],[Page]]), 7), IF(ISNUMBER(FIND("Roof", Tasks[[#This Row],[Page]])), "Roof",  IF(ISNUMBER(FIND("S590", Tasks[[#This Row],[Page]])), "",  IF(ISNUMBER(FIND("Site", Tasks[[#This Row],[Page]])), "", "ERROR"))))</f>
        <v>ERROR</v>
      </c>
      <c r="G1287" s="15" t="e">
        <f>IF(Tasks[[#This Row],[Location]]=0, "", Tasks[[#This Row],[Location]])</f>
        <v>#VALUE!</v>
      </c>
      <c r="H1287" s="15" t="e">
        <f>Tasks[[#This Row],[To Package]]</f>
        <v>#VALUE!</v>
      </c>
      <c r="I1287" s="15" t="e">
        <f>Tasks[[#This Row],[To Organisation]]</f>
        <v>#VALUE!</v>
      </c>
    </row>
    <row r="1288" spans="1:9" ht="15.5" x14ac:dyDescent="0.35">
      <c r="A1288" s="16" t="e">
        <f>HYPERLINK(_xlfn.CONCAT(Edit_URL,Tasks[[#This Row],[Ref]]),Tasks[[#This Row],[Ref]])</f>
        <v>#VALUE!</v>
      </c>
      <c r="B1288" s="15" t="e" cm="1">
        <f t="array" ref="B1288">_xlfn.SWITCH(LEFT(Tasks[[#This Row],[Status]],1),"O","Opened","C","Completed","S","Signed Off", "V", "Signed Off","ERROR")</f>
        <v>#VALUE!</v>
      </c>
      <c r="C1288" s="15" t="e" cm="1">
        <f t="array" ref="C1288">_xlfn.SWITCH(LEFT(Tasks[[#This Row],[Type]], 3), "Fie", "Field Report", "Con", "Contractor QC", "Gen", "Contractor QC", "Pun", "Contractor QC", "Qua", "Contractor QC", "Fin", "Punch List")</f>
        <v>#VALUE!</v>
      </c>
      <c r="D1288" s="15" t="e">
        <f>_xlfn.LET(
_xlpm.leftValue, TRIM(LEFT(Tasks[[#This Row],[Description]], 45)),
IF(LEN(_xlpm.leftValue) &lt; 40, _xlpm.leftValue, _xlfn.CONCAT(_xlpm.leftValue, "…"))
)</f>
        <v>#VALUE!</v>
      </c>
      <c r="E1288" s="15" t="e" cm="1">
        <f t="array" ref="E1288">_xlfn.LET(
_xlpm.inTower, COUNTIF(Tower_Num_Table[Tower Rm Numbers], LEFT(Task_Summary_Table[[#This Row],[Area/Room]], 3)) &gt; 0,
_xlpm.typeResult, _xlfn.SWITCH(LEFT(Tasks[[#This Row],[Page]], 2), "Hi", "Historic", "An", "Annex", "Si", "Site", "S5", "Project Task", "SWITCH ERROR"),
IF(_xlpm.inTower, "West Tower", _xlpm.typeResult)
)</f>
        <v>#VALUE!</v>
      </c>
      <c r="F1288" s="15" t="str">
        <f>IFERROR(MID(Tasks[[#This Row],[Page]], FIND("Level", Tasks[[#This Row],[Page]]), 7), IF(ISNUMBER(FIND("Roof", Tasks[[#This Row],[Page]])), "Roof",  IF(ISNUMBER(FIND("S590", Tasks[[#This Row],[Page]])), "",  IF(ISNUMBER(FIND("Site", Tasks[[#This Row],[Page]])), "", "ERROR"))))</f>
        <v>ERROR</v>
      </c>
      <c r="G1288" s="15" t="e">
        <f>IF(Tasks[[#This Row],[Location]]=0, "", Tasks[[#This Row],[Location]])</f>
        <v>#VALUE!</v>
      </c>
      <c r="H1288" s="15" t="e">
        <f>Tasks[[#This Row],[To Package]]</f>
        <v>#VALUE!</v>
      </c>
      <c r="I1288" s="15" t="e">
        <f>Tasks[[#This Row],[To Organisation]]</f>
        <v>#VALUE!</v>
      </c>
    </row>
    <row r="1289" spans="1:9" ht="15.5" x14ac:dyDescent="0.35">
      <c r="A1289" s="16" t="e">
        <f>HYPERLINK(_xlfn.CONCAT(Edit_URL,Tasks[[#This Row],[Ref]]),Tasks[[#This Row],[Ref]])</f>
        <v>#VALUE!</v>
      </c>
      <c r="B1289" s="15" t="e" cm="1">
        <f t="array" ref="B1289">_xlfn.SWITCH(LEFT(Tasks[[#This Row],[Status]],1),"O","Opened","C","Completed","S","Signed Off", "V", "Signed Off","ERROR")</f>
        <v>#VALUE!</v>
      </c>
      <c r="C1289" s="15" t="e" cm="1">
        <f t="array" ref="C1289">_xlfn.SWITCH(LEFT(Tasks[[#This Row],[Type]], 3), "Fie", "Field Report", "Con", "Contractor QC", "Gen", "Contractor QC", "Pun", "Contractor QC", "Qua", "Contractor QC", "Fin", "Punch List")</f>
        <v>#VALUE!</v>
      </c>
      <c r="D1289" s="15" t="e">
        <f>_xlfn.LET(
_xlpm.leftValue, TRIM(LEFT(Tasks[[#This Row],[Description]], 45)),
IF(LEN(_xlpm.leftValue) &lt; 40, _xlpm.leftValue, _xlfn.CONCAT(_xlpm.leftValue, "…"))
)</f>
        <v>#VALUE!</v>
      </c>
      <c r="E1289" s="15" t="e" cm="1">
        <f t="array" ref="E1289">_xlfn.LET(
_xlpm.inTower, COUNTIF(Tower_Num_Table[Tower Rm Numbers], LEFT(Task_Summary_Table[[#This Row],[Area/Room]], 3)) &gt; 0,
_xlpm.typeResult, _xlfn.SWITCH(LEFT(Tasks[[#This Row],[Page]], 2), "Hi", "Historic", "An", "Annex", "Si", "Site", "S5", "Project Task", "SWITCH ERROR"),
IF(_xlpm.inTower, "West Tower", _xlpm.typeResult)
)</f>
        <v>#VALUE!</v>
      </c>
      <c r="F1289" s="15" t="str">
        <f>IFERROR(MID(Tasks[[#This Row],[Page]], FIND("Level", Tasks[[#This Row],[Page]]), 7), IF(ISNUMBER(FIND("Roof", Tasks[[#This Row],[Page]])), "Roof",  IF(ISNUMBER(FIND("S590", Tasks[[#This Row],[Page]])), "",  IF(ISNUMBER(FIND("Site", Tasks[[#This Row],[Page]])), "", "ERROR"))))</f>
        <v>ERROR</v>
      </c>
      <c r="G1289" s="15" t="e">
        <f>IF(Tasks[[#This Row],[Location]]=0, "", Tasks[[#This Row],[Location]])</f>
        <v>#VALUE!</v>
      </c>
      <c r="H1289" s="15" t="e">
        <f>Tasks[[#This Row],[To Package]]</f>
        <v>#VALUE!</v>
      </c>
      <c r="I1289" s="15" t="e">
        <f>Tasks[[#This Row],[To Organisation]]</f>
        <v>#VALUE!</v>
      </c>
    </row>
    <row r="1290" spans="1:9" ht="15.5" x14ac:dyDescent="0.35">
      <c r="A1290" s="16" t="e">
        <f>HYPERLINK(_xlfn.CONCAT(Edit_URL,Tasks[[#This Row],[Ref]]),Tasks[[#This Row],[Ref]])</f>
        <v>#VALUE!</v>
      </c>
      <c r="B1290" s="15" t="e" cm="1">
        <f t="array" ref="B1290">_xlfn.SWITCH(LEFT(Tasks[[#This Row],[Status]],1),"O","Opened","C","Completed","S","Signed Off", "V", "Signed Off","ERROR")</f>
        <v>#VALUE!</v>
      </c>
      <c r="C1290" s="15" t="e" cm="1">
        <f t="array" ref="C1290">_xlfn.SWITCH(LEFT(Tasks[[#This Row],[Type]], 3), "Fie", "Field Report", "Con", "Contractor QC", "Gen", "Contractor QC", "Pun", "Contractor QC", "Qua", "Contractor QC", "Fin", "Punch List")</f>
        <v>#VALUE!</v>
      </c>
      <c r="D1290" s="15" t="e">
        <f>_xlfn.LET(
_xlpm.leftValue, TRIM(LEFT(Tasks[[#This Row],[Description]], 45)),
IF(LEN(_xlpm.leftValue) &lt; 40, _xlpm.leftValue, _xlfn.CONCAT(_xlpm.leftValue, "…"))
)</f>
        <v>#VALUE!</v>
      </c>
      <c r="E1290" s="15" t="e" cm="1">
        <f t="array" ref="E1290">_xlfn.LET(
_xlpm.inTower, COUNTIF(Tower_Num_Table[Tower Rm Numbers], LEFT(Task_Summary_Table[[#This Row],[Area/Room]], 3)) &gt; 0,
_xlpm.typeResult, _xlfn.SWITCH(LEFT(Tasks[[#This Row],[Page]], 2), "Hi", "Historic", "An", "Annex", "Si", "Site", "S5", "Project Task", "SWITCH ERROR"),
IF(_xlpm.inTower, "West Tower", _xlpm.typeResult)
)</f>
        <v>#VALUE!</v>
      </c>
      <c r="F1290" s="15" t="str">
        <f>IFERROR(MID(Tasks[[#This Row],[Page]], FIND("Level", Tasks[[#This Row],[Page]]), 7), IF(ISNUMBER(FIND("Roof", Tasks[[#This Row],[Page]])), "Roof",  IF(ISNUMBER(FIND("S590", Tasks[[#This Row],[Page]])), "",  IF(ISNUMBER(FIND("Site", Tasks[[#This Row],[Page]])), "", "ERROR"))))</f>
        <v>ERROR</v>
      </c>
      <c r="G1290" s="15" t="e">
        <f>IF(Tasks[[#This Row],[Location]]=0, "", Tasks[[#This Row],[Location]])</f>
        <v>#VALUE!</v>
      </c>
      <c r="H1290" s="15" t="e">
        <f>Tasks[[#This Row],[To Package]]</f>
        <v>#VALUE!</v>
      </c>
      <c r="I1290" s="15" t="e">
        <f>Tasks[[#This Row],[To Organisation]]</f>
        <v>#VALUE!</v>
      </c>
    </row>
    <row r="1291" spans="1:9" ht="15.5" x14ac:dyDescent="0.35">
      <c r="A1291" s="16" t="e">
        <f>HYPERLINK(_xlfn.CONCAT(Edit_URL,Tasks[[#This Row],[Ref]]),Tasks[[#This Row],[Ref]])</f>
        <v>#VALUE!</v>
      </c>
      <c r="B1291" s="15" t="e" cm="1">
        <f t="array" ref="B1291">_xlfn.SWITCH(LEFT(Tasks[[#This Row],[Status]],1),"O","Opened","C","Completed","S","Signed Off", "V", "Signed Off","ERROR")</f>
        <v>#VALUE!</v>
      </c>
      <c r="C1291" s="15" t="e" cm="1">
        <f t="array" ref="C1291">_xlfn.SWITCH(LEFT(Tasks[[#This Row],[Type]], 3), "Fie", "Field Report", "Con", "Contractor QC", "Gen", "Contractor QC", "Pun", "Contractor QC", "Qua", "Contractor QC", "Fin", "Punch List")</f>
        <v>#VALUE!</v>
      </c>
      <c r="D1291" s="15" t="e">
        <f>_xlfn.LET(
_xlpm.leftValue, TRIM(LEFT(Tasks[[#This Row],[Description]], 45)),
IF(LEN(_xlpm.leftValue) &lt; 40, _xlpm.leftValue, _xlfn.CONCAT(_xlpm.leftValue, "…"))
)</f>
        <v>#VALUE!</v>
      </c>
      <c r="E1291" s="15" t="e" cm="1">
        <f t="array" ref="E1291">_xlfn.LET(
_xlpm.inTower, COUNTIF(Tower_Num_Table[Tower Rm Numbers], LEFT(Task_Summary_Table[[#This Row],[Area/Room]], 3)) &gt; 0,
_xlpm.typeResult, _xlfn.SWITCH(LEFT(Tasks[[#This Row],[Page]], 2), "Hi", "Historic", "An", "Annex", "Si", "Site", "S5", "Project Task", "SWITCH ERROR"),
IF(_xlpm.inTower, "West Tower", _xlpm.typeResult)
)</f>
        <v>#VALUE!</v>
      </c>
      <c r="F1291" s="15" t="str">
        <f>IFERROR(MID(Tasks[[#This Row],[Page]], FIND("Level", Tasks[[#This Row],[Page]]), 7), IF(ISNUMBER(FIND("Roof", Tasks[[#This Row],[Page]])), "Roof",  IF(ISNUMBER(FIND("S590", Tasks[[#This Row],[Page]])), "",  IF(ISNUMBER(FIND("Site", Tasks[[#This Row],[Page]])), "", "ERROR"))))</f>
        <v>ERROR</v>
      </c>
      <c r="G1291" s="15" t="e">
        <f>IF(Tasks[[#This Row],[Location]]=0, "", Tasks[[#This Row],[Location]])</f>
        <v>#VALUE!</v>
      </c>
      <c r="H1291" s="15" t="e">
        <f>Tasks[[#This Row],[To Package]]</f>
        <v>#VALUE!</v>
      </c>
      <c r="I1291" s="15" t="e">
        <f>Tasks[[#This Row],[To Organisation]]</f>
        <v>#VALUE!</v>
      </c>
    </row>
    <row r="1292" spans="1:9" ht="15.5" x14ac:dyDescent="0.35">
      <c r="A1292" s="16" t="e">
        <f>HYPERLINK(_xlfn.CONCAT(Edit_URL,Tasks[[#This Row],[Ref]]),Tasks[[#This Row],[Ref]])</f>
        <v>#VALUE!</v>
      </c>
      <c r="B1292" s="15" t="e" cm="1">
        <f t="array" ref="B1292">_xlfn.SWITCH(LEFT(Tasks[[#This Row],[Status]],1),"O","Opened","C","Completed","S","Signed Off", "V", "Signed Off","ERROR")</f>
        <v>#VALUE!</v>
      </c>
      <c r="C1292" s="15" t="e" cm="1">
        <f t="array" ref="C1292">_xlfn.SWITCH(LEFT(Tasks[[#This Row],[Type]], 3), "Fie", "Field Report", "Con", "Contractor QC", "Gen", "Contractor QC", "Pun", "Contractor QC", "Qua", "Contractor QC", "Fin", "Punch List")</f>
        <v>#VALUE!</v>
      </c>
      <c r="D1292" s="15" t="e">
        <f>_xlfn.LET(
_xlpm.leftValue, TRIM(LEFT(Tasks[[#This Row],[Description]], 45)),
IF(LEN(_xlpm.leftValue) &lt; 40, _xlpm.leftValue, _xlfn.CONCAT(_xlpm.leftValue, "…"))
)</f>
        <v>#VALUE!</v>
      </c>
      <c r="E1292" s="15" t="e" cm="1">
        <f t="array" ref="E1292">_xlfn.LET(
_xlpm.inTower, COUNTIF(Tower_Num_Table[Tower Rm Numbers], LEFT(Task_Summary_Table[[#This Row],[Area/Room]], 3)) &gt; 0,
_xlpm.typeResult, _xlfn.SWITCH(LEFT(Tasks[[#This Row],[Page]], 2), "Hi", "Historic", "An", "Annex", "Si", "Site", "S5", "Project Task", "SWITCH ERROR"),
IF(_xlpm.inTower, "West Tower", _xlpm.typeResult)
)</f>
        <v>#VALUE!</v>
      </c>
      <c r="F1292" s="15" t="str">
        <f>IFERROR(MID(Tasks[[#This Row],[Page]], FIND("Level", Tasks[[#This Row],[Page]]), 7), IF(ISNUMBER(FIND("Roof", Tasks[[#This Row],[Page]])), "Roof",  IF(ISNUMBER(FIND("S590", Tasks[[#This Row],[Page]])), "",  IF(ISNUMBER(FIND("Site", Tasks[[#This Row],[Page]])), "", "ERROR"))))</f>
        <v>ERROR</v>
      </c>
      <c r="G1292" s="15" t="e">
        <f>IF(Tasks[[#This Row],[Location]]=0, "", Tasks[[#This Row],[Location]])</f>
        <v>#VALUE!</v>
      </c>
      <c r="H1292" s="15" t="e">
        <f>Tasks[[#This Row],[To Package]]</f>
        <v>#VALUE!</v>
      </c>
      <c r="I1292" s="15" t="e">
        <f>Tasks[[#This Row],[To Organisation]]</f>
        <v>#VALUE!</v>
      </c>
    </row>
    <row r="1293" spans="1:9" ht="15.5" x14ac:dyDescent="0.35">
      <c r="A1293" s="16" t="e">
        <f>HYPERLINK(_xlfn.CONCAT(Edit_URL,Tasks[[#This Row],[Ref]]),Tasks[[#This Row],[Ref]])</f>
        <v>#VALUE!</v>
      </c>
      <c r="B1293" s="15" t="e" cm="1">
        <f t="array" ref="B1293">_xlfn.SWITCH(LEFT(Tasks[[#This Row],[Status]],1),"O","Opened","C","Completed","S","Signed Off", "V", "Signed Off","ERROR")</f>
        <v>#VALUE!</v>
      </c>
      <c r="C1293" s="15" t="e" cm="1">
        <f t="array" ref="C1293">_xlfn.SWITCH(LEFT(Tasks[[#This Row],[Type]], 3), "Fie", "Field Report", "Con", "Contractor QC", "Gen", "Contractor QC", "Pun", "Contractor QC", "Qua", "Contractor QC", "Fin", "Punch List")</f>
        <v>#VALUE!</v>
      </c>
      <c r="D1293" s="15" t="e">
        <f>_xlfn.LET(
_xlpm.leftValue, TRIM(LEFT(Tasks[[#This Row],[Description]], 45)),
IF(LEN(_xlpm.leftValue) &lt; 40, _xlpm.leftValue, _xlfn.CONCAT(_xlpm.leftValue, "…"))
)</f>
        <v>#VALUE!</v>
      </c>
      <c r="E1293" s="15" t="e" cm="1">
        <f t="array" ref="E1293">_xlfn.LET(
_xlpm.inTower, COUNTIF(Tower_Num_Table[Tower Rm Numbers], LEFT(Task_Summary_Table[[#This Row],[Area/Room]], 3)) &gt; 0,
_xlpm.typeResult, _xlfn.SWITCH(LEFT(Tasks[[#This Row],[Page]], 2), "Hi", "Historic", "An", "Annex", "Si", "Site", "S5", "Project Task", "SWITCH ERROR"),
IF(_xlpm.inTower, "West Tower", _xlpm.typeResult)
)</f>
        <v>#VALUE!</v>
      </c>
      <c r="F1293" s="15" t="str">
        <f>IFERROR(MID(Tasks[[#This Row],[Page]], FIND("Level", Tasks[[#This Row],[Page]]), 7), IF(ISNUMBER(FIND("Roof", Tasks[[#This Row],[Page]])), "Roof",  IF(ISNUMBER(FIND("S590", Tasks[[#This Row],[Page]])), "",  IF(ISNUMBER(FIND("Site", Tasks[[#This Row],[Page]])), "", "ERROR"))))</f>
        <v>ERROR</v>
      </c>
      <c r="G1293" s="15" t="e">
        <f>IF(Tasks[[#This Row],[Location]]=0, "", Tasks[[#This Row],[Location]])</f>
        <v>#VALUE!</v>
      </c>
      <c r="H1293" s="15" t="e">
        <f>Tasks[[#This Row],[To Package]]</f>
        <v>#VALUE!</v>
      </c>
      <c r="I1293" s="15" t="e">
        <f>Tasks[[#This Row],[To Organisation]]</f>
        <v>#VALUE!</v>
      </c>
    </row>
    <row r="1294" spans="1:9" ht="15.5" x14ac:dyDescent="0.35">
      <c r="A1294" s="16" t="e">
        <f>HYPERLINK(_xlfn.CONCAT(Edit_URL,Tasks[[#This Row],[Ref]]),Tasks[[#This Row],[Ref]])</f>
        <v>#VALUE!</v>
      </c>
      <c r="B1294" s="15" t="e" cm="1">
        <f t="array" ref="B1294">_xlfn.SWITCH(LEFT(Tasks[[#This Row],[Status]],1),"O","Opened","C","Completed","S","Signed Off", "V", "Signed Off","ERROR")</f>
        <v>#VALUE!</v>
      </c>
      <c r="C1294" s="15" t="e" cm="1">
        <f t="array" ref="C1294">_xlfn.SWITCH(LEFT(Tasks[[#This Row],[Type]], 3), "Fie", "Field Report", "Con", "Contractor QC", "Gen", "Contractor QC", "Pun", "Contractor QC", "Qua", "Contractor QC", "Fin", "Punch List")</f>
        <v>#VALUE!</v>
      </c>
      <c r="D1294" s="15" t="e">
        <f>_xlfn.LET(
_xlpm.leftValue, TRIM(LEFT(Tasks[[#This Row],[Description]], 45)),
IF(LEN(_xlpm.leftValue) &lt; 40, _xlpm.leftValue, _xlfn.CONCAT(_xlpm.leftValue, "…"))
)</f>
        <v>#VALUE!</v>
      </c>
      <c r="E1294" s="15" t="e" cm="1">
        <f t="array" ref="E1294">_xlfn.LET(
_xlpm.inTower, COUNTIF(Tower_Num_Table[Tower Rm Numbers], LEFT(Task_Summary_Table[[#This Row],[Area/Room]], 3)) &gt; 0,
_xlpm.typeResult, _xlfn.SWITCH(LEFT(Tasks[[#This Row],[Page]], 2), "Hi", "Historic", "An", "Annex", "Si", "Site", "S5", "Project Task", "SWITCH ERROR"),
IF(_xlpm.inTower, "West Tower", _xlpm.typeResult)
)</f>
        <v>#VALUE!</v>
      </c>
      <c r="F1294" s="15" t="str">
        <f>IFERROR(MID(Tasks[[#This Row],[Page]], FIND("Level", Tasks[[#This Row],[Page]]), 7), IF(ISNUMBER(FIND("Roof", Tasks[[#This Row],[Page]])), "Roof",  IF(ISNUMBER(FIND("S590", Tasks[[#This Row],[Page]])), "",  IF(ISNUMBER(FIND("Site", Tasks[[#This Row],[Page]])), "", "ERROR"))))</f>
        <v>ERROR</v>
      </c>
      <c r="G1294" s="15" t="e">
        <f>IF(Tasks[[#This Row],[Location]]=0, "", Tasks[[#This Row],[Location]])</f>
        <v>#VALUE!</v>
      </c>
      <c r="H1294" s="15" t="e">
        <f>Tasks[[#This Row],[To Package]]</f>
        <v>#VALUE!</v>
      </c>
      <c r="I1294" s="15" t="e">
        <f>Tasks[[#This Row],[To Organisation]]</f>
        <v>#VALUE!</v>
      </c>
    </row>
    <row r="1295" spans="1:9" ht="15.5" x14ac:dyDescent="0.35">
      <c r="A1295" s="16" t="e">
        <f>HYPERLINK(_xlfn.CONCAT(Edit_URL,Tasks[[#This Row],[Ref]]),Tasks[[#This Row],[Ref]])</f>
        <v>#VALUE!</v>
      </c>
      <c r="B1295" s="15" t="e" cm="1">
        <f t="array" ref="B1295">_xlfn.SWITCH(LEFT(Tasks[[#This Row],[Status]],1),"O","Opened","C","Completed","S","Signed Off", "V", "Signed Off","ERROR")</f>
        <v>#VALUE!</v>
      </c>
      <c r="C1295" s="15" t="e" cm="1">
        <f t="array" ref="C1295">_xlfn.SWITCH(LEFT(Tasks[[#This Row],[Type]], 3), "Fie", "Field Report", "Con", "Contractor QC", "Gen", "Contractor QC", "Pun", "Contractor QC", "Qua", "Contractor QC", "Fin", "Punch List")</f>
        <v>#VALUE!</v>
      </c>
      <c r="D1295" s="15" t="e">
        <f>_xlfn.LET(
_xlpm.leftValue, TRIM(LEFT(Tasks[[#This Row],[Description]], 45)),
IF(LEN(_xlpm.leftValue) &lt; 40, _xlpm.leftValue, _xlfn.CONCAT(_xlpm.leftValue, "…"))
)</f>
        <v>#VALUE!</v>
      </c>
      <c r="E1295" s="15" t="e" cm="1">
        <f t="array" ref="E1295">_xlfn.LET(
_xlpm.inTower, COUNTIF(Tower_Num_Table[Tower Rm Numbers], LEFT(Task_Summary_Table[[#This Row],[Area/Room]], 3)) &gt; 0,
_xlpm.typeResult, _xlfn.SWITCH(LEFT(Tasks[[#This Row],[Page]], 2), "Hi", "Historic", "An", "Annex", "Si", "Site", "S5", "Project Task", "SWITCH ERROR"),
IF(_xlpm.inTower, "West Tower", _xlpm.typeResult)
)</f>
        <v>#VALUE!</v>
      </c>
      <c r="F1295" s="15" t="str">
        <f>IFERROR(MID(Tasks[[#This Row],[Page]], FIND("Level", Tasks[[#This Row],[Page]]), 7), IF(ISNUMBER(FIND("Roof", Tasks[[#This Row],[Page]])), "Roof",  IF(ISNUMBER(FIND("S590", Tasks[[#This Row],[Page]])), "",  IF(ISNUMBER(FIND("Site", Tasks[[#This Row],[Page]])), "", "ERROR"))))</f>
        <v>ERROR</v>
      </c>
      <c r="G1295" s="15" t="e">
        <f>IF(Tasks[[#This Row],[Location]]=0, "", Tasks[[#This Row],[Location]])</f>
        <v>#VALUE!</v>
      </c>
      <c r="H1295" s="15" t="e">
        <f>Tasks[[#This Row],[To Package]]</f>
        <v>#VALUE!</v>
      </c>
      <c r="I1295" s="15" t="e">
        <f>Tasks[[#This Row],[To Organisation]]</f>
        <v>#VALUE!</v>
      </c>
    </row>
    <row r="1296" spans="1:9" ht="15.5" x14ac:dyDescent="0.35">
      <c r="A1296" s="16" t="e">
        <f>HYPERLINK(_xlfn.CONCAT(Edit_URL,Tasks[[#This Row],[Ref]]),Tasks[[#This Row],[Ref]])</f>
        <v>#VALUE!</v>
      </c>
      <c r="B1296" s="15" t="e" cm="1">
        <f t="array" ref="B1296">_xlfn.SWITCH(LEFT(Tasks[[#This Row],[Status]],1),"O","Opened","C","Completed","S","Signed Off", "V", "Signed Off","ERROR")</f>
        <v>#VALUE!</v>
      </c>
      <c r="C1296" s="15" t="e" cm="1">
        <f t="array" ref="C1296">_xlfn.SWITCH(LEFT(Tasks[[#This Row],[Type]], 3), "Fie", "Field Report", "Con", "Contractor QC", "Gen", "Contractor QC", "Pun", "Contractor QC", "Qua", "Contractor QC", "Fin", "Punch List")</f>
        <v>#VALUE!</v>
      </c>
      <c r="D1296" s="15" t="e">
        <f>_xlfn.LET(
_xlpm.leftValue, TRIM(LEFT(Tasks[[#This Row],[Description]], 45)),
IF(LEN(_xlpm.leftValue) &lt; 40, _xlpm.leftValue, _xlfn.CONCAT(_xlpm.leftValue, "…"))
)</f>
        <v>#VALUE!</v>
      </c>
      <c r="E1296" s="15" t="e" cm="1">
        <f t="array" ref="E1296">_xlfn.LET(
_xlpm.inTower, COUNTIF(Tower_Num_Table[Tower Rm Numbers], LEFT(Task_Summary_Table[[#This Row],[Area/Room]], 3)) &gt; 0,
_xlpm.typeResult, _xlfn.SWITCH(LEFT(Tasks[[#This Row],[Page]], 2), "Hi", "Historic", "An", "Annex", "Si", "Site", "S5", "Project Task", "SWITCH ERROR"),
IF(_xlpm.inTower, "West Tower", _xlpm.typeResult)
)</f>
        <v>#VALUE!</v>
      </c>
      <c r="F1296" s="15" t="str">
        <f>IFERROR(MID(Tasks[[#This Row],[Page]], FIND("Level", Tasks[[#This Row],[Page]]), 7), IF(ISNUMBER(FIND("Roof", Tasks[[#This Row],[Page]])), "Roof",  IF(ISNUMBER(FIND("S590", Tasks[[#This Row],[Page]])), "",  IF(ISNUMBER(FIND("Site", Tasks[[#This Row],[Page]])), "", "ERROR"))))</f>
        <v>ERROR</v>
      </c>
      <c r="G1296" s="15" t="e">
        <f>IF(Tasks[[#This Row],[Location]]=0, "", Tasks[[#This Row],[Location]])</f>
        <v>#VALUE!</v>
      </c>
      <c r="H1296" s="15" t="e">
        <f>Tasks[[#This Row],[To Package]]</f>
        <v>#VALUE!</v>
      </c>
      <c r="I1296" s="15" t="e">
        <f>Tasks[[#This Row],[To Organisation]]</f>
        <v>#VALUE!</v>
      </c>
    </row>
    <row r="1297" spans="1:9" ht="15.5" x14ac:dyDescent="0.35">
      <c r="A1297" s="16" t="e">
        <f>HYPERLINK(_xlfn.CONCAT(Edit_URL,Tasks[[#This Row],[Ref]]),Tasks[[#This Row],[Ref]])</f>
        <v>#VALUE!</v>
      </c>
      <c r="B1297" s="15" t="e" cm="1">
        <f t="array" ref="B1297">_xlfn.SWITCH(LEFT(Tasks[[#This Row],[Status]],1),"O","Opened","C","Completed","S","Signed Off", "V", "Signed Off","ERROR")</f>
        <v>#VALUE!</v>
      </c>
      <c r="C1297" s="15" t="e" cm="1">
        <f t="array" ref="C1297">_xlfn.SWITCH(LEFT(Tasks[[#This Row],[Type]], 3), "Fie", "Field Report", "Con", "Contractor QC", "Gen", "Contractor QC", "Pun", "Contractor QC", "Qua", "Contractor QC", "Fin", "Punch List")</f>
        <v>#VALUE!</v>
      </c>
      <c r="D1297" s="15" t="e">
        <f>_xlfn.LET(
_xlpm.leftValue, TRIM(LEFT(Tasks[[#This Row],[Description]], 45)),
IF(LEN(_xlpm.leftValue) &lt; 40, _xlpm.leftValue, _xlfn.CONCAT(_xlpm.leftValue, "…"))
)</f>
        <v>#VALUE!</v>
      </c>
      <c r="E1297" s="15" t="e" cm="1">
        <f t="array" ref="E1297">_xlfn.LET(
_xlpm.inTower, COUNTIF(Tower_Num_Table[Tower Rm Numbers], LEFT(Task_Summary_Table[[#This Row],[Area/Room]], 3)) &gt; 0,
_xlpm.typeResult, _xlfn.SWITCH(LEFT(Tasks[[#This Row],[Page]], 2), "Hi", "Historic", "An", "Annex", "Si", "Site", "S5", "Project Task", "SWITCH ERROR"),
IF(_xlpm.inTower, "West Tower", _xlpm.typeResult)
)</f>
        <v>#VALUE!</v>
      </c>
      <c r="F1297" s="15" t="str">
        <f>IFERROR(MID(Tasks[[#This Row],[Page]], FIND("Level", Tasks[[#This Row],[Page]]), 7), IF(ISNUMBER(FIND("Roof", Tasks[[#This Row],[Page]])), "Roof",  IF(ISNUMBER(FIND("S590", Tasks[[#This Row],[Page]])), "",  IF(ISNUMBER(FIND("Site", Tasks[[#This Row],[Page]])), "", "ERROR"))))</f>
        <v>ERROR</v>
      </c>
      <c r="G1297" s="15" t="e">
        <f>IF(Tasks[[#This Row],[Location]]=0, "", Tasks[[#This Row],[Location]])</f>
        <v>#VALUE!</v>
      </c>
      <c r="H1297" s="15" t="e">
        <f>Tasks[[#This Row],[To Package]]</f>
        <v>#VALUE!</v>
      </c>
      <c r="I1297" s="15" t="e">
        <f>Tasks[[#This Row],[To Organisation]]</f>
        <v>#VALUE!</v>
      </c>
    </row>
    <row r="1298" spans="1:9" ht="15.5" x14ac:dyDescent="0.35">
      <c r="A1298" s="16" t="e">
        <f>HYPERLINK(_xlfn.CONCAT(Edit_URL,Tasks[[#This Row],[Ref]]),Tasks[[#This Row],[Ref]])</f>
        <v>#VALUE!</v>
      </c>
      <c r="B1298" s="15" t="e" cm="1">
        <f t="array" ref="B1298">_xlfn.SWITCH(LEFT(Tasks[[#This Row],[Status]],1),"O","Opened","C","Completed","S","Signed Off", "V", "Signed Off","ERROR")</f>
        <v>#VALUE!</v>
      </c>
      <c r="C1298" s="15" t="e" cm="1">
        <f t="array" ref="C1298">_xlfn.SWITCH(LEFT(Tasks[[#This Row],[Type]], 3), "Fie", "Field Report", "Con", "Contractor QC", "Gen", "Contractor QC", "Pun", "Contractor QC", "Qua", "Contractor QC", "Fin", "Punch List")</f>
        <v>#VALUE!</v>
      </c>
      <c r="D1298" s="15" t="e">
        <f>_xlfn.LET(
_xlpm.leftValue, TRIM(LEFT(Tasks[[#This Row],[Description]], 45)),
IF(LEN(_xlpm.leftValue) &lt; 40, _xlpm.leftValue, _xlfn.CONCAT(_xlpm.leftValue, "…"))
)</f>
        <v>#VALUE!</v>
      </c>
      <c r="E1298" s="15" t="e" cm="1">
        <f t="array" ref="E1298">_xlfn.LET(
_xlpm.inTower, COUNTIF(Tower_Num_Table[Tower Rm Numbers], LEFT(Task_Summary_Table[[#This Row],[Area/Room]], 3)) &gt; 0,
_xlpm.typeResult, _xlfn.SWITCH(LEFT(Tasks[[#This Row],[Page]], 2), "Hi", "Historic", "An", "Annex", "Si", "Site", "S5", "Project Task", "SWITCH ERROR"),
IF(_xlpm.inTower, "West Tower", _xlpm.typeResult)
)</f>
        <v>#VALUE!</v>
      </c>
      <c r="F1298" s="15" t="str">
        <f>IFERROR(MID(Tasks[[#This Row],[Page]], FIND("Level", Tasks[[#This Row],[Page]]), 7), IF(ISNUMBER(FIND("Roof", Tasks[[#This Row],[Page]])), "Roof",  IF(ISNUMBER(FIND("S590", Tasks[[#This Row],[Page]])), "",  IF(ISNUMBER(FIND("Site", Tasks[[#This Row],[Page]])), "", "ERROR"))))</f>
        <v>ERROR</v>
      </c>
      <c r="G1298" s="15" t="e">
        <f>IF(Tasks[[#This Row],[Location]]=0, "", Tasks[[#This Row],[Location]])</f>
        <v>#VALUE!</v>
      </c>
      <c r="H1298" s="15" t="e">
        <f>Tasks[[#This Row],[To Package]]</f>
        <v>#VALUE!</v>
      </c>
      <c r="I1298" s="15" t="e">
        <f>Tasks[[#This Row],[To Organisation]]</f>
        <v>#VALUE!</v>
      </c>
    </row>
    <row r="1299" spans="1:9" ht="15.5" x14ac:dyDescent="0.35">
      <c r="A1299" s="16" t="e">
        <f>HYPERLINK(_xlfn.CONCAT(Edit_URL,Tasks[[#This Row],[Ref]]),Tasks[[#This Row],[Ref]])</f>
        <v>#VALUE!</v>
      </c>
      <c r="B1299" s="15" t="e" cm="1">
        <f t="array" ref="B1299">_xlfn.SWITCH(LEFT(Tasks[[#This Row],[Status]],1),"O","Opened","C","Completed","S","Signed Off", "V", "Signed Off","ERROR")</f>
        <v>#VALUE!</v>
      </c>
      <c r="C1299" s="15" t="e" cm="1">
        <f t="array" ref="C1299">_xlfn.SWITCH(LEFT(Tasks[[#This Row],[Type]], 3), "Fie", "Field Report", "Con", "Contractor QC", "Gen", "Contractor QC", "Pun", "Contractor QC", "Qua", "Contractor QC", "Fin", "Punch List")</f>
        <v>#VALUE!</v>
      </c>
      <c r="D1299" s="15" t="e">
        <f>_xlfn.LET(
_xlpm.leftValue, TRIM(LEFT(Tasks[[#This Row],[Description]], 45)),
IF(LEN(_xlpm.leftValue) &lt; 40, _xlpm.leftValue, _xlfn.CONCAT(_xlpm.leftValue, "…"))
)</f>
        <v>#VALUE!</v>
      </c>
      <c r="E1299" s="15" t="e" cm="1">
        <f t="array" ref="E1299">_xlfn.LET(
_xlpm.inTower, COUNTIF(Tower_Num_Table[Tower Rm Numbers], LEFT(Task_Summary_Table[[#This Row],[Area/Room]], 3)) &gt; 0,
_xlpm.typeResult, _xlfn.SWITCH(LEFT(Tasks[[#This Row],[Page]], 2), "Hi", "Historic", "An", "Annex", "Si", "Site", "S5", "Project Task", "SWITCH ERROR"),
IF(_xlpm.inTower, "West Tower", _xlpm.typeResult)
)</f>
        <v>#VALUE!</v>
      </c>
      <c r="F1299" s="15" t="str">
        <f>IFERROR(MID(Tasks[[#This Row],[Page]], FIND("Level", Tasks[[#This Row],[Page]]), 7), IF(ISNUMBER(FIND("Roof", Tasks[[#This Row],[Page]])), "Roof",  IF(ISNUMBER(FIND("S590", Tasks[[#This Row],[Page]])), "",  IF(ISNUMBER(FIND("Site", Tasks[[#This Row],[Page]])), "", "ERROR"))))</f>
        <v>ERROR</v>
      </c>
      <c r="G1299" s="15" t="e">
        <f>IF(Tasks[[#This Row],[Location]]=0, "", Tasks[[#This Row],[Location]])</f>
        <v>#VALUE!</v>
      </c>
      <c r="H1299" s="15" t="e">
        <f>Tasks[[#This Row],[To Package]]</f>
        <v>#VALUE!</v>
      </c>
      <c r="I1299" s="15" t="e">
        <f>Tasks[[#This Row],[To Organisation]]</f>
        <v>#VALUE!</v>
      </c>
    </row>
    <row r="1300" spans="1:9" ht="15.5" x14ac:dyDescent="0.35">
      <c r="A1300" s="16" t="e">
        <f>HYPERLINK(_xlfn.CONCAT(Edit_URL,Tasks[[#This Row],[Ref]]),Tasks[[#This Row],[Ref]])</f>
        <v>#VALUE!</v>
      </c>
      <c r="B1300" s="15" t="e" cm="1">
        <f t="array" ref="B1300">_xlfn.SWITCH(LEFT(Tasks[[#This Row],[Status]],1),"O","Opened","C","Completed","S","Signed Off", "V", "Signed Off","ERROR")</f>
        <v>#VALUE!</v>
      </c>
      <c r="C1300" s="15" t="e" cm="1">
        <f t="array" ref="C1300">_xlfn.SWITCH(LEFT(Tasks[[#This Row],[Type]], 3), "Fie", "Field Report", "Con", "Contractor QC", "Gen", "Contractor QC", "Pun", "Contractor QC", "Qua", "Contractor QC", "Fin", "Punch List")</f>
        <v>#VALUE!</v>
      </c>
      <c r="D1300" s="15" t="e">
        <f>_xlfn.LET(
_xlpm.leftValue, TRIM(LEFT(Tasks[[#This Row],[Description]], 45)),
IF(LEN(_xlpm.leftValue) &lt; 40, _xlpm.leftValue, _xlfn.CONCAT(_xlpm.leftValue, "…"))
)</f>
        <v>#VALUE!</v>
      </c>
      <c r="E1300" s="15" t="e" cm="1">
        <f t="array" ref="E1300">_xlfn.LET(
_xlpm.inTower, COUNTIF(Tower_Num_Table[Tower Rm Numbers], LEFT(Task_Summary_Table[[#This Row],[Area/Room]], 3)) &gt; 0,
_xlpm.typeResult, _xlfn.SWITCH(LEFT(Tasks[[#This Row],[Page]], 2), "Hi", "Historic", "An", "Annex", "Si", "Site", "S5", "Project Task", "SWITCH ERROR"),
IF(_xlpm.inTower, "West Tower", _xlpm.typeResult)
)</f>
        <v>#VALUE!</v>
      </c>
      <c r="F1300" s="15" t="str">
        <f>IFERROR(MID(Tasks[[#This Row],[Page]], FIND("Level", Tasks[[#This Row],[Page]]), 7), IF(ISNUMBER(FIND("Roof", Tasks[[#This Row],[Page]])), "Roof",  IF(ISNUMBER(FIND("S590", Tasks[[#This Row],[Page]])), "",  IF(ISNUMBER(FIND("Site", Tasks[[#This Row],[Page]])), "", "ERROR"))))</f>
        <v>ERROR</v>
      </c>
      <c r="G1300" s="15" t="e">
        <f>IF(Tasks[[#This Row],[Location]]=0, "", Tasks[[#This Row],[Location]])</f>
        <v>#VALUE!</v>
      </c>
      <c r="H1300" s="15" t="e">
        <f>Tasks[[#This Row],[To Package]]</f>
        <v>#VALUE!</v>
      </c>
      <c r="I1300" s="15" t="e">
        <f>Tasks[[#This Row],[To Organisation]]</f>
        <v>#VALUE!</v>
      </c>
    </row>
    <row r="1301" spans="1:9" ht="15.5" x14ac:dyDescent="0.35">
      <c r="A1301" s="16" t="e">
        <f>HYPERLINK(_xlfn.CONCAT(Edit_URL,Tasks[[#This Row],[Ref]]),Tasks[[#This Row],[Ref]])</f>
        <v>#VALUE!</v>
      </c>
      <c r="B1301" s="15" t="e" cm="1">
        <f t="array" ref="B1301">_xlfn.SWITCH(LEFT(Tasks[[#This Row],[Status]],1),"O","Opened","C","Completed","S","Signed Off", "V", "Signed Off","ERROR")</f>
        <v>#VALUE!</v>
      </c>
      <c r="C1301" s="15" t="e" cm="1">
        <f t="array" ref="C1301">_xlfn.SWITCH(LEFT(Tasks[[#This Row],[Type]], 3), "Fie", "Field Report", "Con", "Contractor QC", "Gen", "Contractor QC", "Pun", "Contractor QC", "Qua", "Contractor QC", "Fin", "Punch List")</f>
        <v>#VALUE!</v>
      </c>
      <c r="D1301" s="15" t="e">
        <f>_xlfn.LET(
_xlpm.leftValue, TRIM(LEFT(Tasks[[#This Row],[Description]], 45)),
IF(LEN(_xlpm.leftValue) &lt; 40, _xlpm.leftValue, _xlfn.CONCAT(_xlpm.leftValue, "…"))
)</f>
        <v>#VALUE!</v>
      </c>
      <c r="E1301" s="15" t="e" cm="1">
        <f t="array" ref="E1301">_xlfn.LET(
_xlpm.inTower, COUNTIF(Tower_Num_Table[Tower Rm Numbers], LEFT(Task_Summary_Table[[#This Row],[Area/Room]], 3)) &gt; 0,
_xlpm.typeResult, _xlfn.SWITCH(LEFT(Tasks[[#This Row],[Page]], 2), "Hi", "Historic", "An", "Annex", "Si", "Site", "S5", "Project Task", "SWITCH ERROR"),
IF(_xlpm.inTower, "West Tower", _xlpm.typeResult)
)</f>
        <v>#VALUE!</v>
      </c>
      <c r="F1301" s="15" t="str">
        <f>IFERROR(MID(Tasks[[#This Row],[Page]], FIND("Level", Tasks[[#This Row],[Page]]), 7), IF(ISNUMBER(FIND("Roof", Tasks[[#This Row],[Page]])), "Roof",  IF(ISNUMBER(FIND("S590", Tasks[[#This Row],[Page]])), "",  IF(ISNUMBER(FIND("Site", Tasks[[#This Row],[Page]])), "", "ERROR"))))</f>
        <v>ERROR</v>
      </c>
      <c r="G1301" s="15" t="e">
        <f>IF(Tasks[[#This Row],[Location]]=0, "", Tasks[[#This Row],[Location]])</f>
        <v>#VALUE!</v>
      </c>
      <c r="H1301" s="15" t="e">
        <f>Tasks[[#This Row],[To Package]]</f>
        <v>#VALUE!</v>
      </c>
      <c r="I1301" s="15" t="e">
        <f>Tasks[[#This Row],[To Organisation]]</f>
        <v>#VALUE!</v>
      </c>
    </row>
    <row r="1302" spans="1:9" ht="15.5" x14ac:dyDescent="0.35">
      <c r="A1302" s="16" t="e">
        <f>HYPERLINK(_xlfn.CONCAT(Edit_URL,Tasks[[#This Row],[Ref]]),Tasks[[#This Row],[Ref]])</f>
        <v>#VALUE!</v>
      </c>
      <c r="B1302" s="15" t="e" cm="1">
        <f t="array" ref="B1302">_xlfn.SWITCH(LEFT(Tasks[[#This Row],[Status]],1),"O","Opened","C","Completed","S","Signed Off", "V", "Signed Off","ERROR")</f>
        <v>#VALUE!</v>
      </c>
      <c r="C1302" s="15" t="e" cm="1">
        <f t="array" ref="C1302">_xlfn.SWITCH(LEFT(Tasks[[#This Row],[Type]], 3), "Fie", "Field Report", "Con", "Contractor QC", "Gen", "Contractor QC", "Pun", "Contractor QC", "Qua", "Contractor QC", "Fin", "Punch List")</f>
        <v>#VALUE!</v>
      </c>
      <c r="D1302" s="15" t="e">
        <f>_xlfn.LET(
_xlpm.leftValue, TRIM(LEFT(Tasks[[#This Row],[Description]], 45)),
IF(LEN(_xlpm.leftValue) &lt; 40, _xlpm.leftValue, _xlfn.CONCAT(_xlpm.leftValue, "…"))
)</f>
        <v>#VALUE!</v>
      </c>
      <c r="E1302" s="15" t="e" cm="1">
        <f t="array" ref="E1302">_xlfn.LET(
_xlpm.inTower, COUNTIF(Tower_Num_Table[Tower Rm Numbers], LEFT(Task_Summary_Table[[#This Row],[Area/Room]], 3)) &gt; 0,
_xlpm.typeResult, _xlfn.SWITCH(LEFT(Tasks[[#This Row],[Page]], 2), "Hi", "Historic", "An", "Annex", "Si", "Site", "S5", "Project Task", "SWITCH ERROR"),
IF(_xlpm.inTower, "West Tower", _xlpm.typeResult)
)</f>
        <v>#VALUE!</v>
      </c>
      <c r="F1302" s="15" t="str">
        <f>IFERROR(MID(Tasks[[#This Row],[Page]], FIND("Level", Tasks[[#This Row],[Page]]), 7), IF(ISNUMBER(FIND("Roof", Tasks[[#This Row],[Page]])), "Roof",  IF(ISNUMBER(FIND("S590", Tasks[[#This Row],[Page]])), "",  IF(ISNUMBER(FIND("Site", Tasks[[#This Row],[Page]])), "", "ERROR"))))</f>
        <v>ERROR</v>
      </c>
      <c r="G1302" s="15" t="e">
        <f>IF(Tasks[[#This Row],[Location]]=0, "", Tasks[[#This Row],[Location]])</f>
        <v>#VALUE!</v>
      </c>
      <c r="H1302" s="15" t="e">
        <f>Tasks[[#This Row],[To Package]]</f>
        <v>#VALUE!</v>
      </c>
      <c r="I1302" s="15" t="e">
        <f>Tasks[[#This Row],[To Organisation]]</f>
        <v>#VALUE!</v>
      </c>
    </row>
    <row r="1303" spans="1:9" ht="15.5" x14ac:dyDescent="0.35">
      <c r="A1303" s="16" t="e">
        <f>HYPERLINK(_xlfn.CONCAT(Edit_URL,Tasks[[#This Row],[Ref]]),Tasks[[#This Row],[Ref]])</f>
        <v>#VALUE!</v>
      </c>
      <c r="B1303" s="15" t="e" cm="1">
        <f t="array" ref="B1303">_xlfn.SWITCH(LEFT(Tasks[[#This Row],[Status]],1),"O","Opened","C","Completed","S","Signed Off", "V", "Signed Off","ERROR")</f>
        <v>#VALUE!</v>
      </c>
      <c r="C1303" s="15" t="e" cm="1">
        <f t="array" ref="C1303">_xlfn.SWITCH(LEFT(Tasks[[#This Row],[Type]], 3), "Fie", "Field Report", "Con", "Contractor QC", "Gen", "Contractor QC", "Pun", "Contractor QC", "Qua", "Contractor QC", "Fin", "Punch List")</f>
        <v>#VALUE!</v>
      </c>
      <c r="D1303" s="15" t="e">
        <f>_xlfn.LET(
_xlpm.leftValue, TRIM(LEFT(Tasks[[#This Row],[Description]], 45)),
IF(LEN(_xlpm.leftValue) &lt; 40, _xlpm.leftValue, _xlfn.CONCAT(_xlpm.leftValue, "…"))
)</f>
        <v>#VALUE!</v>
      </c>
      <c r="E1303" s="15" t="e" cm="1">
        <f t="array" ref="E1303">_xlfn.LET(
_xlpm.inTower, COUNTIF(Tower_Num_Table[Tower Rm Numbers], LEFT(Task_Summary_Table[[#This Row],[Area/Room]], 3)) &gt; 0,
_xlpm.typeResult, _xlfn.SWITCH(LEFT(Tasks[[#This Row],[Page]], 2), "Hi", "Historic", "An", "Annex", "Si", "Site", "S5", "Project Task", "SWITCH ERROR"),
IF(_xlpm.inTower, "West Tower", _xlpm.typeResult)
)</f>
        <v>#VALUE!</v>
      </c>
      <c r="F1303" s="15" t="str">
        <f>IFERROR(MID(Tasks[[#This Row],[Page]], FIND("Level", Tasks[[#This Row],[Page]]), 7), IF(ISNUMBER(FIND("Roof", Tasks[[#This Row],[Page]])), "Roof",  IF(ISNUMBER(FIND("S590", Tasks[[#This Row],[Page]])), "",  IF(ISNUMBER(FIND("Site", Tasks[[#This Row],[Page]])), "", "ERROR"))))</f>
        <v>ERROR</v>
      </c>
      <c r="G1303" s="15" t="e">
        <f>IF(Tasks[[#This Row],[Location]]=0, "", Tasks[[#This Row],[Location]])</f>
        <v>#VALUE!</v>
      </c>
      <c r="H1303" s="15" t="e">
        <f>Tasks[[#This Row],[To Package]]</f>
        <v>#VALUE!</v>
      </c>
      <c r="I1303" s="15" t="e">
        <f>Tasks[[#This Row],[To Organisation]]</f>
        <v>#VALUE!</v>
      </c>
    </row>
    <row r="1304" spans="1:9" ht="15.5" x14ac:dyDescent="0.35">
      <c r="A1304" s="16" t="e">
        <f>HYPERLINK(_xlfn.CONCAT(Edit_URL,Tasks[[#This Row],[Ref]]),Tasks[[#This Row],[Ref]])</f>
        <v>#VALUE!</v>
      </c>
      <c r="B1304" s="15" t="e" cm="1">
        <f t="array" ref="B1304">_xlfn.SWITCH(LEFT(Tasks[[#This Row],[Status]],1),"O","Opened","C","Completed","S","Signed Off", "V", "Signed Off","ERROR")</f>
        <v>#VALUE!</v>
      </c>
      <c r="C1304" s="15" t="e" cm="1">
        <f t="array" ref="C1304">_xlfn.SWITCH(LEFT(Tasks[[#This Row],[Type]], 3), "Fie", "Field Report", "Con", "Contractor QC", "Gen", "Contractor QC", "Pun", "Contractor QC", "Qua", "Contractor QC", "Fin", "Punch List")</f>
        <v>#VALUE!</v>
      </c>
      <c r="D1304" s="15" t="e">
        <f>_xlfn.LET(
_xlpm.leftValue, TRIM(LEFT(Tasks[[#This Row],[Description]], 45)),
IF(LEN(_xlpm.leftValue) &lt; 40, _xlpm.leftValue, _xlfn.CONCAT(_xlpm.leftValue, "…"))
)</f>
        <v>#VALUE!</v>
      </c>
      <c r="E1304" s="15" t="e" cm="1">
        <f t="array" ref="E1304">_xlfn.LET(
_xlpm.inTower, COUNTIF(Tower_Num_Table[Tower Rm Numbers], LEFT(Task_Summary_Table[[#This Row],[Area/Room]], 3)) &gt; 0,
_xlpm.typeResult, _xlfn.SWITCH(LEFT(Tasks[[#This Row],[Page]], 2), "Hi", "Historic", "An", "Annex", "Si", "Site", "S5", "Project Task", "SWITCH ERROR"),
IF(_xlpm.inTower, "West Tower", _xlpm.typeResult)
)</f>
        <v>#VALUE!</v>
      </c>
      <c r="F1304" s="15" t="str">
        <f>IFERROR(MID(Tasks[[#This Row],[Page]], FIND("Level", Tasks[[#This Row],[Page]]), 7), IF(ISNUMBER(FIND("Roof", Tasks[[#This Row],[Page]])), "Roof",  IF(ISNUMBER(FIND("S590", Tasks[[#This Row],[Page]])), "",  IF(ISNUMBER(FIND("Site", Tasks[[#This Row],[Page]])), "", "ERROR"))))</f>
        <v>ERROR</v>
      </c>
      <c r="G1304" s="15" t="e">
        <f>IF(Tasks[[#This Row],[Location]]=0, "", Tasks[[#This Row],[Location]])</f>
        <v>#VALUE!</v>
      </c>
      <c r="H1304" s="15" t="e">
        <f>Tasks[[#This Row],[To Package]]</f>
        <v>#VALUE!</v>
      </c>
      <c r="I1304" s="15" t="e">
        <f>Tasks[[#This Row],[To Organisation]]</f>
        <v>#VALUE!</v>
      </c>
    </row>
    <row r="1305" spans="1:9" ht="15.5" x14ac:dyDescent="0.35">
      <c r="A1305" s="16" t="e">
        <f>HYPERLINK(_xlfn.CONCAT(Edit_URL,Tasks[[#This Row],[Ref]]),Tasks[[#This Row],[Ref]])</f>
        <v>#VALUE!</v>
      </c>
      <c r="B1305" s="15" t="e" cm="1">
        <f t="array" ref="B1305">_xlfn.SWITCH(LEFT(Tasks[[#This Row],[Status]],1),"O","Opened","C","Completed","S","Signed Off", "V", "Signed Off","ERROR")</f>
        <v>#VALUE!</v>
      </c>
      <c r="C1305" s="15" t="e" cm="1">
        <f t="array" ref="C1305">_xlfn.SWITCH(LEFT(Tasks[[#This Row],[Type]], 3), "Fie", "Field Report", "Con", "Contractor QC", "Gen", "Contractor QC", "Pun", "Contractor QC", "Qua", "Contractor QC", "Fin", "Punch List")</f>
        <v>#VALUE!</v>
      </c>
      <c r="D1305" s="15" t="e">
        <f>_xlfn.LET(
_xlpm.leftValue, TRIM(LEFT(Tasks[[#This Row],[Description]], 45)),
IF(LEN(_xlpm.leftValue) &lt; 40, _xlpm.leftValue, _xlfn.CONCAT(_xlpm.leftValue, "…"))
)</f>
        <v>#VALUE!</v>
      </c>
      <c r="E1305" s="15" t="e" cm="1">
        <f t="array" ref="E1305">_xlfn.LET(
_xlpm.inTower, COUNTIF(Tower_Num_Table[Tower Rm Numbers], LEFT(Task_Summary_Table[[#This Row],[Area/Room]], 3)) &gt; 0,
_xlpm.typeResult, _xlfn.SWITCH(LEFT(Tasks[[#This Row],[Page]], 2), "Hi", "Historic", "An", "Annex", "Si", "Site", "S5", "Project Task", "SWITCH ERROR"),
IF(_xlpm.inTower, "West Tower", _xlpm.typeResult)
)</f>
        <v>#VALUE!</v>
      </c>
      <c r="F1305" s="15" t="str">
        <f>IFERROR(MID(Tasks[[#This Row],[Page]], FIND("Level", Tasks[[#This Row],[Page]]), 7), IF(ISNUMBER(FIND("Roof", Tasks[[#This Row],[Page]])), "Roof",  IF(ISNUMBER(FIND("S590", Tasks[[#This Row],[Page]])), "",  IF(ISNUMBER(FIND("Site", Tasks[[#This Row],[Page]])), "", "ERROR"))))</f>
        <v>ERROR</v>
      </c>
      <c r="G1305" s="15" t="e">
        <f>IF(Tasks[[#This Row],[Location]]=0, "", Tasks[[#This Row],[Location]])</f>
        <v>#VALUE!</v>
      </c>
      <c r="H1305" s="15" t="e">
        <f>Tasks[[#This Row],[To Package]]</f>
        <v>#VALUE!</v>
      </c>
      <c r="I1305" s="15" t="e">
        <f>Tasks[[#This Row],[To Organisation]]</f>
        <v>#VALUE!</v>
      </c>
    </row>
    <row r="1306" spans="1:9" ht="15.5" x14ac:dyDescent="0.35">
      <c r="A1306" s="16" t="e">
        <f>HYPERLINK(_xlfn.CONCAT(Edit_URL,Tasks[[#This Row],[Ref]]),Tasks[[#This Row],[Ref]])</f>
        <v>#VALUE!</v>
      </c>
      <c r="B1306" s="15" t="e" cm="1">
        <f t="array" ref="B1306">_xlfn.SWITCH(LEFT(Tasks[[#This Row],[Status]],1),"O","Opened","C","Completed","S","Signed Off", "V", "Signed Off","ERROR")</f>
        <v>#VALUE!</v>
      </c>
      <c r="C1306" s="15" t="e" cm="1">
        <f t="array" ref="C1306">_xlfn.SWITCH(LEFT(Tasks[[#This Row],[Type]], 3), "Fie", "Field Report", "Con", "Contractor QC", "Gen", "Contractor QC", "Pun", "Contractor QC", "Qua", "Contractor QC", "Fin", "Punch List")</f>
        <v>#VALUE!</v>
      </c>
      <c r="D1306" s="15" t="e">
        <f>_xlfn.LET(
_xlpm.leftValue, TRIM(LEFT(Tasks[[#This Row],[Description]], 45)),
IF(LEN(_xlpm.leftValue) &lt; 40, _xlpm.leftValue, _xlfn.CONCAT(_xlpm.leftValue, "…"))
)</f>
        <v>#VALUE!</v>
      </c>
      <c r="E1306" s="15" t="e" cm="1">
        <f t="array" ref="E1306">_xlfn.LET(
_xlpm.inTower, COUNTIF(Tower_Num_Table[Tower Rm Numbers], LEFT(Task_Summary_Table[[#This Row],[Area/Room]], 3)) &gt; 0,
_xlpm.typeResult, _xlfn.SWITCH(LEFT(Tasks[[#This Row],[Page]], 2), "Hi", "Historic", "An", "Annex", "Si", "Site", "S5", "Project Task", "SWITCH ERROR"),
IF(_xlpm.inTower, "West Tower", _xlpm.typeResult)
)</f>
        <v>#VALUE!</v>
      </c>
      <c r="F1306" s="15" t="str">
        <f>IFERROR(MID(Tasks[[#This Row],[Page]], FIND("Level", Tasks[[#This Row],[Page]]), 7), IF(ISNUMBER(FIND("Roof", Tasks[[#This Row],[Page]])), "Roof",  IF(ISNUMBER(FIND("S590", Tasks[[#This Row],[Page]])), "",  IF(ISNUMBER(FIND("Site", Tasks[[#This Row],[Page]])), "", "ERROR"))))</f>
        <v>ERROR</v>
      </c>
      <c r="G1306" s="15" t="e">
        <f>IF(Tasks[[#This Row],[Location]]=0, "", Tasks[[#This Row],[Location]])</f>
        <v>#VALUE!</v>
      </c>
      <c r="H1306" s="15" t="e">
        <f>Tasks[[#This Row],[To Package]]</f>
        <v>#VALUE!</v>
      </c>
      <c r="I1306" s="15" t="e">
        <f>Tasks[[#This Row],[To Organisation]]</f>
        <v>#VALUE!</v>
      </c>
    </row>
    <row r="1307" spans="1:9" ht="15.5" x14ac:dyDescent="0.35">
      <c r="A1307" s="16" t="e">
        <f>HYPERLINK(_xlfn.CONCAT(Edit_URL,Tasks[[#This Row],[Ref]]),Tasks[[#This Row],[Ref]])</f>
        <v>#VALUE!</v>
      </c>
      <c r="B1307" s="15" t="e" cm="1">
        <f t="array" ref="B1307">_xlfn.SWITCH(LEFT(Tasks[[#This Row],[Status]],1),"O","Opened","C","Completed","S","Signed Off", "V", "Signed Off","ERROR")</f>
        <v>#VALUE!</v>
      </c>
      <c r="C1307" s="15" t="e" cm="1">
        <f t="array" ref="C1307">_xlfn.SWITCH(LEFT(Tasks[[#This Row],[Type]], 3), "Fie", "Field Report", "Con", "Contractor QC", "Gen", "Contractor QC", "Pun", "Contractor QC", "Qua", "Contractor QC", "Fin", "Punch List")</f>
        <v>#VALUE!</v>
      </c>
      <c r="D1307" s="15" t="e">
        <f>_xlfn.LET(
_xlpm.leftValue, TRIM(LEFT(Tasks[[#This Row],[Description]], 45)),
IF(LEN(_xlpm.leftValue) &lt; 40, _xlpm.leftValue, _xlfn.CONCAT(_xlpm.leftValue, "…"))
)</f>
        <v>#VALUE!</v>
      </c>
      <c r="E1307" s="15" t="e" cm="1">
        <f t="array" ref="E1307">_xlfn.LET(
_xlpm.inTower, COUNTIF(Tower_Num_Table[Tower Rm Numbers], LEFT(Task_Summary_Table[[#This Row],[Area/Room]], 3)) &gt; 0,
_xlpm.typeResult, _xlfn.SWITCH(LEFT(Tasks[[#This Row],[Page]], 2), "Hi", "Historic", "An", "Annex", "Si", "Site", "S5", "Project Task", "SWITCH ERROR"),
IF(_xlpm.inTower, "West Tower", _xlpm.typeResult)
)</f>
        <v>#VALUE!</v>
      </c>
      <c r="F1307" s="15" t="str">
        <f>IFERROR(MID(Tasks[[#This Row],[Page]], FIND("Level", Tasks[[#This Row],[Page]]), 7), IF(ISNUMBER(FIND("Roof", Tasks[[#This Row],[Page]])), "Roof",  IF(ISNUMBER(FIND("S590", Tasks[[#This Row],[Page]])), "",  IF(ISNUMBER(FIND("Site", Tasks[[#This Row],[Page]])), "", "ERROR"))))</f>
        <v>ERROR</v>
      </c>
      <c r="G1307" s="15" t="e">
        <f>IF(Tasks[[#This Row],[Location]]=0, "", Tasks[[#This Row],[Location]])</f>
        <v>#VALUE!</v>
      </c>
      <c r="H1307" s="15" t="e">
        <f>Tasks[[#This Row],[To Package]]</f>
        <v>#VALUE!</v>
      </c>
      <c r="I1307" s="15" t="e">
        <f>Tasks[[#This Row],[To Organisation]]</f>
        <v>#VALUE!</v>
      </c>
    </row>
    <row r="1308" spans="1:9" ht="15.5" x14ac:dyDescent="0.35">
      <c r="A1308" s="16" t="e">
        <f>HYPERLINK(_xlfn.CONCAT(Edit_URL,Tasks[[#This Row],[Ref]]),Tasks[[#This Row],[Ref]])</f>
        <v>#VALUE!</v>
      </c>
      <c r="B1308" s="15" t="e" cm="1">
        <f t="array" ref="B1308">_xlfn.SWITCH(LEFT(Tasks[[#This Row],[Status]],1),"O","Opened","C","Completed","S","Signed Off", "V", "Signed Off","ERROR")</f>
        <v>#VALUE!</v>
      </c>
      <c r="C1308" s="15" t="e" cm="1">
        <f t="array" ref="C1308">_xlfn.SWITCH(LEFT(Tasks[[#This Row],[Type]], 3), "Fie", "Field Report", "Con", "Contractor QC", "Gen", "Contractor QC", "Pun", "Contractor QC", "Qua", "Contractor QC", "Fin", "Punch List")</f>
        <v>#VALUE!</v>
      </c>
      <c r="D1308" s="15" t="e">
        <f>_xlfn.LET(
_xlpm.leftValue, TRIM(LEFT(Tasks[[#This Row],[Description]], 45)),
IF(LEN(_xlpm.leftValue) &lt; 40, _xlpm.leftValue, _xlfn.CONCAT(_xlpm.leftValue, "…"))
)</f>
        <v>#VALUE!</v>
      </c>
      <c r="E1308" s="15" t="e" cm="1">
        <f t="array" ref="E1308">_xlfn.LET(
_xlpm.inTower, COUNTIF(Tower_Num_Table[Tower Rm Numbers], LEFT(Task_Summary_Table[[#This Row],[Area/Room]], 3)) &gt; 0,
_xlpm.typeResult, _xlfn.SWITCH(LEFT(Tasks[[#This Row],[Page]], 2), "Hi", "Historic", "An", "Annex", "Si", "Site", "S5", "Project Task", "SWITCH ERROR"),
IF(_xlpm.inTower, "West Tower", _xlpm.typeResult)
)</f>
        <v>#VALUE!</v>
      </c>
      <c r="F1308" s="15" t="str">
        <f>IFERROR(MID(Tasks[[#This Row],[Page]], FIND("Level", Tasks[[#This Row],[Page]]), 7), IF(ISNUMBER(FIND("Roof", Tasks[[#This Row],[Page]])), "Roof",  IF(ISNUMBER(FIND("S590", Tasks[[#This Row],[Page]])), "",  IF(ISNUMBER(FIND("Site", Tasks[[#This Row],[Page]])), "", "ERROR"))))</f>
        <v>ERROR</v>
      </c>
      <c r="G1308" s="15" t="e">
        <f>IF(Tasks[[#This Row],[Location]]=0, "", Tasks[[#This Row],[Location]])</f>
        <v>#VALUE!</v>
      </c>
      <c r="H1308" s="15" t="e">
        <f>Tasks[[#This Row],[To Package]]</f>
        <v>#VALUE!</v>
      </c>
      <c r="I1308" s="15" t="e">
        <f>Tasks[[#This Row],[To Organisation]]</f>
        <v>#VALUE!</v>
      </c>
    </row>
    <row r="1309" spans="1:9" ht="15.5" x14ac:dyDescent="0.35">
      <c r="A1309" s="16" t="e">
        <f>HYPERLINK(_xlfn.CONCAT(Edit_URL,Tasks[[#This Row],[Ref]]),Tasks[[#This Row],[Ref]])</f>
        <v>#VALUE!</v>
      </c>
      <c r="B1309" s="15" t="e" cm="1">
        <f t="array" ref="B1309">_xlfn.SWITCH(LEFT(Tasks[[#This Row],[Status]],1),"O","Opened","C","Completed","S","Signed Off", "V", "Signed Off","ERROR")</f>
        <v>#VALUE!</v>
      </c>
      <c r="C1309" s="15" t="e" cm="1">
        <f t="array" ref="C1309">_xlfn.SWITCH(LEFT(Tasks[[#This Row],[Type]], 3), "Fie", "Field Report", "Con", "Contractor QC", "Gen", "Contractor QC", "Pun", "Contractor QC", "Qua", "Contractor QC", "Fin", "Punch List")</f>
        <v>#VALUE!</v>
      </c>
      <c r="D1309" s="15" t="e">
        <f>_xlfn.LET(
_xlpm.leftValue, TRIM(LEFT(Tasks[[#This Row],[Description]], 45)),
IF(LEN(_xlpm.leftValue) &lt; 40, _xlpm.leftValue, _xlfn.CONCAT(_xlpm.leftValue, "…"))
)</f>
        <v>#VALUE!</v>
      </c>
      <c r="E1309" s="15" t="e" cm="1">
        <f t="array" ref="E1309">_xlfn.LET(
_xlpm.inTower, COUNTIF(Tower_Num_Table[Tower Rm Numbers], LEFT(Task_Summary_Table[[#This Row],[Area/Room]], 3)) &gt; 0,
_xlpm.typeResult, _xlfn.SWITCH(LEFT(Tasks[[#This Row],[Page]], 2), "Hi", "Historic", "An", "Annex", "Si", "Site", "S5", "Project Task", "SWITCH ERROR"),
IF(_xlpm.inTower, "West Tower", _xlpm.typeResult)
)</f>
        <v>#VALUE!</v>
      </c>
      <c r="F1309" s="15" t="str">
        <f>IFERROR(MID(Tasks[[#This Row],[Page]], FIND("Level", Tasks[[#This Row],[Page]]), 7), IF(ISNUMBER(FIND("Roof", Tasks[[#This Row],[Page]])), "Roof",  IF(ISNUMBER(FIND("S590", Tasks[[#This Row],[Page]])), "",  IF(ISNUMBER(FIND("Site", Tasks[[#This Row],[Page]])), "", "ERROR"))))</f>
        <v>ERROR</v>
      </c>
      <c r="G1309" s="15" t="e">
        <f>IF(Tasks[[#This Row],[Location]]=0, "", Tasks[[#This Row],[Location]])</f>
        <v>#VALUE!</v>
      </c>
      <c r="H1309" s="15" t="e">
        <f>Tasks[[#This Row],[To Package]]</f>
        <v>#VALUE!</v>
      </c>
      <c r="I1309" s="15" t="e">
        <f>Tasks[[#This Row],[To Organisation]]</f>
        <v>#VALUE!</v>
      </c>
    </row>
    <row r="1310" spans="1:9" ht="15.5" x14ac:dyDescent="0.35">
      <c r="A1310" s="16" t="e">
        <f>HYPERLINK(_xlfn.CONCAT(Edit_URL,Tasks[[#This Row],[Ref]]),Tasks[[#This Row],[Ref]])</f>
        <v>#VALUE!</v>
      </c>
      <c r="B1310" s="15" t="e" cm="1">
        <f t="array" ref="B1310">_xlfn.SWITCH(LEFT(Tasks[[#This Row],[Status]],1),"O","Opened","C","Completed","S","Signed Off", "V", "Signed Off","ERROR")</f>
        <v>#VALUE!</v>
      </c>
      <c r="C1310" s="15" t="e" cm="1">
        <f t="array" ref="C1310">_xlfn.SWITCH(LEFT(Tasks[[#This Row],[Type]], 3), "Fie", "Field Report", "Con", "Contractor QC", "Gen", "Contractor QC", "Pun", "Contractor QC", "Qua", "Contractor QC", "Fin", "Punch List")</f>
        <v>#VALUE!</v>
      </c>
      <c r="D1310" s="15" t="e">
        <f>_xlfn.LET(
_xlpm.leftValue, TRIM(LEFT(Tasks[[#This Row],[Description]], 45)),
IF(LEN(_xlpm.leftValue) &lt; 40, _xlpm.leftValue, _xlfn.CONCAT(_xlpm.leftValue, "…"))
)</f>
        <v>#VALUE!</v>
      </c>
      <c r="E1310" s="15" t="e" cm="1">
        <f t="array" ref="E1310">_xlfn.LET(
_xlpm.inTower, COUNTIF(Tower_Num_Table[Tower Rm Numbers], LEFT(Task_Summary_Table[[#This Row],[Area/Room]], 3)) &gt; 0,
_xlpm.typeResult, _xlfn.SWITCH(LEFT(Tasks[[#This Row],[Page]], 2), "Hi", "Historic", "An", "Annex", "Si", "Site", "S5", "Project Task", "SWITCH ERROR"),
IF(_xlpm.inTower, "West Tower", _xlpm.typeResult)
)</f>
        <v>#VALUE!</v>
      </c>
      <c r="F1310" s="15" t="str">
        <f>IFERROR(MID(Tasks[[#This Row],[Page]], FIND("Level", Tasks[[#This Row],[Page]]), 7), IF(ISNUMBER(FIND("Roof", Tasks[[#This Row],[Page]])), "Roof",  IF(ISNUMBER(FIND("S590", Tasks[[#This Row],[Page]])), "",  IF(ISNUMBER(FIND("Site", Tasks[[#This Row],[Page]])), "", "ERROR"))))</f>
        <v>ERROR</v>
      </c>
      <c r="G1310" s="15" t="e">
        <f>IF(Tasks[[#This Row],[Location]]=0, "", Tasks[[#This Row],[Location]])</f>
        <v>#VALUE!</v>
      </c>
      <c r="H1310" s="15" t="e">
        <f>Tasks[[#This Row],[To Package]]</f>
        <v>#VALUE!</v>
      </c>
      <c r="I1310" s="15" t="e">
        <f>Tasks[[#This Row],[To Organisation]]</f>
        <v>#VALUE!</v>
      </c>
    </row>
    <row r="1311" spans="1:9" ht="15.5" x14ac:dyDescent="0.35">
      <c r="A1311" s="16" t="e">
        <f>HYPERLINK(_xlfn.CONCAT(Edit_URL,Tasks[[#This Row],[Ref]]),Tasks[[#This Row],[Ref]])</f>
        <v>#VALUE!</v>
      </c>
      <c r="B1311" s="15" t="e" cm="1">
        <f t="array" ref="B1311">_xlfn.SWITCH(LEFT(Tasks[[#This Row],[Status]],1),"O","Opened","C","Completed","S","Signed Off", "V", "Signed Off","ERROR")</f>
        <v>#VALUE!</v>
      </c>
      <c r="C1311" s="15" t="e" cm="1">
        <f t="array" ref="C1311">_xlfn.SWITCH(LEFT(Tasks[[#This Row],[Type]], 3), "Fie", "Field Report", "Con", "Contractor QC", "Gen", "Contractor QC", "Pun", "Contractor QC", "Qua", "Contractor QC", "Fin", "Punch List")</f>
        <v>#VALUE!</v>
      </c>
      <c r="D1311" s="15" t="e">
        <f>_xlfn.LET(
_xlpm.leftValue, TRIM(LEFT(Tasks[[#This Row],[Description]], 45)),
IF(LEN(_xlpm.leftValue) &lt; 40, _xlpm.leftValue, _xlfn.CONCAT(_xlpm.leftValue, "…"))
)</f>
        <v>#VALUE!</v>
      </c>
      <c r="E1311" s="15" t="e" cm="1">
        <f t="array" ref="E1311">_xlfn.LET(
_xlpm.inTower, COUNTIF(Tower_Num_Table[Tower Rm Numbers], LEFT(Task_Summary_Table[[#This Row],[Area/Room]], 3)) &gt; 0,
_xlpm.typeResult, _xlfn.SWITCH(LEFT(Tasks[[#This Row],[Page]], 2), "Hi", "Historic", "An", "Annex", "Si", "Site", "S5", "Project Task", "SWITCH ERROR"),
IF(_xlpm.inTower, "West Tower", _xlpm.typeResult)
)</f>
        <v>#VALUE!</v>
      </c>
      <c r="F1311" s="15" t="str">
        <f>IFERROR(MID(Tasks[[#This Row],[Page]], FIND("Level", Tasks[[#This Row],[Page]]), 7), IF(ISNUMBER(FIND("Roof", Tasks[[#This Row],[Page]])), "Roof",  IF(ISNUMBER(FIND("S590", Tasks[[#This Row],[Page]])), "",  IF(ISNUMBER(FIND("Site", Tasks[[#This Row],[Page]])), "", "ERROR"))))</f>
        <v>ERROR</v>
      </c>
      <c r="G1311" s="15" t="e">
        <f>IF(Tasks[[#This Row],[Location]]=0, "", Tasks[[#This Row],[Location]])</f>
        <v>#VALUE!</v>
      </c>
      <c r="H1311" s="15" t="e">
        <f>Tasks[[#This Row],[To Package]]</f>
        <v>#VALUE!</v>
      </c>
      <c r="I1311" s="15" t="e">
        <f>Tasks[[#This Row],[To Organisation]]</f>
        <v>#VALUE!</v>
      </c>
    </row>
    <row r="1312" spans="1:9" ht="15.5" x14ac:dyDescent="0.35">
      <c r="A1312" s="16" t="e">
        <f>HYPERLINK(_xlfn.CONCAT(Edit_URL,Tasks[[#This Row],[Ref]]),Tasks[[#This Row],[Ref]])</f>
        <v>#VALUE!</v>
      </c>
      <c r="B1312" s="15" t="e" cm="1">
        <f t="array" ref="B1312">_xlfn.SWITCH(LEFT(Tasks[[#This Row],[Status]],1),"O","Opened","C","Completed","S","Signed Off", "V", "Signed Off","ERROR")</f>
        <v>#VALUE!</v>
      </c>
      <c r="C1312" s="15" t="e" cm="1">
        <f t="array" ref="C1312">_xlfn.SWITCH(LEFT(Tasks[[#This Row],[Type]], 3), "Fie", "Field Report", "Con", "Contractor QC", "Gen", "Contractor QC", "Pun", "Contractor QC", "Qua", "Contractor QC", "Fin", "Punch List")</f>
        <v>#VALUE!</v>
      </c>
      <c r="D1312" s="15" t="e">
        <f>_xlfn.LET(
_xlpm.leftValue, TRIM(LEFT(Tasks[[#This Row],[Description]], 45)),
IF(LEN(_xlpm.leftValue) &lt; 40, _xlpm.leftValue, _xlfn.CONCAT(_xlpm.leftValue, "…"))
)</f>
        <v>#VALUE!</v>
      </c>
      <c r="E1312" s="15" t="e" cm="1">
        <f t="array" ref="E1312">_xlfn.LET(
_xlpm.inTower, COUNTIF(Tower_Num_Table[Tower Rm Numbers], LEFT(Task_Summary_Table[[#This Row],[Area/Room]], 3)) &gt; 0,
_xlpm.typeResult, _xlfn.SWITCH(LEFT(Tasks[[#This Row],[Page]], 2), "Hi", "Historic", "An", "Annex", "Si", "Site", "S5", "Project Task", "SWITCH ERROR"),
IF(_xlpm.inTower, "West Tower", _xlpm.typeResult)
)</f>
        <v>#VALUE!</v>
      </c>
      <c r="F1312" s="15" t="str">
        <f>IFERROR(MID(Tasks[[#This Row],[Page]], FIND("Level", Tasks[[#This Row],[Page]]), 7), IF(ISNUMBER(FIND("Roof", Tasks[[#This Row],[Page]])), "Roof",  IF(ISNUMBER(FIND("S590", Tasks[[#This Row],[Page]])), "",  IF(ISNUMBER(FIND("Site", Tasks[[#This Row],[Page]])), "", "ERROR"))))</f>
        <v>ERROR</v>
      </c>
      <c r="G1312" s="15" t="e">
        <f>IF(Tasks[[#This Row],[Location]]=0, "", Tasks[[#This Row],[Location]])</f>
        <v>#VALUE!</v>
      </c>
      <c r="H1312" s="15" t="e">
        <f>Tasks[[#This Row],[To Package]]</f>
        <v>#VALUE!</v>
      </c>
      <c r="I1312" s="15" t="e">
        <f>Tasks[[#This Row],[To Organisation]]</f>
        <v>#VALUE!</v>
      </c>
    </row>
    <row r="1313" spans="1:9" ht="15.5" x14ac:dyDescent="0.35">
      <c r="A1313" s="16" t="e">
        <f>HYPERLINK(_xlfn.CONCAT(Edit_URL,Tasks[[#This Row],[Ref]]),Tasks[[#This Row],[Ref]])</f>
        <v>#VALUE!</v>
      </c>
      <c r="B1313" s="15" t="e" cm="1">
        <f t="array" ref="B1313">_xlfn.SWITCH(LEFT(Tasks[[#This Row],[Status]],1),"O","Opened","C","Completed","S","Signed Off", "V", "Signed Off","ERROR")</f>
        <v>#VALUE!</v>
      </c>
      <c r="C1313" s="15" t="e" cm="1">
        <f t="array" ref="C1313">_xlfn.SWITCH(LEFT(Tasks[[#This Row],[Type]], 3), "Fie", "Field Report", "Con", "Contractor QC", "Gen", "Contractor QC", "Pun", "Contractor QC", "Qua", "Contractor QC", "Fin", "Punch List")</f>
        <v>#VALUE!</v>
      </c>
      <c r="D1313" s="15" t="e">
        <f>_xlfn.LET(
_xlpm.leftValue, TRIM(LEFT(Tasks[[#This Row],[Description]], 45)),
IF(LEN(_xlpm.leftValue) &lt; 40, _xlpm.leftValue, _xlfn.CONCAT(_xlpm.leftValue, "…"))
)</f>
        <v>#VALUE!</v>
      </c>
      <c r="E1313" s="15" t="e" cm="1">
        <f t="array" ref="E1313">_xlfn.LET(
_xlpm.inTower, COUNTIF(Tower_Num_Table[Tower Rm Numbers], LEFT(Task_Summary_Table[[#This Row],[Area/Room]], 3)) &gt; 0,
_xlpm.typeResult, _xlfn.SWITCH(LEFT(Tasks[[#This Row],[Page]], 2), "Hi", "Historic", "An", "Annex", "Si", "Site", "S5", "Project Task", "SWITCH ERROR"),
IF(_xlpm.inTower, "West Tower", _xlpm.typeResult)
)</f>
        <v>#VALUE!</v>
      </c>
      <c r="F1313" s="15" t="str">
        <f>IFERROR(MID(Tasks[[#This Row],[Page]], FIND("Level", Tasks[[#This Row],[Page]]), 7), IF(ISNUMBER(FIND("Roof", Tasks[[#This Row],[Page]])), "Roof",  IF(ISNUMBER(FIND("S590", Tasks[[#This Row],[Page]])), "",  IF(ISNUMBER(FIND("Site", Tasks[[#This Row],[Page]])), "", "ERROR"))))</f>
        <v>ERROR</v>
      </c>
      <c r="G1313" s="15" t="e">
        <f>IF(Tasks[[#This Row],[Location]]=0, "", Tasks[[#This Row],[Location]])</f>
        <v>#VALUE!</v>
      </c>
      <c r="H1313" s="15" t="e">
        <f>Tasks[[#This Row],[To Package]]</f>
        <v>#VALUE!</v>
      </c>
      <c r="I1313" s="15" t="e">
        <f>Tasks[[#This Row],[To Organisation]]</f>
        <v>#VALUE!</v>
      </c>
    </row>
    <row r="1314" spans="1:9" ht="15.5" x14ac:dyDescent="0.35">
      <c r="A1314" s="16" t="e">
        <f>HYPERLINK(_xlfn.CONCAT(Edit_URL,Tasks[[#This Row],[Ref]]),Tasks[[#This Row],[Ref]])</f>
        <v>#VALUE!</v>
      </c>
      <c r="B1314" s="15" t="e" cm="1">
        <f t="array" ref="B1314">_xlfn.SWITCH(LEFT(Tasks[[#This Row],[Status]],1),"O","Opened","C","Completed","S","Signed Off", "V", "Signed Off","ERROR")</f>
        <v>#VALUE!</v>
      </c>
      <c r="C1314" s="15" t="e" cm="1">
        <f t="array" ref="C1314">_xlfn.SWITCH(LEFT(Tasks[[#This Row],[Type]], 3), "Fie", "Field Report", "Con", "Contractor QC", "Gen", "Contractor QC", "Pun", "Contractor QC", "Qua", "Contractor QC", "Fin", "Punch List")</f>
        <v>#VALUE!</v>
      </c>
      <c r="D1314" s="15" t="e">
        <f>_xlfn.LET(
_xlpm.leftValue, TRIM(LEFT(Tasks[[#This Row],[Description]], 45)),
IF(LEN(_xlpm.leftValue) &lt; 40, _xlpm.leftValue, _xlfn.CONCAT(_xlpm.leftValue, "…"))
)</f>
        <v>#VALUE!</v>
      </c>
      <c r="E1314" s="15" t="e" cm="1">
        <f t="array" ref="E1314">_xlfn.LET(
_xlpm.inTower, COUNTIF(Tower_Num_Table[Tower Rm Numbers], LEFT(Task_Summary_Table[[#This Row],[Area/Room]], 3)) &gt; 0,
_xlpm.typeResult, _xlfn.SWITCH(LEFT(Tasks[[#This Row],[Page]], 2), "Hi", "Historic", "An", "Annex", "Si", "Site", "S5", "Project Task", "SWITCH ERROR"),
IF(_xlpm.inTower, "West Tower", _xlpm.typeResult)
)</f>
        <v>#VALUE!</v>
      </c>
      <c r="F1314" s="15" t="str">
        <f>IFERROR(MID(Tasks[[#This Row],[Page]], FIND("Level", Tasks[[#This Row],[Page]]), 7), IF(ISNUMBER(FIND("Roof", Tasks[[#This Row],[Page]])), "Roof",  IF(ISNUMBER(FIND("S590", Tasks[[#This Row],[Page]])), "",  IF(ISNUMBER(FIND("Site", Tasks[[#This Row],[Page]])), "", "ERROR"))))</f>
        <v>ERROR</v>
      </c>
      <c r="G1314" s="15" t="e">
        <f>IF(Tasks[[#This Row],[Location]]=0, "", Tasks[[#This Row],[Location]])</f>
        <v>#VALUE!</v>
      </c>
      <c r="H1314" s="15" t="e">
        <f>Tasks[[#This Row],[To Package]]</f>
        <v>#VALUE!</v>
      </c>
      <c r="I1314" s="15" t="e">
        <f>Tasks[[#This Row],[To Organisation]]</f>
        <v>#VALUE!</v>
      </c>
    </row>
    <row r="1315" spans="1:9" ht="15.5" x14ac:dyDescent="0.35">
      <c r="A1315" s="16" t="e">
        <f>HYPERLINK(_xlfn.CONCAT(Edit_URL,Tasks[[#This Row],[Ref]]),Tasks[[#This Row],[Ref]])</f>
        <v>#VALUE!</v>
      </c>
      <c r="B1315" s="15" t="e" cm="1">
        <f t="array" ref="B1315">_xlfn.SWITCH(LEFT(Tasks[[#This Row],[Status]],1),"O","Opened","C","Completed","S","Signed Off", "V", "Signed Off","ERROR")</f>
        <v>#VALUE!</v>
      </c>
      <c r="C1315" s="15" t="e" cm="1">
        <f t="array" ref="C1315">_xlfn.SWITCH(LEFT(Tasks[[#This Row],[Type]], 3), "Fie", "Field Report", "Con", "Contractor QC", "Gen", "Contractor QC", "Pun", "Contractor QC", "Qua", "Contractor QC", "Fin", "Punch List")</f>
        <v>#VALUE!</v>
      </c>
      <c r="D1315" s="15" t="e">
        <f>_xlfn.LET(
_xlpm.leftValue, TRIM(LEFT(Tasks[[#This Row],[Description]], 45)),
IF(LEN(_xlpm.leftValue) &lt; 40, _xlpm.leftValue, _xlfn.CONCAT(_xlpm.leftValue, "…"))
)</f>
        <v>#VALUE!</v>
      </c>
      <c r="E1315" s="15" t="e" cm="1">
        <f t="array" ref="E1315">_xlfn.LET(
_xlpm.inTower, COUNTIF(Tower_Num_Table[Tower Rm Numbers], LEFT(Task_Summary_Table[[#This Row],[Area/Room]], 3)) &gt; 0,
_xlpm.typeResult, _xlfn.SWITCH(LEFT(Tasks[[#This Row],[Page]], 2), "Hi", "Historic", "An", "Annex", "Si", "Site", "S5", "Project Task", "SWITCH ERROR"),
IF(_xlpm.inTower, "West Tower", _xlpm.typeResult)
)</f>
        <v>#VALUE!</v>
      </c>
      <c r="F1315" s="15" t="str">
        <f>IFERROR(MID(Tasks[[#This Row],[Page]], FIND("Level", Tasks[[#This Row],[Page]]), 7), IF(ISNUMBER(FIND("Roof", Tasks[[#This Row],[Page]])), "Roof",  IF(ISNUMBER(FIND("S590", Tasks[[#This Row],[Page]])), "",  IF(ISNUMBER(FIND("Site", Tasks[[#This Row],[Page]])), "", "ERROR"))))</f>
        <v>ERROR</v>
      </c>
      <c r="G1315" s="15" t="e">
        <f>IF(Tasks[[#This Row],[Location]]=0, "", Tasks[[#This Row],[Location]])</f>
        <v>#VALUE!</v>
      </c>
      <c r="H1315" s="15" t="e">
        <f>Tasks[[#This Row],[To Package]]</f>
        <v>#VALUE!</v>
      </c>
      <c r="I1315" s="15" t="e">
        <f>Tasks[[#This Row],[To Organisation]]</f>
        <v>#VALUE!</v>
      </c>
    </row>
    <row r="1316" spans="1:9" ht="15.5" x14ac:dyDescent="0.35">
      <c r="A1316" s="16" t="e">
        <f>HYPERLINK(_xlfn.CONCAT(Edit_URL,Tasks[[#This Row],[Ref]]),Tasks[[#This Row],[Ref]])</f>
        <v>#VALUE!</v>
      </c>
      <c r="B1316" s="15" t="e" cm="1">
        <f t="array" ref="B1316">_xlfn.SWITCH(LEFT(Tasks[[#This Row],[Status]],1),"O","Opened","C","Completed","S","Signed Off", "V", "Signed Off","ERROR")</f>
        <v>#VALUE!</v>
      </c>
      <c r="C1316" s="15" t="e" cm="1">
        <f t="array" ref="C1316">_xlfn.SWITCH(LEFT(Tasks[[#This Row],[Type]], 3), "Fie", "Field Report", "Con", "Contractor QC", "Gen", "Contractor QC", "Pun", "Contractor QC", "Qua", "Contractor QC", "Fin", "Punch List")</f>
        <v>#VALUE!</v>
      </c>
      <c r="D1316" s="15" t="e">
        <f>_xlfn.LET(
_xlpm.leftValue, TRIM(LEFT(Tasks[[#This Row],[Description]], 45)),
IF(LEN(_xlpm.leftValue) &lt; 40, _xlpm.leftValue, _xlfn.CONCAT(_xlpm.leftValue, "…"))
)</f>
        <v>#VALUE!</v>
      </c>
      <c r="E1316" s="15" t="e" cm="1">
        <f t="array" ref="E1316">_xlfn.LET(
_xlpm.inTower, COUNTIF(Tower_Num_Table[Tower Rm Numbers], LEFT(Task_Summary_Table[[#This Row],[Area/Room]], 3)) &gt; 0,
_xlpm.typeResult, _xlfn.SWITCH(LEFT(Tasks[[#This Row],[Page]], 2), "Hi", "Historic", "An", "Annex", "Si", "Site", "S5", "Project Task", "SWITCH ERROR"),
IF(_xlpm.inTower, "West Tower", _xlpm.typeResult)
)</f>
        <v>#VALUE!</v>
      </c>
      <c r="F1316" s="15" t="str">
        <f>IFERROR(MID(Tasks[[#This Row],[Page]], FIND("Level", Tasks[[#This Row],[Page]]), 7), IF(ISNUMBER(FIND("Roof", Tasks[[#This Row],[Page]])), "Roof",  IF(ISNUMBER(FIND("S590", Tasks[[#This Row],[Page]])), "",  IF(ISNUMBER(FIND("Site", Tasks[[#This Row],[Page]])), "", "ERROR"))))</f>
        <v>ERROR</v>
      </c>
      <c r="G1316" s="15" t="e">
        <f>IF(Tasks[[#This Row],[Location]]=0, "", Tasks[[#This Row],[Location]])</f>
        <v>#VALUE!</v>
      </c>
      <c r="H1316" s="15" t="e">
        <f>Tasks[[#This Row],[To Package]]</f>
        <v>#VALUE!</v>
      </c>
      <c r="I1316" s="15" t="e">
        <f>Tasks[[#This Row],[To Organisation]]</f>
        <v>#VALUE!</v>
      </c>
    </row>
    <row r="1317" spans="1:9" ht="15.5" x14ac:dyDescent="0.35">
      <c r="A1317" s="16" t="e">
        <f>HYPERLINK(_xlfn.CONCAT(Edit_URL,Tasks[[#This Row],[Ref]]),Tasks[[#This Row],[Ref]])</f>
        <v>#VALUE!</v>
      </c>
      <c r="B1317" s="15" t="e" cm="1">
        <f t="array" ref="B1317">_xlfn.SWITCH(LEFT(Tasks[[#This Row],[Status]],1),"O","Opened","C","Completed","S","Signed Off", "V", "Signed Off","ERROR")</f>
        <v>#VALUE!</v>
      </c>
      <c r="C1317" s="15" t="e" cm="1">
        <f t="array" ref="C1317">_xlfn.SWITCH(LEFT(Tasks[[#This Row],[Type]], 3), "Fie", "Field Report", "Con", "Contractor QC", "Gen", "Contractor QC", "Pun", "Contractor QC", "Qua", "Contractor QC", "Fin", "Punch List")</f>
        <v>#VALUE!</v>
      </c>
      <c r="D1317" s="15" t="e">
        <f>_xlfn.LET(
_xlpm.leftValue, TRIM(LEFT(Tasks[[#This Row],[Description]], 45)),
IF(LEN(_xlpm.leftValue) &lt; 40, _xlpm.leftValue, _xlfn.CONCAT(_xlpm.leftValue, "…"))
)</f>
        <v>#VALUE!</v>
      </c>
      <c r="E1317" s="15" t="e" cm="1">
        <f t="array" ref="E1317">_xlfn.LET(
_xlpm.inTower, COUNTIF(Tower_Num_Table[Tower Rm Numbers], LEFT(Task_Summary_Table[[#This Row],[Area/Room]], 3)) &gt; 0,
_xlpm.typeResult, _xlfn.SWITCH(LEFT(Tasks[[#This Row],[Page]], 2), "Hi", "Historic", "An", "Annex", "Si", "Site", "S5", "Project Task", "SWITCH ERROR"),
IF(_xlpm.inTower, "West Tower", _xlpm.typeResult)
)</f>
        <v>#VALUE!</v>
      </c>
      <c r="F1317" s="15" t="str">
        <f>IFERROR(MID(Tasks[[#This Row],[Page]], FIND("Level", Tasks[[#This Row],[Page]]), 7), IF(ISNUMBER(FIND("Roof", Tasks[[#This Row],[Page]])), "Roof",  IF(ISNUMBER(FIND("S590", Tasks[[#This Row],[Page]])), "",  IF(ISNUMBER(FIND("Site", Tasks[[#This Row],[Page]])), "", "ERROR"))))</f>
        <v>ERROR</v>
      </c>
      <c r="G1317" s="15" t="e">
        <f>IF(Tasks[[#This Row],[Location]]=0, "", Tasks[[#This Row],[Location]])</f>
        <v>#VALUE!</v>
      </c>
      <c r="H1317" s="15" t="e">
        <f>Tasks[[#This Row],[To Package]]</f>
        <v>#VALUE!</v>
      </c>
      <c r="I1317" s="15" t="e">
        <f>Tasks[[#This Row],[To Organisation]]</f>
        <v>#VALUE!</v>
      </c>
    </row>
    <row r="1318" spans="1:9" ht="15.5" x14ac:dyDescent="0.35">
      <c r="A1318" s="16" t="e">
        <f>HYPERLINK(_xlfn.CONCAT(Edit_URL,Tasks[[#This Row],[Ref]]),Tasks[[#This Row],[Ref]])</f>
        <v>#VALUE!</v>
      </c>
      <c r="B1318" s="15" t="e" cm="1">
        <f t="array" ref="B1318">_xlfn.SWITCH(LEFT(Tasks[[#This Row],[Status]],1),"O","Opened","C","Completed","S","Signed Off", "V", "Signed Off","ERROR")</f>
        <v>#VALUE!</v>
      </c>
      <c r="C1318" s="15" t="e" cm="1">
        <f t="array" ref="C1318">_xlfn.SWITCH(LEFT(Tasks[[#This Row],[Type]], 3), "Fie", "Field Report", "Con", "Contractor QC", "Gen", "Contractor QC", "Pun", "Contractor QC", "Qua", "Contractor QC", "Fin", "Punch List")</f>
        <v>#VALUE!</v>
      </c>
      <c r="D1318" s="15" t="e">
        <f>_xlfn.LET(
_xlpm.leftValue, TRIM(LEFT(Tasks[[#This Row],[Description]], 45)),
IF(LEN(_xlpm.leftValue) &lt; 40, _xlpm.leftValue, _xlfn.CONCAT(_xlpm.leftValue, "…"))
)</f>
        <v>#VALUE!</v>
      </c>
      <c r="E1318" s="15" t="e" cm="1">
        <f t="array" ref="E1318">_xlfn.LET(
_xlpm.inTower, COUNTIF(Tower_Num_Table[Tower Rm Numbers], LEFT(Task_Summary_Table[[#This Row],[Area/Room]], 3)) &gt; 0,
_xlpm.typeResult, _xlfn.SWITCH(LEFT(Tasks[[#This Row],[Page]], 2), "Hi", "Historic", "An", "Annex", "Si", "Site", "S5", "Project Task", "SWITCH ERROR"),
IF(_xlpm.inTower, "West Tower", _xlpm.typeResult)
)</f>
        <v>#VALUE!</v>
      </c>
      <c r="F1318" s="15" t="str">
        <f>IFERROR(MID(Tasks[[#This Row],[Page]], FIND("Level", Tasks[[#This Row],[Page]]), 7), IF(ISNUMBER(FIND("Roof", Tasks[[#This Row],[Page]])), "Roof",  IF(ISNUMBER(FIND("S590", Tasks[[#This Row],[Page]])), "",  IF(ISNUMBER(FIND("Site", Tasks[[#This Row],[Page]])), "", "ERROR"))))</f>
        <v>ERROR</v>
      </c>
      <c r="G1318" s="15" t="e">
        <f>IF(Tasks[[#This Row],[Location]]=0, "", Tasks[[#This Row],[Location]])</f>
        <v>#VALUE!</v>
      </c>
      <c r="H1318" s="15" t="e">
        <f>Tasks[[#This Row],[To Package]]</f>
        <v>#VALUE!</v>
      </c>
      <c r="I1318" s="15" t="e">
        <f>Tasks[[#This Row],[To Organisation]]</f>
        <v>#VALUE!</v>
      </c>
    </row>
    <row r="1319" spans="1:9" ht="15.5" x14ac:dyDescent="0.35">
      <c r="A1319" s="16" t="e">
        <f>HYPERLINK(_xlfn.CONCAT(Edit_URL,Tasks[[#This Row],[Ref]]),Tasks[[#This Row],[Ref]])</f>
        <v>#VALUE!</v>
      </c>
      <c r="B1319" s="15" t="e" cm="1">
        <f t="array" ref="B1319">_xlfn.SWITCH(LEFT(Tasks[[#This Row],[Status]],1),"O","Opened","C","Completed","S","Signed Off", "V", "Signed Off","ERROR")</f>
        <v>#VALUE!</v>
      </c>
      <c r="C1319" s="15" t="e" cm="1">
        <f t="array" ref="C1319">_xlfn.SWITCH(LEFT(Tasks[[#This Row],[Type]], 3), "Fie", "Field Report", "Con", "Contractor QC", "Gen", "Contractor QC", "Pun", "Contractor QC", "Qua", "Contractor QC", "Fin", "Punch List")</f>
        <v>#VALUE!</v>
      </c>
      <c r="D1319" s="15" t="e">
        <f>_xlfn.LET(
_xlpm.leftValue, TRIM(LEFT(Tasks[[#This Row],[Description]], 45)),
IF(LEN(_xlpm.leftValue) &lt; 40, _xlpm.leftValue, _xlfn.CONCAT(_xlpm.leftValue, "…"))
)</f>
        <v>#VALUE!</v>
      </c>
      <c r="E1319" s="15" t="e" cm="1">
        <f t="array" ref="E1319">_xlfn.LET(
_xlpm.inTower, COUNTIF(Tower_Num_Table[Tower Rm Numbers], LEFT(Task_Summary_Table[[#This Row],[Area/Room]], 3)) &gt; 0,
_xlpm.typeResult, _xlfn.SWITCH(LEFT(Tasks[[#This Row],[Page]], 2), "Hi", "Historic", "An", "Annex", "Si", "Site", "S5", "Project Task", "SWITCH ERROR"),
IF(_xlpm.inTower, "West Tower", _xlpm.typeResult)
)</f>
        <v>#VALUE!</v>
      </c>
      <c r="F1319" s="15" t="str">
        <f>IFERROR(MID(Tasks[[#This Row],[Page]], FIND("Level", Tasks[[#This Row],[Page]]), 7), IF(ISNUMBER(FIND("Roof", Tasks[[#This Row],[Page]])), "Roof",  IF(ISNUMBER(FIND("S590", Tasks[[#This Row],[Page]])), "",  IF(ISNUMBER(FIND("Site", Tasks[[#This Row],[Page]])), "", "ERROR"))))</f>
        <v>ERROR</v>
      </c>
      <c r="G1319" s="15" t="e">
        <f>IF(Tasks[[#This Row],[Location]]=0, "", Tasks[[#This Row],[Location]])</f>
        <v>#VALUE!</v>
      </c>
      <c r="H1319" s="15" t="e">
        <f>Tasks[[#This Row],[To Package]]</f>
        <v>#VALUE!</v>
      </c>
      <c r="I1319" s="15" t="e">
        <f>Tasks[[#This Row],[To Organisation]]</f>
        <v>#VALUE!</v>
      </c>
    </row>
    <row r="1320" spans="1:9" ht="15.5" x14ac:dyDescent="0.35">
      <c r="A1320" s="16" t="e">
        <f>HYPERLINK(_xlfn.CONCAT(Edit_URL,Tasks[[#This Row],[Ref]]),Tasks[[#This Row],[Ref]])</f>
        <v>#VALUE!</v>
      </c>
      <c r="B1320" s="15" t="e" cm="1">
        <f t="array" ref="B1320">_xlfn.SWITCH(LEFT(Tasks[[#This Row],[Status]],1),"O","Opened","C","Completed","S","Signed Off", "V", "Signed Off","ERROR")</f>
        <v>#VALUE!</v>
      </c>
      <c r="C1320" s="15" t="e" cm="1">
        <f t="array" ref="C1320">_xlfn.SWITCH(LEFT(Tasks[[#This Row],[Type]], 3), "Fie", "Field Report", "Con", "Contractor QC", "Gen", "Contractor QC", "Pun", "Contractor QC", "Qua", "Contractor QC", "Fin", "Punch List")</f>
        <v>#VALUE!</v>
      </c>
      <c r="D1320" s="15" t="e">
        <f>_xlfn.LET(
_xlpm.leftValue, TRIM(LEFT(Tasks[[#This Row],[Description]], 45)),
IF(LEN(_xlpm.leftValue) &lt; 40, _xlpm.leftValue, _xlfn.CONCAT(_xlpm.leftValue, "…"))
)</f>
        <v>#VALUE!</v>
      </c>
      <c r="E1320" s="15" t="e" cm="1">
        <f t="array" ref="E1320">_xlfn.LET(
_xlpm.inTower, COUNTIF(Tower_Num_Table[Tower Rm Numbers], LEFT(Task_Summary_Table[[#This Row],[Area/Room]], 3)) &gt; 0,
_xlpm.typeResult, _xlfn.SWITCH(LEFT(Tasks[[#This Row],[Page]], 2), "Hi", "Historic", "An", "Annex", "Si", "Site", "S5", "Project Task", "SWITCH ERROR"),
IF(_xlpm.inTower, "West Tower", _xlpm.typeResult)
)</f>
        <v>#VALUE!</v>
      </c>
      <c r="F1320" s="15" t="str">
        <f>IFERROR(MID(Tasks[[#This Row],[Page]], FIND("Level", Tasks[[#This Row],[Page]]), 7), IF(ISNUMBER(FIND("Roof", Tasks[[#This Row],[Page]])), "Roof",  IF(ISNUMBER(FIND("S590", Tasks[[#This Row],[Page]])), "",  IF(ISNUMBER(FIND("Site", Tasks[[#This Row],[Page]])), "", "ERROR"))))</f>
        <v>ERROR</v>
      </c>
      <c r="G1320" s="15" t="e">
        <f>IF(Tasks[[#This Row],[Location]]=0, "", Tasks[[#This Row],[Location]])</f>
        <v>#VALUE!</v>
      </c>
      <c r="H1320" s="15" t="e">
        <f>Tasks[[#This Row],[To Package]]</f>
        <v>#VALUE!</v>
      </c>
      <c r="I1320" s="15" t="e">
        <f>Tasks[[#This Row],[To Organisation]]</f>
        <v>#VALUE!</v>
      </c>
    </row>
    <row r="1321" spans="1:9" ht="15.5" x14ac:dyDescent="0.35">
      <c r="A1321" s="16" t="e">
        <f>HYPERLINK(_xlfn.CONCAT(Edit_URL,Tasks[[#This Row],[Ref]]),Tasks[[#This Row],[Ref]])</f>
        <v>#VALUE!</v>
      </c>
      <c r="B1321" s="15" t="e" cm="1">
        <f t="array" ref="B1321">_xlfn.SWITCH(LEFT(Tasks[[#This Row],[Status]],1),"O","Opened","C","Completed","S","Signed Off", "V", "Signed Off","ERROR")</f>
        <v>#VALUE!</v>
      </c>
      <c r="C1321" s="15" t="e" cm="1">
        <f t="array" ref="C1321">_xlfn.SWITCH(LEFT(Tasks[[#This Row],[Type]], 3), "Fie", "Field Report", "Con", "Contractor QC", "Gen", "Contractor QC", "Pun", "Contractor QC", "Qua", "Contractor QC", "Fin", "Punch List")</f>
        <v>#VALUE!</v>
      </c>
      <c r="D1321" s="15" t="e">
        <f>_xlfn.LET(
_xlpm.leftValue, TRIM(LEFT(Tasks[[#This Row],[Description]], 45)),
IF(LEN(_xlpm.leftValue) &lt; 40, _xlpm.leftValue, _xlfn.CONCAT(_xlpm.leftValue, "…"))
)</f>
        <v>#VALUE!</v>
      </c>
      <c r="E1321" s="15" t="e" cm="1">
        <f t="array" ref="E1321">_xlfn.LET(
_xlpm.inTower, COUNTIF(Tower_Num_Table[Tower Rm Numbers], LEFT(Task_Summary_Table[[#This Row],[Area/Room]], 3)) &gt; 0,
_xlpm.typeResult, _xlfn.SWITCH(LEFT(Tasks[[#This Row],[Page]], 2), "Hi", "Historic", "An", "Annex", "Si", "Site", "S5", "Project Task", "SWITCH ERROR"),
IF(_xlpm.inTower, "West Tower", _xlpm.typeResult)
)</f>
        <v>#VALUE!</v>
      </c>
      <c r="F1321" s="15" t="str">
        <f>IFERROR(MID(Tasks[[#This Row],[Page]], FIND("Level", Tasks[[#This Row],[Page]]), 7), IF(ISNUMBER(FIND("Roof", Tasks[[#This Row],[Page]])), "Roof",  IF(ISNUMBER(FIND("S590", Tasks[[#This Row],[Page]])), "",  IF(ISNUMBER(FIND("Site", Tasks[[#This Row],[Page]])), "", "ERROR"))))</f>
        <v>ERROR</v>
      </c>
      <c r="G1321" s="15" t="e">
        <f>IF(Tasks[[#This Row],[Location]]=0, "", Tasks[[#This Row],[Location]])</f>
        <v>#VALUE!</v>
      </c>
      <c r="H1321" s="15" t="e">
        <f>Tasks[[#This Row],[To Package]]</f>
        <v>#VALUE!</v>
      </c>
      <c r="I1321" s="15" t="e">
        <f>Tasks[[#This Row],[To Organisation]]</f>
        <v>#VALUE!</v>
      </c>
    </row>
    <row r="1322" spans="1:9" ht="15.5" x14ac:dyDescent="0.35">
      <c r="A1322" s="16" t="e">
        <f>HYPERLINK(_xlfn.CONCAT(Edit_URL,Tasks[[#This Row],[Ref]]),Tasks[[#This Row],[Ref]])</f>
        <v>#VALUE!</v>
      </c>
      <c r="B1322" s="15" t="e" cm="1">
        <f t="array" ref="B1322">_xlfn.SWITCH(LEFT(Tasks[[#This Row],[Status]],1),"O","Opened","C","Completed","S","Signed Off", "V", "Signed Off","ERROR")</f>
        <v>#VALUE!</v>
      </c>
      <c r="C1322" s="15" t="e" cm="1">
        <f t="array" ref="C1322">_xlfn.SWITCH(LEFT(Tasks[[#This Row],[Type]], 3), "Fie", "Field Report", "Con", "Contractor QC", "Gen", "Contractor QC", "Pun", "Contractor QC", "Qua", "Contractor QC", "Fin", "Punch List")</f>
        <v>#VALUE!</v>
      </c>
      <c r="D1322" s="15" t="e">
        <f>_xlfn.LET(
_xlpm.leftValue, TRIM(LEFT(Tasks[[#This Row],[Description]], 45)),
IF(LEN(_xlpm.leftValue) &lt; 40, _xlpm.leftValue, _xlfn.CONCAT(_xlpm.leftValue, "…"))
)</f>
        <v>#VALUE!</v>
      </c>
      <c r="E1322" s="15" t="e" cm="1">
        <f t="array" ref="E1322">_xlfn.LET(
_xlpm.inTower, COUNTIF(Tower_Num_Table[Tower Rm Numbers], LEFT(Task_Summary_Table[[#This Row],[Area/Room]], 3)) &gt; 0,
_xlpm.typeResult, _xlfn.SWITCH(LEFT(Tasks[[#This Row],[Page]], 2), "Hi", "Historic", "An", "Annex", "Si", "Site", "S5", "Project Task", "SWITCH ERROR"),
IF(_xlpm.inTower, "West Tower", _xlpm.typeResult)
)</f>
        <v>#VALUE!</v>
      </c>
      <c r="F1322" s="15" t="str">
        <f>IFERROR(MID(Tasks[[#This Row],[Page]], FIND("Level", Tasks[[#This Row],[Page]]), 7), IF(ISNUMBER(FIND("Roof", Tasks[[#This Row],[Page]])), "Roof",  IF(ISNUMBER(FIND("S590", Tasks[[#This Row],[Page]])), "",  IF(ISNUMBER(FIND("Site", Tasks[[#This Row],[Page]])), "", "ERROR"))))</f>
        <v>ERROR</v>
      </c>
      <c r="G1322" s="15" t="e">
        <f>IF(Tasks[[#This Row],[Location]]=0, "", Tasks[[#This Row],[Location]])</f>
        <v>#VALUE!</v>
      </c>
      <c r="H1322" s="15" t="e">
        <f>Tasks[[#This Row],[To Package]]</f>
        <v>#VALUE!</v>
      </c>
      <c r="I1322" s="15" t="e">
        <f>Tasks[[#This Row],[To Organisation]]</f>
        <v>#VALUE!</v>
      </c>
    </row>
    <row r="1323" spans="1:9" ht="15.5" x14ac:dyDescent="0.35">
      <c r="A1323" s="16" t="e">
        <f>HYPERLINK(_xlfn.CONCAT(Edit_URL,Tasks[[#This Row],[Ref]]),Tasks[[#This Row],[Ref]])</f>
        <v>#VALUE!</v>
      </c>
      <c r="B1323" s="15" t="e" cm="1">
        <f t="array" ref="B1323">_xlfn.SWITCH(LEFT(Tasks[[#This Row],[Status]],1),"O","Opened","C","Completed","S","Signed Off", "V", "Signed Off","ERROR")</f>
        <v>#VALUE!</v>
      </c>
      <c r="C1323" s="15" t="e" cm="1">
        <f t="array" ref="C1323">_xlfn.SWITCH(LEFT(Tasks[[#This Row],[Type]], 3), "Fie", "Field Report", "Con", "Contractor QC", "Gen", "Contractor QC", "Pun", "Contractor QC", "Qua", "Contractor QC", "Fin", "Punch List")</f>
        <v>#VALUE!</v>
      </c>
      <c r="D1323" s="15" t="e">
        <f>_xlfn.LET(
_xlpm.leftValue, TRIM(LEFT(Tasks[[#This Row],[Description]], 45)),
IF(LEN(_xlpm.leftValue) &lt; 40, _xlpm.leftValue, _xlfn.CONCAT(_xlpm.leftValue, "…"))
)</f>
        <v>#VALUE!</v>
      </c>
      <c r="E1323" s="15" t="e" cm="1">
        <f t="array" ref="E1323">_xlfn.LET(
_xlpm.inTower, COUNTIF(Tower_Num_Table[Tower Rm Numbers], LEFT(Task_Summary_Table[[#This Row],[Area/Room]], 3)) &gt; 0,
_xlpm.typeResult, _xlfn.SWITCH(LEFT(Tasks[[#This Row],[Page]], 2), "Hi", "Historic", "An", "Annex", "Si", "Site", "S5", "Project Task", "SWITCH ERROR"),
IF(_xlpm.inTower, "West Tower", _xlpm.typeResult)
)</f>
        <v>#VALUE!</v>
      </c>
      <c r="F1323" s="15" t="str">
        <f>IFERROR(MID(Tasks[[#This Row],[Page]], FIND("Level", Tasks[[#This Row],[Page]]), 7), IF(ISNUMBER(FIND("Roof", Tasks[[#This Row],[Page]])), "Roof",  IF(ISNUMBER(FIND("S590", Tasks[[#This Row],[Page]])), "",  IF(ISNUMBER(FIND("Site", Tasks[[#This Row],[Page]])), "", "ERROR"))))</f>
        <v>ERROR</v>
      </c>
      <c r="G1323" s="15" t="e">
        <f>IF(Tasks[[#This Row],[Location]]=0, "", Tasks[[#This Row],[Location]])</f>
        <v>#VALUE!</v>
      </c>
      <c r="H1323" s="15" t="e">
        <f>Tasks[[#This Row],[To Package]]</f>
        <v>#VALUE!</v>
      </c>
      <c r="I1323" s="15" t="e">
        <f>Tasks[[#This Row],[To Organisation]]</f>
        <v>#VALUE!</v>
      </c>
    </row>
    <row r="1324" spans="1:9" ht="15.5" x14ac:dyDescent="0.35">
      <c r="A1324" s="16" t="e">
        <f>HYPERLINK(_xlfn.CONCAT(Edit_URL,Tasks[[#This Row],[Ref]]),Tasks[[#This Row],[Ref]])</f>
        <v>#VALUE!</v>
      </c>
      <c r="B1324" s="15" t="e" cm="1">
        <f t="array" ref="B1324">_xlfn.SWITCH(LEFT(Tasks[[#This Row],[Status]],1),"O","Opened","C","Completed","S","Signed Off", "V", "Signed Off","ERROR")</f>
        <v>#VALUE!</v>
      </c>
      <c r="C1324" s="15" t="e" cm="1">
        <f t="array" ref="C1324">_xlfn.SWITCH(LEFT(Tasks[[#This Row],[Type]], 3), "Fie", "Field Report", "Con", "Contractor QC", "Gen", "Contractor QC", "Pun", "Contractor QC", "Qua", "Contractor QC", "Fin", "Punch List")</f>
        <v>#VALUE!</v>
      </c>
      <c r="D1324" s="15" t="e">
        <f>_xlfn.LET(
_xlpm.leftValue, TRIM(LEFT(Tasks[[#This Row],[Description]], 45)),
IF(LEN(_xlpm.leftValue) &lt; 40, _xlpm.leftValue, _xlfn.CONCAT(_xlpm.leftValue, "…"))
)</f>
        <v>#VALUE!</v>
      </c>
      <c r="E1324" s="15" t="e" cm="1">
        <f t="array" ref="E1324">_xlfn.LET(
_xlpm.inTower, COUNTIF(Tower_Num_Table[Tower Rm Numbers], LEFT(Task_Summary_Table[[#This Row],[Area/Room]], 3)) &gt; 0,
_xlpm.typeResult, _xlfn.SWITCH(LEFT(Tasks[[#This Row],[Page]], 2), "Hi", "Historic", "An", "Annex", "Si", "Site", "S5", "Project Task", "SWITCH ERROR"),
IF(_xlpm.inTower, "West Tower", _xlpm.typeResult)
)</f>
        <v>#VALUE!</v>
      </c>
      <c r="F1324" s="15" t="str">
        <f>IFERROR(MID(Tasks[[#This Row],[Page]], FIND("Level", Tasks[[#This Row],[Page]]), 7), IF(ISNUMBER(FIND("Roof", Tasks[[#This Row],[Page]])), "Roof",  IF(ISNUMBER(FIND("S590", Tasks[[#This Row],[Page]])), "",  IF(ISNUMBER(FIND("Site", Tasks[[#This Row],[Page]])), "", "ERROR"))))</f>
        <v>ERROR</v>
      </c>
      <c r="G1324" s="15" t="e">
        <f>IF(Tasks[[#This Row],[Location]]=0, "", Tasks[[#This Row],[Location]])</f>
        <v>#VALUE!</v>
      </c>
      <c r="H1324" s="15" t="e">
        <f>Tasks[[#This Row],[To Package]]</f>
        <v>#VALUE!</v>
      </c>
      <c r="I1324" s="15" t="e">
        <f>Tasks[[#This Row],[To Organisation]]</f>
        <v>#VALUE!</v>
      </c>
    </row>
    <row r="1325" spans="1:9" ht="15.5" x14ac:dyDescent="0.35">
      <c r="A1325" s="16" t="e">
        <f>HYPERLINK(_xlfn.CONCAT(Edit_URL,Tasks[[#This Row],[Ref]]),Tasks[[#This Row],[Ref]])</f>
        <v>#VALUE!</v>
      </c>
      <c r="B1325" s="15" t="e" cm="1">
        <f t="array" ref="B1325">_xlfn.SWITCH(LEFT(Tasks[[#This Row],[Status]],1),"O","Opened","C","Completed","S","Signed Off", "V", "Signed Off","ERROR")</f>
        <v>#VALUE!</v>
      </c>
      <c r="C1325" s="15" t="e" cm="1">
        <f t="array" ref="C1325">_xlfn.SWITCH(LEFT(Tasks[[#This Row],[Type]], 3), "Fie", "Field Report", "Con", "Contractor QC", "Gen", "Contractor QC", "Pun", "Contractor QC", "Qua", "Contractor QC", "Fin", "Punch List")</f>
        <v>#VALUE!</v>
      </c>
      <c r="D1325" s="15" t="e">
        <f>_xlfn.LET(
_xlpm.leftValue, TRIM(LEFT(Tasks[[#This Row],[Description]], 45)),
IF(LEN(_xlpm.leftValue) &lt; 40, _xlpm.leftValue, _xlfn.CONCAT(_xlpm.leftValue, "…"))
)</f>
        <v>#VALUE!</v>
      </c>
      <c r="E1325" s="15" t="e" cm="1">
        <f t="array" ref="E1325">_xlfn.LET(
_xlpm.inTower, COUNTIF(Tower_Num_Table[Tower Rm Numbers], LEFT(Task_Summary_Table[[#This Row],[Area/Room]], 3)) &gt; 0,
_xlpm.typeResult, _xlfn.SWITCH(LEFT(Tasks[[#This Row],[Page]], 2), "Hi", "Historic", "An", "Annex", "Si", "Site", "S5", "Project Task", "SWITCH ERROR"),
IF(_xlpm.inTower, "West Tower", _xlpm.typeResult)
)</f>
        <v>#VALUE!</v>
      </c>
      <c r="F1325" s="15" t="str">
        <f>IFERROR(MID(Tasks[[#This Row],[Page]], FIND("Level", Tasks[[#This Row],[Page]]), 7), IF(ISNUMBER(FIND("Roof", Tasks[[#This Row],[Page]])), "Roof",  IF(ISNUMBER(FIND("S590", Tasks[[#This Row],[Page]])), "",  IF(ISNUMBER(FIND("Site", Tasks[[#This Row],[Page]])), "", "ERROR"))))</f>
        <v>ERROR</v>
      </c>
      <c r="G1325" s="15" t="e">
        <f>IF(Tasks[[#This Row],[Location]]=0, "", Tasks[[#This Row],[Location]])</f>
        <v>#VALUE!</v>
      </c>
      <c r="H1325" s="15" t="e">
        <f>Tasks[[#This Row],[To Package]]</f>
        <v>#VALUE!</v>
      </c>
      <c r="I1325" s="15" t="e">
        <f>Tasks[[#This Row],[To Organisation]]</f>
        <v>#VALUE!</v>
      </c>
    </row>
    <row r="1326" spans="1:9" ht="15.5" x14ac:dyDescent="0.35">
      <c r="A1326" s="16" t="e">
        <f>HYPERLINK(_xlfn.CONCAT(Edit_URL,Tasks[[#This Row],[Ref]]),Tasks[[#This Row],[Ref]])</f>
        <v>#VALUE!</v>
      </c>
      <c r="B1326" s="15" t="e" cm="1">
        <f t="array" ref="B1326">_xlfn.SWITCH(LEFT(Tasks[[#This Row],[Status]],1),"O","Opened","C","Completed","S","Signed Off", "V", "Signed Off","ERROR")</f>
        <v>#VALUE!</v>
      </c>
      <c r="C1326" s="15" t="e" cm="1">
        <f t="array" ref="C1326">_xlfn.SWITCH(LEFT(Tasks[[#This Row],[Type]], 3), "Fie", "Field Report", "Con", "Contractor QC", "Gen", "Contractor QC", "Pun", "Contractor QC", "Qua", "Contractor QC", "Fin", "Punch List")</f>
        <v>#VALUE!</v>
      </c>
      <c r="D1326" s="15" t="e">
        <f>_xlfn.LET(
_xlpm.leftValue, TRIM(LEFT(Tasks[[#This Row],[Description]], 45)),
IF(LEN(_xlpm.leftValue) &lt; 40, _xlpm.leftValue, _xlfn.CONCAT(_xlpm.leftValue, "…"))
)</f>
        <v>#VALUE!</v>
      </c>
      <c r="E1326" s="15" t="e" cm="1">
        <f t="array" ref="E1326">_xlfn.LET(
_xlpm.inTower, COUNTIF(Tower_Num_Table[Tower Rm Numbers], LEFT(Task_Summary_Table[[#This Row],[Area/Room]], 3)) &gt; 0,
_xlpm.typeResult, _xlfn.SWITCH(LEFT(Tasks[[#This Row],[Page]], 2), "Hi", "Historic", "An", "Annex", "Si", "Site", "S5", "Project Task", "SWITCH ERROR"),
IF(_xlpm.inTower, "West Tower", _xlpm.typeResult)
)</f>
        <v>#VALUE!</v>
      </c>
      <c r="F1326" s="15" t="str">
        <f>IFERROR(MID(Tasks[[#This Row],[Page]], FIND("Level", Tasks[[#This Row],[Page]]), 7), IF(ISNUMBER(FIND("Roof", Tasks[[#This Row],[Page]])), "Roof",  IF(ISNUMBER(FIND("S590", Tasks[[#This Row],[Page]])), "",  IF(ISNUMBER(FIND("Site", Tasks[[#This Row],[Page]])), "", "ERROR"))))</f>
        <v>ERROR</v>
      </c>
      <c r="G1326" s="15" t="e">
        <f>IF(Tasks[[#This Row],[Location]]=0, "", Tasks[[#This Row],[Location]])</f>
        <v>#VALUE!</v>
      </c>
      <c r="H1326" s="15" t="e">
        <f>Tasks[[#This Row],[To Package]]</f>
        <v>#VALUE!</v>
      </c>
      <c r="I1326" s="15" t="e">
        <f>Tasks[[#This Row],[To Organisation]]</f>
        <v>#VALUE!</v>
      </c>
    </row>
    <row r="1327" spans="1:9" ht="15.5" x14ac:dyDescent="0.35">
      <c r="A1327" s="16" t="e">
        <f>HYPERLINK(_xlfn.CONCAT(Edit_URL,Tasks[[#This Row],[Ref]]),Tasks[[#This Row],[Ref]])</f>
        <v>#VALUE!</v>
      </c>
      <c r="B1327" s="15" t="e" cm="1">
        <f t="array" ref="B1327">_xlfn.SWITCH(LEFT(Tasks[[#This Row],[Status]],1),"O","Opened","C","Completed","S","Signed Off", "V", "Signed Off","ERROR")</f>
        <v>#VALUE!</v>
      </c>
      <c r="C1327" s="15" t="e" cm="1">
        <f t="array" ref="C1327">_xlfn.SWITCH(LEFT(Tasks[[#This Row],[Type]], 3), "Fie", "Field Report", "Con", "Contractor QC", "Gen", "Contractor QC", "Pun", "Contractor QC", "Qua", "Contractor QC", "Fin", "Punch List")</f>
        <v>#VALUE!</v>
      </c>
      <c r="D1327" s="15" t="e">
        <f>_xlfn.LET(
_xlpm.leftValue, TRIM(LEFT(Tasks[[#This Row],[Description]], 45)),
IF(LEN(_xlpm.leftValue) &lt; 40, _xlpm.leftValue, _xlfn.CONCAT(_xlpm.leftValue, "…"))
)</f>
        <v>#VALUE!</v>
      </c>
      <c r="E1327" s="15" t="e" cm="1">
        <f t="array" ref="E1327">_xlfn.LET(
_xlpm.inTower, COUNTIF(Tower_Num_Table[Tower Rm Numbers], LEFT(Task_Summary_Table[[#This Row],[Area/Room]], 3)) &gt; 0,
_xlpm.typeResult, _xlfn.SWITCH(LEFT(Tasks[[#This Row],[Page]], 2), "Hi", "Historic", "An", "Annex", "Si", "Site", "S5", "Project Task", "SWITCH ERROR"),
IF(_xlpm.inTower, "West Tower", _xlpm.typeResult)
)</f>
        <v>#VALUE!</v>
      </c>
      <c r="F1327" s="15" t="str">
        <f>IFERROR(MID(Tasks[[#This Row],[Page]], FIND("Level", Tasks[[#This Row],[Page]]), 7), IF(ISNUMBER(FIND("Roof", Tasks[[#This Row],[Page]])), "Roof",  IF(ISNUMBER(FIND("S590", Tasks[[#This Row],[Page]])), "",  IF(ISNUMBER(FIND("Site", Tasks[[#This Row],[Page]])), "", "ERROR"))))</f>
        <v>ERROR</v>
      </c>
      <c r="G1327" s="15" t="e">
        <f>IF(Tasks[[#This Row],[Location]]=0, "", Tasks[[#This Row],[Location]])</f>
        <v>#VALUE!</v>
      </c>
      <c r="H1327" s="15" t="e">
        <f>Tasks[[#This Row],[To Package]]</f>
        <v>#VALUE!</v>
      </c>
      <c r="I1327" s="15" t="e">
        <f>Tasks[[#This Row],[To Organisation]]</f>
        <v>#VALUE!</v>
      </c>
    </row>
    <row r="1328" spans="1:9" ht="15.5" x14ac:dyDescent="0.35">
      <c r="A1328" s="16" t="e">
        <f>HYPERLINK(_xlfn.CONCAT(Edit_URL,Tasks[[#This Row],[Ref]]),Tasks[[#This Row],[Ref]])</f>
        <v>#VALUE!</v>
      </c>
      <c r="B1328" s="15" t="e" cm="1">
        <f t="array" ref="B1328">_xlfn.SWITCH(LEFT(Tasks[[#This Row],[Status]],1),"O","Opened","C","Completed","S","Signed Off", "V", "Signed Off","ERROR")</f>
        <v>#VALUE!</v>
      </c>
      <c r="C1328" s="15" t="e" cm="1">
        <f t="array" ref="C1328">_xlfn.SWITCH(LEFT(Tasks[[#This Row],[Type]], 3), "Fie", "Field Report", "Con", "Contractor QC", "Gen", "Contractor QC", "Pun", "Contractor QC", "Qua", "Contractor QC", "Fin", "Punch List")</f>
        <v>#VALUE!</v>
      </c>
      <c r="D1328" s="15" t="e">
        <f>_xlfn.LET(
_xlpm.leftValue, TRIM(LEFT(Tasks[[#This Row],[Description]], 45)),
IF(LEN(_xlpm.leftValue) &lt; 40, _xlpm.leftValue, _xlfn.CONCAT(_xlpm.leftValue, "…"))
)</f>
        <v>#VALUE!</v>
      </c>
      <c r="E1328" s="15" t="e" cm="1">
        <f t="array" ref="E1328">_xlfn.LET(
_xlpm.inTower, COUNTIF(Tower_Num_Table[Tower Rm Numbers], LEFT(Task_Summary_Table[[#This Row],[Area/Room]], 3)) &gt; 0,
_xlpm.typeResult, _xlfn.SWITCH(LEFT(Tasks[[#This Row],[Page]], 2), "Hi", "Historic", "An", "Annex", "Si", "Site", "S5", "Project Task", "SWITCH ERROR"),
IF(_xlpm.inTower, "West Tower", _xlpm.typeResult)
)</f>
        <v>#VALUE!</v>
      </c>
      <c r="F1328" s="15" t="str">
        <f>IFERROR(MID(Tasks[[#This Row],[Page]], FIND("Level", Tasks[[#This Row],[Page]]), 7), IF(ISNUMBER(FIND("Roof", Tasks[[#This Row],[Page]])), "Roof",  IF(ISNUMBER(FIND("S590", Tasks[[#This Row],[Page]])), "",  IF(ISNUMBER(FIND("Site", Tasks[[#This Row],[Page]])), "", "ERROR"))))</f>
        <v>ERROR</v>
      </c>
      <c r="G1328" s="15" t="e">
        <f>IF(Tasks[[#This Row],[Location]]=0, "", Tasks[[#This Row],[Location]])</f>
        <v>#VALUE!</v>
      </c>
      <c r="H1328" s="15" t="e">
        <f>Tasks[[#This Row],[To Package]]</f>
        <v>#VALUE!</v>
      </c>
      <c r="I1328" s="15" t="e">
        <f>Tasks[[#This Row],[To Organisation]]</f>
        <v>#VALUE!</v>
      </c>
    </row>
    <row r="1329" spans="1:9" ht="15.5" x14ac:dyDescent="0.35">
      <c r="A1329" s="16" t="e">
        <f>HYPERLINK(_xlfn.CONCAT(Edit_URL,Tasks[[#This Row],[Ref]]),Tasks[[#This Row],[Ref]])</f>
        <v>#VALUE!</v>
      </c>
      <c r="B1329" s="15" t="e" cm="1">
        <f t="array" ref="B1329">_xlfn.SWITCH(LEFT(Tasks[[#This Row],[Status]],1),"O","Opened","C","Completed","S","Signed Off", "V", "Signed Off","ERROR")</f>
        <v>#VALUE!</v>
      </c>
      <c r="C1329" s="15" t="e" cm="1">
        <f t="array" ref="C1329">_xlfn.SWITCH(LEFT(Tasks[[#This Row],[Type]], 3), "Fie", "Field Report", "Con", "Contractor QC", "Gen", "Contractor QC", "Pun", "Contractor QC", "Qua", "Contractor QC", "Fin", "Punch List")</f>
        <v>#VALUE!</v>
      </c>
      <c r="D1329" s="15" t="e">
        <f>_xlfn.LET(
_xlpm.leftValue, TRIM(LEFT(Tasks[[#This Row],[Description]], 45)),
IF(LEN(_xlpm.leftValue) &lt; 40, _xlpm.leftValue, _xlfn.CONCAT(_xlpm.leftValue, "…"))
)</f>
        <v>#VALUE!</v>
      </c>
      <c r="E1329" s="15" t="e" cm="1">
        <f t="array" ref="E1329">_xlfn.LET(
_xlpm.inTower, COUNTIF(Tower_Num_Table[Tower Rm Numbers], LEFT(Task_Summary_Table[[#This Row],[Area/Room]], 3)) &gt; 0,
_xlpm.typeResult, _xlfn.SWITCH(LEFT(Tasks[[#This Row],[Page]], 2), "Hi", "Historic", "An", "Annex", "Si", "Site", "S5", "Project Task", "SWITCH ERROR"),
IF(_xlpm.inTower, "West Tower", _xlpm.typeResult)
)</f>
        <v>#VALUE!</v>
      </c>
      <c r="F1329" s="15" t="str">
        <f>IFERROR(MID(Tasks[[#This Row],[Page]], FIND("Level", Tasks[[#This Row],[Page]]), 7), IF(ISNUMBER(FIND("Roof", Tasks[[#This Row],[Page]])), "Roof",  IF(ISNUMBER(FIND("S590", Tasks[[#This Row],[Page]])), "",  IF(ISNUMBER(FIND("Site", Tasks[[#This Row],[Page]])), "", "ERROR"))))</f>
        <v>ERROR</v>
      </c>
      <c r="G1329" s="15" t="e">
        <f>IF(Tasks[[#This Row],[Location]]=0, "", Tasks[[#This Row],[Location]])</f>
        <v>#VALUE!</v>
      </c>
      <c r="H1329" s="15" t="e">
        <f>Tasks[[#This Row],[To Package]]</f>
        <v>#VALUE!</v>
      </c>
      <c r="I1329" s="15" t="e">
        <f>Tasks[[#This Row],[To Organisation]]</f>
        <v>#VALUE!</v>
      </c>
    </row>
    <row r="1330" spans="1:9" ht="15.5" x14ac:dyDescent="0.35">
      <c r="A1330" s="16" t="e">
        <f>HYPERLINK(_xlfn.CONCAT(Edit_URL,Tasks[[#This Row],[Ref]]),Tasks[[#This Row],[Ref]])</f>
        <v>#VALUE!</v>
      </c>
      <c r="B1330" s="15" t="e" cm="1">
        <f t="array" ref="B1330">_xlfn.SWITCH(LEFT(Tasks[[#This Row],[Status]],1),"O","Opened","C","Completed","S","Signed Off", "V", "Signed Off","ERROR")</f>
        <v>#VALUE!</v>
      </c>
      <c r="C1330" s="15" t="e" cm="1">
        <f t="array" ref="C1330">_xlfn.SWITCH(LEFT(Tasks[[#This Row],[Type]], 3), "Fie", "Field Report", "Con", "Contractor QC", "Gen", "Contractor QC", "Pun", "Contractor QC", "Qua", "Contractor QC", "Fin", "Punch List")</f>
        <v>#VALUE!</v>
      </c>
      <c r="D1330" s="15" t="e">
        <f>_xlfn.LET(
_xlpm.leftValue, TRIM(LEFT(Tasks[[#This Row],[Description]], 45)),
IF(LEN(_xlpm.leftValue) &lt; 40, _xlpm.leftValue, _xlfn.CONCAT(_xlpm.leftValue, "…"))
)</f>
        <v>#VALUE!</v>
      </c>
      <c r="E1330" s="15" t="e" cm="1">
        <f t="array" ref="E1330">_xlfn.LET(
_xlpm.inTower, COUNTIF(Tower_Num_Table[Tower Rm Numbers], LEFT(Task_Summary_Table[[#This Row],[Area/Room]], 3)) &gt; 0,
_xlpm.typeResult, _xlfn.SWITCH(LEFT(Tasks[[#This Row],[Page]], 2), "Hi", "Historic", "An", "Annex", "Si", "Site", "S5", "Project Task", "SWITCH ERROR"),
IF(_xlpm.inTower, "West Tower", _xlpm.typeResult)
)</f>
        <v>#VALUE!</v>
      </c>
      <c r="F1330" s="15" t="str">
        <f>IFERROR(MID(Tasks[[#This Row],[Page]], FIND("Level", Tasks[[#This Row],[Page]]), 7), IF(ISNUMBER(FIND("Roof", Tasks[[#This Row],[Page]])), "Roof",  IF(ISNUMBER(FIND("S590", Tasks[[#This Row],[Page]])), "",  IF(ISNUMBER(FIND("Site", Tasks[[#This Row],[Page]])), "", "ERROR"))))</f>
        <v>ERROR</v>
      </c>
      <c r="G1330" s="15" t="e">
        <f>IF(Tasks[[#This Row],[Location]]=0, "", Tasks[[#This Row],[Location]])</f>
        <v>#VALUE!</v>
      </c>
      <c r="H1330" s="15" t="e">
        <f>Tasks[[#This Row],[To Package]]</f>
        <v>#VALUE!</v>
      </c>
      <c r="I1330" s="15" t="e">
        <f>Tasks[[#This Row],[To Organisation]]</f>
        <v>#VALUE!</v>
      </c>
    </row>
    <row r="1331" spans="1:9" ht="15.5" x14ac:dyDescent="0.35">
      <c r="A1331" s="16" t="e">
        <f>HYPERLINK(_xlfn.CONCAT(Edit_URL,Tasks[[#This Row],[Ref]]),Tasks[[#This Row],[Ref]])</f>
        <v>#VALUE!</v>
      </c>
      <c r="B1331" s="15" t="e" cm="1">
        <f t="array" ref="B1331">_xlfn.SWITCH(LEFT(Tasks[[#This Row],[Status]],1),"O","Opened","C","Completed","S","Signed Off", "V", "Signed Off","ERROR")</f>
        <v>#VALUE!</v>
      </c>
      <c r="C1331" s="15" t="e" cm="1">
        <f t="array" ref="C1331">_xlfn.SWITCH(LEFT(Tasks[[#This Row],[Type]], 3), "Fie", "Field Report", "Con", "Contractor QC", "Gen", "Contractor QC", "Pun", "Contractor QC", "Qua", "Contractor QC", "Fin", "Punch List")</f>
        <v>#VALUE!</v>
      </c>
      <c r="D1331" s="15" t="e">
        <f>_xlfn.LET(
_xlpm.leftValue, TRIM(LEFT(Tasks[[#This Row],[Description]], 45)),
IF(LEN(_xlpm.leftValue) &lt; 40, _xlpm.leftValue, _xlfn.CONCAT(_xlpm.leftValue, "…"))
)</f>
        <v>#VALUE!</v>
      </c>
      <c r="E1331" s="15" t="e" cm="1">
        <f t="array" ref="E1331">_xlfn.LET(
_xlpm.inTower, COUNTIF(Tower_Num_Table[Tower Rm Numbers], LEFT(Task_Summary_Table[[#This Row],[Area/Room]], 3)) &gt; 0,
_xlpm.typeResult, _xlfn.SWITCH(LEFT(Tasks[[#This Row],[Page]], 2), "Hi", "Historic", "An", "Annex", "Si", "Site", "S5", "Project Task", "SWITCH ERROR"),
IF(_xlpm.inTower, "West Tower", _xlpm.typeResult)
)</f>
        <v>#VALUE!</v>
      </c>
      <c r="F1331" s="15" t="str">
        <f>IFERROR(MID(Tasks[[#This Row],[Page]], FIND("Level", Tasks[[#This Row],[Page]]), 7), IF(ISNUMBER(FIND("Roof", Tasks[[#This Row],[Page]])), "Roof",  IF(ISNUMBER(FIND("S590", Tasks[[#This Row],[Page]])), "",  IF(ISNUMBER(FIND("Site", Tasks[[#This Row],[Page]])), "", "ERROR"))))</f>
        <v>ERROR</v>
      </c>
      <c r="G1331" s="15" t="e">
        <f>IF(Tasks[[#This Row],[Location]]=0, "", Tasks[[#This Row],[Location]])</f>
        <v>#VALUE!</v>
      </c>
      <c r="H1331" s="15" t="e">
        <f>Tasks[[#This Row],[To Package]]</f>
        <v>#VALUE!</v>
      </c>
      <c r="I1331" s="15" t="e">
        <f>Tasks[[#This Row],[To Organisation]]</f>
        <v>#VALUE!</v>
      </c>
    </row>
    <row r="1332" spans="1:9" ht="15.5" x14ac:dyDescent="0.35">
      <c r="A1332" s="16" t="e">
        <f>HYPERLINK(_xlfn.CONCAT(Edit_URL,Tasks[[#This Row],[Ref]]),Tasks[[#This Row],[Ref]])</f>
        <v>#VALUE!</v>
      </c>
      <c r="B1332" s="15" t="e" cm="1">
        <f t="array" ref="B1332">_xlfn.SWITCH(LEFT(Tasks[[#This Row],[Status]],1),"O","Opened","C","Completed","S","Signed Off", "V", "Signed Off","ERROR")</f>
        <v>#VALUE!</v>
      </c>
      <c r="C1332" s="15" t="e" cm="1">
        <f t="array" ref="C1332">_xlfn.SWITCH(LEFT(Tasks[[#This Row],[Type]], 3), "Fie", "Field Report", "Con", "Contractor QC", "Gen", "Contractor QC", "Pun", "Contractor QC", "Qua", "Contractor QC", "Fin", "Punch List")</f>
        <v>#VALUE!</v>
      </c>
      <c r="D1332" s="15" t="e">
        <f>_xlfn.LET(
_xlpm.leftValue, TRIM(LEFT(Tasks[[#This Row],[Description]], 45)),
IF(LEN(_xlpm.leftValue) &lt; 40, _xlpm.leftValue, _xlfn.CONCAT(_xlpm.leftValue, "…"))
)</f>
        <v>#VALUE!</v>
      </c>
      <c r="E1332" s="15" t="e" cm="1">
        <f t="array" ref="E1332">_xlfn.LET(
_xlpm.inTower, COUNTIF(Tower_Num_Table[Tower Rm Numbers], LEFT(Task_Summary_Table[[#This Row],[Area/Room]], 3)) &gt; 0,
_xlpm.typeResult, _xlfn.SWITCH(LEFT(Tasks[[#This Row],[Page]], 2), "Hi", "Historic", "An", "Annex", "Si", "Site", "S5", "Project Task", "SWITCH ERROR"),
IF(_xlpm.inTower, "West Tower", _xlpm.typeResult)
)</f>
        <v>#VALUE!</v>
      </c>
      <c r="F1332" s="15" t="str">
        <f>IFERROR(MID(Tasks[[#This Row],[Page]], FIND("Level", Tasks[[#This Row],[Page]]), 7), IF(ISNUMBER(FIND("Roof", Tasks[[#This Row],[Page]])), "Roof",  IF(ISNUMBER(FIND("S590", Tasks[[#This Row],[Page]])), "",  IF(ISNUMBER(FIND("Site", Tasks[[#This Row],[Page]])), "", "ERROR"))))</f>
        <v>ERROR</v>
      </c>
      <c r="G1332" s="15" t="e">
        <f>IF(Tasks[[#This Row],[Location]]=0, "", Tasks[[#This Row],[Location]])</f>
        <v>#VALUE!</v>
      </c>
      <c r="H1332" s="15" t="e">
        <f>Tasks[[#This Row],[To Package]]</f>
        <v>#VALUE!</v>
      </c>
      <c r="I1332" s="15" t="e">
        <f>Tasks[[#This Row],[To Organisation]]</f>
        <v>#VALUE!</v>
      </c>
    </row>
    <row r="1333" spans="1:9" ht="15.5" x14ac:dyDescent="0.35">
      <c r="A1333" s="16" t="e">
        <f>HYPERLINK(_xlfn.CONCAT(Edit_URL,Tasks[[#This Row],[Ref]]),Tasks[[#This Row],[Ref]])</f>
        <v>#VALUE!</v>
      </c>
      <c r="B1333" s="15" t="e" cm="1">
        <f t="array" ref="B1333">_xlfn.SWITCH(LEFT(Tasks[[#This Row],[Status]],1),"O","Opened","C","Completed","S","Signed Off", "V", "Signed Off","ERROR")</f>
        <v>#VALUE!</v>
      </c>
      <c r="C1333" s="15" t="e" cm="1">
        <f t="array" ref="C1333">_xlfn.SWITCH(LEFT(Tasks[[#This Row],[Type]], 3), "Fie", "Field Report", "Con", "Contractor QC", "Gen", "Contractor QC", "Pun", "Contractor QC", "Qua", "Contractor QC", "Fin", "Punch List")</f>
        <v>#VALUE!</v>
      </c>
      <c r="D1333" s="15" t="e">
        <f>_xlfn.LET(
_xlpm.leftValue, TRIM(LEFT(Tasks[[#This Row],[Description]], 45)),
IF(LEN(_xlpm.leftValue) &lt; 40, _xlpm.leftValue, _xlfn.CONCAT(_xlpm.leftValue, "…"))
)</f>
        <v>#VALUE!</v>
      </c>
      <c r="E1333" s="15" t="e" cm="1">
        <f t="array" ref="E1333">_xlfn.LET(
_xlpm.inTower, COUNTIF(Tower_Num_Table[Tower Rm Numbers], LEFT(Task_Summary_Table[[#This Row],[Area/Room]], 3)) &gt; 0,
_xlpm.typeResult, _xlfn.SWITCH(LEFT(Tasks[[#This Row],[Page]], 2), "Hi", "Historic", "An", "Annex", "Si", "Site", "S5", "Project Task", "SWITCH ERROR"),
IF(_xlpm.inTower, "West Tower", _xlpm.typeResult)
)</f>
        <v>#VALUE!</v>
      </c>
      <c r="F1333" s="15" t="str">
        <f>IFERROR(MID(Tasks[[#This Row],[Page]], FIND("Level", Tasks[[#This Row],[Page]]), 7), IF(ISNUMBER(FIND("Roof", Tasks[[#This Row],[Page]])), "Roof",  IF(ISNUMBER(FIND("S590", Tasks[[#This Row],[Page]])), "",  IF(ISNUMBER(FIND("Site", Tasks[[#This Row],[Page]])), "", "ERROR"))))</f>
        <v>ERROR</v>
      </c>
      <c r="G1333" s="15" t="e">
        <f>IF(Tasks[[#This Row],[Location]]=0, "", Tasks[[#This Row],[Location]])</f>
        <v>#VALUE!</v>
      </c>
      <c r="H1333" s="15" t="e">
        <f>Tasks[[#This Row],[To Package]]</f>
        <v>#VALUE!</v>
      </c>
      <c r="I1333" s="15" t="e">
        <f>Tasks[[#This Row],[To Organisation]]</f>
        <v>#VALUE!</v>
      </c>
    </row>
    <row r="1334" spans="1:9" ht="15.5" x14ac:dyDescent="0.35">
      <c r="A1334" s="16" t="e">
        <f>HYPERLINK(_xlfn.CONCAT(Edit_URL,Tasks[[#This Row],[Ref]]),Tasks[[#This Row],[Ref]])</f>
        <v>#VALUE!</v>
      </c>
      <c r="B1334" s="15" t="e" cm="1">
        <f t="array" ref="B1334">_xlfn.SWITCH(LEFT(Tasks[[#This Row],[Status]],1),"O","Opened","C","Completed","S","Signed Off", "V", "Signed Off","ERROR")</f>
        <v>#VALUE!</v>
      </c>
      <c r="C1334" s="15" t="e" cm="1">
        <f t="array" ref="C1334">_xlfn.SWITCH(LEFT(Tasks[[#This Row],[Type]], 3), "Fie", "Field Report", "Con", "Contractor QC", "Gen", "Contractor QC", "Pun", "Contractor QC", "Qua", "Contractor QC", "Fin", "Punch List")</f>
        <v>#VALUE!</v>
      </c>
      <c r="D1334" s="15" t="e">
        <f>_xlfn.LET(
_xlpm.leftValue, TRIM(LEFT(Tasks[[#This Row],[Description]], 45)),
IF(LEN(_xlpm.leftValue) &lt; 40, _xlpm.leftValue, _xlfn.CONCAT(_xlpm.leftValue, "…"))
)</f>
        <v>#VALUE!</v>
      </c>
      <c r="E1334" s="15" t="e" cm="1">
        <f t="array" ref="E1334">_xlfn.LET(
_xlpm.inTower, COUNTIF(Tower_Num_Table[Tower Rm Numbers], LEFT(Task_Summary_Table[[#This Row],[Area/Room]], 3)) &gt; 0,
_xlpm.typeResult, _xlfn.SWITCH(LEFT(Tasks[[#This Row],[Page]], 2), "Hi", "Historic", "An", "Annex", "Si", "Site", "S5", "Project Task", "SWITCH ERROR"),
IF(_xlpm.inTower, "West Tower", _xlpm.typeResult)
)</f>
        <v>#VALUE!</v>
      </c>
      <c r="F1334" s="15" t="str">
        <f>IFERROR(MID(Tasks[[#This Row],[Page]], FIND("Level", Tasks[[#This Row],[Page]]), 7), IF(ISNUMBER(FIND("Roof", Tasks[[#This Row],[Page]])), "Roof",  IF(ISNUMBER(FIND("S590", Tasks[[#This Row],[Page]])), "",  IF(ISNUMBER(FIND("Site", Tasks[[#This Row],[Page]])), "", "ERROR"))))</f>
        <v>ERROR</v>
      </c>
      <c r="G1334" s="15" t="e">
        <f>IF(Tasks[[#This Row],[Location]]=0, "", Tasks[[#This Row],[Location]])</f>
        <v>#VALUE!</v>
      </c>
      <c r="H1334" s="15" t="e">
        <f>Tasks[[#This Row],[To Package]]</f>
        <v>#VALUE!</v>
      </c>
      <c r="I1334" s="15" t="e">
        <f>Tasks[[#This Row],[To Organisation]]</f>
        <v>#VALUE!</v>
      </c>
    </row>
    <row r="1335" spans="1:9" ht="15.5" x14ac:dyDescent="0.35">
      <c r="A1335" s="16" t="e">
        <f>HYPERLINK(_xlfn.CONCAT(Edit_URL,Tasks[[#This Row],[Ref]]),Tasks[[#This Row],[Ref]])</f>
        <v>#VALUE!</v>
      </c>
      <c r="B1335" s="15" t="e" cm="1">
        <f t="array" ref="B1335">_xlfn.SWITCH(LEFT(Tasks[[#This Row],[Status]],1),"O","Opened","C","Completed","S","Signed Off", "V", "Signed Off","ERROR")</f>
        <v>#VALUE!</v>
      </c>
      <c r="C1335" s="15" t="e" cm="1">
        <f t="array" ref="C1335">_xlfn.SWITCH(LEFT(Tasks[[#This Row],[Type]], 3), "Fie", "Field Report", "Con", "Contractor QC", "Gen", "Contractor QC", "Pun", "Contractor QC", "Qua", "Contractor QC", "Fin", "Punch List")</f>
        <v>#VALUE!</v>
      </c>
      <c r="D1335" s="15" t="e">
        <f>_xlfn.LET(
_xlpm.leftValue, TRIM(LEFT(Tasks[[#This Row],[Description]], 45)),
IF(LEN(_xlpm.leftValue) &lt; 40, _xlpm.leftValue, _xlfn.CONCAT(_xlpm.leftValue, "…"))
)</f>
        <v>#VALUE!</v>
      </c>
      <c r="E1335" s="15" t="e" cm="1">
        <f t="array" ref="E1335">_xlfn.LET(
_xlpm.inTower, COUNTIF(Tower_Num_Table[Tower Rm Numbers], LEFT(Task_Summary_Table[[#This Row],[Area/Room]], 3)) &gt; 0,
_xlpm.typeResult, _xlfn.SWITCH(LEFT(Tasks[[#This Row],[Page]], 2), "Hi", "Historic", "An", "Annex", "Si", "Site", "S5", "Project Task", "SWITCH ERROR"),
IF(_xlpm.inTower, "West Tower", _xlpm.typeResult)
)</f>
        <v>#VALUE!</v>
      </c>
      <c r="F1335" s="15" t="str">
        <f>IFERROR(MID(Tasks[[#This Row],[Page]], FIND("Level", Tasks[[#This Row],[Page]]), 7), IF(ISNUMBER(FIND("Roof", Tasks[[#This Row],[Page]])), "Roof",  IF(ISNUMBER(FIND("S590", Tasks[[#This Row],[Page]])), "",  IF(ISNUMBER(FIND("Site", Tasks[[#This Row],[Page]])), "", "ERROR"))))</f>
        <v>ERROR</v>
      </c>
      <c r="G1335" s="15" t="e">
        <f>IF(Tasks[[#This Row],[Location]]=0, "", Tasks[[#This Row],[Location]])</f>
        <v>#VALUE!</v>
      </c>
      <c r="H1335" s="15" t="e">
        <f>Tasks[[#This Row],[To Package]]</f>
        <v>#VALUE!</v>
      </c>
      <c r="I1335" s="15" t="e">
        <f>Tasks[[#This Row],[To Organisation]]</f>
        <v>#VALUE!</v>
      </c>
    </row>
    <row r="1336" spans="1:9" ht="15.5" x14ac:dyDescent="0.35">
      <c r="A1336" s="16" t="e">
        <f>HYPERLINK(_xlfn.CONCAT(Edit_URL,Tasks[[#This Row],[Ref]]),Tasks[[#This Row],[Ref]])</f>
        <v>#VALUE!</v>
      </c>
      <c r="B1336" s="15" t="e" cm="1">
        <f t="array" ref="B1336">_xlfn.SWITCH(LEFT(Tasks[[#This Row],[Status]],1),"O","Opened","C","Completed","S","Signed Off", "V", "Signed Off","ERROR")</f>
        <v>#VALUE!</v>
      </c>
      <c r="C1336" s="15" t="e" cm="1">
        <f t="array" ref="C1336">_xlfn.SWITCH(LEFT(Tasks[[#This Row],[Type]], 3), "Fie", "Field Report", "Con", "Contractor QC", "Gen", "Contractor QC", "Pun", "Contractor QC", "Qua", "Contractor QC", "Fin", "Punch List")</f>
        <v>#VALUE!</v>
      </c>
      <c r="D1336" s="15" t="e">
        <f>_xlfn.LET(
_xlpm.leftValue, TRIM(LEFT(Tasks[[#This Row],[Description]], 45)),
IF(LEN(_xlpm.leftValue) &lt; 40, _xlpm.leftValue, _xlfn.CONCAT(_xlpm.leftValue, "…"))
)</f>
        <v>#VALUE!</v>
      </c>
      <c r="E1336" s="15" t="e" cm="1">
        <f t="array" ref="E1336">_xlfn.LET(
_xlpm.inTower, COUNTIF(Tower_Num_Table[Tower Rm Numbers], LEFT(Task_Summary_Table[[#This Row],[Area/Room]], 3)) &gt; 0,
_xlpm.typeResult, _xlfn.SWITCH(LEFT(Tasks[[#This Row],[Page]], 2), "Hi", "Historic", "An", "Annex", "Si", "Site", "S5", "Project Task", "SWITCH ERROR"),
IF(_xlpm.inTower, "West Tower", _xlpm.typeResult)
)</f>
        <v>#VALUE!</v>
      </c>
      <c r="F1336" s="15" t="str">
        <f>IFERROR(MID(Tasks[[#This Row],[Page]], FIND("Level", Tasks[[#This Row],[Page]]), 7), IF(ISNUMBER(FIND("Roof", Tasks[[#This Row],[Page]])), "Roof",  IF(ISNUMBER(FIND("S590", Tasks[[#This Row],[Page]])), "",  IF(ISNUMBER(FIND("Site", Tasks[[#This Row],[Page]])), "", "ERROR"))))</f>
        <v>ERROR</v>
      </c>
      <c r="G1336" s="15" t="e">
        <f>IF(Tasks[[#This Row],[Location]]=0, "", Tasks[[#This Row],[Location]])</f>
        <v>#VALUE!</v>
      </c>
      <c r="H1336" s="15" t="e">
        <f>Tasks[[#This Row],[To Package]]</f>
        <v>#VALUE!</v>
      </c>
      <c r="I1336" s="15" t="e">
        <f>Tasks[[#This Row],[To Organisation]]</f>
        <v>#VALUE!</v>
      </c>
    </row>
    <row r="1337" spans="1:9" ht="15.5" x14ac:dyDescent="0.35">
      <c r="A1337" s="16" t="e">
        <f>HYPERLINK(_xlfn.CONCAT(Edit_URL,Tasks[[#This Row],[Ref]]),Tasks[[#This Row],[Ref]])</f>
        <v>#VALUE!</v>
      </c>
      <c r="B1337" s="15" t="e" cm="1">
        <f t="array" ref="B1337">_xlfn.SWITCH(LEFT(Tasks[[#This Row],[Status]],1),"O","Opened","C","Completed","S","Signed Off", "V", "Signed Off","ERROR")</f>
        <v>#VALUE!</v>
      </c>
      <c r="C1337" s="15" t="e" cm="1">
        <f t="array" ref="C1337">_xlfn.SWITCH(LEFT(Tasks[[#This Row],[Type]], 3), "Fie", "Field Report", "Con", "Contractor QC", "Gen", "Contractor QC", "Pun", "Contractor QC", "Qua", "Contractor QC", "Fin", "Punch List")</f>
        <v>#VALUE!</v>
      </c>
      <c r="D1337" s="15" t="e">
        <f>_xlfn.LET(
_xlpm.leftValue, TRIM(LEFT(Tasks[[#This Row],[Description]], 45)),
IF(LEN(_xlpm.leftValue) &lt; 40, _xlpm.leftValue, _xlfn.CONCAT(_xlpm.leftValue, "…"))
)</f>
        <v>#VALUE!</v>
      </c>
      <c r="E1337" s="15" t="e" cm="1">
        <f t="array" ref="E1337">_xlfn.LET(
_xlpm.inTower, COUNTIF(Tower_Num_Table[Tower Rm Numbers], LEFT(Task_Summary_Table[[#This Row],[Area/Room]], 3)) &gt; 0,
_xlpm.typeResult, _xlfn.SWITCH(LEFT(Tasks[[#This Row],[Page]], 2), "Hi", "Historic", "An", "Annex", "Si", "Site", "S5", "Project Task", "SWITCH ERROR"),
IF(_xlpm.inTower, "West Tower", _xlpm.typeResult)
)</f>
        <v>#VALUE!</v>
      </c>
      <c r="F1337" s="15" t="str">
        <f>IFERROR(MID(Tasks[[#This Row],[Page]], FIND("Level", Tasks[[#This Row],[Page]]), 7), IF(ISNUMBER(FIND("Roof", Tasks[[#This Row],[Page]])), "Roof",  IF(ISNUMBER(FIND("S590", Tasks[[#This Row],[Page]])), "",  IF(ISNUMBER(FIND("Site", Tasks[[#This Row],[Page]])), "", "ERROR"))))</f>
        <v>ERROR</v>
      </c>
      <c r="G1337" s="15" t="e">
        <f>IF(Tasks[[#This Row],[Location]]=0, "", Tasks[[#This Row],[Location]])</f>
        <v>#VALUE!</v>
      </c>
      <c r="H1337" s="15" t="e">
        <f>Tasks[[#This Row],[To Package]]</f>
        <v>#VALUE!</v>
      </c>
      <c r="I1337" s="15" t="e">
        <f>Tasks[[#This Row],[To Organisation]]</f>
        <v>#VALUE!</v>
      </c>
    </row>
    <row r="1338" spans="1:9" ht="15.5" x14ac:dyDescent="0.35">
      <c r="A1338" s="16" t="e">
        <f>HYPERLINK(_xlfn.CONCAT(Edit_URL,Tasks[[#This Row],[Ref]]),Tasks[[#This Row],[Ref]])</f>
        <v>#VALUE!</v>
      </c>
      <c r="B1338" s="15" t="e" cm="1">
        <f t="array" ref="B1338">_xlfn.SWITCH(LEFT(Tasks[[#This Row],[Status]],1),"O","Opened","C","Completed","S","Signed Off", "V", "Signed Off","ERROR")</f>
        <v>#VALUE!</v>
      </c>
      <c r="C1338" s="15" t="e" cm="1">
        <f t="array" ref="C1338">_xlfn.SWITCH(LEFT(Tasks[[#This Row],[Type]], 3), "Fie", "Field Report", "Con", "Contractor QC", "Gen", "Contractor QC", "Pun", "Contractor QC", "Qua", "Contractor QC", "Fin", "Punch List")</f>
        <v>#VALUE!</v>
      </c>
      <c r="D1338" s="15" t="e">
        <f>_xlfn.LET(
_xlpm.leftValue, TRIM(LEFT(Tasks[[#This Row],[Description]], 45)),
IF(LEN(_xlpm.leftValue) &lt; 40, _xlpm.leftValue, _xlfn.CONCAT(_xlpm.leftValue, "…"))
)</f>
        <v>#VALUE!</v>
      </c>
      <c r="E1338" s="15" t="e" cm="1">
        <f t="array" ref="E1338">_xlfn.LET(
_xlpm.inTower, COUNTIF(Tower_Num_Table[Tower Rm Numbers], LEFT(Task_Summary_Table[[#This Row],[Area/Room]], 3)) &gt; 0,
_xlpm.typeResult, _xlfn.SWITCH(LEFT(Tasks[[#This Row],[Page]], 2), "Hi", "Historic", "An", "Annex", "Si", "Site", "S5", "Project Task", "SWITCH ERROR"),
IF(_xlpm.inTower, "West Tower", _xlpm.typeResult)
)</f>
        <v>#VALUE!</v>
      </c>
      <c r="F1338" s="15" t="str">
        <f>IFERROR(MID(Tasks[[#This Row],[Page]], FIND("Level", Tasks[[#This Row],[Page]]), 7), IF(ISNUMBER(FIND("Roof", Tasks[[#This Row],[Page]])), "Roof",  IF(ISNUMBER(FIND("S590", Tasks[[#This Row],[Page]])), "",  IF(ISNUMBER(FIND("Site", Tasks[[#This Row],[Page]])), "", "ERROR"))))</f>
        <v>ERROR</v>
      </c>
      <c r="G1338" s="15" t="e">
        <f>IF(Tasks[[#This Row],[Location]]=0, "", Tasks[[#This Row],[Location]])</f>
        <v>#VALUE!</v>
      </c>
      <c r="H1338" s="15" t="e">
        <f>Tasks[[#This Row],[To Package]]</f>
        <v>#VALUE!</v>
      </c>
      <c r="I1338" s="15" t="e">
        <f>Tasks[[#This Row],[To Organisation]]</f>
        <v>#VALUE!</v>
      </c>
    </row>
    <row r="1339" spans="1:9" ht="15.5" x14ac:dyDescent="0.35">
      <c r="A1339" s="16" t="e">
        <f>HYPERLINK(_xlfn.CONCAT(Edit_URL,Tasks[[#This Row],[Ref]]),Tasks[[#This Row],[Ref]])</f>
        <v>#VALUE!</v>
      </c>
      <c r="B1339" s="15" t="e" cm="1">
        <f t="array" ref="B1339">_xlfn.SWITCH(LEFT(Tasks[[#This Row],[Status]],1),"O","Opened","C","Completed","S","Signed Off", "V", "Signed Off","ERROR")</f>
        <v>#VALUE!</v>
      </c>
      <c r="C1339" s="15" t="e" cm="1">
        <f t="array" ref="C1339">_xlfn.SWITCH(LEFT(Tasks[[#This Row],[Type]], 3), "Fie", "Field Report", "Con", "Contractor QC", "Gen", "Contractor QC", "Pun", "Contractor QC", "Qua", "Contractor QC", "Fin", "Punch List")</f>
        <v>#VALUE!</v>
      </c>
      <c r="D1339" s="15" t="e">
        <f>_xlfn.LET(
_xlpm.leftValue, TRIM(LEFT(Tasks[[#This Row],[Description]], 45)),
IF(LEN(_xlpm.leftValue) &lt; 40, _xlpm.leftValue, _xlfn.CONCAT(_xlpm.leftValue, "…"))
)</f>
        <v>#VALUE!</v>
      </c>
      <c r="E1339" s="15" t="e" cm="1">
        <f t="array" ref="E1339">_xlfn.LET(
_xlpm.inTower, COUNTIF(Tower_Num_Table[Tower Rm Numbers], LEFT(Task_Summary_Table[[#This Row],[Area/Room]], 3)) &gt; 0,
_xlpm.typeResult, _xlfn.SWITCH(LEFT(Tasks[[#This Row],[Page]], 2), "Hi", "Historic", "An", "Annex", "Si", "Site", "S5", "Project Task", "SWITCH ERROR"),
IF(_xlpm.inTower, "West Tower", _xlpm.typeResult)
)</f>
        <v>#VALUE!</v>
      </c>
      <c r="F1339" s="15" t="str">
        <f>IFERROR(MID(Tasks[[#This Row],[Page]], FIND("Level", Tasks[[#This Row],[Page]]), 7), IF(ISNUMBER(FIND("Roof", Tasks[[#This Row],[Page]])), "Roof",  IF(ISNUMBER(FIND("S590", Tasks[[#This Row],[Page]])), "",  IF(ISNUMBER(FIND("Site", Tasks[[#This Row],[Page]])), "", "ERROR"))))</f>
        <v>ERROR</v>
      </c>
      <c r="G1339" s="15" t="e">
        <f>IF(Tasks[[#This Row],[Location]]=0, "", Tasks[[#This Row],[Location]])</f>
        <v>#VALUE!</v>
      </c>
      <c r="H1339" s="15" t="e">
        <f>Tasks[[#This Row],[To Package]]</f>
        <v>#VALUE!</v>
      </c>
      <c r="I1339" s="15" t="e">
        <f>Tasks[[#This Row],[To Organisation]]</f>
        <v>#VALUE!</v>
      </c>
    </row>
    <row r="1340" spans="1:9" ht="15.5" x14ac:dyDescent="0.35">
      <c r="A1340" s="16" t="e">
        <f>HYPERLINK(_xlfn.CONCAT(Edit_URL,Tasks[[#This Row],[Ref]]),Tasks[[#This Row],[Ref]])</f>
        <v>#VALUE!</v>
      </c>
      <c r="B1340" s="15" t="e" cm="1">
        <f t="array" ref="B1340">_xlfn.SWITCH(LEFT(Tasks[[#This Row],[Status]],1),"O","Opened","C","Completed","S","Signed Off", "V", "Signed Off","ERROR")</f>
        <v>#VALUE!</v>
      </c>
      <c r="C1340" s="15" t="e" cm="1">
        <f t="array" ref="C1340">_xlfn.SWITCH(LEFT(Tasks[[#This Row],[Type]], 3), "Fie", "Field Report", "Con", "Contractor QC", "Gen", "Contractor QC", "Pun", "Contractor QC", "Qua", "Contractor QC", "Fin", "Punch List")</f>
        <v>#VALUE!</v>
      </c>
      <c r="D1340" s="15" t="e">
        <f>_xlfn.LET(
_xlpm.leftValue, TRIM(LEFT(Tasks[[#This Row],[Description]], 45)),
IF(LEN(_xlpm.leftValue) &lt; 40, _xlpm.leftValue, _xlfn.CONCAT(_xlpm.leftValue, "…"))
)</f>
        <v>#VALUE!</v>
      </c>
      <c r="E1340" s="15" t="e" cm="1">
        <f t="array" ref="E1340">_xlfn.LET(
_xlpm.inTower, COUNTIF(Tower_Num_Table[Tower Rm Numbers], LEFT(Task_Summary_Table[[#This Row],[Area/Room]], 3)) &gt; 0,
_xlpm.typeResult, _xlfn.SWITCH(LEFT(Tasks[[#This Row],[Page]], 2), "Hi", "Historic", "An", "Annex", "Si", "Site", "S5", "Project Task", "SWITCH ERROR"),
IF(_xlpm.inTower, "West Tower", _xlpm.typeResult)
)</f>
        <v>#VALUE!</v>
      </c>
      <c r="F1340" s="15" t="str">
        <f>IFERROR(MID(Tasks[[#This Row],[Page]], FIND("Level", Tasks[[#This Row],[Page]]), 7), IF(ISNUMBER(FIND("Roof", Tasks[[#This Row],[Page]])), "Roof",  IF(ISNUMBER(FIND("S590", Tasks[[#This Row],[Page]])), "",  IF(ISNUMBER(FIND("Site", Tasks[[#This Row],[Page]])), "", "ERROR"))))</f>
        <v>ERROR</v>
      </c>
      <c r="G1340" s="15" t="e">
        <f>IF(Tasks[[#This Row],[Location]]=0, "", Tasks[[#This Row],[Location]])</f>
        <v>#VALUE!</v>
      </c>
      <c r="H1340" s="15" t="e">
        <f>Tasks[[#This Row],[To Package]]</f>
        <v>#VALUE!</v>
      </c>
      <c r="I1340" s="15" t="e">
        <f>Tasks[[#This Row],[To Organisation]]</f>
        <v>#VALUE!</v>
      </c>
    </row>
    <row r="1341" spans="1:9" ht="15.5" x14ac:dyDescent="0.35">
      <c r="A1341" s="16" t="e">
        <f>HYPERLINK(_xlfn.CONCAT(Edit_URL,Tasks[[#This Row],[Ref]]),Tasks[[#This Row],[Ref]])</f>
        <v>#VALUE!</v>
      </c>
      <c r="B1341" s="15" t="e" cm="1">
        <f t="array" ref="B1341">_xlfn.SWITCH(LEFT(Tasks[[#This Row],[Status]],1),"O","Opened","C","Completed","S","Signed Off", "V", "Signed Off","ERROR")</f>
        <v>#VALUE!</v>
      </c>
      <c r="C1341" s="15" t="e" cm="1">
        <f t="array" ref="C1341">_xlfn.SWITCH(LEFT(Tasks[[#This Row],[Type]], 3), "Fie", "Field Report", "Con", "Contractor QC", "Gen", "Contractor QC", "Pun", "Contractor QC", "Qua", "Contractor QC", "Fin", "Punch List")</f>
        <v>#VALUE!</v>
      </c>
      <c r="D1341" s="15" t="e">
        <f>_xlfn.LET(
_xlpm.leftValue, TRIM(LEFT(Tasks[[#This Row],[Description]], 45)),
IF(LEN(_xlpm.leftValue) &lt; 40, _xlpm.leftValue, _xlfn.CONCAT(_xlpm.leftValue, "…"))
)</f>
        <v>#VALUE!</v>
      </c>
      <c r="E1341" s="15" t="e" cm="1">
        <f t="array" ref="E1341">_xlfn.LET(
_xlpm.inTower, COUNTIF(Tower_Num_Table[Tower Rm Numbers], LEFT(Task_Summary_Table[[#This Row],[Area/Room]], 3)) &gt; 0,
_xlpm.typeResult, _xlfn.SWITCH(LEFT(Tasks[[#This Row],[Page]], 2), "Hi", "Historic", "An", "Annex", "Si", "Site", "S5", "Project Task", "SWITCH ERROR"),
IF(_xlpm.inTower, "West Tower", _xlpm.typeResult)
)</f>
        <v>#VALUE!</v>
      </c>
      <c r="F1341" s="15" t="str">
        <f>IFERROR(MID(Tasks[[#This Row],[Page]], FIND("Level", Tasks[[#This Row],[Page]]), 7), IF(ISNUMBER(FIND("Roof", Tasks[[#This Row],[Page]])), "Roof",  IF(ISNUMBER(FIND("S590", Tasks[[#This Row],[Page]])), "",  IF(ISNUMBER(FIND("Site", Tasks[[#This Row],[Page]])), "", "ERROR"))))</f>
        <v>ERROR</v>
      </c>
      <c r="G1341" s="15" t="e">
        <f>IF(Tasks[[#This Row],[Location]]=0, "", Tasks[[#This Row],[Location]])</f>
        <v>#VALUE!</v>
      </c>
      <c r="H1341" s="15" t="e">
        <f>Tasks[[#This Row],[To Package]]</f>
        <v>#VALUE!</v>
      </c>
      <c r="I1341" s="15" t="e">
        <f>Tasks[[#This Row],[To Organisation]]</f>
        <v>#VALUE!</v>
      </c>
    </row>
    <row r="1342" spans="1:9" ht="15.5" x14ac:dyDescent="0.35">
      <c r="A1342" s="16" t="e">
        <f>HYPERLINK(_xlfn.CONCAT(Edit_URL,Tasks[[#This Row],[Ref]]),Tasks[[#This Row],[Ref]])</f>
        <v>#VALUE!</v>
      </c>
      <c r="B1342" s="15" t="e" cm="1">
        <f t="array" ref="B1342">_xlfn.SWITCH(LEFT(Tasks[[#This Row],[Status]],1),"O","Opened","C","Completed","S","Signed Off", "V", "Signed Off","ERROR")</f>
        <v>#VALUE!</v>
      </c>
      <c r="C1342" s="15" t="e" cm="1">
        <f t="array" ref="C1342">_xlfn.SWITCH(LEFT(Tasks[[#This Row],[Type]], 3), "Fie", "Field Report", "Con", "Contractor QC", "Gen", "Contractor QC", "Pun", "Contractor QC", "Qua", "Contractor QC", "Fin", "Punch List")</f>
        <v>#VALUE!</v>
      </c>
      <c r="D1342" s="15" t="e">
        <f>_xlfn.LET(
_xlpm.leftValue, TRIM(LEFT(Tasks[[#This Row],[Description]], 45)),
IF(LEN(_xlpm.leftValue) &lt; 40, _xlpm.leftValue, _xlfn.CONCAT(_xlpm.leftValue, "…"))
)</f>
        <v>#VALUE!</v>
      </c>
      <c r="E1342" s="15" t="e" cm="1">
        <f t="array" ref="E1342">_xlfn.LET(
_xlpm.inTower, COUNTIF(Tower_Num_Table[Tower Rm Numbers], LEFT(Task_Summary_Table[[#This Row],[Area/Room]], 3)) &gt; 0,
_xlpm.typeResult, _xlfn.SWITCH(LEFT(Tasks[[#This Row],[Page]], 2), "Hi", "Historic", "An", "Annex", "Si", "Site", "S5", "Project Task", "SWITCH ERROR"),
IF(_xlpm.inTower, "West Tower", _xlpm.typeResult)
)</f>
        <v>#VALUE!</v>
      </c>
      <c r="F1342" s="15" t="str">
        <f>IFERROR(MID(Tasks[[#This Row],[Page]], FIND("Level", Tasks[[#This Row],[Page]]), 7), IF(ISNUMBER(FIND("Roof", Tasks[[#This Row],[Page]])), "Roof",  IF(ISNUMBER(FIND("S590", Tasks[[#This Row],[Page]])), "",  IF(ISNUMBER(FIND("Site", Tasks[[#This Row],[Page]])), "", "ERROR"))))</f>
        <v>ERROR</v>
      </c>
      <c r="G1342" s="15" t="e">
        <f>IF(Tasks[[#This Row],[Location]]=0, "", Tasks[[#This Row],[Location]])</f>
        <v>#VALUE!</v>
      </c>
      <c r="H1342" s="15" t="e">
        <f>Tasks[[#This Row],[To Package]]</f>
        <v>#VALUE!</v>
      </c>
      <c r="I1342" s="15" t="e">
        <f>Tasks[[#This Row],[To Organisation]]</f>
        <v>#VALUE!</v>
      </c>
    </row>
    <row r="1343" spans="1:9" ht="15.5" x14ac:dyDescent="0.35">
      <c r="A1343" s="16" t="e">
        <f>HYPERLINK(_xlfn.CONCAT(Edit_URL,Tasks[[#This Row],[Ref]]),Tasks[[#This Row],[Ref]])</f>
        <v>#VALUE!</v>
      </c>
      <c r="B1343" s="15" t="e" cm="1">
        <f t="array" ref="B1343">_xlfn.SWITCH(LEFT(Tasks[[#This Row],[Status]],1),"O","Opened","C","Completed","S","Signed Off", "V", "Signed Off","ERROR")</f>
        <v>#VALUE!</v>
      </c>
      <c r="C1343" s="15" t="e" cm="1">
        <f t="array" ref="C1343">_xlfn.SWITCH(LEFT(Tasks[[#This Row],[Type]], 3), "Fie", "Field Report", "Con", "Contractor QC", "Gen", "Contractor QC", "Pun", "Contractor QC", "Qua", "Contractor QC", "Fin", "Punch List")</f>
        <v>#VALUE!</v>
      </c>
      <c r="D1343" s="15" t="e">
        <f>_xlfn.LET(
_xlpm.leftValue, TRIM(LEFT(Tasks[[#This Row],[Description]], 45)),
IF(LEN(_xlpm.leftValue) &lt; 40, _xlpm.leftValue, _xlfn.CONCAT(_xlpm.leftValue, "…"))
)</f>
        <v>#VALUE!</v>
      </c>
      <c r="E1343" s="15" t="e" cm="1">
        <f t="array" ref="E1343">_xlfn.LET(
_xlpm.inTower, COUNTIF(Tower_Num_Table[Tower Rm Numbers], LEFT(Task_Summary_Table[[#This Row],[Area/Room]], 3)) &gt; 0,
_xlpm.typeResult, _xlfn.SWITCH(LEFT(Tasks[[#This Row],[Page]], 2), "Hi", "Historic", "An", "Annex", "Si", "Site", "S5", "Project Task", "SWITCH ERROR"),
IF(_xlpm.inTower, "West Tower", _xlpm.typeResult)
)</f>
        <v>#VALUE!</v>
      </c>
      <c r="F1343" s="15" t="str">
        <f>IFERROR(MID(Tasks[[#This Row],[Page]], FIND("Level", Tasks[[#This Row],[Page]]), 7), IF(ISNUMBER(FIND("Roof", Tasks[[#This Row],[Page]])), "Roof",  IF(ISNUMBER(FIND("S590", Tasks[[#This Row],[Page]])), "",  IF(ISNUMBER(FIND("Site", Tasks[[#This Row],[Page]])), "", "ERROR"))))</f>
        <v>ERROR</v>
      </c>
      <c r="G1343" s="15" t="e">
        <f>IF(Tasks[[#This Row],[Location]]=0, "", Tasks[[#This Row],[Location]])</f>
        <v>#VALUE!</v>
      </c>
      <c r="H1343" s="15" t="e">
        <f>Tasks[[#This Row],[To Package]]</f>
        <v>#VALUE!</v>
      </c>
      <c r="I1343" s="15" t="e">
        <f>Tasks[[#This Row],[To Organisation]]</f>
        <v>#VALUE!</v>
      </c>
    </row>
    <row r="1344" spans="1:9" ht="15.5" x14ac:dyDescent="0.35">
      <c r="A1344" s="16" t="e">
        <f>HYPERLINK(_xlfn.CONCAT(Edit_URL,Tasks[[#This Row],[Ref]]),Tasks[[#This Row],[Ref]])</f>
        <v>#VALUE!</v>
      </c>
      <c r="B1344" s="15" t="e" cm="1">
        <f t="array" ref="B1344">_xlfn.SWITCH(LEFT(Tasks[[#This Row],[Status]],1),"O","Opened","C","Completed","S","Signed Off", "V", "Signed Off","ERROR")</f>
        <v>#VALUE!</v>
      </c>
      <c r="C1344" s="15" t="e" cm="1">
        <f t="array" ref="C1344">_xlfn.SWITCH(LEFT(Tasks[[#This Row],[Type]], 3), "Fie", "Field Report", "Con", "Contractor QC", "Gen", "Contractor QC", "Pun", "Contractor QC", "Qua", "Contractor QC", "Fin", "Punch List")</f>
        <v>#VALUE!</v>
      </c>
      <c r="D1344" s="15" t="e">
        <f>_xlfn.LET(
_xlpm.leftValue, TRIM(LEFT(Tasks[[#This Row],[Description]], 45)),
IF(LEN(_xlpm.leftValue) &lt; 40, _xlpm.leftValue, _xlfn.CONCAT(_xlpm.leftValue, "…"))
)</f>
        <v>#VALUE!</v>
      </c>
      <c r="E1344" s="15" t="e" cm="1">
        <f t="array" ref="E1344">_xlfn.LET(
_xlpm.inTower, COUNTIF(Tower_Num_Table[Tower Rm Numbers], LEFT(Task_Summary_Table[[#This Row],[Area/Room]], 3)) &gt; 0,
_xlpm.typeResult, _xlfn.SWITCH(LEFT(Tasks[[#This Row],[Page]], 2), "Hi", "Historic", "An", "Annex", "Si", "Site", "S5", "Project Task", "SWITCH ERROR"),
IF(_xlpm.inTower, "West Tower", _xlpm.typeResult)
)</f>
        <v>#VALUE!</v>
      </c>
      <c r="F1344" s="15" t="str">
        <f>IFERROR(MID(Tasks[[#This Row],[Page]], FIND("Level", Tasks[[#This Row],[Page]]), 7), IF(ISNUMBER(FIND("Roof", Tasks[[#This Row],[Page]])), "Roof",  IF(ISNUMBER(FIND("S590", Tasks[[#This Row],[Page]])), "",  IF(ISNUMBER(FIND("Site", Tasks[[#This Row],[Page]])), "", "ERROR"))))</f>
        <v>ERROR</v>
      </c>
      <c r="G1344" s="15" t="e">
        <f>IF(Tasks[[#This Row],[Location]]=0, "", Tasks[[#This Row],[Location]])</f>
        <v>#VALUE!</v>
      </c>
      <c r="H1344" s="15" t="e">
        <f>Tasks[[#This Row],[To Package]]</f>
        <v>#VALUE!</v>
      </c>
      <c r="I1344" s="15" t="e">
        <f>Tasks[[#This Row],[To Organisation]]</f>
        <v>#VALUE!</v>
      </c>
    </row>
    <row r="1345" spans="1:9" ht="15.5" x14ac:dyDescent="0.35">
      <c r="A1345" s="16" t="e">
        <f>HYPERLINK(_xlfn.CONCAT(Edit_URL,Tasks[[#This Row],[Ref]]),Tasks[[#This Row],[Ref]])</f>
        <v>#VALUE!</v>
      </c>
      <c r="B1345" s="15" t="e" cm="1">
        <f t="array" ref="B1345">_xlfn.SWITCH(LEFT(Tasks[[#This Row],[Status]],1),"O","Opened","C","Completed","S","Signed Off", "V", "Signed Off","ERROR")</f>
        <v>#VALUE!</v>
      </c>
      <c r="C1345" s="15" t="e" cm="1">
        <f t="array" ref="C1345">_xlfn.SWITCH(LEFT(Tasks[[#This Row],[Type]], 3), "Fie", "Field Report", "Con", "Contractor QC", "Gen", "Contractor QC", "Pun", "Contractor QC", "Qua", "Contractor QC", "Fin", "Punch List")</f>
        <v>#VALUE!</v>
      </c>
      <c r="D1345" s="15" t="e">
        <f>_xlfn.LET(
_xlpm.leftValue, TRIM(LEFT(Tasks[[#This Row],[Description]], 45)),
IF(LEN(_xlpm.leftValue) &lt; 40, _xlpm.leftValue, _xlfn.CONCAT(_xlpm.leftValue, "…"))
)</f>
        <v>#VALUE!</v>
      </c>
      <c r="E1345" s="15" t="e" cm="1">
        <f t="array" ref="E1345">_xlfn.LET(
_xlpm.inTower, COUNTIF(Tower_Num_Table[Tower Rm Numbers], LEFT(Task_Summary_Table[[#This Row],[Area/Room]], 3)) &gt; 0,
_xlpm.typeResult, _xlfn.SWITCH(LEFT(Tasks[[#This Row],[Page]], 2), "Hi", "Historic", "An", "Annex", "Si", "Site", "S5", "Project Task", "SWITCH ERROR"),
IF(_xlpm.inTower, "West Tower", _xlpm.typeResult)
)</f>
        <v>#VALUE!</v>
      </c>
      <c r="F1345" s="15" t="str">
        <f>IFERROR(MID(Tasks[[#This Row],[Page]], FIND("Level", Tasks[[#This Row],[Page]]), 7), IF(ISNUMBER(FIND("Roof", Tasks[[#This Row],[Page]])), "Roof",  IF(ISNUMBER(FIND("S590", Tasks[[#This Row],[Page]])), "",  IF(ISNUMBER(FIND("Site", Tasks[[#This Row],[Page]])), "", "ERROR"))))</f>
        <v>ERROR</v>
      </c>
      <c r="G1345" s="15" t="e">
        <f>IF(Tasks[[#This Row],[Location]]=0, "", Tasks[[#This Row],[Location]])</f>
        <v>#VALUE!</v>
      </c>
      <c r="H1345" s="15" t="e">
        <f>Tasks[[#This Row],[To Package]]</f>
        <v>#VALUE!</v>
      </c>
      <c r="I1345" s="15" t="e">
        <f>Tasks[[#This Row],[To Organisation]]</f>
        <v>#VALUE!</v>
      </c>
    </row>
    <row r="1346" spans="1:9" ht="15.5" x14ac:dyDescent="0.35">
      <c r="A1346" s="16" t="e">
        <f>HYPERLINK(_xlfn.CONCAT(Edit_URL,Tasks[[#This Row],[Ref]]),Tasks[[#This Row],[Ref]])</f>
        <v>#VALUE!</v>
      </c>
      <c r="B1346" s="15" t="e" cm="1">
        <f t="array" ref="B1346">_xlfn.SWITCH(LEFT(Tasks[[#This Row],[Status]],1),"O","Opened","C","Completed","S","Signed Off", "V", "Signed Off","ERROR")</f>
        <v>#VALUE!</v>
      </c>
      <c r="C1346" s="15" t="e" cm="1">
        <f t="array" ref="C1346">_xlfn.SWITCH(LEFT(Tasks[[#This Row],[Type]], 3), "Fie", "Field Report", "Con", "Contractor QC", "Gen", "Contractor QC", "Pun", "Contractor QC", "Qua", "Contractor QC", "Fin", "Punch List")</f>
        <v>#VALUE!</v>
      </c>
      <c r="D1346" s="15" t="e">
        <f>_xlfn.LET(
_xlpm.leftValue, TRIM(LEFT(Tasks[[#This Row],[Description]], 45)),
IF(LEN(_xlpm.leftValue) &lt; 40, _xlpm.leftValue, _xlfn.CONCAT(_xlpm.leftValue, "…"))
)</f>
        <v>#VALUE!</v>
      </c>
      <c r="E1346" s="15" t="e" cm="1">
        <f t="array" ref="E1346">_xlfn.LET(
_xlpm.inTower, COUNTIF(Tower_Num_Table[Tower Rm Numbers], LEFT(Task_Summary_Table[[#This Row],[Area/Room]], 3)) &gt; 0,
_xlpm.typeResult, _xlfn.SWITCH(LEFT(Tasks[[#This Row],[Page]], 2), "Hi", "Historic", "An", "Annex", "Si", "Site", "S5", "Project Task", "SWITCH ERROR"),
IF(_xlpm.inTower, "West Tower", _xlpm.typeResult)
)</f>
        <v>#VALUE!</v>
      </c>
      <c r="F1346" s="15" t="str">
        <f>IFERROR(MID(Tasks[[#This Row],[Page]], FIND("Level", Tasks[[#This Row],[Page]]), 7), IF(ISNUMBER(FIND("Roof", Tasks[[#This Row],[Page]])), "Roof",  IF(ISNUMBER(FIND("S590", Tasks[[#This Row],[Page]])), "",  IF(ISNUMBER(FIND("Site", Tasks[[#This Row],[Page]])), "", "ERROR"))))</f>
        <v>ERROR</v>
      </c>
      <c r="G1346" s="15" t="e">
        <f>IF(Tasks[[#This Row],[Location]]=0, "", Tasks[[#This Row],[Location]])</f>
        <v>#VALUE!</v>
      </c>
      <c r="H1346" s="15" t="e">
        <f>Tasks[[#This Row],[To Package]]</f>
        <v>#VALUE!</v>
      </c>
      <c r="I1346" s="15" t="e">
        <f>Tasks[[#This Row],[To Organisation]]</f>
        <v>#VALUE!</v>
      </c>
    </row>
    <row r="1347" spans="1:9" ht="15.5" x14ac:dyDescent="0.35">
      <c r="A1347" s="16" t="e">
        <f>HYPERLINK(_xlfn.CONCAT(Edit_URL,Tasks[[#This Row],[Ref]]),Tasks[[#This Row],[Ref]])</f>
        <v>#VALUE!</v>
      </c>
      <c r="B1347" s="15" t="e" cm="1">
        <f t="array" ref="B1347">_xlfn.SWITCH(LEFT(Tasks[[#This Row],[Status]],1),"O","Opened","C","Completed","S","Signed Off", "V", "Signed Off","ERROR")</f>
        <v>#VALUE!</v>
      </c>
      <c r="C1347" s="15" t="e" cm="1">
        <f t="array" ref="C1347">_xlfn.SWITCH(LEFT(Tasks[[#This Row],[Type]], 3), "Fie", "Field Report", "Con", "Contractor QC", "Gen", "Contractor QC", "Pun", "Contractor QC", "Qua", "Contractor QC", "Fin", "Punch List")</f>
        <v>#VALUE!</v>
      </c>
      <c r="D1347" s="15" t="e">
        <f>_xlfn.LET(
_xlpm.leftValue, TRIM(LEFT(Tasks[[#This Row],[Description]], 45)),
IF(LEN(_xlpm.leftValue) &lt; 40, _xlpm.leftValue, _xlfn.CONCAT(_xlpm.leftValue, "…"))
)</f>
        <v>#VALUE!</v>
      </c>
      <c r="E1347" s="15" t="e" cm="1">
        <f t="array" ref="E1347">_xlfn.LET(
_xlpm.inTower, COUNTIF(Tower_Num_Table[Tower Rm Numbers], LEFT(Task_Summary_Table[[#This Row],[Area/Room]], 3)) &gt; 0,
_xlpm.typeResult, _xlfn.SWITCH(LEFT(Tasks[[#This Row],[Page]], 2), "Hi", "Historic", "An", "Annex", "Si", "Site", "S5", "Project Task", "SWITCH ERROR"),
IF(_xlpm.inTower, "West Tower", _xlpm.typeResult)
)</f>
        <v>#VALUE!</v>
      </c>
      <c r="F1347" s="15" t="str">
        <f>IFERROR(MID(Tasks[[#This Row],[Page]], FIND("Level", Tasks[[#This Row],[Page]]), 7), IF(ISNUMBER(FIND("Roof", Tasks[[#This Row],[Page]])), "Roof",  IF(ISNUMBER(FIND("S590", Tasks[[#This Row],[Page]])), "",  IF(ISNUMBER(FIND("Site", Tasks[[#This Row],[Page]])), "", "ERROR"))))</f>
        <v>ERROR</v>
      </c>
      <c r="G1347" s="15" t="e">
        <f>IF(Tasks[[#This Row],[Location]]=0, "", Tasks[[#This Row],[Location]])</f>
        <v>#VALUE!</v>
      </c>
      <c r="H1347" s="15" t="e">
        <f>Tasks[[#This Row],[To Package]]</f>
        <v>#VALUE!</v>
      </c>
      <c r="I1347" s="15" t="e">
        <f>Tasks[[#This Row],[To Organisation]]</f>
        <v>#VALUE!</v>
      </c>
    </row>
    <row r="1348" spans="1:9" ht="15.5" x14ac:dyDescent="0.35">
      <c r="A1348" s="16" t="e">
        <f>HYPERLINK(_xlfn.CONCAT(Edit_URL,Tasks[[#This Row],[Ref]]),Tasks[[#This Row],[Ref]])</f>
        <v>#VALUE!</v>
      </c>
      <c r="B1348" s="15" t="e" cm="1">
        <f t="array" ref="B1348">_xlfn.SWITCH(LEFT(Tasks[[#This Row],[Status]],1),"O","Opened","C","Completed","S","Signed Off", "V", "Signed Off","ERROR")</f>
        <v>#VALUE!</v>
      </c>
      <c r="C1348" s="15" t="e" cm="1">
        <f t="array" ref="C1348">_xlfn.SWITCH(LEFT(Tasks[[#This Row],[Type]], 3), "Fie", "Field Report", "Con", "Contractor QC", "Gen", "Contractor QC", "Pun", "Contractor QC", "Qua", "Contractor QC", "Fin", "Punch List")</f>
        <v>#VALUE!</v>
      </c>
      <c r="D1348" s="15" t="e">
        <f>_xlfn.LET(
_xlpm.leftValue, TRIM(LEFT(Tasks[[#This Row],[Description]], 45)),
IF(LEN(_xlpm.leftValue) &lt; 40, _xlpm.leftValue, _xlfn.CONCAT(_xlpm.leftValue, "…"))
)</f>
        <v>#VALUE!</v>
      </c>
      <c r="E1348" s="15" t="e" cm="1">
        <f t="array" ref="E1348">_xlfn.LET(
_xlpm.inTower, COUNTIF(Tower_Num_Table[Tower Rm Numbers], LEFT(Task_Summary_Table[[#This Row],[Area/Room]], 3)) &gt; 0,
_xlpm.typeResult, _xlfn.SWITCH(LEFT(Tasks[[#This Row],[Page]], 2), "Hi", "Historic", "An", "Annex", "Si", "Site", "S5", "Project Task", "SWITCH ERROR"),
IF(_xlpm.inTower, "West Tower", _xlpm.typeResult)
)</f>
        <v>#VALUE!</v>
      </c>
      <c r="F1348" s="15" t="str">
        <f>IFERROR(MID(Tasks[[#This Row],[Page]], FIND("Level", Tasks[[#This Row],[Page]]), 7), IF(ISNUMBER(FIND("Roof", Tasks[[#This Row],[Page]])), "Roof",  IF(ISNUMBER(FIND("S590", Tasks[[#This Row],[Page]])), "",  IF(ISNUMBER(FIND("Site", Tasks[[#This Row],[Page]])), "", "ERROR"))))</f>
        <v>ERROR</v>
      </c>
      <c r="G1348" s="15" t="e">
        <f>IF(Tasks[[#This Row],[Location]]=0, "", Tasks[[#This Row],[Location]])</f>
        <v>#VALUE!</v>
      </c>
      <c r="H1348" s="15" t="e">
        <f>Tasks[[#This Row],[To Package]]</f>
        <v>#VALUE!</v>
      </c>
      <c r="I1348" s="15" t="e">
        <f>Tasks[[#This Row],[To Organisation]]</f>
        <v>#VALUE!</v>
      </c>
    </row>
    <row r="1349" spans="1:9" ht="15.5" x14ac:dyDescent="0.35">
      <c r="A1349" s="16" t="e">
        <f>HYPERLINK(_xlfn.CONCAT(Edit_URL,Tasks[[#This Row],[Ref]]),Tasks[[#This Row],[Ref]])</f>
        <v>#VALUE!</v>
      </c>
      <c r="B1349" s="15" t="e" cm="1">
        <f t="array" ref="B1349">_xlfn.SWITCH(LEFT(Tasks[[#This Row],[Status]],1),"O","Opened","C","Completed","S","Signed Off", "V", "Signed Off","ERROR")</f>
        <v>#VALUE!</v>
      </c>
      <c r="C1349" s="15" t="e" cm="1">
        <f t="array" ref="C1349">_xlfn.SWITCH(LEFT(Tasks[[#This Row],[Type]], 3), "Fie", "Field Report", "Con", "Contractor QC", "Gen", "Contractor QC", "Pun", "Contractor QC", "Qua", "Contractor QC", "Fin", "Punch List")</f>
        <v>#VALUE!</v>
      </c>
      <c r="D1349" s="15" t="e">
        <f>_xlfn.LET(
_xlpm.leftValue, TRIM(LEFT(Tasks[[#This Row],[Description]], 45)),
IF(LEN(_xlpm.leftValue) &lt; 40, _xlpm.leftValue, _xlfn.CONCAT(_xlpm.leftValue, "…"))
)</f>
        <v>#VALUE!</v>
      </c>
      <c r="E1349" s="15" t="e" cm="1">
        <f t="array" ref="E1349">_xlfn.LET(
_xlpm.inTower, COUNTIF(Tower_Num_Table[Tower Rm Numbers], LEFT(Task_Summary_Table[[#This Row],[Area/Room]], 3)) &gt; 0,
_xlpm.typeResult, _xlfn.SWITCH(LEFT(Tasks[[#This Row],[Page]], 2), "Hi", "Historic", "An", "Annex", "Si", "Site", "S5", "Project Task", "SWITCH ERROR"),
IF(_xlpm.inTower, "West Tower", _xlpm.typeResult)
)</f>
        <v>#VALUE!</v>
      </c>
      <c r="F1349" s="15" t="str">
        <f>IFERROR(MID(Tasks[[#This Row],[Page]], FIND("Level", Tasks[[#This Row],[Page]]), 7), IF(ISNUMBER(FIND("Roof", Tasks[[#This Row],[Page]])), "Roof",  IF(ISNUMBER(FIND("S590", Tasks[[#This Row],[Page]])), "",  IF(ISNUMBER(FIND("Site", Tasks[[#This Row],[Page]])), "", "ERROR"))))</f>
        <v>ERROR</v>
      </c>
      <c r="G1349" s="15" t="e">
        <f>IF(Tasks[[#This Row],[Location]]=0, "", Tasks[[#This Row],[Location]])</f>
        <v>#VALUE!</v>
      </c>
      <c r="H1349" s="15" t="e">
        <f>Tasks[[#This Row],[To Package]]</f>
        <v>#VALUE!</v>
      </c>
      <c r="I1349" s="15" t="e">
        <f>Tasks[[#This Row],[To Organisation]]</f>
        <v>#VALUE!</v>
      </c>
    </row>
    <row r="1350" spans="1:9" ht="15.5" x14ac:dyDescent="0.35">
      <c r="A1350" s="16" t="e">
        <f>HYPERLINK(_xlfn.CONCAT(Edit_URL,Tasks[[#This Row],[Ref]]),Tasks[[#This Row],[Ref]])</f>
        <v>#VALUE!</v>
      </c>
      <c r="B1350" s="15" t="e" cm="1">
        <f t="array" ref="B1350">_xlfn.SWITCH(LEFT(Tasks[[#This Row],[Status]],1),"O","Opened","C","Completed","S","Signed Off", "V", "Signed Off","ERROR")</f>
        <v>#VALUE!</v>
      </c>
      <c r="C1350" s="15" t="e" cm="1">
        <f t="array" ref="C1350">_xlfn.SWITCH(LEFT(Tasks[[#This Row],[Type]], 3), "Fie", "Field Report", "Con", "Contractor QC", "Gen", "Contractor QC", "Pun", "Contractor QC", "Qua", "Contractor QC", "Fin", "Punch List")</f>
        <v>#VALUE!</v>
      </c>
      <c r="D1350" s="15" t="e">
        <f>_xlfn.LET(
_xlpm.leftValue, TRIM(LEFT(Tasks[[#This Row],[Description]], 45)),
IF(LEN(_xlpm.leftValue) &lt; 40, _xlpm.leftValue, _xlfn.CONCAT(_xlpm.leftValue, "…"))
)</f>
        <v>#VALUE!</v>
      </c>
      <c r="E1350" s="15" t="e" cm="1">
        <f t="array" ref="E1350">_xlfn.LET(
_xlpm.inTower, COUNTIF(Tower_Num_Table[Tower Rm Numbers], LEFT(Task_Summary_Table[[#This Row],[Area/Room]], 3)) &gt; 0,
_xlpm.typeResult, _xlfn.SWITCH(LEFT(Tasks[[#This Row],[Page]], 2), "Hi", "Historic", "An", "Annex", "Si", "Site", "S5", "Project Task", "SWITCH ERROR"),
IF(_xlpm.inTower, "West Tower", _xlpm.typeResult)
)</f>
        <v>#VALUE!</v>
      </c>
      <c r="F1350" s="15" t="str">
        <f>IFERROR(MID(Tasks[[#This Row],[Page]], FIND("Level", Tasks[[#This Row],[Page]]), 7), IF(ISNUMBER(FIND("Roof", Tasks[[#This Row],[Page]])), "Roof",  IF(ISNUMBER(FIND("S590", Tasks[[#This Row],[Page]])), "",  IF(ISNUMBER(FIND("Site", Tasks[[#This Row],[Page]])), "", "ERROR"))))</f>
        <v>ERROR</v>
      </c>
      <c r="G1350" s="15" t="e">
        <f>IF(Tasks[[#This Row],[Location]]=0, "", Tasks[[#This Row],[Location]])</f>
        <v>#VALUE!</v>
      </c>
      <c r="H1350" s="15" t="e">
        <f>Tasks[[#This Row],[To Package]]</f>
        <v>#VALUE!</v>
      </c>
      <c r="I1350" s="15" t="e">
        <f>Tasks[[#This Row],[To Organisation]]</f>
        <v>#VALUE!</v>
      </c>
    </row>
    <row r="1351" spans="1:9" ht="15.5" x14ac:dyDescent="0.35">
      <c r="A1351" s="16" t="e">
        <f>HYPERLINK(_xlfn.CONCAT(Edit_URL,Tasks[[#This Row],[Ref]]),Tasks[[#This Row],[Ref]])</f>
        <v>#VALUE!</v>
      </c>
      <c r="B1351" s="15" t="e" cm="1">
        <f t="array" ref="B1351">_xlfn.SWITCH(LEFT(Tasks[[#This Row],[Status]],1),"O","Opened","C","Completed","S","Signed Off", "V", "Signed Off","ERROR")</f>
        <v>#VALUE!</v>
      </c>
      <c r="C1351" s="15" t="e" cm="1">
        <f t="array" ref="C1351">_xlfn.SWITCH(LEFT(Tasks[[#This Row],[Type]], 3), "Fie", "Field Report", "Con", "Contractor QC", "Gen", "Contractor QC", "Pun", "Contractor QC", "Qua", "Contractor QC", "Fin", "Punch List")</f>
        <v>#VALUE!</v>
      </c>
      <c r="D1351" s="15" t="e">
        <f>_xlfn.LET(
_xlpm.leftValue, TRIM(LEFT(Tasks[[#This Row],[Description]], 45)),
IF(LEN(_xlpm.leftValue) &lt; 40, _xlpm.leftValue, _xlfn.CONCAT(_xlpm.leftValue, "…"))
)</f>
        <v>#VALUE!</v>
      </c>
      <c r="E1351" s="15" t="e" cm="1">
        <f t="array" ref="E1351">_xlfn.LET(
_xlpm.inTower, COUNTIF(Tower_Num_Table[Tower Rm Numbers], LEFT(Task_Summary_Table[[#This Row],[Area/Room]], 3)) &gt; 0,
_xlpm.typeResult, _xlfn.SWITCH(LEFT(Tasks[[#This Row],[Page]], 2), "Hi", "Historic", "An", "Annex", "Si", "Site", "S5", "Project Task", "SWITCH ERROR"),
IF(_xlpm.inTower, "West Tower", _xlpm.typeResult)
)</f>
        <v>#VALUE!</v>
      </c>
      <c r="F1351" s="15" t="str">
        <f>IFERROR(MID(Tasks[[#This Row],[Page]], FIND("Level", Tasks[[#This Row],[Page]]), 7), IF(ISNUMBER(FIND("Roof", Tasks[[#This Row],[Page]])), "Roof",  IF(ISNUMBER(FIND("S590", Tasks[[#This Row],[Page]])), "",  IF(ISNUMBER(FIND("Site", Tasks[[#This Row],[Page]])), "", "ERROR"))))</f>
        <v>ERROR</v>
      </c>
      <c r="G1351" s="15" t="e">
        <f>IF(Tasks[[#This Row],[Location]]=0, "", Tasks[[#This Row],[Location]])</f>
        <v>#VALUE!</v>
      </c>
      <c r="H1351" s="15" t="e">
        <f>Tasks[[#This Row],[To Package]]</f>
        <v>#VALUE!</v>
      </c>
      <c r="I1351" s="15" t="e">
        <f>Tasks[[#This Row],[To Organisation]]</f>
        <v>#VALUE!</v>
      </c>
    </row>
    <row r="1352" spans="1:9" ht="15.5" x14ac:dyDescent="0.35">
      <c r="A1352" s="16" t="e">
        <f>HYPERLINK(_xlfn.CONCAT(Edit_URL,Tasks[[#This Row],[Ref]]),Tasks[[#This Row],[Ref]])</f>
        <v>#VALUE!</v>
      </c>
      <c r="B1352" s="15" t="e" cm="1">
        <f t="array" ref="B1352">_xlfn.SWITCH(LEFT(Tasks[[#This Row],[Status]],1),"O","Opened","C","Completed","S","Signed Off", "V", "Signed Off","ERROR")</f>
        <v>#VALUE!</v>
      </c>
      <c r="C1352" s="15" t="e" cm="1">
        <f t="array" ref="C1352">_xlfn.SWITCH(LEFT(Tasks[[#This Row],[Type]], 3), "Fie", "Field Report", "Con", "Contractor QC", "Gen", "Contractor QC", "Pun", "Contractor QC", "Qua", "Contractor QC", "Fin", "Punch List")</f>
        <v>#VALUE!</v>
      </c>
      <c r="D1352" s="15" t="e">
        <f>_xlfn.LET(
_xlpm.leftValue, TRIM(LEFT(Tasks[[#This Row],[Description]], 45)),
IF(LEN(_xlpm.leftValue) &lt; 40, _xlpm.leftValue, _xlfn.CONCAT(_xlpm.leftValue, "…"))
)</f>
        <v>#VALUE!</v>
      </c>
      <c r="E1352" s="15" t="e" cm="1">
        <f t="array" ref="E1352">_xlfn.LET(
_xlpm.inTower, COUNTIF(Tower_Num_Table[Tower Rm Numbers], LEFT(Task_Summary_Table[[#This Row],[Area/Room]], 3)) &gt; 0,
_xlpm.typeResult, _xlfn.SWITCH(LEFT(Tasks[[#This Row],[Page]], 2), "Hi", "Historic", "An", "Annex", "Si", "Site", "S5", "Project Task", "SWITCH ERROR"),
IF(_xlpm.inTower, "West Tower", _xlpm.typeResult)
)</f>
        <v>#VALUE!</v>
      </c>
      <c r="F1352" s="15" t="str">
        <f>IFERROR(MID(Tasks[[#This Row],[Page]], FIND("Level", Tasks[[#This Row],[Page]]), 7), IF(ISNUMBER(FIND("Roof", Tasks[[#This Row],[Page]])), "Roof",  IF(ISNUMBER(FIND("S590", Tasks[[#This Row],[Page]])), "",  IF(ISNUMBER(FIND("Site", Tasks[[#This Row],[Page]])), "", "ERROR"))))</f>
        <v>ERROR</v>
      </c>
      <c r="G1352" s="15" t="e">
        <f>IF(Tasks[[#This Row],[Location]]=0, "", Tasks[[#This Row],[Location]])</f>
        <v>#VALUE!</v>
      </c>
      <c r="H1352" s="15" t="e">
        <f>Tasks[[#This Row],[To Package]]</f>
        <v>#VALUE!</v>
      </c>
      <c r="I1352" s="15" t="e">
        <f>Tasks[[#This Row],[To Organisation]]</f>
        <v>#VALUE!</v>
      </c>
    </row>
    <row r="1353" spans="1:9" ht="15.5" x14ac:dyDescent="0.35">
      <c r="A1353" s="16" t="e">
        <f>HYPERLINK(_xlfn.CONCAT(Edit_URL,Tasks[[#This Row],[Ref]]),Tasks[[#This Row],[Ref]])</f>
        <v>#VALUE!</v>
      </c>
      <c r="B1353" s="15" t="e" cm="1">
        <f t="array" ref="B1353">_xlfn.SWITCH(LEFT(Tasks[[#This Row],[Status]],1),"O","Opened","C","Completed","S","Signed Off", "V", "Signed Off","ERROR")</f>
        <v>#VALUE!</v>
      </c>
      <c r="C1353" s="15" t="e" cm="1">
        <f t="array" ref="C1353">_xlfn.SWITCH(LEFT(Tasks[[#This Row],[Type]], 3), "Fie", "Field Report", "Con", "Contractor QC", "Gen", "Contractor QC", "Pun", "Contractor QC", "Qua", "Contractor QC", "Fin", "Punch List")</f>
        <v>#VALUE!</v>
      </c>
      <c r="D1353" s="15" t="e">
        <f>_xlfn.LET(
_xlpm.leftValue, TRIM(LEFT(Tasks[[#This Row],[Description]], 45)),
IF(LEN(_xlpm.leftValue) &lt; 40, _xlpm.leftValue, _xlfn.CONCAT(_xlpm.leftValue, "…"))
)</f>
        <v>#VALUE!</v>
      </c>
      <c r="E1353" s="15" t="e" cm="1">
        <f t="array" ref="E1353">_xlfn.LET(
_xlpm.inTower, COUNTIF(Tower_Num_Table[Tower Rm Numbers], LEFT(Task_Summary_Table[[#This Row],[Area/Room]], 3)) &gt; 0,
_xlpm.typeResult, _xlfn.SWITCH(LEFT(Tasks[[#This Row],[Page]], 2), "Hi", "Historic", "An", "Annex", "Si", "Site", "S5", "Project Task", "SWITCH ERROR"),
IF(_xlpm.inTower, "West Tower", _xlpm.typeResult)
)</f>
        <v>#VALUE!</v>
      </c>
      <c r="F1353" s="15" t="str">
        <f>IFERROR(MID(Tasks[[#This Row],[Page]], FIND("Level", Tasks[[#This Row],[Page]]), 7), IF(ISNUMBER(FIND("Roof", Tasks[[#This Row],[Page]])), "Roof",  IF(ISNUMBER(FIND("S590", Tasks[[#This Row],[Page]])), "",  IF(ISNUMBER(FIND("Site", Tasks[[#This Row],[Page]])), "", "ERROR"))))</f>
        <v>ERROR</v>
      </c>
      <c r="G1353" s="15" t="e">
        <f>IF(Tasks[[#This Row],[Location]]=0, "", Tasks[[#This Row],[Location]])</f>
        <v>#VALUE!</v>
      </c>
      <c r="H1353" s="15" t="e">
        <f>Tasks[[#This Row],[To Package]]</f>
        <v>#VALUE!</v>
      </c>
      <c r="I1353" s="15" t="e">
        <f>Tasks[[#This Row],[To Organisation]]</f>
        <v>#VALUE!</v>
      </c>
    </row>
    <row r="1354" spans="1:9" ht="15.5" x14ac:dyDescent="0.35">
      <c r="A1354" s="16" t="e">
        <f>HYPERLINK(_xlfn.CONCAT(Edit_URL,Tasks[[#This Row],[Ref]]),Tasks[[#This Row],[Ref]])</f>
        <v>#VALUE!</v>
      </c>
      <c r="B1354" s="15" t="e" cm="1">
        <f t="array" ref="B1354">_xlfn.SWITCH(LEFT(Tasks[[#This Row],[Status]],1),"O","Opened","C","Completed","S","Signed Off", "V", "Signed Off","ERROR")</f>
        <v>#VALUE!</v>
      </c>
      <c r="C1354" s="15" t="e" cm="1">
        <f t="array" ref="C1354">_xlfn.SWITCH(LEFT(Tasks[[#This Row],[Type]], 3), "Fie", "Field Report", "Con", "Contractor QC", "Gen", "Contractor QC", "Pun", "Contractor QC", "Qua", "Contractor QC", "Fin", "Punch List")</f>
        <v>#VALUE!</v>
      </c>
      <c r="D1354" s="15" t="e">
        <f>_xlfn.LET(
_xlpm.leftValue, TRIM(LEFT(Tasks[[#This Row],[Description]], 45)),
IF(LEN(_xlpm.leftValue) &lt; 40, _xlpm.leftValue, _xlfn.CONCAT(_xlpm.leftValue, "…"))
)</f>
        <v>#VALUE!</v>
      </c>
      <c r="E1354" s="15" t="e" cm="1">
        <f t="array" ref="E1354">_xlfn.LET(
_xlpm.inTower, COUNTIF(Tower_Num_Table[Tower Rm Numbers], LEFT(Task_Summary_Table[[#This Row],[Area/Room]], 3)) &gt; 0,
_xlpm.typeResult, _xlfn.SWITCH(LEFT(Tasks[[#This Row],[Page]], 2), "Hi", "Historic", "An", "Annex", "Si", "Site", "S5", "Project Task", "SWITCH ERROR"),
IF(_xlpm.inTower, "West Tower", _xlpm.typeResult)
)</f>
        <v>#VALUE!</v>
      </c>
      <c r="F1354" s="15" t="str">
        <f>IFERROR(MID(Tasks[[#This Row],[Page]], FIND("Level", Tasks[[#This Row],[Page]]), 7), IF(ISNUMBER(FIND("Roof", Tasks[[#This Row],[Page]])), "Roof",  IF(ISNUMBER(FIND("S590", Tasks[[#This Row],[Page]])), "",  IF(ISNUMBER(FIND("Site", Tasks[[#This Row],[Page]])), "", "ERROR"))))</f>
        <v>ERROR</v>
      </c>
      <c r="G1354" s="15" t="e">
        <f>IF(Tasks[[#This Row],[Location]]=0, "", Tasks[[#This Row],[Location]])</f>
        <v>#VALUE!</v>
      </c>
      <c r="H1354" s="15" t="e">
        <f>Tasks[[#This Row],[To Package]]</f>
        <v>#VALUE!</v>
      </c>
      <c r="I1354" s="15" t="e">
        <f>Tasks[[#This Row],[To Organisation]]</f>
        <v>#VALUE!</v>
      </c>
    </row>
    <row r="1355" spans="1:9" ht="15.5" x14ac:dyDescent="0.35">
      <c r="A1355" s="16" t="e">
        <f>HYPERLINK(_xlfn.CONCAT(Edit_URL,Tasks[[#This Row],[Ref]]),Tasks[[#This Row],[Ref]])</f>
        <v>#VALUE!</v>
      </c>
      <c r="B1355" s="15" t="e" cm="1">
        <f t="array" ref="B1355">_xlfn.SWITCH(LEFT(Tasks[[#This Row],[Status]],1),"O","Opened","C","Completed","S","Signed Off", "V", "Signed Off","ERROR")</f>
        <v>#VALUE!</v>
      </c>
      <c r="C1355" s="15" t="e" cm="1">
        <f t="array" ref="C1355">_xlfn.SWITCH(LEFT(Tasks[[#This Row],[Type]], 3), "Fie", "Field Report", "Con", "Contractor QC", "Gen", "Contractor QC", "Pun", "Contractor QC", "Qua", "Contractor QC", "Fin", "Punch List")</f>
        <v>#VALUE!</v>
      </c>
      <c r="D1355" s="15" t="e">
        <f>_xlfn.LET(
_xlpm.leftValue, TRIM(LEFT(Tasks[[#This Row],[Description]], 45)),
IF(LEN(_xlpm.leftValue) &lt; 40, _xlpm.leftValue, _xlfn.CONCAT(_xlpm.leftValue, "…"))
)</f>
        <v>#VALUE!</v>
      </c>
      <c r="E1355" s="15" t="e" cm="1">
        <f t="array" ref="E1355">_xlfn.LET(
_xlpm.inTower, COUNTIF(Tower_Num_Table[Tower Rm Numbers], LEFT(Task_Summary_Table[[#This Row],[Area/Room]], 3)) &gt; 0,
_xlpm.typeResult, _xlfn.SWITCH(LEFT(Tasks[[#This Row],[Page]], 2), "Hi", "Historic", "An", "Annex", "Si", "Site", "S5", "Project Task", "SWITCH ERROR"),
IF(_xlpm.inTower, "West Tower", _xlpm.typeResult)
)</f>
        <v>#VALUE!</v>
      </c>
      <c r="F1355" s="15" t="str">
        <f>IFERROR(MID(Tasks[[#This Row],[Page]], FIND("Level", Tasks[[#This Row],[Page]]), 7), IF(ISNUMBER(FIND("Roof", Tasks[[#This Row],[Page]])), "Roof",  IF(ISNUMBER(FIND("S590", Tasks[[#This Row],[Page]])), "",  IF(ISNUMBER(FIND("Site", Tasks[[#This Row],[Page]])), "", "ERROR"))))</f>
        <v>ERROR</v>
      </c>
      <c r="G1355" s="15" t="e">
        <f>IF(Tasks[[#This Row],[Location]]=0, "", Tasks[[#This Row],[Location]])</f>
        <v>#VALUE!</v>
      </c>
      <c r="H1355" s="15" t="e">
        <f>Tasks[[#This Row],[To Package]]</f>
        <v>#VALUE!</v>
      </c>
      <c r="I1355" s="15" t="e">
        <f>Tasks[[#This Row],[To Organisation]]</f>
        <v>#VALUE!</v>
      </c>
    </row>
    <row r="1356" spans="1:9" ht="15.5" x14ac:dyDescent="0.35">
      <c r="A1356" s="16" t="e">
        <f>HYPERLINK(_xlfn.CONCAT(Edit_URL,Tasks[[#This Row],[Ref]]),Tasks[[#This Row],[Ref]])</f>
        <v>#VALUE!</v>
      </c>
      <c r="B1356" s="15" t="e" cm="1">
        <f t="array" ref="B1356">_xlfn.SWITCH(LEFT(Tasks[[#This Row],[Status]],1),"O","Opened","C","Completed","S","Signed Off", "V", "Signed Off","ERROR")</f>
        <v>#VALUE!</v>
      </c>
      <c r="C1356" s="15" t="e" cm="1">
        <f t="array" ref="C1356">_xlfn.SWITCH(LEFT(Tasks[[#This Row],[Type]], 3), "Fie", "Field Report", "Con", "Contractor QC", "Gen", "Contractor QC", "Pun", "Contractor QC", "Qua", "Contractor QC", "Fin", "Punch List")</f>
        <v>#VALUE!</v>
      </c>
      <c r="D1356" s="15" t="e">
        <f>_xlfn.LET(
_xlpm.leftValue, TRIM(LEFT(Tasks[[#This Row],[Description]], 45)),
IF(LEN(_xlpm.leftValue) &lt; 40, _xlpm.leftValue, _xlfn.CONCAT(_xlpm.leftValue, "…"))
)</f>
        <v>#VALUE!</v>
      </c>
      <c r="E1356" s="15" t="e" cm="1">
        <f t="array" ref="E1356">_xlfn.LET(
_xlpm.inTower, COUNTIF(Tower_Num_Table[Tower Rm Numbers], LEFT(Task_Summary_Table[[#This Row],[Area/Room]], 3)) &gt; 0,
_xlpm.typeResult, _xlfn.SWITCH(LEFT(Tasks[[#This Row],[Page]], 2), "Hi", "Historic", "An", "Annex", "Si", "Site", "S5", "Project Task", "SWITCH ERROR"),
IF(_xlpm.inTower, "West Tower", _xlpm.typeResult)
)</f>
        <v>#VALUE!</v>
      </c>
      <c r="F1356" s="15" t="str">
        <f>IFERROR(MID(Tasks[[#This Row],[Page]], FIND("Level", Tasks[[#This Row],[Page]]), 7), IF(ISNUMBER(FIND("Roof", Tasks[[#This Row],[Page]])), "Roof",  IF(ISNUMBER(FIND("S590", Tasks[[#This Row],[Page]])), "",  IF(ISNUMBER(FIND("Site", Tasks[[#This Row],[Page]])), "", "ERROR"))))</f>
        <v>ERROR</v>
      </c>
      <c r="G1356" s="15" t="e">
        <f>IF(Tasks[[#This Row],[Location]]=0, "", Tasks[[#This Row],[Location]])</f>
        <v>#VALUE!</v>
      </c>
      <c r="H1356" s="15" t="e">
        <f>Tasks[[#This Row],[To Package]]</f>
        <v>#VALUE!</v>
      </c>
      <c r="I1356" s="15" t="e">
        <f>Tasks[[#This Row],[To Organisation]]</f>
        <v>#VALUE!</v>
      </c>
    </row>
    <row r="1357" spans="1:9" ht="15.5" x14ac:dyDescent="0.35">
      <c r="A1357" s="16" t="e">
        <f>HYPERLINK(_xlfn.CONCAT(Edit_URL,Tasks[[#This Row],[Ref]]),Tasks[[#This Row],[Ref]])</f>
        <v>#VALUE!</v>
      </c>
      <c r="B1357" s="15" t="e" cm="1">
        <f t="array" ref="B1357">_xlfn.SWITCH(LEFT(Tasks[[#This Row],[Status]],1),"O","Opened","C","Completed","S","Signed Off", "V", "Signed Off","ERROR")</f>
        <v>#VALUE!</v>
      </c>
      <c r="C1357" s="15" t="e" cm="1">
        <f t="array" ref="C1357">_xlfn.SWITCH(LEFT(Tasks[[#This Row],[Type]], 3), "Fie", "Field Report", "Con", "Contractor QC", "Gen", "Contractor QC", "Pun", "Contractor QC", "Qua", "Contractor QC", "Fin", "Punch List")</f>
        <v>#VALUE!</v>
      </c>
      <c r="D1357" s="15" t="e">
        <f>_xlfn.LET(
_xlpm.leftValue, TRIM(LEFT(Tasks[[#This Row],[Description]], 45)),
IF(LEN(_xlpm.leftValue) &lt; 40, _xlpm.leftValue, _xlfn.CONCAT(_xlpm.leftValue, "…"))
)</f>
        <v>#VALUE!</v>
      </c>
      <c r="E1357" s="15" t="e" cm="1">
        <f t="array" ref="E1357">_xlfn.LET(
_xlpm.inTower, COUNTIF(Tower_Num_Table[Tower Rm Numbers], LEFT(Task_Summary_Table[[#This Row],[Area/Room]], 3)) &gt; 0,
_xlpm.typeResult, _xlfn.SWITCH(LEFT(Tasks[[#This Row],[Page]], 2), "Hi", "Historic", "An", "Annex", "Si", "Site", "S5", "Project Task", "SWITCH ERROR"),
IF(_xlpm.inTower, "West Tower", _xlpm.typeResult)
)</f>
        <v>#VALUE!</v>
      </c>
      <c r="F1357" s="15" t="str">
        <f>IFERROR(MID(Tasks[[#This Row],[Page]], FIND("Level", Tasks[[#This Row],[Page]]), 7), IF(ISNUMBER(FIND("Roof", Tasks[[#This Row],[Page]])), "Roof",  IF(ISNUMBER(FIND("S590", Tasks[[#This Row],[Page]])), "",  IF(ISNUMBER(FIND("Site", Tasks[[#This Row],[Page]])), "", "ERROR"))))</f>
        <v>ERROR</v>
      </c>
      <c r="G1357" s="15" t="e">
        <f>IF(Tasks[[#This Row],[Location]]=0, "", Tasks[[#This Row],[Location]])</f>
        <v>#VALUE!</v>
      </c>
      <c r="H1357" s="15" t="e">
        <f>Tasks[[#This Row],[To Package]]</f>
        <v>#VALUE!</v>
      </c>
      <c r="I1357" s="15" t="e">
        <f>Tasks[[#This Row],[To Organisation]]</f>
        <v>#VALUE!</v>
      </c>
    </row>
    <row r="1358" spans="1:9" ht="15.5" x14ac:dyDescent="0.35">
      <c r="A1358" s="16" t="e">
        <f>HYPERLINK(_xlfn.CONCAT(Edit_URL,Tasks[[#This Row],[Ref]]),Tasks[[#This Row],[Ref]])</f>
        <v>#VALUE!</v>
      </c>
      <c r="B1358" s="15" t="e" cm="1">
        <f t="array" ref="B1358">_xlfn.SWITCH(LEFT(Tasks[[#This Row],[Status]],1),"O","Opened","C","Completed","S","Signed Off", "V", "Signed Off","ERROR")</f>
        <v>#VALUE!</v>
      </c>
      <c r="C1358" s="15" t="e" cm="1">
        <f t="array" ref="C1358">_xlfn.SWITCH(LEFT(Tasks[[#This Row],[Type]], 3), "Fie", "Field Report", "Con", "Contractor QC", "Gen", "Contractor QC", "Pun", "Contractor QC", "Qua", "Contractor QC", "Fin", "Punch List")</f>
        <v>#VALUE!</v>
      </c>
      <c r="D1358" s="15" t="e">
        <f>_xlfn.LET(
_xlpm.leftValue, TRIM(LEFT(Tasks[[#This Row],[Description]], 45)),
IF(LEN(_xlpm.leftValue) &lt; 40, _xlpm.leftValue, _xlfn.CONCAT(_xlpm.leftValue, "…"))
)</f>
        <v>#VALUE!</v>
      </c>
      <c r="E1358" s="15" t="e" cm="1">
        <f t="array" ref="E1358">_xlfn.LET(
_xlpm.inTower, COUNTIF(Tower_Num_Table[Tower Rm Numbers], LEFT(Task_Summary_Table[[#This Row],[Area/Room]], 3)) &gt; 0,
_xlpm.typeResult, _xlfn.SWITCH(LEFT(Tasks[[#This Row],[Page]], 2), "Hi", "Historic", "An", "Annex", "Si", "Site", "S5", "Project Task", "SWITCH ERROR"),
IF(_xlpm.inTower, "West Tower", _xlpm.typeResult)
)</f>
        <v>#VALUE!</v>
      </c>
      <c r="F1358" s="15" t="str">
        <f>IFERROR(MID(Tasks[[#This Row],[Page]], FIND("Level", Tasks[[#This Row],[Page]]), 7), IF(ISNUMBER(FIND("Roof", Tasks[[#This Row],[Page]])), "Roof",  IF(ISNUMBER(FIND("S590", Tasks[[#This Row],[Page]])), "",  IF(ISNUMBER(FIND("Site", Tasks[[#This Row],[Page]])), "", "ERROR"))))</f>
        <v>ERROR</v>
      </c>
      <c r="G1358" s="15" t="e">
        <f>IF(Tasks[[#This Row],[Location]]=0, "", Tasks[[#This Row],[Location]])</f>
        <v>#VALUE!</v>
      </c>
      <c r="H1358" s="15" t="e">
        <f>Tasks[[#This Row],[To Package]]</f>
        <v>#VALUE!</v>
      </c>
      <c r="I1358" s="15" t="e">
        <f>Tasks[[#This Row],[To Organisation]]</f>
        <v>#VALUE!</v>
      </c>
    </row>
    <row r="1359" spans="1:9" ht="15.5" x14ac:dyDescent="0.35">
      <c r="A1359" s="16" t="e">
        <f>HYPERLINK(_xlfn.CONCAT(Edit_URL,Tasks[[#This Row],[Ref]]),Tasks[[#This Row],[Ref]])</f>
        <v>#VALUE!</v>
      </c>
      <c r="B1359" s="15" t="e" cm="1">
        <f t="array" ref="B1359">_xlfn.SWITCH(LEFT(Tasks[[#This Row],[Status]],1),"O","Opened","C","Completed","S","Signed Off", "V", "Signed Off","ERROR")</f>
        <v>#VALUE!</v>
      </c>
      <c r="C1359" s="15" t="e" cm="1">
        <f t="array" ref="C1359">_xlfn.SWITCH(LEFT(Tasks[[#This Row],[Type]], 3), "Fie", "Field Report", "Con", "Contractor QC", "Gen", "Contractor QC", "Pun", "Contractor QC", "Qua", "Contractor QC", "Fin", "Punch List")</f>
        <v>#VALUE!</v>
      </c>
      <c r="D1359" s="15" t="e">
        <f>_xlfn.LET(
_xlpm.leftValue, TRIM(LEFT(Tasks[[#This Row],[Description]], 45)),
IF(LEN(_xlpm.leftValue) &lt; 40, _xlpm.leftValue, _xlfn.CONCAT(_xlpm.leftValue, "…"))
)</f>
        <v>#VALUE!</v>
      </c>
      <c r="E1359" s="15" t="e" cm="1">
        <f t="array" ref="E1359">_xlfn.LET(
_xlpm.inTower, COUNTIF(Tower_Num_Table[Tower Rm Numbers], LEFT(Task_Summary_Table[[#This Row],[Area/Room]], 3)) &gt; 0,
_xlpm.typeResult, _xlfn.SWITCH(LEFT(Tasks[[#This Row],[Page]], 2), "Hi", "Historic", "An", "Annex", "Si", "Site", "S5", "Project Task", "SWITCH ERROR"),
IF(_xlpm.inTower, "West Tower", _xlpm.typeResult)
)</f>
        <v>#VALUE!</v>
      </c>
      <c r="F1359" s="15" t="str">
        <f>IFERROR(MID(Tasks[[#This Row],[Page]], FIND("Level", Tasks[[#This Row],[Page]]), 7), IF(ISNUMBER(FIND("Roof", Tasks[[#This Row],[Page]])), "Roof",  IF(ISNUMBER(FIND("S590", Tasks[[#This Row],[Page]])), "",  IF(ISNUMBER(FIND("Site", Tasks[[#This Row],[Page]])), "", "ERROR"))))</f>
        <v>ERROR</v>
      </c>
      <c r="G1359" s="15" t="e">
        <f>IF(Tasks[[#This Row],[Location]]=0, "", Tasks[[#This Row],[Location]])</f>
        <v>#VALUE!</v>
      </c>
      <c r="H1359" s="15" t="e">
        <f>Tasks[[#This Row],[To Package]]</f>
        <v>#VALUE!</v>
      </c>
      <c r="I1359" s="15" t="e">
        <f>Tasks[[#This Row],[To Organisation]]</f>
        <v>#VALUE!</v>
      </c>
    </row>
  </sheetData>
  <phoneticPr fontId="4" type="noConversion"/>
  <pageMargins left="0.25" right="0.25" top="0.75" bottom="0.75" header="0.3" footer="0.3"/>
  <pageSetup paperSize="3" fitToHeight="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D11"/>
  <sheetViews>
    <sheetView workbookViewId="0">
      <selection activeCell="G5" sqref="G5"/>
    </sheetView>
  </sheetViews>
  <sheetFormatPr defaultRowHeight="14.5" x14ac:dyDescent="0.35"/>
  <cols>
    <col min="1" max="1" width="2.36328125" customWidth="1"/>
    <col min="2" max="2" width="14.36328125" customWidth="1"/>
    <col min="3" max="3" width="52.54296875" bestFit="1" customWidth="1"/>
    <col min="4" max="4" width="2.81640625" customWidth="1"/>
    <col min="5" max="5" width="3.08984375" customWidth="1"/>
  </cols>
  <sheetData>
    <row r="2" spans="2:4" ht="21" x14ac:dyDescent="0.5">
      <c r="B2" s="18" t="s">
        <v>2</v>
      </c>
      <c r="C2" s="19"/>
    </row>
    <row r="3" spans="2:4" x14ac:dyDescent="0.35">
      <c r="B3" s="1" t="s">
        <v>0</v>
      </c>
      <c r="C3" s="3" t="b">
        <v>1</v>
      </c>
      <c r="D3" s="2"/>
    </row>
    <row r="4" spans="2:4" x14ac:dyDescent="0.35">
      <c r="B4" s="1" t="s">
        <v>1</v>
      </c>
      <c r="C4" s="3" t="b">
        <v>1</v>
      </c>
      <c r="D4" s="2"/>
    </row>
    <row r="5" spans="2:4" x14ac:dyDescent="0.35">
      <c r="B5" s="1" t="s">
        <v>857</v>
      </c>
      <c r="C5" s="3" t="s">
        <v>858</v>
      </c>
      <c r="D5" s="2"/>
    </row>
    <row r="6" spans="2:4" x14ac:dyDescent="0.35">
      <c r="B6" s="1" t="s">
        <v>859</v>
      </c>
      <c r="C6" s="3" t="s">
        <v>860</v>
      </c>
      <c r="D6" s="2"/>
    </row>
    <row r="7" spans="2:4" x14ac:dyDescent="0.35">
      <c r="B7" s="1"/>
      <c r="C7" s="1"/>
      <c r="D7" s="2"/>
    </row>
    <row r="8" spans="2:4" x14ac:dyDescent="0.35">
      <c r="B8" s="1"/>
      <c r="C8" s="1"/>
      <c r="D8" s="2"/>
    </row>
    <row r="9" spans="2:4" x14ac:dyDescent="0.35">
      <c r="B9" s="2"/>
      <c r="C9" s="2"/>
      <c r="D9" s="2"/>
    </row>
    <row r="10" spans="2:4" x14ac:dyDescent="0.35">
      <c r="B10" s="2"/>
      <c r="C10" s="2"/>
      <c r="D10" s="2"/>
    </row>
    <row r="11" spans="2:4" x14ac:dyDescent="0.35">
      <c r="B11" s="2"/>
      <c r="C11" s="2"/>
      <c r="D11" s="2"/>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topLeftCell="AA1" workbookViewId="0">
      <selection activeCell="AL13" sqref="AL13"/>
    </sheetView>
  </sheetViews>
  <sheetFormatPr defaultRowHeight="14.5" x14ac:dyDescent="0.35"/>
  <cols>
    <col min="1" max="1" width="35" bestFit="1" customWidth="1"/>
    <col min="2" max="2" width="10.26953125" customWidth="1"/>
    <col min="3" max="3" width="12.26953125" bestFit="1" customWidth="1"/>
    <col min="4" max="4" width="11.6328125" bestFit="1" customWidth="1"/>
    <col min="5" max="5" width="13.81640625" bestFit="1" customWidth="1"/>
    <col min="7" max="8" width="10.26953125" customWidth="1"/>
    <col min="9" max="9" width="10.6328125" bestFit="1" customWidth="1"/>
    <col min="10" max="10" width="11.08984375" bestFit="1" customWidth="1"/>
    <col min="11" max="11" width="13.81640625" bestFit="1" customWidth="1"/>
    <col min="13" max="14" width="10.26953125" customWidth="1"/>
    <col min="19" max="19" width="9.90625" bestFit="1" customWidth="1"/>
    <col min="20" max="20" width="12.453125" bestFit="1" customWidth="1"/>
    <col min="25" max="25" width="9.90625" bestFit="1" customWidth="1"/>
    <col min="26" max="26" width="10.26953125" customWidth="1"/>
    <col min="29" max="29" width="9.90625" bestFit="1" customWidth="1"/>
    <col min="30" max="30" width="12.453125" bestFit="1" customWidth="1"/>
    <col min="32" max="32" width="19.36328125" customWidth="1"/>
    <col min="33" max="33" width="7.26953125" customWidth="1"/>
    <col min="34" max="34" width="9.90625" bestFit="1" customWidth="1"/>
    <col min="35" max="35" width="12.453125" bestFit="1" customWidth="1"/>
    <col min="36" max="36" width="3.36328125" customWidth="1"/>
    <col min="37" max="37" width="3.26953125" customWidth="1"/>
    <col min="38" max="38" width="19.453125" customWidth="1"/>
    <col min="39" max="39" width="3.453125" customWidth="1"/>
    <col min="40" max="40" width="3.1796875" customWidth="1"/>
    <col min="41" max="41" width="12.54296875" customWidth="1"/>
    <col min="42" max="42" width="15.1796875" customWidth="1"/>
    <col min="43" max="43" width="17.6328125" customWidth="1"/>
    <col min="44" max="44" width="17.08984375" customWidth="1"/>
    <col min="45" max="45" width="16.1796875" customWidth="1"/>
    <col min="46" max="46" width="18.6328125" customWidth="1"/>
    <col min="47" max="47" width="18.08984375" customWidth="1"/>
    <col min="48" max="48" width="12.90625" customWidth="1"/>
    <col min="49" max="49" width="15.36328125" customWidth="1"/>
    <col min="50" max="50" width="14.81640625" customWidth="1"/>
    <col min="51" max="51" width="19.90625" customWidth="1"/>
    <col min="52" max="52" width="22.36328125" customWidth="1"/>
    <col min="53" max="53" width="21.81640625" customWidth="1"/>
    <col min="54" max="54" width="14.7265625" customWidth="1"/>
    <col min="55" max="55" width="17.1796875" customWidth="1"/>
    <col min="56" max="56" width="16.6328125" customWidth="1"/>
  </cols>
  <sheetData>
    <row r="1" spans="1:56" ht="15.5" x14ac:dyDescent="0.35">
      <c r="A1" s="20" t="s">
        <v>981</v>
      </c>
      <c r="B1" s="20"/>
      <c r="G1" s="20" t="s">
        <v>983</v>
      </c>
      <c r="H1" s="20"/>
      <c r="M1" s="20" t="s">
        <v>985</v>
      </c>
      <c r="N1" s="20"/>
      <c r="S1" s="20" t="s">
        <v>990</v>
      </c>
      <c r="T1" s="20"/>
      <c r="Y1" s="20" t="s">
        <v>987</v>
      </c>
      <c r="Z1" s="20"/>
      <c r="AA1" s="20"/>
      <c r="AH1" s="20" t="s">
        <v>982</v>
      </c>
      <c r="AI1" s="20"/>
      <c r="AO1" t="s">
        <v>1085</v>
      </c>
    </row>
    <row r="2" spans="1:56" x14ac:dyDescent="0.35">
      <c r="A2" t="s">
        <v>4</v>
      </c>
      <c r="B2" t="s">
        <v>984</v>
      </c>
      <c r="C2" t="s">
        <v>1105</v>
      </c>
      <c r="D2" t="s">
        <v>1106</v>
      </c>
      <c r="E2" t="s">
        <v>1107</v>
      </c>
      <c r="G2" t="s">
        <v>4</v>
      </c>
      <c r="H2" t="s">
        <v>984</v>
      </c>
      <c r="I2" t="s">
        <v>1105</v>
      </c>
      <c r="J2" t="s">
        <v>1106</v>
      </c>
      <c r="K2" t="s">
        <v>1107</v>
      </c>
      <c r="M2" t="s">
        <v>4</v>
      </c>
      <c r="N2" t="s">
        <v>984</v>
      </c>
      <c r="O2" t="s">
        <v>1105</v>
      </c>
      <c r="P2" t="s">
        <v>1106</v>
      </c>
      <c r="Q2" t="s">
        <v>1107</v>
      </c>
      <c r="S2" t="s">
        <v>4</v>
      </c>
      <c r="T2" t="s">
        <v>984</v>
      </c>
      <c r="U2" t="s">
        <v>1105</v>
      </c>
      <c r="V2" t="s">
        <v>1106</v>
      </c>
      <c r="W2" t="s">
        <v>1107</v>
      </c>
      <c r="Y2" t="s">
        <v>4</v>
      </c>
      <c r="Z2" t="s">
        <v>984</v>
      </c>
      <c r="AA2" t="s">
        <v>988</v>
      </c>
      <c r="AB2" t="s">
        <v>1102</v>
      </c>
      <c r="AC2" t="s">
        <v>1103</v>
      </c>
      <c r="AD2" t="s">
        <v>1104</v>
      </c>
      <c r="AF2" t="s">
        <v>989</v>
      </c>
      <c r="AH2" t="s">
        <v>4</v>
      </c>
      <c r="AI2" t="s">
        <v>984</v>
      </c>
      <c r="AL2" t="s">
        <v>1994</v>
      </c>
      <c r="AO2" t="s">
        <v>1086</v>
      </c>
      <c r="AP2" t="s">
        <v>1087</v>
      </c>
      <c r="AQ2" t="s">
        <v>1088</v>
      </c>
      <c r="AR2" t="s">
        <v>1089</v>
      </c>
      <c r="AS2" t="s">
        <v>1090</v>
      </c>
      <c r="AT2" t="s">
        <v>1091</v>
      </c>
      <c r="AU2" t="s">
        <v>1092</v>
      </c>
      <c r="AV2" t="s">
        <v>1093</v>
      </c>
      <c r="AW2" t="s">
        <v>1094</v>
      </c>
      <c r="AX2" t="s">
        <v>1095</v>
      </c>
      <c r="AY2" t="s">
        <v>1096</v>
      </c>
      <c r="AZ2" t="s">
        <v>1097</v>
      </c>
      <c r="BA2" t="s">
        <v>1098</v>
      </c>
      <c r="BB2" t="s">
        <v>1099</v>
      </c>
      <c r="BC2" t="s">
        <v>1100</v>
      </c>
      <c r="BD2" t="s">
        <v>1101</v>
      </c>
    </row>
    <row r="3" spans="1:56" x14ac:dyDescent="0.35">
      <c r="A3" t="s">
        <v>19</v>
      </c>
      <c r="B3">
        <f>COUNTIFS(Task_Summary_Table[Status], Annex_Overall_Table[[#This Row],[Status]], Task_Summary_Table[Building], "Annex")</f>
        <v>171</v>
      </c>
      <c r="G3" t="s">
        <v>19</v>
      </c>
      <c r="H3">
        <f>COUNTIFS(Task_Summary_Table[Status], Site_Overall_Table[[#This Row],[Status]], Task_Summary_Table[Building], "Site")</f>
        <v>8</v>
      </c>
      <c r="M3" t="s">
        <v>19</v>
      </c>
      <c r="N3">
        <f>COUNTIFS(Task_Summary_Table[Status], Other_Overall_Table[[#This Row],[Status]], Task_Summary_Table[Building], "Project Task")</f>
        <v>4</v>
      </c>
      <c r="S3" t="s">
        <v>19</v>
      </c>
      <c r="T3">
        <f>COUNTIFS(Task_Summary_Table[Status], West_Tower_Overall_Table[[#This Row],[Status]], Task_Summary_Table[Building], "West Tower")</f>
        <v>3</v>
      </c>
      <c r="Y3" t="s">
        <v>19</v>
      </c>
      <c r="Z3">
        <f>COUNTIFS(Task_Summary_Table[Status], Combine_Overall_Table[[#This Row],[Status]])</f>
        <v>434</v>
      </c>
      <c r="AA3" s="6">
        <f>Combine_Overall_Table[[#This Row],[Task Count]]/SUM(Combine_Overall_Table[Task Count])</f>
        <v>0.62088698140200282</v>
      </c>
      <c r="AF3" s="8">
        <v>507</v>
      </c>
      <c r="AG3" s="8"/>
      <c r="AH3" t="s">
        <v>19</v>
      </c>
      <c r="AI3">
        <f>COUNTIFS(Task_Summary_Table[Status], Historic_Overall_Table[[#This Row],[Status]], Task_Summary_Table[Building], "Historic")</f>
        <v>248</v>
      </c>
      <c r="AL3" s="5">
        <v>44841</v>
      </c>
      <c r="AO3" s="5">
        <v>43831</v>
      </c>
      <c r="AP3">
        <v>0</v>
      </c>
      <c r="AQ3">
        <v>0</v>
      </c>
      <c r="AR3">
        <v>0</v>
      </c>
      <c r="AS3">
        <v>0</v>
      </c>
      <c r="AT3">
        <v>0</v>
      </c>
      <c r="AU3">
        <v>0</v>
      </c>
      <c r="AV3">
        <v>0</v>
      </c>
      <c r="AW3">
        <v>0</v>
      </c>
      <c r="AX3">
        <v>0</v>
      </c>
      <c r="AY3">
        <v>0</v>
      </c>
      <c r="AZ3">
        <v>0</v>
      </c>
      <c r="BA3">
        <v>0</v>
      </c>
      <c r="BB3">
        <v>0</v>
      </c>
      <c r="BC3">
        <v>0</v>
      </c>
      <c r="BD3">
        <v>0</v>
      </c>
    </row>
    <row r="4" spans="1:56" x14ac:dyDescent="0.35">
      <c r="A4" t="s">
        <v>89</v>
      </c>
      <c r="B4">
        <f>COUNTIFS(Task_Summary_Table[Status], Annex_Overall_Table[[#This Row],[Status]], Task_Summary_Table[Building], "Annex")</f>
        <v>19</v>
      </c>
      <c r="G4" t="s">
        <v>89</v>
      </c>
      <c r="H4">
        <f>COUNTIFS(Task_Summary_Table[Status], Site_Overall_Table[[#This Row],[Status]], Task_Summary_Table[Building], "Site")</f>
        <v>0</v>
      </c>
      <c r="M4" t="s">
        <v>89</v>
      </c>
      <c r="N4">
        <f>COUNTIFS(Task_Summary_Table[Status], Other_Overall_Table[[#This Row],[Status]], Task_Summary_Table[Building], "Project Task")</f>
        <v>0</v>
      </c>
      <c r="S4" t="s">
        <v>89</v>
      </c>
      <c r="T4">
        <f>COUNTIFS(Task_Summary_Table[Status], West_Tower_Overall_Table[[#This Row],[Status]], Task_Summary_Table[Building], "West Tower")</f>
        <v>0</v>
      </c>
      <c r="Y4" t="s">
        <v>89</v>
      </c>
      <c r="Z4">
        <f>COUNTIFS(Task_Summary_Table[Status], Combine_Overall_Table[[#This Row],[Status]])</f>
        <v>28</v>
      </c>
      <c r="AA4" s="6">
        <f>Combine_Overall_Table[[#This Row],[Task Count]]/SUM(Combine_Overall_Table[Task Count])</f>
        <v>4.005722460658083E-2</v>
      </c>
      <c r="AF4" s="8">
        <v>506</v>
      </c>
      <c r="AG4" s="8"/>
      <c r="AH4" t="s">
        <v>89</v>
      </c>
      <c r="AI4">
        <f>COUNTIFS(Task_Summary_Table[Status], Historic_Overall_Table[[#This Row],[Status]], Task_Summary_Table[Building], "Historic")</f>
        <v>9</v>
      </c>
      <c r="AL4" s="5">
        <v>44937</v>
      </c>
      <c r="AO4" s="5">
        <v>44819</v>
      </c>
    </row>
    <row r="5" spans="1:56" x14ac:dyDescent="0.35">
      <c r="A5" t="s">
        <v>986</v>
      </c>
      <c r="B5">
        <f>COUNTIFS(Task_Summary_Table[Status], Annex_Overall_Table[[#This Row],[Status]], Task_Summary_Table[Building], "Annex")</f>
        <v>132</v>
      </c>
      <c r="G5" t="s">
        <v>986</v>
      </c>
      <c r="H5">
        <f>COUNTIFS(Task_Summary_Table[Status], Site_Overall_Table[[#This Row],[Status]], Task_Summary_Table[Building], "Site")</f>
        <v>2</v>
      </c>
      <c r="M5" t="s">
        <v>986</v>
      </c>
      <c r="N5">
        <f>COUNTIFS(Task_Summary_Table[Status], Other_Overall_Table[[#This Row],[Status]], Task_Summary_Table[Building], "Project Task")</f>
        <v>1</v>
      </c>
      <c r="S5" t="s">
        <v>986</v>
      </c>
      <c r="T5">
        <f>COUNTIFS(Task_Summary_Table[Status], West_Tower_Overall_Table[[#This Row],[Status]], Task_Summary_Table[Building], "West Tower")</f>
        <v>23</v>
      </c>
      <c r="Y5" t="s">
        <v>986</v>
      </c>
      <c r="Z5">
        <f>COUNTIFS(Task_Summary_Table[Status], Combine_Overall_Table[[#This Row],[Status]])</f>
        <v>237</v>
      </c>
      <c r="AA5" s="6">
        <f>Combine_Overall_Table[[#This Row],[Task Count]]/SUM(Combine_Overall_Table[Task Count])</f>
        <v>0.33905579399141633</v>
      </c>
      <c r="AF5" s="8">
        <v>505</v>
      </c>
      <c r="AG5" s="8"/>
      <c r="AH5" t="s">
        <v>986</v>
      </c>
      <c r="AI5">
        <f>COUNTIFS(Task_Summary_Table[Status], Historic_Overall_Table[[#This Row],[Status]], Task_Summary_Table[Building], "Historic")</f>
        <v>79</v>
      </c>
    </row>
    <row r="6" spans="1:56" x14ac:dyDescent="0.35">
      <c r="AF6" s="8">
        <v>504</v>
      </c>
      <c r="AG6" s="8"/>
      <c r="AH6" s="8"/>
      <c r="AI6" s="8"/>
    </row>
    <row r="7" spans="1:56" x14ac:dyDescent="0.35">
      <c r="AF7" s="8">
        <v>503</v>
      </c>
      <c r="AG7" s="8"/>
      <c r="AH7" s="8"/>
      <c r="AI7" s="8"/>
    </row>
    <row r="8" spans="1:56" x14ac:dyDescent="0.35">
      <c r="AF8" s="8">
        <v>502</v>
      </c>
      <c r="AG8" s="8"/>
      <c r="AH8" s="8"/>
      <c r="AI8" s="8"/>
    </row>
    <row r="9" spans="1:56" x14ac:dyDescent="0.35">
      <c r="A9" s="9" t="s">
        <v>1002</v>
      </c>
      <c r="B9" s="9" t="s">
        <v>19</v>
      </c>
      <c r="C9" s="9" t="s">
        <v>89</v>
      </c>
      <c r="D9" s="9" t="s">
        <v>986</v>
      </c>
      <c r="E9" s="9"/>
      <c r="AF9" s="8">
        <v>501</v>
      </c>
      <c r="AG9" s="8"/>
      <c r="AH9" s="8"/>
      <c r="AI9" s="8"/>
    </row>
    <row r="10" spans="1:56" x14ac:dyDescent="0.35">
      <c r="A10" t="s">
        <v>1262</v>
      </c>
      <c r="B10" s="10">
        <f>COUNTIFS(Task_Summary_Table[Status], "Opened", Task_Summary_Table[To Org], Table11[[#This Row],[Subcontractor]])</f>
        <v>97</v>
      </c>
      <c r="C10" s="10">
        <f>COUNTIFS(Task_Summary_Table[Status], "Completed", Task_Summary_Table[To Org], Table11[[#This Row],[Subcontractor]])</f>
        <v>0</v>
      </c>
      <c r="D10" s="10">
        <f>COUNTIFS(Task_Summary_Table[Status], "Signed Off", Task_Summary_Table[To Org], Table11[[#This Row],[Subcontractor]])</f>
        <v>0</v>
      </c>
      <c r="E10" s="10"/>
      <c r="F10" t="str" cm="1">
        <f t="array" ref="F10:F24">_xlfn.UNIQUE(Task_Summary_Table[To Org])</f>
        <v>Westland Construction, Inc.</v>
      </c>
      <c r="AF10" s="8">
        <v>407</v>
      </c>
      <c r="AG10" s="8"/>
      <c r="AH10" s="8"/>
      <c r="AI10" s="8"/>
    </row>
    <row r="11" spans="1:56" x14ac:dyDescent="0.35">
      <c r="A11" t="s">
        <v>1622</v>
      </c>
      <c r="B11" s="10">
        <f>COUNTIFS(Task_Summary_Table[Status], "Opened", Task_Summary_Table[To Org], Table11[[#This Row],[Subcontractor]])</f>
        <v>0</v>
      </c>
      <c r="C11" s="10">
        <f>COUNTIFS(Task_Summary_Table[Status], "Completed", Task_Summary_Table[To Org], Table11[[#This Row],[Subcontractor]])</f>
        <v>0</v>
      </c>
      <c r="D11" s="10">
        <f>COUNTIFS(Task_Summary_Table[Status], "Signed Off", Task_Summary_Table[To Org], Table11[[#This Row],[Subcontractor]])</f>
        <v>0</v>
      </c>
      <c r="E11" s="10"/>
      <c r="F11" t="str">
        <v>Pete King Construction</v>
      </c>
      <c r="AF11" s="8">
        <v>406</v>
      </c>
      <c r="AG11" s="8"/>
      <c r="AH11" s="8"/>
      <c r="AI11" s="8"/>
    </row>
    <row r="12" spans="1:56" x14ac:dyDescent="0.35">
      <c r="A12" t="s">
        <v>1623</v>
      </c>
      <c r="B12" s="10">
        <f>COUNTIFS(Task_Summary_Table[Status], "Opened", Task_Summary_Table[To Org], Table11[[#This Row],[Subcontractor]])</f>
        <v>0</v>
      </c>
      <c r="C12" s="10">
        <f>COUNTIFS(Task_Summary_Table[Status], "Completed", Task_Summary_Table[To Org], Table11[[#This Row],[Subcontractor]])</f>
        <v>0</v>
      </c>
      <c r="D12" s="10">
        <f>COUNTIFS(Task_Summary_Table[Status], "Signed Off", Task_Summary_Table[To Org], Table11[[#This Row],[Subcontractor]])</f>
        <v>0</v>
      </c>
      <c r="E12" s="10"/>
      <c r="F12" t="str">
        <v>Accent Painting and Special Coatings, LLC</v>
      </c>
      <c r="AF12" s="8">
        <v>405</v>
      </c>
      <c r="AG12" s="8"/>
      <c r="AH12" s="8"/>
      <c r="AI12" s="8"/>
    </row>
    <row r="13" spans="1:56" x14ac:dyDescent="0.35">
      <c r="A13" t="s">
        <v>1624</v>
      </c>
      <c r="B13" s="10">
        <f>COUNTIFS(Task_Summary_Table[Status], "Opened", Task_Summary_Table[To Org], Table11[[#This Row],[Subcontractor]])</f>
        <v>0</v>
      </c>
      <c r="C13" s="10">
        <f>COUNTIFS(Task_Summary_Table[Status], "Completed", Task_Summary_Table[To Org], Table11[[#This Row],[Subcontractor]])</f>
        <v>0</v>
      </c>
      <c r="D13" s="10">
        <f>COUNTIFS(Task_Summary_Table[Status], "Signed Off", Task_Summary_Table[To Org], Table11[[#This Row],[Subcontractor]])</f>
        <v>0</v>
      </c>
      <c r="E13" s="10"/>
      <c r="F13" t="str">
        <v>Wilkinson Electric Inc</v>
      </c>
      <c r="AF13" s="8">
        <v>404</v>
      </c>
      <c r="AG13" s="8"/>
      <c r="AH13" s="8"/>
      <c r="AI13" s="8"/>
    </row>
    <row r="14" spans="1:56" x14ac:dyDescent="0.35">
      <c r="A14" t="s">
        <v>1625</v>
      </c>
      <c r="B14" s="10">
        <f>COUNTIFS(Task_Summary_Table[Status], "Opened", Task_Summary_Table[To Org], Table11[[#This Row],[Subcontractor]])</f>
        <v>0</v>
      </c>
      <c r="C14" s="10">
        <f>COUNTIFS(Task_Summary_Table[Status], "Completed", Task_Summary_Table[To Org], Table11[[#This Row],[Subcontractor]])</f>
        <v>0</v>
      </c>
      <c r="D14" s="10">
        <f>COUNTIFS(Task_Summary_Table[Status], "Signed Off", Task_Summary_Table[To Org], Table11[[#This Row],[Subcontractor]])</f>
        <v>0</v>
      </c>
      <c r="E14" s="10"/>
      <c r="F14" t="str">
        <v>Fetzers' Inc.</v>
      </c>
      <c r="AF14" s="8">
        <v>403</v>
      </c>
      <c r="AG14" s="8"/>
      <c r="AH14" s="8"/>
      <c r="AI14" s="8"/>
    </row>
    <row r="15" spans="1:56" x14ac:dyDescent="0.35">
      <c r="A15" t="s">
        <v>1626</v>
      </c>
      <c r="B15" s="10">
        <f>COUNTIFS(Task_Summary_Table[Status], "Opened", Task_Summary_Table[To Org], Table11[[#This Row],[Subcontractor]])</f>
        <v>0</v>
      </c>
      <c r="C15" s="10">
        <f>COUNTIFS(Task_Summary_Table[Status], "Completed", Task_Summary_Table[To Org], Table11[[#This Row],[Subcontractor]])</f>
        <v>0</v>
      </c>
      <c r="D15" s="10">
        <f>COUNTIFS(Task_Summary_Table[Status], "Signed Off", Task_Summary_Table[To Org], Table11[[#This Row],[Subcontractor]])</f>
        <v>0</v>
      </c>
      <c r="E15" s="10"/>
      <c r="F15" t="str">
        <v>Broken Arrow Construction Corporation</v>
      </c>
      <c r="AF15" s="8">
        <v>402</v>
      </c>
      <c r="AG15" s="8"/>
      <c r="AH15" s="8"/>
      <c r="AI15" s="8"/>
    </row>
    <row r="16" spans="1:56" x14ac:dyDescent="0.35">
      <c r="A16" t="s">
        <v>161</v>
      </c>
      <c r="B16" s="10">
        <f>COUNTIFS(Task_Summary_Table[Status], "Opened", Task_Summary_Table[To Org], Table11[[#This Row],[Subcontractor]])</f>
        <v>2</v>
      </c>
      <c r="C16" s="10">
        <f>COUNTIFS(Task_Summary_Table[Status], "Completed", Task_Summary_Table[To Org], Table11[[#This Row],[Subcontractor]])</f>
        <v>0</v>
      </c>
      <c r="D16" s="10">
        <f>COUNTIFS(Task_Summary_Table[Status], "Signed Off", Task_Summary_Table[To Org], Table11[[#This Row],[Subcontractor]])</f>
        <v>2</v>
      </c>
      <c r="E16" s="10"/>
      <c r="F16" t="str">
        <v>Innovative Concrete, LLC</v>
      </c>
      <c r="AF16" s="8">
        <v>401</v>
      </c>
      <c r="AG16" s="8"/>
      <c r="AH16" s="8"/>
      <c r="AI16" s="8"/>
    </row>
    <row r="17" spans="1:35" x14ac:dyDescent="0.35">
      <c r="A17" t="s">
        <v>195</v>
      </c>
      <c r="B17" s="10">
        <f>COUNTIFS(Task_Summary_Table[Status], "Opened", Task_Summary_Table[To Org], Table11[[#This Row],[Subcontractor]])</f>
        <v>17</v>
      </c>
      <c r="C17" s="10">
        <f>COUNTIFS(Task_Summary_Table[Status], "Completed", Task_Summary_Table[To Org], Table11[[#This Row],[Subcontractor]])</f>
        <v>2</v>
      </c>
      <c r="D17" s="10">
        <f>COUNTIFS(Task_Summary_Table[Status], "Signed Off", Task_Summary_Table[To Org], Table11[[#This Row],[Subcontractor]])</f>
        <v>20</v>
      </c>
      <c r="E17" s="10"/>
      <c r="F17" t="str">
        <v>Glassey Steel Works</v>
      </c>
      <c r="AF17" s="8">
        <v>307</v>
      </c>
      <c r="AG17" s="8"/>
      <c r="AH17" s="8"/>
      <c r="AI17" s="8"/>
    </row>
    <row r="18" spans="1:35" x14ac:dyDescent="0.35">
      <c r="A18" t="s">
        <v>584</v>
      </c>
      <c r="B18" s="10">
        <f>COUNTIFS(Task_Summary_Table[Status], "Opened", Task_Summary_Table[To Org], Table11[[#This Row],[Subcontractor]])</f>
        <v>4</v>
      </c>
      <c r="C18" s="10">
        <f>COUNTIFS(Task_Summary_Table[Status], "Completed", Task_Summary_Table[To Org], Table11[[#This Row],[Subcontractor]])</f>
        <v>0</v>
      </c>
      <c r="D18" s="10">
        <f>COUNTIFS(Task_Summary_Table[Status], "Signed Off", Task_Summary_Table[To Org], Table11[[#This Row],[Subcontractor]])</f>
        <v>0</v>
      </c>
      <c r="E18" s="10"/>
      <c r="F18" t="str">
        <v>US Mechanical</v>
      </c>
      <c r="AF18" s="8">
        <v>306</v>
      </c>
      <c r="AG18" s="8"/>
      <c r="AH18" s="8"/>
      <c r="AI18" s="8"/>
    </row>
    <row r="19" spans="1:35" x14ac:dyDescent="0.35">
      <c r="A19" t="s">
        <v>91</v>
      </c>
      <c r="B19" s="10">
        <f>COUNTIFS(Task_Summary_Table[Status], "Opened", Task_Summary_Table[To Org], Table11[[#This Row],[Subcontractor]])</f>
        <v>32</v>
      </c>
      <c r="C19" s="10">
        <f>COUNTIFS(Task_Summary_Table[Status], "Completed", Task_Summary_Table[To Org], Table11[[#This Row],[Subcontractor]])</f>
        <v>12</v>
      </c>
      <c r="D19" s="10">
        <f>COUNTIFS(Task_Summary_Table[Status], "Signed Off", Task_Summary_Table[To Org], Table11[[#This Row],[Subcontractor]])</f>
        <v>17</v>
      </c>
      <c r="E19" s="10"/>
      <c r="F19" t="str">
        <v>Rockhill Construction</v>
      </c>
      <c r="AF19" s="8">
        <v>305</v>
      </c>
      <c r="AG19" s="8"/>
      <c r="AH19" s="8"/>
      <c r="AI19" s="8"/>
    </row>
    <row r="20" spans="1:35" x14ac:dyDescent="0.35">
      <c r="A20" t="s">
        <v>598</v>
      </c>
      <c r="B20" s="10">
        <f>COUNTIFS(Task_Summary_Table[Status], "Opened", Task_Summary_Table[To Org], Table11[[#This Row],[Subcontractor]])</f>
        <v>14</v>
      </c>
      <c r="C20" s="10">
        <f>COUNTIFS(Task_Summary_Table[Status], "Completed", Task_Summary_Table[To Org], Table11[[#This Row],[Subcontractor]])</f>
        <v>0</v>
      </c>
      <c r="D20" s="10">
        <f>COUNTIFS(Task_Summary_Table[Status], "Signed Off", Task_Summary_Table[To Org], Table11[[#This Row],[Subcontractor]])</f>
        <v>0</v>
      </c>
      <c r="E20" s="10"/>
      <c r="F20" t="str">
        <v>Design West Acoustics</v>
      </c>
      <c r="AF20" s="8">
        <v>304</v>
      </c>
      <c r="AG20" s="8"/>
      <c r="AH20" s="8"/>
      <c r="AI20" s="8"/>
    </row>
    <row r="21" spans="1:35" x14ac:dyDescent="0.35">
      <c r="A21" t="s">
        <v>111</v>
      </c>
      <c r="B21" s="10">
        <f>COUNTIFS(Task_Summary_Table[Status], "Opened", Task_Summary_Table[To Org], Table11[[#This Row],[Subcontractor]])</f>
        <v>6</v>
      </c>
      <c r="C21" s="10">
        <f>COUNTIFS(Task_Summary_Table[Status], "Completed", Task_Summary_Table[To Org], Table11[[#This Row],[Subcontractor]])</f>
        <v>1</v>
      </c>
      <c r="D21" s="10">
        <f>COUNTIFS(Task_Summary_Table[Status], "Signed Off", Task_Summary_Table[To Org], Table11[[#This Row],[Subcontractor]])</f>
        <v>8</v>
      </c>
      <c r="E21" s="10"/>
      <c r="F21" t="str">
        <v>IMS Masonry, Inc.</v>
      </c>
      <c r="AF21" s="8">
        <v>303</v>
      </c>
      <c r="AG21" s="8"/>
      <c r="AH21" s="8"/>
      <c r="AI21" s="8"/>
    </row>
    <row r="22" spans="1:35" x14ac:dyDescent="0.35">
      <c r="A22" t="s">
        <v>1627</v>
      </c>
      <c r="B22" s="10">
        <f>COUNTIFS(Task_Summary_Table[Status], "Opened", Task_Summary_Table[To Org], Table11[[#This Row],[Subcontractor]])</f>
        <v>0</v>
      </c>
      <c r="C22" s="10">
        <f>COUNTIFS(Task_Summary_Table[Status], "Completed", Task_Summary_Table[To Org], Table11[[#This Row],[Subcontractor]])</f>
        <v>0</v>
      </c>
      <c r="D22" s="10">
        <f>COUNTIFS(Task_Summary_Table[Status], "Signed Off", Task_Summary_Table[To Org], Table11[[#This Row],[Subcontractor]])</f>
        <v>0</v>
      </c>
      <c r="E22" s="10"/>
      <c r="F22" t="str">
        <v>R. Phillips Plastering LLC</v>
      </c>
      <c r="AF22" s="8">
        <v>302</v>
      </c>
      <c r="AG22" s="8"/>
      <c r="AH22" s="8"/>
      <c r="AI22" s="8"/>
    </row>
    <row r="23" spans="1:35" x14ac:dyDescent="0.35">
      <c r="A23" t="s">
        <v>34</v>
      </c>
      <c r="B23" s="10">
        <f>COUNTIFS(Task_Summary_Table[Status], "Opened", Task_Summary_Table[To Org], Table11[[#This Row],[Subcontractor]])</f>
        <v>34</v>
      </c>
      <c r="C23" s="10">
        <f>COUNTIFS(Task_Summary_Table[Status], "Completed", Task_Summary_Table[To Org], Table11[[#This Row],[Subcontractor]])</f>
        <v>3</v>
      </c>
      <c r="D23" s="10">
        <f>COUNTIFS(Task_Summary_Table[Status], "Signed Off", Task_Summary_Table[To Org], Table11[[#This Row],[Subcontractor]])</f>
        <v>40</v>
      </c>
      <c r="E23" s="10"/>
      <c r="F23" t="str">
        <v>Global Stone and Tile, LLC</v>
      </c>
      <c r="AF23" s="8">
        <v>301</v>
      </c>
      <c r="AG23" s="8"/>
      <c r="AH23" s="8"/>
      <c r="AI23" s="8"/>
    </row>
    <row r="24" spans="1:35" x14ac:dyDescent="0.35">
      <c r="A24" t="s">
        <v>594</v>
      </c>
      <c r="B24" s="10">
        <f>COUNTIFS(Task_Summary_Table[Status], "Opened", Task_Summary_Table[To Org], Table11[[#This Row],[Subcontractor]])</f>
        <v>19</v>
      </c>
      <c r="C24" s="10">
        <f>COUNTIFS(Task_Summary_Table[Status], "Completed", Task_Summary_Table[To Org], Table11[[#This Row],[Subcontractor]])</f>
        <v>1</v>
      </c>
      <c r="D24" s="10">
        <f>COUNTIFS(Task_Summary_Table[Status], "Signed Off", Task_Summary_Table[To Org], Table11[[#This Row],[Subcontractor]])</f>
        <v>2</v>
      </c>
      <c r="F24" t="str">
        <v>New Holland Church Furniture</v>
      </c>
      <c r="AF24" s="8">
        <v>207</v>
      </c>
      <c r="AG24" s="8"/>
      <c r="AH24" s="8"/>
      <c r="AI24" s="8"/>
    </row>
    <row r="25" spans="1:35" x14ac:dyDescent="0.35">
      <c r="A25" t="s">
        <v>40</v>
      </c>
      <c r="B25" s="10">
        <f>COUNTIFS(Task_Summary_Table[Status], "Opened", Task_Summary_Table[To Org], Table11[[#This Row],[Subcontractor]])</f>
        <v>4</v>
      </c>
      <c r="C25" s="10">
        <f>COUNTIFS(Task_Summary_Table[Status], "Completed", Task_Summary_Table[To Org], Table11[[#This Row],[Subcontractor]])</f>
        <v>0</v>
      </c>
      <c r="D25" s="10">
        <f>COUNTIFS(Task_Summary_Table[Status], "Signed Off", Task_Summary_Table[To Org], Table11[[#This Row],[Subcontractor]])</f>
        <v>0</v>
      </c>
      <c r="AF25" s="8">
        <v>206</v>
      </c>
      <c r="AG25" s="8"/>
      <c r="AH25" s="8"/>
      <c r="AI25" s="8"/>
    </row>
    <row r="26" spans="1:35" x14ac:dyDescent="0.35">
      <c r="A26" t="s">
        <v>44</v>
      </c>
      <c r="B26" s="10">
        <f>COUNTIFS(Task_Summary_Table[Status], "Opened", Task_Summary_Table[To Org], Table11[[#This Row],[Subcontractor]])</f>
        <v>22</v>
      </c>
      <c r="C26" s="11">
        <f>COUNTIFS(Task_Summary_Table[Status], "Completed", Task_Summary_Table[To Org], Table11[[#This Row],[Subcontractor]])</f>
        <v>2</v>
      </c>
      <c r="D26" s="10">
        <f>COUNTIFS(Task_Summary_Table[Status], "Signed Off", Task_Summary_Table[To Org], Table11[[#This Row],[Subcontractor]])</f>
        <v>15</v>
      </c>
      <c r="AF26" s="8">
        <v>205</v>
      </c>
      <c r="AG26" s="8"/>
      <c r="AH26" s="8"/>
      <c r="AI26" s="8"/>
    </row>
    <row r="27" spans="1:35" x14ac:dyDescent="0.35">
      <c r="A27" t="s">
        <v>57</v>
      </c>
      <c r="B27" s="10">
        <f>COUNTIFS(Task_Summary_Table[Status], "Opened", Task_Summary_Table[To Org], Table11[[#This Row],[Subcontractor]])</f>
        <v>25</v>
      </c>
      <c r="C27" s="11">
        <f>COUNTIFS(Task_Summary_Table[Status], "Completed", Task_Summary_Table[To Org], Table11[[#This Row],[Subcontractor]])</f>
        <v>5</v>
      </c>
      <c r="D27" s="10">
        <f>COUNTIFS(Task_Summary_Table[Status], "Signed Off", Task_Summary_Table[To Org], Table11[[#This Row],[Subcontractor]])</f>
        <v>88</v>
      </c>
      <c r="AF27" s="8">
        <v>204</v>
      </c>
      <c r="AG27" s="8"/>
      <c r="AH27" s="8"/>
      <c r="AI27" s="8"/>
    </row>
    <row r="28" spans="1:35" x14ac:dyDescent="0.35">
      <c r="A28" t="s">
        <v>28</v>
      </c>
      <c r="B28" s="10">
        <f>COUNTIFS(Task_Summary_Table[Status], "Opened", Task_Summary_Table[To Org], Table11[[#This Row],[Subcontractor]])</f>
        <v>22</v>
      </c>
      <c r="C28" s="10">
        <f>COUNTIFS(Task_Summary_Table[Status], "Completed", Task_Summary_Table[To Org], Table11[[#This Row],[Subcontractor]])</f>
        <v>1</v>
      </c>
      <c r="D28" s="10">
        <f>COUNTIFS(Task_Summary_Table[Status], "Signed Off", Task_Summary_Table[To Org], Table11[[#This Row],[Subcontractor]])</f>
        <v>15</v>
      </c>
      <c r="AF28" s="8">
        <v>203</v>
      </c>
      <c r="AG28" s="8"/>
      <c r="AH28" s="8"/>
      <c r="AI28" s="8"/>
    </row>
    <row r="29" spans="1:35" x14ac:dyDescent="0.35">
      <c r="A29" t="s">
        <v>22</v>
      </c>
      <c r="B29" s="10">
        <f>COUNTIFS(Task_Summary_Table[Status], "Opened", Task_Summary_Table[To Org], Table11[[#This Row],[Subcontractor]])</f>
        <v>22</v>
      </c>
      <c r="C29" s="10">
        <f>COUNTIFS(Task_Summary_Table[Status], "Completed", Task_Summary_Table[To Org], Table11[[#This Row],[Subcontractor]])</f>
        <v>1</v>
      </c>
      <c r="D29" s="10">
        <f>COUNTIFS(Task_Summary_Table[Status], "Signed Off", Task_Summary_Table[To Org], Table11[[#This Row],[Subcontractor]])</f>
        <v>20</v>
      </c>
      <c r="AF29" s="8">
        <v>202</v>
      </c>
      <c r="AG29" s="8"/>
      <c r="AH29" s="8"/>
      <c r="AI29" s="8"/>
    </row>
    <row r="30" spans="1:35" x14ac:dyDescent="0.35">
      <c r="A30" t="s">
        <v>51</v>
      </c>
      <c r="B30" s="10">
        <f>COUNTIFS(Task_Summary_Table[Status], "Opened", Task_Summary_Table[To Org], Table11[[#This Row],[Subcontractor]])</f>
        <v>114</v>
      </c>
      <c r="C30" s="11">
        <f>COUNTIFS(Task_Summary_Table[Status], "Completed", Task_Summary_Table[To Org], Table11[[#This Row],[Subcontractor]])</f>
        <v>0</v>
      </c>
      <c r="D30" s="10">
        <f>COUNTIFS(Task_Summary_Table[Status], "Signed Off", Task_Summary_Table[To Org], Table11[[#This Row],[Subcontractor]])</f>
        <v>10</v>
      </c>
      <c r="AF30" s="8">
        <v>201</v>
      </c>
      <c r="AG30" s="8"/>
      <c r="AH30" s="8"/>
      <c r="AI30" s="8"/>
    </row>
    <row r="31" spans="1:35" x14ac:dyDescent="0.35">
      <c r="AF31" s="8">
        <v>189</v>
      </c>
      <c r="AG31" s="8"/>
      <c r="AH31" s="8"/>
      <c r="AI31" s="8"/>
    </row>
    <row r="32" spans="1:35" x14ac:dyDescent="0.35">
      <c r="AF32" s="8">
        <v>188</v>
      </c>
      <c r="AG32" s="8"/>
      <c r="AH32" s="8"/>
      <c r="AI32" s="8"/>
    </row>
    <row r="33" spans="32:35" x14ac:dyDescent="0.35">
      <c r="AF33" s="8">
        <v>187</v>
      </c>
      <c r="AG33" s="8"/>
      <c r="AH33" s="8"/>
      <c r="AI33" s="8"/>
    </row>
    <row r="34" spans="32:35" x14ac:dyDescent="0.35">
      <c r="AF34" s="8">
        <v>186</v>
      </c>
      <c r="AG34" s="8"/>
      <c r="AH34" s="8"/>
      <c r="AI34" s="8"/>
    </row>
    <row r="35" spans="32:35" x14ac:dyDescent="0.35">
      <c r="AF35" s="8">
        <v>185</v>
      </c>
      <c r="AG35" s="8"/>
      <c r="AH35" s="8"/>
      <c r="AI35" s="8"/>
    </row>
    <row r="36" spans="32:35" x14ac:dyDescent="0.35">
      <c r="AF36" s="8">
        <v>184</v>
      </c>
      <c r="AG36" s="8"/>
      <c r="AH36" s="8"/>
      <c r="AI36" s="8"/>
    </row>
    <row r="37" spans="32:35" x14ac:dyDescent="0.35">
      <c r="AF37" s="8">
        <v>183</v>
      </c>
      <c r="AG37" s="8"/>
      <c r="AH37" s="8"/>
      <c r="AI37" s="8"/>
    </row>
    <row r="38" spans="32:35" x14ac:dyDescent="0.35">
      <c r="AF38" s="7" t="s">
        <v>994</v>
      </c>
      <c r="AG38" s="7"/>
      <c r="AH38" s="7"/>
      <c r="AI38" s="7"/>
    </row>
    <row r="39" spans="32:35" x14ac:dyDescent="0.35">
      <c r="AF39" s="7" t="s">
        <v>993</v>
      </c>
      <c r="AG39" s="7"/>
      <c r="AH39" s="7"/>
      <c r="AI39" s="7"/>
    </row>
    <row r="40" spans="32:35" x14ac:dyDescent="0.35">
      <c r="AF40" s="7" t="s">
        <v>992</v>
      </c>
      <c r="AG40" s="7"/>
      <c r="AH40" s="7"/>
      <c r="AI40" s="7"/>
    </row>
    <row r="41" spans="32:35" x14ac:dyDescent="0.35">
      <c r="AF41" s="7" t="s">
        <v>991</v>
      </c>
      <c r="AG41" s="7"/>
      <c r="AH41" s="7"/>
      <c r="AI41" s="7"/>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700"/>
  <sheetViews>
    <sheetView workbookViewId="0">
      <selection activeCell="B47" sqref="B47"/>
    </sheetView>
  </sheetViews>
  <sheetFormatPr defaultRowHeight="14.5" x14ac:dyDescent="0.35"/>
  <cols>
    <col min="1" max="1" width="10.54296875" bestFit="1" customWidth="1"/>
    <col min="2" max="2" width="24.90625" bestFit="1" customWidth="1"/>
    <col min="3" max="3" width="30.7265625" bestFit="1" customWidth="1"/>
    <col min="4" max="4" width="25.7265625" bestFit="1" customWidth="1"/>
    <col min="5" max="5" width="80.7265625" bestFit="1" customWidth="1"/>
    <col min="6" max="7" width="10.5429687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54296875" bestFit="1" customWidth="1"/>
    <col min="14" max="14" width="9" bestFit="1" customWidth="1"/>
    <col min="15" max="15" width="12.1796875" bestFit="1" customWidth="1"/>
    <col min="16" max="16" width="12.6328125" customWidth="1"/>
    <col min="17" max="17" width="7.7265625" bestFit="1" customWidth="1"/>
  </cols>
  <sheetData>
    <row r="1" spans="1:17" x14ac:dyDescent="0.35">
      <c r="A1" t="s">
        <v>3</v>
      </c>
      <c r="B1" t="s">
        <v>4</v>
      </c>
      <c r="C1" t="s">
        <v>861</v>
      </c>
      <c r="D1" t="s">
        <v>5</v>
      </c>
      <c r="E1" t="s">
        <v>6</v>
      </c>
      <c r="F1" t="s">
        <v>7</v>
      </c>
      <c r="G1" t="s">
        <v>8</v>
      </c>
      <c r="H1" t="s">
        <v>9</v>
      </c>
      <c r="I1" t="s">
        <v>10</v>
      </c>
      <c r="J1" t="s">
        <v>11</v>
      </c>
      <c r="K1" t="s">
        <v>12</v>
      </c>
      <c r="L1" t="s">
        <v>13</v>
      </c>
      <c r="M1" t="s">
        <v>14</v>
      </c>
      <c r="N1" t="s">
        <v>15</v>
      </c>
      <c r="O1" t="s">
        <v>16</v>
      </c>
      <c r="P1" t="s">
        <v>17</v>
      </c>
      <c r="Q1" t="s">
        <v>862</v>
      </c>
    </row>
    <row r="2" spans="1:17" x14ac:dyDescent="0.35">
      <c r="A2" s="4" t="s">
        <v>65</v>
      </c>
      <c r="B2" s="4" t="s">
        <v>19</v>
      </c>
      <c r="C2" s="4" t="s">
        <v>66</v>
      </c>
      <c r="D2" s="4"/>
      <c r="E2" s="4" t="s">
        <v>67</v>
      </c>
      <c r="F2" s="5">
        <v>44790</v>
      </c>
      <c r="G2" s="5">
        <v>44791</v>
      </c>
      <c r="H2" s="4" t="s">
        <v>21</v>
      </c>
      <c r="I2" s="4" t="s">
        <v>22</v>
      </c>
      <c r="J2" s="4" t="s">
        <v>23</v>
      </c>
      <c r="K2" s="5">
        <v>44790</v>
      </c>
      <c r="L2" s="4" t="s">
        <v>24</v>
      </c>
      <c r="M2" t="b">
        <v>1</v>
      </c>
      <c r="N2" t="b">
        <v>1</v>
      </c>
      <c r="O2" t="b">
        <v>0</v>
      </c>
      <c r="P2" t="b">
        <v>0</v>
      </c>
      <c r="Q2">
        <v>1</v>
      </c>
    </row>
    <row r="3" spans="1:17" x14ac:dyDescent="0.35">
      <c r="A3" s="4" t="s">
        <v>63</v>
      </c>
      <c r="B3" s="4" t="s">
        <v>19</v>
      </c>
      <c r="C3" s="4" t="s">
        <v>228</v>
      </c>
      <c r="D3" s="4" t="s">
        <v>874</v>
      </c>
      <c r="E3" s="4" t="s">
        <v>64</v>
      </c>
      <c r="F3" s="5">
        <v>44790</v>
      </c>
      <c r="G3" s="5">
        <v>44791</v>
      </c>
      <c r="H3" s="4" t="s">
        <v>21</v>
      </c>
      <c r="I3" s="4" t="s">
        <v>34</v>
      </c>
      <c r="J3" s="4" t="s">
        <v>35</v>
      </c>
      <c r="K3" s="5">
        <v>44790</v>
      </c>
      <c r="L3" s="4" t="s">
        <v>24</v>
      </c>
      <c r="M3" t="b">
        <v>1</v>
      </c>
      <c r="N3" t="b">
        <v>1</v>
      </c>
      <c r="O3" t="b">
        <v>0</v>
      </c>
      <c r="P3" t="b">
        <v>0</v>
      </c>
      <c r="Q3">
        <v>2</v>
      </c>
    </row>
    <row r="4" spans="1:17" x14ac:dyDescent="0.35">
      <c r="A4" s="4" t="s">
        <v>53</v>
      </c>
      <c r="B4" s="4" t="s">
        <v>19</v>
      </c>
      <c r="C4" s="4" t="s">
        <v>107</v>
      </c>
      <c r="D4" s="4" t="s">
        <v>871</v>
      </c>
      <c r="E4" s="4" t="s">
        <v>54</v>
      </c>
      <c r="F4" s="5">
        <v>44791</v>
      </c>
      <c r="G4" s="5">
        <v>44798</v>
      </c>
      <c r="H4" s="4" t="s">
        <v>21</v>
      </c>
      <c r="I4" s="4" t="s">
        <v>51</v>
      </c>
      <c r="J4" s="4" t="s">
        <v>52</v>
      </c>
      <c r="K4" s="5">
        <v>44791</v>
      </c>
      <c r="L4" s="4" t="s">
        <v>24</v>
      </c>
      <c r="M4" t="b">
        <v>1</v>
      </c>
      <c r="N4" t="b">
        <v>1</v>
      </c>
      <c r="O4" t="b">
        <v>0</v>
      </c>
      <c r="P4" t="b">
        <v>0</v>
      </c>
      <c r="Q4">
        <v>3</v>
      </c>
    </row>
    <row r="5" spans="1:17" x14ac:dyDescent="0.35">
      <c r="A5" s="4" t="s">
        <v>49</v>
      </c>
      <c r="B5" s="4" t="s">
        <v>19</v>
      </c>
      <c r="C5" s="4" t="s">
        <v>107</v>
      </c>
      <c r="D5" s="4" t="s">
        <v>870</v>
      </c>
      <c r="E5" s="4" t="s">
        <v>50</v>
      </c>
      <c r="F5" s="5">
        <v>44791</v>
      </c>
      <c r="G5" s="5">
        <v>44798</v>
      </c>
      <c r="H5" s="4" t="s">
        <v>21</v>
      </c>
      <c r="I5" s="4" t="s">
        <v>51</v>
      </c>
      <c r="J5" s="4" t="s">
        <v>52</v>
      </c>
      <c r="K5" s="5">
        <v>44791</v>
      </c>
      <c r="L5" s="4" t="s">
        <v>24</v>
      </c>
      <c r="M5" t="b">
        <v>1</v>
      </c>
      <c r="N5" t="b">
        <v>1</v>
      </c>
      <c r="O5" t="b">
        <v>0</v>
      </c>
      <c r="P5" t="b">
        <v>0</v>
      </c>
      <c r="Q5">
        <v>4</v>
      </c>
    </row>
    <row r="6" spans="1:17" x14ac:dyDescent="0.35">
      <c r="A6" s="4" t="s">
        <v>996</v>
      </c>
      <c r="B6" s="4" t="s">
        <v>134</v>
      </c>
      <c r="C6" s="4" t="s">
        <v>107</v>
      </c>
      <c r="D6" s="4" t="s">
        <v>997</v>
      </c>
      <c r="E6" s="4" t="s">
        <v>998</v>
      </c>
      <c r="F6" s="5">
        <v>44796</v>
      </c>
      <c r="G6" s="5">
        <v>44797</v>
      </c>
      <c r="H6" s="4" t="s">
        <v>21</v>
      </c>
      <c r="I6" s="4" t="s">
        <v>34</v>
      </c>
      <c r="J6" s="4" t="s">
        <v>35</v>
      </c>
      <c r="K6" s="5">
        <v>44812</v>
      </c>
      <c r="L6" s="4" t="s">
        <v>24</v>
      </c>
      <c r="M6" t="b">
        <v>0</v>
      </c>
      <c r="N6" t="b">
        <v>1</v>
      </c>
      <c r="O6" t="b">
        <v>0</v>
      </c>
      <c r="P6" t="b">
        <v>0</v>
      </c>
      <c r="Q6">
        <v>5</v>
      </c>
    </row>
    <row r="7" spans="1:17" x14ac:dyDescent="0.35">
      <c r="A7" s="4" t="s">
        <v>61</v>
      </c>
      <c r="B7" s="4" t="s">
        <v>134</v>
      </c>
      <c r="C7" s="4" t="s">
        <v>228</v>
      </c>
      <c r="D7" s="4" t="s">
        <v>873</v>
      </c>
      <c r="E7" s="4" t="s">
        <v>62</v>
      </c>
      <c r="F7" s="5">
        <v>44790</v>
      </c>
      <c r="G7" s="5">
        <v>44791</v>
      </c>
      <c r="H7" s="4" t="s">
        <v>21</v>
      </c>
      <c r="I7" s="4" t="s">
        <v>34</v>
      </c>
      <c r="J7" s="4" t="s">
        <v>35</v>
      </c>
      <c r="K7" s="5">
        <v>44825</v>
      </c>
      <c r="L7" s="4" t="s">
        <v>24</v>
      </c>
      <c r="M7" t="b">
        <v>0</v>
      </c>
      <c r="N7" t="b">
        <v>0</v>
      </c>
      <c r="O7" t="b">
        <v>0</v>
      </c>
      <c r="P7" t="b">
        <v>0</v>
      </c>
      <c r="Q7">
        <v>6</v>
      </c>
    </row>
    <row r="8" spans="1:17" x14ac:dyDescent="0.35">
      <c r="A8" s="4" t="s">
        <v>18</v>
      </c>
      <c r="B8" s="4" t="s">
        <v>19</v>
      </c>
      <c r="C8" s="4" t="s">
        <v>704</v>
      </c>
      <c r="D8" s="4" t="s">
        <v>863</v>
      </c>
      <c r="E8" s="4" t="s">
        <v>20</v>
      </c>
      <c r="F8" s="5">
        <v>44795</v>
      </c>
      <c r="G8" s="5">
        <v>44802</v>
      </c>
      <c r="H8" s="4" t="s">
        <v>21</v>
      </c>
      <c r="I8" s="4" t="s">
        <v>22</v>
      </c>
      <c r="J8" s="4" t="s">
        <v>23</v>
      </c>
      <c r="K8" s="5">
        <v>44795</v>
      </c>
      <c r="L8" s="4" t="s">
        <v>24</v>
      </c>
      <c r="M8" t="b">
        <v>1</v>
      </c>
      <c r="N8" t="b">
        <v>1</v>
      </c>
      <c r="O8" t="b">
        <v>0</v>
      </c>
      <c r="Q8">
        <v>7</v>
      </c>
    </row>
    <row r="9" spans="1:17" x14ac:dyDescent="0.35">
      <c r="A9" s="4" t="s">
        <v>1053</v>
      </c>
      <c r="B9" s="4" t="s">
        <v>19</v>
      </c>
      <c r="C9" s="4" t="s">
        <v>102</v>
      </c>
      <c r="D9" s="4" t="s">
        <v>882</v>
      </c>
      <c r="E9" s="4" t="s">
        <v>1054</v>
      </c>
      <c r="F9" s="5">
        <v>44799</v>
      </c>
      <c r="G9" s="5">
        <v>44806</v>
      </c>
      <c r="H9" s="4" t="s">
        <v>21</v>
      </c>
      <c r="I9" s="4" t="s">
        <v>57</v>
      </c>
      <c r="J9" s="4" t="s">
        <v>58</v>
      </c>
      <c r="K9" s="5">
        <v>44799</v>
      </c>
      <c r="L9" s="4" t="s">
        <v>24</v>
      </c>
      <c r="M9" t="b">
        <v>1</v>
      </c>
      <c r="N9" t="b">
        <v>1</v>
      </c>
      <c r="O9" t="b">
        <v>0</v>
      </c>
      <c r="P9" t="b">
        <v>0</v>
      </c>
      <c r="Q9">
        <v>8</v>
      </c>
    </row>
    <row r="10" spans="1:17" x14ac:dyDescent="0.35">
      <c r="A10" s="4" t="s">
        <v>999</v>
      </c>
      <c r="B10" s="4" t="s">
        <v>19</v>
      </c>
      <c r="C10" s="4" t="s">
        <v>228</v>
      </c>
      <c r="D10" s="4" t="s">
        <v>892</v>
      </c>
      <c r="E10" s="4" t="s">
        <v>1000</v>
      </c>
      <c r="F10" s="5">
        <v>44796</v>
      </c>
      <c r="G10" s="5">
        <v>44796</v>
      </c>
      <c r="H10" s="4" t="s">
        <v>21</v>
      </c>
      <c r="I10" s="4" t="s">
        <v>22</v>
      </c>
      <c r="J10" s="4" t="s">
        <v>23</v>
      </c>
      <c r="K10" s="5">
        <v>44796</v>
      </c>
      <c r="L10" s="4" t="s">
        <v>24</v>
      </c>
      <c r="M10" t="b">
        <v>1</v>
      </c>
      <c r="N10" t="b">
        <v>0</v>
      </c>
      <c r="O10" t="b">
        <v>0</v>
      </c>
      <c r="P10" t="b">
        <v>0</v>
      </c>
      <c r="Q10">
        <v>9</v>
      </c>
    </row>
    <row r="11" spans="1:17" x14ac:dyDescent="0.35">
      <c r="A11" s="4" t="s">
        <v>1041</v>
      </c>
      <c r="B11" s="4" t="s">
        <v>19</v>
      </c>
      <c r="C11" s="4" t="s">
        <v>704</v>
      </c>
      <c r="D11" s="4" t="s">
        <v>863</v>
      </c>
      <c r="E11" s="4" t="s">
        <v>1042</v>
      </c>
      <c r="F11" s="5">
        <v>44805</v>
      </c>
      <c r="G11" s="5"/>
      <c r="H11" s="4" t="s">
        <v>27</v>
      </c>
      <c r="I11" s="4" t="s">
        <v>28</v>
      </c>
      <c r="J11" s="4" t="s">
        <v>29</v>
      </c>
      <c r="K11" s="5">
        <v>44805</v>
      </c>
      <c r="L11" s="4" t="s">
        <v>24</v>
      </c>
      <c r="M11" t="b">
        <v>0</v>
      </c>
      <c r="N11" t="b">
        <v>0</v>
      </c>
      <c r="O11" t="b">
        <v>0</v>
      </c>
      <c r="P11" t="b">
        <v>0</v>
      </c>
      <c r="Q11">
        <v>10</v>
      </c>
    </row>
    <row r="12" spans="1:17" x14ac:dyDescent="0.35">
      <c r="A12" s="4" t="s">
        <v>1069</v>
      </c>
      <c r="B12" s="4" t="s">
        <v>1007</v>
      </c>
      <c r="C12" s="4" t="s">
        <v>107</v>
      </c>
      <c r="D12" s="4" t="s">
        <v>871</v>
      </c>
      <c r="E12" s="4" t="s">
        <v>1070</v>
      </c>
      <c r="F12" s="5">
        <v>44817</v>
      </c>
      <c r="G12" s="5"/>
      <c r="H12" s="4" t="s">
        <v>27</v>
      </c>
      <c r="I12" s="4" t="s">
        <v>22</v>
      </c>
      <c r="J12" s="4" t="s">
        <v>130</v>
      </c>
      <c r="K12" s="5">
        <v>44817</v>
      </c>
      <c r="L12" s="4" t="s">
        <v>24</v>
      </c>
      <c r="M12" t="b">
        <v>0</v>
      </c>
      <c r="N12" t="b">
        <v>1</v>
      </c>
      <c r="O12" t="b">
        <v>1</v>
      </c>
      <c r="P12" t="b">
        <v>0</v>
      </c>
      <c r="Q12">
        <v>11</v>
      </c>
    </row>
    <row r="13" spans="1:17" x14ac:dyDescent="0.35">
      <c r="A13" s="4" t="s">
        <v>1073</v>
      </c>
      <c r="B13" s="4" t="s">
        <v>1007</v>
      </c>
      <c r="C13" s="4" t="s">
        <v>189</v>
      </c>
      <c r="D13" s="4" t="s">
        <v>1074</v>
      </c>
      <c r="E13" s="4" t="s">
        <v>1075</v>
      </c>
      <c r="F13" s="5">
        <v>44817</v>
      </c>
      <c r="G13" s="5"/>
      <c r="H13" s="4" t="s">
        <v>27</v>
      </c>
      <c r="I13" s="4" t="s">
        <v>22</v>
      </c>
      <c r="J13" s="4" t="s">
        <v>130</v>
      </c>
      <c r="K13" s="5">
        <v>44817</v>
      </c>
      <c r="L13" s="4" t="s">
        <v>24</v>
      </c>
      <c r="M13" t="b">
        <v>0</v>
      </c>
      <c r="N13" t="b">
        <v>1</v>
      </c>
      <c r="O13" t="b">
        <v>0</v>
      </c>
      <c r="P13" t="b">
        <v>0</v>
      </c>
      <c r="Q13">
        <v>12</v>
      </c>
    </row>
    <row r="14" spans="1:17" x14ac:dyDescent="0.35">
      <c r="A14" s="4" t="s">
        <v>1051</v>
      </c>
      <c r="B14" s="4" t="s">
        <v>19</v>
      </c>
      <c r="C14" s="4" t="s">
        <v>349</v>
      </c>
      <c r="D14" s="4" t="s">
        <v>918</v>
      </c>
      <c r="E14" s="4" t="s">
        <v>1052</v>
      </c>
      <c r="F14" s="5">
        <v>44804</v>
      </c>
      <c r="G14" s="5"/>
      <c r="H14" s="4" t="s">
        <v>27</v>
      </c>
      <c r="I14" s="4" t="s">
        <v>195</v>
      </c>
      <c r="J14" s="4" t="s">
        <v>236</v>
      </c>
      <c r="K14" s="5">
        <v>44804</v>
      </c>
      <c r="L14" s="4" t="s">
        <v>24</v>
      </c>
      <c r="M14" t="b">
        <v>0</v>
      </c>
      <c r="N14" t="b">
        <v>1</v>
      </c>
      <c r="O14" t="b">
        <v>0</v>
      </c>
      <c r="P14" t="b">
        <v>0</v>
      </c>
      <c r="Q14">
        <v>13</v>
      </c>
    </row>
    <row r="15" spans="1:17" x14ac:dyDescent="0.35">
      <c r="A15" s="4" t="s">
        <v>1049</v>
      </c>
      <c r="B15" s="4" t="s">
        <v>19</v>
      </c>
      <c r="C15" s="4" t="s">
        <v>349</v>
      </c>
      <c r="D15" s="4" t="s">
        <v>908</v>
      </c>
      <c r="E15" s="4" t="s">
        <v>1050</v>
      </c>
      <c r="F15" s="5">
        <v>44804</v>
      </c>
      <c r="G15" s="5"/>
      <c r="H15" s="4" t="s">
        <v>27</v>
      </c>
      <c r="I15" s="4" t="s">
        <v>195</v>
      </c>
      <c r="J15" s="4" t="s">
        <v>236</v>
      </c>
      <c r="K15" s="5">
        <v>44804</v>
      </c>
      <c r="L15" s="4" t="s">
        <v>24</v>
      </c>
      <c r="M15" t="b">
        <v>0</v>
      </c>
      <c r="N15" t="b">
        <v>1</v>
      </c>
      <c r="O15" t="b">
        <v>0</v>
      </c>
      <c r="P15" t="b">
        <v>0</v>
      </c>
      <c r="Q15">
        <v>14</v>
      </c>
    </row>
    <row r="16" spans="1:17" x14ac:dyDescent="0.35">
      <c r="A16" s="4" t="s">
        <v>1047</v>
      </c>
      <c r="B16" s="4" t="s">
        <v>19</v>
      </c>
      <c r="C16" s="4" t="s">
        <v>349</v>
      </c>
      <c r="D16" s="4" t="s">
        <v>908</v>
      </c>
      <c r="E16" s="4" t="s">
        <v>1048</v>
      </c>
      <c r="F16" s="5">
        <v>44804</v>
      </c>
      <c r="G16" s="5"/>
      <c r="H16" s="4" t="s">
        <v>27</v>
      </c>
      <c r="I16" s="4" t="s">
        <v>195</v>
      </c>
      <c r="J16" s="4" t="s">
        <v>236</v>
      </c>
      <c r="K16" s="5">
        <v>44804</v>
      </c>
      <c r="L16" s="4" t="s">
        <v>24</v>
      </c>
      <c r="M16" t="b">
        <v>0</v>
      </c>
      <c r="N16" t="b">
        <v>1</v>
      </c>
      <c r="O16" t="b">
        <v>0</v>
      </c>
      <c r="P16" t="b">
        <v>0</v>
      </c>
      <c r="Q16">
        <v>15</v>
      </c>
    </row>
    <row r="17" spans="1:17" x14ac:dyDescent="0.35">
      <c r="A17" s="4" t="s">
        <v>1039</v>
      </c>
      <c r="B17" s="4" t="s">
        <v>19</v>
      </c>
      <c r="C17" s="4" t="s">
        <v>157</v>
      </c>
      <c r="D17" s="4" t="s">
        <v>945</v>
      </c>
      <c r="E17" s="4" t="s">
        <v>1040</v>
      </c>
      <c r="F17" s="5">
        <v>44805</v>
      </c>
      <c r="G17" s="5"/>
      <c r="H17" s="4" t="s">
        <v>27</v>
      </c>
      <c r="I17" s="4" t="s">
        <v>22</v>
      </c>
      <c r="J17" s="4" t="s">
        <v>23</v>
      </c>
      <c r="K17" s="5">
        <v>44805</v>
      </c>
      <c r="L17" s="4" t="s">
        <v>24</v>
      </c>
      <c r="M17" t="b">
        <v>0</v>
      </c>
      <c r="N17" t="b">
        <v>0</v>
      </c>
      <c r="O17" t="b">
        <v>0</v>
      </c>
      <c r="P17" t="b">
        <v>0</v>
      </c>
      <c r="Q17">
        <v>16</v>
      </c>
    </row>
    <row r="18" spans="1:17" x14ac:dyDescent="0.35">
      <c r="A18" s="4" t="s">
        <v>1108</v>
      </c>
      <c r="B18" s="4" t="s">
        <v>19</v>
      </c>
      <c r="C18" s="4" t="s">
        <v>868</v>
      </c>
      <c r="D18" s="4" t="s">
        <v>869</v>
      </c>
      <c r="E18" s="4" t="s">
        <v>1109</v>
      </c>
      <c r="F18" s="5">
        <v>44826</v>
      </c>
      <c r="G18" s="5"/>
      <c r="H18" s="4" t="s">
        <v>27</v>
      </c>
      <c r="I18" s="4" t="s">
        <v>57</v>
      </c>
      <c r="J18" s="4" t="s">
        <v>58</v>
      </c>
      <c r="K18" s="5">
        <v>44826</v>
      </c>
      <c r="L18" s="4" t="s">
        <v>24</v>
      </c>
      <c r="M18" t="b">
        <v>0</v>
      </c>
      <c r="N18" t="b">
        <v>1</v>
      </c>
      <c r="O18" t="b">
        <v>0</v>
      </c>
      <c r="P18" t="b">
        <v>0</v>
      </c>
      <c r="Q18">
        <v>17</v>
      </c>
    </row>
    <row r="19" spans="1:17" x14ac:dyDescent="0.35">
      <c r="A19" s="4" t="s">
        <v>1066</v>
      </c>
      <c r="B19" s="4" t="s">
        <v>19</v>
      </c>
      <c r="C19" s="4" t="s">
        <v>66</v>
      </c>
      <c r="D19" s="4" t="s">
        <v>940</v>
      </c>
      <c r="E19" s="4" t="s">
        <v>1067</v>
      </c>
      <c r="F19" s="5">
        <v>44817</v>
      </c>
      <c r="G19" s="5"/>
      <c r="H19" s="4" t="s">
        <v>27</v>
      </c>
      <c r="I19" s="4" t="s">
        <v>22</v>
      </c>
      <c r="J19" s="4" t="s">
        <v>1068</v>
      </c>
      <c r="K19" s="5">
        <v>44817</v>
      </c>
      <c r="L19" s="4" t="s">
        <v>24</v>
      </c>
      <c r="M19" t="b">
        <v>0</v>
      </c>
      <c r="N19" t="b">
        <v>0</v>
      </c>
      <c r="O19" t="b">
        <v>0</v>
      </c>
      <c r="P19" t="b">
        <v>0</v>
      </c>
      <c r="Q19">
        <v>18</v>
      </c>
    </row>
    <row r="20" spans="1:17" x14ac:dyDescent="0.35">
      <c r="A20" s="4" t="s">
        <v>1045</v>
      </c>
      <c r="B20" s="4" t="s">
        <v>19</v>
      </c>
      <c r="C20" s="4" t="s">
        <v>349</v>
      </c>
      <c r="D20" s="4" t="s">
        <v>918</v>
      </c>
      <c r="E20" s="4" t="s">
        <v>1046</v>
      </c>
      <c r="F20" s="5">
        <v>44804</v>
      </c>
      <c r="G20" s="5"/>
      <c r="H20" s="4" t="s">
        <v>27</v>
      </c>
      <c r="I20" s="4" t="s">
        <v>51</v>
      </c>
      <c r="J20" s="4" t="s">
        <v>52</v>
      </c>
      <c r="K20" s="5">
        <v>44804</v>
      </c>
      <c r="L20" s="4" t="s">
        <v>24</v>
      </c>
      <c r="M20" t="b">
        <v>0</v>
      </c>
      <c r="N20" t="b">
        <v>1</v>
      </c>
      <c r="O20" t="b">
        <v>0</v>
      </c>
      <c r="P20" t="b">
        <v>0</v>
      </c>
      <c r="Q20">
        <v>19</v>
      </c>
    </row>
    <row r="21" spans="1:17" x14ac:dyDescent="0.35">
      <c r="A21" s="4" t="s">
        <v>708</v>
      </c>
      <c r="B21" s="4" t="s">
        <v>19</v>
      </c>
      <c r="C21" s="4" t="s">
        <v>228</v>
      </c>
      <c r="D21" s="4"/>
      <c r="E21" s="4" t="s">
        <v>709</v>
      </c>
      <c r="F21" s="5">
        <v>44323</v>
      </c>
      <c r="G21" s="5">
        <v>44330</v>
      </c>
      <c r="H21" s="4" t="s">
        <v>27</v>
      </c>
      <c r="I21" s="4" t="s">
        <v>44</v>
      </c>
      <c r="J21" s="4" t="s">
        <v>45</v>
      </c>
      <c r="K21" s="5">
        <v>44323</v>
      </c>
      <c r="L21" s="4" t="s">
        <v>24</v>
      </c>
      <c r="M21" t="b">
        <v>1</v>
      </c>
      <c r="N21" t="b">
        <v>1</v>
      </c>
      <c r="Q21">
        <v>20</v>
      </c>
    </row>
    <row r="22" spans="1:17" x14ac:dyDescent="0.35">
      <c r="A22" s="4" t="s">
        <v>706</v>
      </c>
      <c r="B22" s="4" t="s">
        <v>19</v>
      </c>
      <c r="C22" s="4" t="s">
        <v>228</v>
      </c>
      <c r="D22" s="4"/>
      <c r="E22" s="4" t="s">
        <v>707</v>
      </c>
      <c r="F22" s="5">
        <v>44323</v>
      </c>
      <c r="G22" s="5">
        <v>44330</v>
      </c>
      <c r="H22" s="4" t="s">
        <v>27</v>
      </c>
      <c r="I22" s="4" t="s">
        <v>44</v>
      </c>
      <c r="J22" s="4" t="s">
        <v>45</v>
      </c>
      <c r="K22" s="5">
        <v>44323</v>
      </c>
      <c r="L22" s="4" t="s">
        <v>24</v>
      </c>
      <c r="M22" t="b">
        <v>1</v>
      </c>
      <c r="N22" t="b">
        <v>1</v>
      </c>
      <c r="Q22">
        <v>21</v>
      </c>
    </row>
    <row r="23" spans="1:17" x14ac:dyDescent="0.35">
      <c r="A23" s="4" t="s">
        <v>701</v>
      </c>
      <c r="B23" s="4" t="s">
        <v>19</v>
      </c>
      <c r="C23" s="4" t="s">
        <v>228</v>
      </c>
      <c r="D23" s="4"/>
      <c r="E23" s="4" t="s">
        <v>702</v>
      </c>
      <c r="F23" s="5">
        <v>44323</v>
      </c>
      <c r="G23" s="5">
        <v>44330</v>
      </c>
      <c r="H23" s="4" t="s">
        <v>27</v>
      </c>
      <c r="I23" s="4" t="s">
        <v>44</v>
      </c>
      <c r="J23" s="4" t="s">
        <v>45</v>
      </c>
      <c r="K23" s="5">
        <v>44323</v>
      </c>
      <c r="L23" s="4" t="s">
        <v>24</v>
      </c>
      <c r="M23" t="b">
        <v>1</v>
      </c>
      <c r="N23" t="b">
        <v>1</v>
      </c>
      <c r="Q23">
        <v>22</v>
      </c>
    </row>
    <row r="24" spans="1:17" x14ac:dyDescent="0.35">
      <c r="A24" s="4" t="s">
        <v>699</v>
      </c>
      <c r="B24" s="4" t="s">
        <v>19</v>
      </c>
      <c r="C24" s="4" t="s">
        <v>228</v>
      </c>
      <c r="D24" s="4"/>
      <c r="E24" s="4" t="s">
        <v>700</v>
      </c>
      <c r="F24" s="5">
        <v>44323</v>
      </c>
      <c r="G24" s="5">
        <v>44330</v>
      </c>
      <c r="H24" s="4" t="s">
        <v>27</v>
      </c>
      <c r="I24" s="4" t="s">
        <v>44</v>
      </c>
      <c r="J24" s="4" t="s">
        <v>45</v>
      </c>
      <c r="K24" s="5">
        <v>44323</v>
      </c>
      <c r="L24" s="4" t="s">
        <v>24</v>
      </c>
      <c r="M24" t="b">
        <v>1</v>
      </c>
      <c r="N24" t="b">
        <v>1</v>
      </c>
      <c r="Q24">
        <v>23</v>
      </c>
    </row>
    <row r="25" spans="1:17" x14ac:dyDescent="0.35">
      <c r="A25" s="4" t="s">
        <v>642</v>
      </c>
      <c r="B25" s="4" t="s">
        <v>19</v>
      </c>
      <c r="C25" s="4" t="s">
        <v>426</v>
      </c>
      <c r="D25" s="4"/>
      <c r="E25" s="4" t="s">
        <v>643</v>
      </c>
      <c r="F25" s="5">
        <v>44369</v>
      </c>
      <c r="G25" s="5">
        <v>44376</v>
      </c>
      <c r="H25" s="4" t="s">
        <v>27</v>
      </c>
      <c r="I25" s="4" t="s">
        <v>44</v>
      </c>
      <c r="J25" s="4" t="s">
        <v>45</v>
      </c>
      <c r="K25" s="5">
        <v>44369</v>
      </c>
      <c r="L25" s="4" t="s">
        <v>24</v>
      </c>
      <c r="M25" t="b">
        <v>1</v>
      </c>
      <c r="N25" t="b">
        <v>1</v>
      </c>
      <c r="Q25">
        <v>24</v>
      </c>
    </row>
    <row r="26" spans="1:17" x14ac:dyDescent="0.35">
      <c r="A26" s="4" t="s">
        <v>592</v>
      </c>
      <c r="B26" s="4" t="s">
        <v>19</v>
      </c>
      <c r="C26" s="4" t="s">
        <v>426</v>
      </c>
      <c r="D26" s="4"/>
      <c r="E26" s="4" t="s">
        <v>593</v>
      </c>
      <c r="F26" s="5">
        <v>44383</v>
      </c>
      <c r="G26" s="5">
        <v>44390</v>
      </c>
      <c r="H26" s="4" t="s">
        <v>27</v>
      </c>
      <c r="I26" s="4" t="s">
        <v>594</v>
      </c>
      <c r="J26" s="4" t="s">
        <v>595</v>
      </c>
      <c r="K26" s="5">
        <v>44383</v>
      </c>
      <c r="L26" s="4" t="s">
        <v>24</v>
      </c>
      <c r="M26" t="b">
        <v>1</v>
      </c>
      <c r="Q26">
        <v>25</v>
      </c>
    </row>
    <row r="27" spans="1:17" x14ac:dyDescent="0.35">
      <c r="A27" s="4" t="s">
        <v>487</v>
      </c>
      <c r="B27" s="4" t="s">
        <v>19</v>
      </c>
      <c r="C27" s="4" t="s">
        <v>426</v>
      </c>
      <c r="D27" s="4"/>
      <c r="E27" s="4" t="s">
        <v>488</v>
      </c>
      <c r="F27" s="5">
        <v>44616</v>
      </c>
      <c r="G27" s="5">
        <v>44623</v>
      </c>
      <c r="H27" s="4" t="s">
        <v>27</v>
      </c>
      <c r="I27" s="4" t="s">
        <v>91</v>
      </c>
      <c r="J27" s="4" t="s">
        <v>184</v>
      </c>
      <c r="K27" s="5">
        <v>44616</v>
      </c>
      <c r="L27" s="4" t="s">
        <v>24</v>
      </c>
      <c r="M27" t="b">
        <v>1</v>
      </c>
      <c r="N27" t="b">
        <v>1</v>
      </c>
      <c r="Q27">
        <v>26</v>
      </c>
    </row>
    <row r="28" spans="1:17" x14ac:dyDescent="0.35">
      <c r="A28" s="4" t="s">
        <v>710</v>
      </c>
      <c r="B28" s="4" t="s">
        <v>19</v>
      </c>
      <c r="C28" s="4" t="s">
        <v>186</v>
      </c>
      <c r="D28" s="4"/>
      <c r="E28" s="4" t="s">
        <v>711</v>
      </c>
      <c r="F28" s="5">
        <v>44323</v>
      </c>
      <c r="G28" s="5">
        <v>44330</v>
      </c>
      <c r="H28" s="4" t="s">
        <v>27</v>
      </c>
      <c r="I28" s="4" t="s">
        <v>598</v>
      </c>
      <c r="J28" s="4" t="s">
        <v>599</v>
      </c>
      <c r="K28" s="5">
        <v>44323</v>
      </c>
      <c r="L28" s="4" t="s">
        <v>24</v>
      </c>
      <c r="M28" t="b">
        <v>1</v>
      </c>
      <c r="N28" t="b">
        <v>1</v>
      </c>
      <c r="Q28">
        <v>27</v>
      </c>
    </row>
    <row r="29" spans="1:17" x14ac:dyDescent="0.35">
      <c r="A29" s="4" t="s">
        <v>697</v>
      </c>
      <c r="B29" s="4" t="s">
        <v>19</v>
      </c>
      <c r="C29" s="4" t="s">
        <v>186</v>
      </c>
      <c r="D29" s="4"/>
      <c r="E29" s="4" t="s">
        <v>698</v>
      </c>
      <c r="F29" s="5">
        <v>44323</v>
      </c>
      <c r="G29" s="5">
        <v>44330</v>
      </c>
      <c r="H29" s="4" t="s">
        <v>27</v>
      </c>
      <c r="I29" s="4" t="s">
        <v>594</v>
      </c>
      <c r="J29" s="4" t="s">
        <v>595</v>
      </c>
      <c r="K29" s="5">
        <v>44323</v>
      </c>
      <c r="L29" s="4" t="s">
        <v>24</v>
      </c>
      <c r="M29" t="b">
        <v>1</v>
      </c>
      <c r="N29" t="b">
        <v>1</v>
      </c>
      <c r="Q29">
        <v>28</v>
      </c>
    </row>
    <row r="30" spans="1:17" x14ac:dyDescent="0.35">
      <c r="A30" s="4" t="s">
        <v>658</v>
      </c>
      <c r="B30" s="4" t="s">
        <v>19</v>
      </c>
      <c r="C30" s="4" t="s">
        <v>186</v>
      </c>
      <c r="D30" s="4"/>
      <c r="E30" s="4" t="s">
        <v>659</v>
      </c>
      <c r="F30" s="5">
        <v>44369</v>
      </c>
      <c r="G30" s="5">
        <v>44376</v>
      </c>
      <c r="H30" s="4" t="s">
        <v>27</v>
      </c>
      <c r="I30" s="4" t="s">
        <v>594</v>
      </c>
      <c r="J30" s="4" t="s">
        <v>595</v>
      </c>
      <c r="K30" s="5">
        <v>44369</v>
      </c>
      <c r="L30" s="4" t="s">
        <v>24</v>
      </c>
      <c r="M30" t="b">
        <v>1</v>
      </c>
      <c r="N30" t="b">
        <v>1</v>
      </c>
      <c r="Q30">
        <v>29</v>
      </c>
    </row>
    <row r="31" spans="1:17" x14ac:dyDescent="0.35">
      <c r="A31" s="4" t="s">
        <v>656</v>
      </c>
      <c r="B31" s="4" t="s">
        <v>19</v>
      </c>
      <c r="C31" s="4" t="s">
        <v>186</v>
      </c>
      <c r="D31" s="4"/>
      <c r="E31" s="4" t="s">
        <v>657</v>
      </c>
      <c r="F31" s="5">
        <v>44369</v>
      </c>
      <c r="G31" s="5">
        <v>44376</v>
      </c>
      <c r="H31" s="4" t="s">
        <v>27</v>
      </c>
      <c r="I31" s="4" t="s">
        <v>594</v>
      </c>
      <c r="J31" s="4" t="s">
        <v>595</v>
      </c>
      <c r="K31" s="5">
        <v>44369</v>
      </c>
      <c r="L31" s="4" t="s">
        <v>24</v>
      </c>
      <c r="M31" t="b">
        <v>1</v>
      </c>
      <c r="N31" t="b">
        <v>1</v>
      </c>
      <c r="Q31">
        <v>30</v>
      </c>
    </row>
    <row r="32" spans="1:17" x14ac:dyDescent="0.35">
      <c r="A32" s="4" t="s">
        <v>654</v>
      </c>
      <c r="B32" s="4" t="s">
        <v>19</v>
      </c>
      <c r="C32" s="4" t="s">
        <v>186</v>
      </c>
      <c r="D32" s="4"/>
      <c r="E32" s="4" t="s">
        <v>655</v>
      </c>
      <c r="F32" s="5">
        <v>44369</v>
      </c>
      <c r="G32" s="5">
        <v>44376</v>
      </c>
      <c r="H32" s="4" t="s">
        <v>27</v>
      </c>
      <c r="I32" s="4" t="s">
        <v>598</v>
      </c>
      <c r="J32" s="4" t="s">
        <v>599</v>
      </c>
      <c r="K32" s="5">
        <v>44369</v>
      </c>
      <c r="L32" s="4" t="s">
        <v>24</v>
      </c>
      <c r="M32" t="b">
        <v>1</v>
      </c>
      <c r="N32" t="b">
        <v>1</v>
      </c>
      <c r="Q32">
        <v>31</v>
      </c>
    </row>
    <row r="33" spans="1:17" x14ac:dyDescent="0.35">
      <c r="A33" s="4" t="s">
        <v>666</v>
      </c>
      <c r="B33" s="4" t="s">
        <v>19</v>
      </c>
      <c r="C33" s="4" t="s">
        <v>186</v>
      </c>
      <c r="D33" s="4"/>
      <c r="E33" s="4" t="s">
        <v>667</v>
      </c>
      <c r="F33" s="5">
        <v>44369</v>
      </c>
      <c r="G33" s="5">
        <v>44376</v>
      </c>
      <c r="H33" s="4" t="s">
        <v>27</v>
      </c>
      <c r="I33" s="4" t="s">
        <v>594</v>
      </c>
      <c r="J33" s="4" t="s">
        <v>595</v>
      </c>
      <c r="K33" s="5">
        <v>44369</v>
      </c>
      <c r="L33" s="4" t="s">
        <v>24</v>
      </c>
      <c r="M33" t="b">
        <v>1</v>
      </c>
      <c r="N33" t="b">
        <v>1</v>
      </c>
      <c r="Q33">
        <v>32</v>
      </c>
    </row>
    <row r="34" spans="1:17" x14ac:dyDescent="0.35">
      <c r="A34" s="4" t="s">
        <v>692</v>
      </c>
      <c r="B34" s="4" t="s">
        <v>19</v>
      </c>
      <c r="C34" s="4" t="s">
        <v>186</v>
      </c>
      <c r="D34" s="4"/>
      <c r="E34" s="4" t="s">
        <v>693</v>
      </c>
      <c r="F34" s="5">
        <v>44323</v>
      </c>
      <c r="G34" s="5">
        <v>44330</v>
      </c>
      <c r="H34" s="4" t="s">
        <v>27</v>
      </c>
      <c r="I34" s="4" t="s">
        <v>44</v>
      </c>
      <c r="J34" s="4" t="s">
        <v>45</v>
      </c>
      <c r="K34" s="5">
        <v>44323</v>
      </c>
      <c r="L34" s="4" t="s">
        <v>24</v>
      </c>
      <c r="M34" t="b">
        <v>1</v>
      </c>
      <c r="N34" t="b">
        <v>1</v>
      </c>
      <c r="Q34">
        <v>33</v>
      </c>
    </row>
    <row r="35" spans="1:17" x14ac:dyDescent="0.35">
      <c r="A35" s="4" t="s">
        <v>646</v>
      </c>
      <c r="B35" s="4" t="s">
        <v>19</v>
      </c>
      <c r="C35" s="4" t="s">
        <v>186</v>
      </c>
      <c r="D35" s="4"/>
      <c r="E35" s="4" t="s">
        <v>647</v>
      </c>
      <c r="F35" s="5">
        <v>44369</v>
      </c>
      <c r="G35" s="5">
        <v>44376</v>
      </c>
      <c r="H35" s="4" t="s">
        <v>27</v>
      </c>
      <c r="I35" s="4" t="s">
        <v>598</v>
      </c>
      <c r="J35" s="4" t="s">
        <v>599</v>
      </c>
      <c r="K35" s="5">
        <v>44369</v>
      </c>
      <c r="L35" s="4" t="s">
        <v>24</v>
      </c>
      <c r="M35" t="b">
        <v>1</v>
      </c>
      <c r="N35" t="b">
        <v>1</v>
      </c>
      <c r="Q35">
        <v>34</v>
      </c>
    </row>
    <row r="36" spans="1:17" x14ac:dyDescent="0.35">
      <c r="A36" s="4" t="s">
        <v>662</v>
      </c>
      <c r="B36" s="4" t="s">
        <v>19</v>
      </c>
      <c r="C36" s="4" t="s">
        <v>186</v>
      </c>
      <c r="D36" s="4"/>
      <c r="E36" s="4" t="s">
        <v>663</v>
      </c>
      <c r="F36" s="5">
        <v>44369</v>
      </c>
      <c r="G36" s="5">
        <v>44376</v>
      </c>
      <c r="H36" s="4" t="s">
        <v>27</v>
      </c>
      <c r="I36" s="4" t="s">
        <v>598</v>
      </c>
      <c r="J36" s="4" t="s">
        <v>599</v>
      </c>
      <c r="K36" s="5">
        <v>44369</v>
      </c>
      <c r="L36" s="4" t="s">
        <v>24</v>
      </c>
      <c r="M36" t="b">
        <v>1</v>
      </c>
      <c r="N36" t="b">
        <v>1</v>
      </c>
      <c r="Q36">
        <v>35</v>
      </c>
    </row>
    <row r="37" spans="1:17" x14ac:dyDescent="0.35">
      <c r="A37" s="4" t="s">
        <v>614</v>
      </c>
      <c r="B37" s="4" t="s">
        <v>19</v>
      </c>
      <c r="C37" s="4" t="s">
        <v>186</v>
      </c>
      <c r="D37" s="4"/>
      <c r="E37" s="4" t="s">
        <v>615</v>
      </c>
      <c r="F37" s="5">
        <v>44369</v>
      </c>
      <c r="G37" s="5">
        <v>44376</v>
      </c>
      <c r="H37" s="4" t="s">
        <v>27</v>
      </c>
      <c r="I37" s="4" t="s">
        <v>594</v>
      </c>
      <c r="J37" s="4" t="s">
        <v>595</v>
      </c>
      <c r="K37" s="5">
        <v>44369</v>
      </c>
      <c r="L37" s="4" t="s">
        <v>24</v>
      </c>
      <c r="M37" t="b">
        <v>1</v>
      </c>
      <c r="N37" t="b">
        <v>1</v>
      </c>
      <c r="Q37">
        <v>36</v>
      </c>
    </row>
    <row r="38" spans="1:17" x14ac:dyDescent="0.35">
      <c r="A38" s="4" t="s">
        <v>612</v>
      </c>
      <c r="B38" s="4" t="s">
        <v>19</v>
      </c>
      <c r="C38" s="4" t="s">
        <v>186</v>
      </c>
      <c r="D38" s="4"/>
      <c r="E38" s="4" t="s">
        <v>613</v>
      </c>
      <c r="F38" s="5">
        <v>44369</v>
      </c>
      <c r="G38" s="5">
        <v>44376</v>
      </c>
      <c r="H38" s="4" t="s">
        <v>27</v>
      </c>
      <c r="I38" s="4" t="s">
        <v>34</v>
      </c>
      <c r="J38" s="4" t="s">
        <v>35</v>
      </c>
      <c r="K38" s="5">
        <v>44369</v>
      </c>
      <c r="L38" s="4" t="s">
        <v>24</v>
      </c>
      <c r="M38" t="b">
        <v>1</v>
      </c>
      <c r="Q38">
        <v>37</v>
      </c>
    </row>
    <row r="39" spans="1:17" x14ac:dyDescent="0.35">
      <c r="A39" s="4" t="s">
        <v>634</v>
      </c>
      <c r="B39" s="4" t="s">
        <v>19</v>
      </c>
      <c r="C39" s="4" t="s">
        <v>186</v>
      </c>
      <c r="D39" s="4"/>
      <c r="E39" s="4" t="s">
        <v>635</v>
      </c>
      <c r="F39" s="5">
        <v>44369</v>
      </c>
      <c r="G39" s="5">
        <v>44376</v>
      </c>
      <c r="H39" s="4" t="s">
        <v>27</v>
      </c>
      <c r="I39" s="4" t="s">
        <v>598</v>
      </c>
      <c r="J39" s="4" t="s">
        <v>599</v>
      </c>
      <c r="K39" s="5">
        <v>44369</v>
      </c>
      <c r="L39" s="4" t="s">
        <v>24</v>
      </c>
      <c r="M39" t="b">
        <v>1</v>
      </c>
      <c r="N39" t="b">
        <v>1</v>
      </c>
      <c r="Q39">
        <v>38</v>
      </c>
    </row>
    <row r="40" spans="1:17" x14ac:dyDescent="0.35">
      <c r="A40" s="4" t="s">
        <v>632</v>
      </c>
      <c r="B40" s="4" t="s">
        <v>19</v>
      </c>
      <c r="C40" s="4" t="s">
        <v>186</v>
      </c>
      <c r="D40" s="4"/>
      <c r="E40" s="4" t="s">
        <v>633</v>
      </c>
      <c r="F40" s="5">
        <v>44369</v>
      </c>
      <c r="G40" s="5">
        <v>44376</v>
      </c>
      <c r="H40" s="4" t="s">
        <v>27</v>
      </c>
      <c r="I40" s="4" t="s">
        <v>44</v>
      </c>
      <c r="J40" s="4" t="s">
        <v>45</v>
      </c>
      <c r="K40" s="5">
        <v>44369</v>
      </c>
      <c r="L40" s="4" t="s">
        <v>24</v>
      </c>
      <c r="M40" t="b">
        <v>1</v>
      </c>
      <c r="N40" t="b">
        <v>1</v>
      </c>
      <c r="Q40">
        <v>39</v>
      </c>
    </row>
    <row r="41" spans="1:17" x14ac:dyDescent="0.35">
      <c r="A41" s="4" t="s">
        <v>604</v>
      </c>
      <c r="B41" s="4" t="s">
        <v>19</v>
      </c>
      <c r="C41" s="4" t="s">
        <v>186</v>
      </c>
      <c r="D41" s="4"/>
      <c r="E41" s="4" t="s">
        <v>605</v>
      </c>
      <c r="F41" s="5">
        <v>44383</v>
      </c>
      <c r="G41" s="5">
        <v>44390</v>
      </c>
      <c r="H41" s="4" t="s">
        <v>27</v>
      </c>
      <c r="I41" s="4" t="s">
        <v>598</v>
      </c>
      <c r="J41" s="4" t="s">
        <v>599</v>
      </c>
      <c r="K41" s="5">
        <v>44383</v>
      </c>
      <c r="L41" s="4" t="s">
        <v>24</v>
      </c>
      <c r="M41" t="b">
        <v>1</v>
      </c>
      <c r="N41" t="b">
        <v>1</v>
      </c>
      <c r="Q41">
        <v>40</v>
      </c>
    </row>
    <row r="42" spans="1:17" x14ac:dyDescent="0.35">
      <c r="A42" s="4" t="s">
        <v>610</v>
      </c>
      <c r="B42" s="4" t="s">
        <v>19</v>
      </c>
      <c r="C42" s="4" t="s">
        <v>66</v>
      </c>
      <c r="D42" s="4"/>
      <c r="E42" s="4" t="s">
        <v>611</v>
      </c>
      <c r="F42" s="5">
        <v>44369</v>
      </c>
      <c r="G42" s="5">
        <v>44376</v>
      </c>
      <c r="H42" s="4" t="s">
        <v>27</v>
      </c>
      <c r="I42" s="4" t="s">
        <v>44</v>
      </c>
      <c r="J42" s="4" t="s">
        <v>45</v>
      </c>
      <c r="K42" s="5">
        <v>44369</v>
      </c>
      <c r="L42" s="4" t="s">
        <v>24</v>
      </c>
      <c r="M42" t="b">
        <v>1</v>
      </c>
      <c r="N42" t="b">
        <v>1</v>
      </c>
      <c r="Q42">
        <v>41</v>
      </c>
    </row>
    <row r="43" spans="1:17" x14ac:dyDescent="0.35">
      <c r="A43" s="4" t="s">
        <v>638</v>
      </c>
      <c r="B43" s="4" t="s">
        <v>19</v>
      </c>
      <c r="C43" s="4" t="s">
        <v>66</v>
      </c>
      <c r="D43" s="4"/>
      <c r="E43" s="4" t="s">
        <v>639</v>
      </c>
      <c r="F43" s="5">
        <v>44369</v>
      </c>
      <c r="G43" s="5">
        <v>44376</v>
      </c>
      <c r="H43" s="4" t="s">
        <v>27</v>
      </c>
      <c r="I43" s="4" t="s">
        <v>44</v>
      </c>
      <c r="J43" s="4" t="s">
        <v>45</v>
      </c>
      <c r="K43" s="5">
        <v>44369</v>
      </c>
      <c r="L43" s="4" t="s">
        <v>24</v>
      </c>
      <c r="M43" t="b">
        <v>1</v>
      </c>
      <c r="N43" t="b">
        <v>1</v>
      </c>
      <c r="Q43">
        <v>42</v>
      </c>
    </row>
    <row r="44" spans="1:17" x14ac:dyDescent="0.35">
      <c r="A44" s="4" t="s">
        <v>636</v>
      </c>
      <c r="B44" s="4" t="s">
        <v>19</v>
      </c>
      <c r="C44" s="4" t="s">
        <v>66</v>
      </c>
      <c r="D44" s="4"/>
      <c r="E44" s="4" t="s">
        <v>637</v>
      </c>
      <c r="F44" s="5">
        <v>44369</v>
      </c>
      <c r="G44" s="5">
        <v>44376</v>
      </c>
      <c r="H44" s="4" t="s">
        <v>27</v>
      </c>
      <c r="I44" s="4" t="s">
        <v>598</v>
      </c>
      <c r="J44" s="4" t="s">
        <v>599</v>
      </c>
      <c r="K44" s="5">
        <v>44369</v>
      </c>
      <c r="L44" s="4" t="s">
        <v>24</v>
      </c>
      <c r="M44" t="b">
        <v>1</v>
      </c>
      <c r="N44" t="b">
        <v>1</v>
      </c>
      <c r="Q44">
        <v>43</v>
      </c>
    </row>
    <row r="45" spans="1:17" x14ac:dyDescent="0.35">
      <c r="A45" s="4" t="s">
        <v>624</v>
      </c>
      <c r="B45" s="4" t="s">
        <v>19</v>
      </c>
      <c r="C45" s="4" t="s">
        <v>66</v>
      </c>
      <c r="D45" s="4"/>
      <c r="E45" s="4" t="s">
        <v>625</v>
      </c>
      <c r="F45" s="5">
        <v>44369</v>
      </c>
      <c r="G45" s="5">
        <v>44376</v>
      </c>
      <c r="H45" s="4" t="s">
        <v>27</v>
      </c>
      <c r="I45" s="4" t="s">
        <v>594</v>
      </c>
      <c r="J45" s="4" t="s">
        <v>595</v>
      </c>
      <c r="K45" s="5">
        <v>44369</v>
      </c>
      <c r="L45" s="4" t="s">
        <v>24</v>
      </c>
      <c r="M45" t="b">
        <v>1</v>
      </c>
      <c r="N45" t="b">
        <v>1</v>
      </c>
      <c r="Q45">
        <v>44</v>
      </c>
    </row>
    <row r="46" spans="1:17" x14ac:dyDescent="0.35">
      <c r="A46" s="4" t="s">
        <v>622</v>
      </c>
      <c r="B46" s="4" t="s">
        <v>19</v>
      </c>
      <c r="C46" s="4" t="s">
        <v>66</v>
      </c>
      <c r="D46" s="4"/>
      <c r="E46" s="4" t="s">
        <v>623</v>
      </c>
      <c r="F46" s="5">
        <v>44369</v>
      </c>
      <c r="G46" s="5">
        <v>44376</v>
      </c>
      <c r="H46" s="4" t="s">
        <v>27</v>
      </c>
      <c r="I46" s="4" t="s">
        <v>594</v>
      </c>
      <c r="J46" s="4" t="s">
        <v>595</v>
      </c>
      <c r="K46" s="5">
        <v>44369</v>
      </c>
      <c r="L46" s="4" t="s">
        <v>24</v>
      </c>
      <c r="M46" t="b">
        <v>1</v>
      </c>
      <c r="N46" t="b">
        <v>1</v>
      </c>
      <c r="Q46">
        <v>45</v>
      </c>
    </row>
    <row r="47" spans="1:17" x14ac:dyDescent="0.35">
      <c r="A47" s="4" t="s">
        <v>620</v>
      </c>
      <c r="B47" s="4" t="s">
        <v>19</v>
      </c>
      <c r="C47" s="4" t="s">
        <v>66</v>
      </c>
      <c r="D47" s="4"/>
      <c r="E47" s="4" t="s">
        <v>621</v>
      </c>
      <c r="F47" s="5">
        <v>44369</v>
      </c>
      <c r="G47" s="5">
        <v>44376</v>
      </c>
      <c r="H47" s="4" t="s">
        <v>27</v>
      </c>
      <c r="I47" s="4" t="s">
        <v>594</v>
      </c>
      <c r="J47" s="4" t="s">
        <v>595</v>
      </c>
      <c r="K47" s="5">
        <v>44369</v>
      </c>
      <c r="L47" s="4" t="s">
        <v>24</v>
      </c>
      <c r="M47" t="b">
        <v>1</v>
      </c>
      <c r="Q47">
        <v>46</v>
      </c>
    </row>
    <row r="48" spans="1:17" x14ac:dyDescent="0.35">
      <c r="A48" s="4" t="s">
        <v>618</v>
      </c>
      <c r="B48" s="4" t="s">
        <v>19</v>
      </c>
      <c r="C48" s="4" t="s">
        <v>66</v>
      </c>
      <c r="D48" s="4"/>
      <c r="E48" s="4" t="s">
        <v>619</v>
      </c>
      <c r="F48" s="5">
        <v>44369</v>
      </c>
      <c r="G48" s="5">
        <v>44376</v>
      </c>
      <c r="H48" s="4" t="s">
        <v>27</v>
      </c>
      <c r="I48" s="4" t="s">
        <v>594</v>
      </c>
      <c r="J48" s="4" t="s">
        <v>595</v>
      </c>
      <c r="K48" s="5">
        <v>44369</v>
      </c>
      <c r="L48" s="4" t="s">
        <v>24</v>
      </c>
      <c r="M48" t="b">
        <v>1</v>
      </c>
      <c r="Q48">
        <v>47</v>
      </c>
    </row>
    <row r="49" spans="1:17" x14ac:dyDescent="0.35">
      <c r="A49" s="4" t="s">
        <v>616</v>
      </c>
      <c r="B49" s="4" t="s">
        <v>19</v>
      </c>
      <c r="C49" s="4" t="s">
        <v>66</v>
      </c>
      <c r="D49" s="4"/>
      <c r="E49" s="4" t="s">
        <v>617</v>
      </c>
      <c r="F49" s="5">
        <v>44369</v>
      </c>
      <c r="G49" s="5">
        <v>44376</v>
      </c>
      <c r="H49" s="4" t="s">
        <v>27</v>
      </c>
      <c r="I49" s="4" t="s">
        <v>594</v>
      </c>
      <c r="J49" s="4" t="s">
        <v>595</v>
      </c>
      <c r="K49" s="5">
        <v>44369</v>
      </c>
      <c r="L49" s="4" t="s">
        <v>24</v>
      </c>
      <c r="M49" t="b">
        <v>1</v>
      </c>
      <c r="N49" t="b">
        <v>1</v>
      </c>
      <c r="Q49">
        <v>48</v>
      </c>
    </row>
    <row r="50" spans="1:17" x14ac:dyDescent="0.35">
      <c r="A50" s="4" t="s">
        <v>644</v>
      </c>
      <c r="B50" s="4" t="s">
        <v>19</v>
      </c>
      <c r="C50" s="4" t="s">
        <v>66</v>
      </c>
      <c r="D50" s="4"/>
      <c r="E50" s="4" t="s">
        <v>645</v>
      </c>
      <c r="F50" s="5">
        <v>44369</v>
      </c>
      <c r="G50" s="5">
        <v>44376</v>
      </c>
      <c r="H50" s="4" t="s">
        <v>27</v>
      </c>
      <c r="I50" s="4" t="s">
        <v>44</v>
      </c>
      <c r="J50" s="4" t="s">
        <v>45</v>
      </c>
      <c r="K50" s="5">
        <v>44369</v>
      </c>
      <c r="L50" s="4" t="s">
        <v>24</v>
      </c>
      <c r="M50" t="b">
        <v>1</v>
      </c>
      <c r="N50" t="b">
        <v>1</v>
      </c>
      <c r="Q50">
        <v>49</v>
      </c>
    </row>
    <row r="51" spans="1:17" x14ac:dyDescent="0.35">
      <c r="A51" s="4" t="s">
        <v>185</v>
      </c>
      <c r="B51" s="4" t="s">
        <v>19</v>
      </c>
      <c r="C51" s="4" t="s">
        <v>186</v>
      </c>
      <c r="D51" s="4"/>
      <c r="E51" s="4" t="s">
        <v>187</v>
      </c>
      <c r="F51" s="5">
        <v>44749</v>
      </c>
      <c r="G51" s="5">
        <v>44756</v>
      </c>
      <c r="H51" s="4" t="s">
        <v>27</v>
      </c>
      <c r="I51" s="4" t="s">
        <v>91</v>
      </c>
      <c r="J51" s="4" t="s">
        <v>184</v>
      </c>
      <c r="K51" s="5">
        <v>44749</v>
      </c>
      <c r="L51" s="4" t="s">
        <v>24</v>
      </c>
      <c r="M51" t="b">
        <v>1</v>
      </c>
      <c r="N51" t="b">
        <v>1</v>
      </c>
      <c r="Q51">
        <v>50</v>
      </c>
    </row>
    <row r="52" spans="1:17" x14ac:dyDescent="0.35">
      <c r="A52" s="4" t="s">
        <v>182</v>
      </c>
      <c r="B52" s="4" t="s">
        <v>19</v>
      </c>
      <c r="C52" s="4" t="s">
        <v>102</v>
      </c>
      <c r="D52" s="4"/>
      <c r="E52" s="4" t="s">
        <v>183</v>
      </c>
      <c r="F52" s="5">
        <v>44749</v>
      </c>
      <c r="G52" s="5">
        <v>44756</v>
      </c>
      <c r="H52" s="4" t="s">
        <v>27</v>
      </c>
      <c r="I52" s="4" t="s">
        <v>91</v>
      </c>
      <c r="J52" s="4" t="s">
        <v>184</v>
      </c>
      <c r="K52" s="5">
        <v>44749</v>
      </c>
      <c r="L52" s="4" t="s">
        <v>24</v>
      </c>
      <c r="M52" t="b">
        <v>1</v>
      </c>
      <c r="N52" t="b">
        <v>1</v>
      </c>
      <c r="Q52">
        <v>51</v>
      </c>
    </row>
    <row r="53" spans="1:17" x14ac:dyDescent="0.35">
      <c r="A53" s="4" t="s">
        <v>602</v>
      </c>
      <c r="B53" s="4" t="s">
        <v>19</v>
      </c>
      <c r="C53" s="4" t="s">
        <v>102</v>
      </c>
      <c r="D53" s="4"/>
      <c r="E53" s="4" t="s">
        <v>603</v>
      </c>
      <c r="F53" s="5">
        <v>44383</v>
      </c>
      <c r="G53" s="5">
        <v>44390</v>
      </c>
      <c r="H53" s="4" t="s">
        <v>27</v>
      </c>
      <c r="I53" s="4" t="s">
        <v>598</v>
      </c>
      <c r="J53" s="4" t="s">
        <v>599</v>
      </c>
      <c r="K53" s="5">
        <v>44383</v>
      </c>
      <c r="L53" s="4" t="s">
        <v>24</v>
      </c>
      <c r="M53" t="b">
        <v>1</v>
      </c>
      <c r="N53" t="b">
        <v>1</v>
      </c>
      <c r="Q53">
        <v>52</v>
      </c>
    </row>
    <row r="54" spans="1:17" x14ac:dyDescent="0.35">
      <c r="A54" s="4" t="s">
        <v>686</v>
      </c>
      <c r="B54" s="4" t="s">
        <v>19</v>
      </c>
      <c r="C54" s="4" t="s">
        <v>102</v>
      </c>
      <c r="D54" s="4"/>
      <c r="E54" s="4" t="s">
        <v>687</v>
      </c>
      <c r="F54" s="5">
        <v>44334</v>
      </c>
      <c r="G54" s="5">
        <v>44341</v>
      </c>
      <c r="H54" s="4" t="s">
        <v>27</v>
      </c>
      <c r="I54" s="4" t="s">
        <v>28</v>
      </c>
      <c r="J54" s="4" t="s">
        <v>29</v>
      </c>
      <c r="K54" s="5">
        <v>44334</v>
      </c>
      <c r="L54" s="4" t="s">
        <v>24</v>
      </c>
      <c r="M54" t="b">
        <v>1</v>
      </c>
      <c r="Q54">
        <v>53</v>
      </c>
    </row>
    <row r="55" spans="1:17" x14ac:dyDescent="0.35">
      <c r="A55" s="4" t="s">
        <v>703</v>
      </c>
      <c r="B55" s="4" t="s">
        <v>19</v>
      </c>
      <c r="C55" s="4" t="s">
        <v>704</v>
      </c>
      <c r="D55" s="4"/>
      <c r="E55" s="4" t="s">
        <v>705</v>
      </c>
      <c r="F55" s="5">
        <v>44323</v>
      </c>
      <c r="G55" s="5">
        <v>44330</v>
      </c>
      <c r="H55" s="4" t="s">
        <v>27</v>
      </c>
      <c r="I55" s="4" t="s">
        <v>34</v>
      </c>
      <c r="J55" s="4" t="s">
        <v>35</v>
      </c>
      <c r="K55" s="5">
        <v>44323</v>
      </c>
      <c r="L55" s="4" t="s">
        <v>24</v>
      </c>
      <c r="M55" t="b">
        <v>1</v>
      </c>
      <c r="Q55">
        <v>54</v>
      </c>
    </row>
    <row r="56" spans="1:17" x14ac:dyDescent="0.35">
      <c r="A56" s="4" t="s">
        <v>695</v>
      </c>
      <c r="B56" s="4" t="s">
        <v>19</v>
      </c>
      <c r="C56" s="4" t="s">
        <v>73</v>
      </c>
      <c r="D56" s="4"/>
      <c r="E56" s="4" t="s">
        <v>696</v>
      </c>
      <c r="F56" s="5">
        <v>44323</v>
      </c>
      <c r="G56" s="5">
        <v>44330</v>
      </c>
      <c r="H56" s="4" t="s">
        <v>27</v>
      </c>
      <c r="I56" s="4" t="s">
        <v>44</v>
      </c>
      <c r="J56" s="4" t="s">
        <v>45</v>
      </c>
      <c r="K56" s="5">
        <v>44323</v>
      </c>
      <c r="L56" s="4" t="s">
        <v>24</v>
      </c>
      <c r="M56" t="b">
        <v>1</v>
      </c>
      <c r="N56" t="b">
        <v>1</v>
      </c>
      <c r="Q56">
        <v>55</v>
      </c>
    </row>
    <row r="57" spans="1:17" x14ac:dyDescent="0.35">
      <c r="A57" s="4" t="s">
        <v>485</v>
      </c>
      <c r="B57" s="4" t="s">
        <v>19</v>
      </c>
      <c r="C57" s="4" t="s">
        <v>473</v>
      </c>
      <c r="D57" s="4"/>
      <c r="E57" s="4" t="s">
        <v>486</v>
      </c>
      <c r="F57" s="5">
        <v>44616</v>
      </c>
      <c r="G57" s="5">
        <v>44623</v>
      </c>
      <c r="H57" s="4" t="s">
        <v>27</v>
      </c>
      <c r="I57" s="4" t="s">
        <v>91</v>
      </c>
      <c r="J57" s="4" t="s">
        <v>184</v>
      </c>
      <c r="K57" s="5">
        <v>44616</v>
      </c>
      <c r="L57" s="4" t="s">
        <v>24</v>
      </c>
      <c r="M57" t="b">
        <v>1</v>
      </c>
      <c r="N57" t="b">
        <v>1</v>
      </c>
      <c r="Q57">
        <v>56</v>
      </c>
    </row>
    <row r="58" spans="1:17" x14ac:dyDescent="0.35">
      <c r="A58" s="4" t="s">
        <v>483</v>
      </c>
      <c r="B58" s="4" t="s">
        <v>19</v>
      </c>
      <c r="C58" s="4" t="s">
        <v>473</v>
      </c>
      <c r="D58" s="4"/>
      <c r="E58" s="4" t="s">
        <v>484</v>
      </c>
      <c r="F58" s="5">
        <v>44616</v>
      </c>
      <c r="G58" s="5">
        <v>44623</v>
      </c>
      <c r="H58" s="4" t="s">
        <v>27</v>
      </c>
      <c r="I58" s="4" t="s">
        <v>91</v>
      </c>
      <c r="J58" s="4" t="s">
        <v>92</v>
      </c>
      <c r="K58" s="5">
        <v>44616</v>
      </c>
      <c r="L58" s="4" t="s">
        <v>24</v>
      </c>
      <c r="M58" t="b">
        <v>1</v>
      </c>
      <c r="O58" t="b">
        <v>1</v>
      </c>
      <c r="Q58">
        <v>57</v>
      </c>
    </row>
    <row r="59" spans="1:17" x14ac:dyDescent="0.35">
      <c r="A59" s="4" t="s">
        <v>481</v>
      </c>
      <c r="B59" s="4" t="s">
        <v>19</v>
      </c>
      <c r="C59" s="4" t="s">
        <v>473</v>
      </c>
      <c r="D59" s="4"/>
      <c r="E59" s="4" t="s">
        <v>482</v>
      </c>
      <c r="F59" s="5">
        <v>44616</v>
      </c>
      <c r="G59" s="5">
        <v>44623</v>
      </c>
      <c r="H59" s="4" t="s">
        <v>27</v>
      </c>
      <c r="I59" s="4" t="s">
        <v>91</v>
      </c>
      <c r="J59" s="4" t="s">
        <v>184</v>
      </c>
      <c r="K59" s="5">
        <v>44616</v>
      </c>
      <c r="L59" s="4" t="s">
        <v>24</v>
      </c>
      <c r="M59" t="b">
        <v>1</v>
      </c>
      <c r="O59" t="b">
        <v>1</v>
      </c>
      <c r="Q59">
        <v>58</v>
      </c>
    </row>
    <row r="60" spans="1:17" x14ac:dyDescent="0.35">
      <c r="A60" s="4" t="s">
        <v>489</v>
      </c>
      <c r="B60" s="4" t="s">
        <v>19</v>
      </c>
      <c r="C60" s="4" t="s">
        <v>473</v>
      </c>
      <c r="D60" s="4"/>
      <c r="E60" s="4" t="s">
        <v>490</v>
      </c>
      <c r="F60" s="5">
        <v>44616</v>
      </c>
      <c r="G60" s="5">
        <v>44623</v>
      </c>
      <c r="H60" s="4" t="s">
        <v>27</v>
      </c>
      <c r="I60" s="4" t="s">
        <v>91</v>
      </c>
      <c r="J60" s="4" t="s">
        <v>184</v>
      </c>
      <c r="K60" s="5">
        <v>44616</v>
      </c>
      <c r="L60" s="4" t="s">
        <v>24</v>
      </c>
      <c r="M60" t="b">
        <v>1</v>
      </c>
      <c r="N60" t="b">
        <v>1</v>
      </c>
      <c r="Q60">
        <v>59</v>
      </c>
    </row>
    <row r="61" spans="1:17" x14ac:dyDescent="0.35">
      <c r="A61" s="4" t="s">
        <v>201</v>
      </c>
      <c r="B61" s="4" t="s">
        <v>19</v>
      </c>
      <c r="C61" s="4" t="s">
        <v>107</v>
      </c>
      <c r="D61" s="4"/>
      <c r="E61" s="4" t="s">
        <v>202</v>
      </c>
      <c r="F61" s="5">
        <v>44718</v>
      </c>
      <c r="G61" s="5">
        <v>44725</v>
      </c>
      <c r="H61" s="4" t="s">
        <v>27</v>
      </c>
      <c r="I61" s="4" t="s">
        <v>51</v>
      </c>
      <c r="J61" s="4" t="s">
        <v>52</v>
      </c>
      <c r="K61" s="5">
        <v>44718</v>
      </c>
      <c r="L61" s="4" t="s">
        <v>24</v>
      </c>
      <c r="M61" t="b">
        <v>1</v>
      </c>
      <c r="Q61">
        <v>60</v>
      </c>
    </row>
    <row r="62" spans="1:17" x14ac:dyDescent="0.35">
      <c r="A62" s="4" t="s">
        <v>491</v>
      </c>
      <c r="B62" s="4" t="s">
        <v>19</v>
      </c>
      <c r="C62" s="4" t="s">
        <v>107</v>
      </c>
      <c r="D62" s="4"/>
      <c r="E62" s="4" t="s">
        <v>492</v>
      </c>
      <c r="F62" s="5">
        <v>44582</v>
      </c>
      <c r="G62" s="5">
        <v>44589</v>
      </c>
      <c r="H62" s="4" t="s">
        <v>27</v>
      </c>
      <c r="I62" s="4" t="s">
        <v>91</v>
      </c>
      <c r="J62" s="4" t="s">
        <v>184</v>
      </c>
      <c r="K62" s="5">
        <v>44582</v>
      </c>
      <c r="L62" s="4" t="s">
        <v>24</v>
      </c>
      <c r="M62" t="b">
        <v>1</v>
      </c>
      <c r="N62" t="b">
        <v>1</v>
      </c>
      <c r="Q62">
        <v>61</v>
      </c>
    </row>
    <row r="63" spans="1:17" x14ac:dyDescent="0.35">
      <c r="A63" s="4" t="s">
        <v>525</v>
      </c>
      <c r="B63" s="4" t="s">
        <v>19</v>
      </c>
      <c r="C63" s="4" t="s">
        <v>107</v>
      </c>
      <c r="D63" s="4"/>
      <c r="E63" s="4" t="s">
        <v>526</v>
      </c>
      <c r="F63" s="5">
        <v>44488</v>
      </c>
      <c r="G63" s="5">
        <v>44495</v>
      </c>
      <c r="H63" s="4" t="s">
        <v>27</v>
      </c>
      <c r="I63" s="4" t="s">
        <v>91</v>
      </c>
      <c r="J63" s="4" t="s">
        <v>184</v>
      </c>
      <c r="K63" s="5">
        <v>44488</v>
      </c>
      <c r="L63" s="4" t="s">
        <v>24</v>
      </c>
      <c r="M63" t="b">
        <v>1</v>
      </c>
      <c r="Q63">
        <v>62</v>
      </c>
    </row>
    <row r="64" spans="1:17" x14ac:dyDescent="0.35">
      <c r="A64" s="4" t="s">
        <v>582</v>
      </c>
      <c r="B64" s="4" t="s">
        <v>19</v>
      </c>
      <c r="C64" s="4" t="s">
        <v>107</v>
      </c>
      <c r="D64" s="4"/>
      <c r="E64" s="4" t="s">
        <v>583</v>
      </c>
      <c r="F64" s="5">
        <v>44383</v>
      </c>
      <c r="G64" s="5">
        <v>44390</v>
      </c>
      <c r="H64" s="4" t="s">
        <v>27</v>
      </c>
      <c r="I64" s="4" t="s">
        <v>584</v>
      </c>
      <c r="J64" s="4" t="s">
        <v>585</v>
      </c>
      <c r="K64" s="5">
        <v>44383</v>
      </c>
      <c r="L64" s="4" t="s">
        <v>24</v>
      </c>
      <c r="M64" t="b">
        <v>1</v>
      </c>
      <c r="N64" t="b">
        <v>1</v>
      </c>
      <c r="Q64">
        <v>63</v>
      </c>
    </row>
    <row r="65" spans="1:17" x14ac:dyDescent="0.35">
      <c r="A65" s="4" t="s">
        <v>664</v>
      </c>
      <c r="B65" s="4" t="s">
        <v>19</v>
      </c>
      <c r="C65" s="4" t="s">
        <v>107</v>
      </c>
      <c r="D65" s="4"/>
      <c r="E65" s="4" t="s">
        <v>665</v>
      </c>
      <c r="F65" s="5">
        <v>44369</v>
      </c>
      <c r="G65" s="5">
        <v>44376</v>
      </c>
      <c r="H65" s="4" t="s">
        <v>27</v>
      </c>
      <c r="I65" s="4" t="s">
        <v>44</v>
      </c>
      <c r="J65" s="4" t="s">
        <v>45</v>
      </c>
      <c r="K65" s="5">
        <v>44369</v>
      </c>
      <c r="L65" s="4" t="s">
        <v>24</v>
      </c>
      <c r="M65" t="b">
        <v>1</v>
      </c>
      <c r="N65" t="b">
        <v>1</v>
      </c>
      <c r="Q65">
        <v>64</v>
      </c>
    </row>
    <row r="66" spans="1:17" x14ac:dyDescent="0.35">
      <c r="A66" s="4" t="s">
        <v>652</v>
      </c>
      <c r="B66" s="4" t="s">
        <v>19</v>
      </c>
      <c r="C66" s="4" t="s">
        <v>107</v>
      </c>
      <c r="D66" s="4"/>
      <c r="E66" s="4" t="s">
        <v>653</v>
      </c>
      <c r="F66" s="5">
        <v>44369</v>
      </c>
      <c r="G66" s="5">
        <v>44376</v>
      </c>
      <c r="H66" s="4" t="s">
        <v>27</v>
      </c>
      <c r="I66" s="4" t="s">
        <v>44</v>
      </c>
      <c r="J66" s="4" t="s">
        <v>45</v>
      </c>
      <c r="K66" s="5">
        <v>44369</v>
      </c>
      <c r="L66" s="4" t="s">
        <v>24</v>
      </c>
      <c r="M66" t="b">
        <v>1</v>
      </c>
      <c r="Q66">
        <v>65</v>
      </c>
    </row>
    <row r="67" spans="1:17" x14ac:dyDescent="0.35">
      <c r="A67" s="4" t="s">
        <v>648</v>
      </c>
      <c r="B67" s="4" t="s">
        <v>19</v>
      </c>
      <c r="C67" s="4" t="s">
        <v>107</v>
      </c>
      <c r="D67" s="4"/>
      <c r="E67" s="4" t="s">
        <v>649</v>
      </c>
      <c r="F67" s="5">
        <v>44369</v>
      </c>
      <c r="G67" s="5">
        <v>44376</v>
      </c>
      <c r="H67" s="4" t="s">
        <v>27</v>
      </c>
      <c r="I67" s="4" t="s">
        <v>34</v>
      </c>
      <c r="J67" s="4" t="s">
        <v>35</v>
      </c>
      <c r="K67" s="5">
        <v>44369</v>
      </c>
      <c r="L67" s="4" t="s">
        <v>24</v>
      </c>
      <c r="M67" t="b">
        <v>1</v>
      </c>
      <c r="N67" t="b">
        <v>1</v>
      </c>
      <c r="Q67">
        <v>66</v>
      </c>
    </row>
    <row r="68" spans="1:17" x14ac:dyDescent="0.35">
      <c r="A68" s="4" t="s">
        <v>640</v>
      </c>
      <c r="B68" s="4" t="s">
        <v>19</v>
      </c>
      <c r="C68" s="4" t="s">
        <v>107</v>
      </c>
      <c r="D68" s="4"/>
      <c r="E68" s="4" t="s">
        <v>641</v>
      </c>
      <c r="F68" s="5">
        <v>44369</v>
      </c>
      <c r="G68" s="5">
        <v>44376</v>
      </c>
      <c r="H68" s="4" t="s">
        <v>27</v>
      </c>
      <c r="I68" s="4" t="s">
        <v>44</v>
      </c>
      <c r="J68" s="4" t="s">
        <v>45</v>
      </c>
      <c r="K68" s="5">
        <v>44369</v>
      </c>
      <c r="L68" s="4" t="s">
        <v>24</v>
      </c>
      <c r="M68" t="b">
        <v>1</v>
      </c>
      <c r="N68" t="b">
        <v>1</v>
      </c>
      <c r="Q68">
        <v>67</v>
      </c>
    </row>
    <row r="69" spans="1:17" x14ac:dyDescent="0.35">
      <c r="A69" s="4" t="s">
        <v>527</v>
      </c>
      <c r="B69" s="4" t="s">
        <v>19</v>
      </c>
      <c r="C69" s="4" t="s">
        <v>228</v>
      </c>
      <c r="D69" s="4"/>
      <c r="E69" s="4" t="s">
        <v>528</v>
      </c>
      <c r="F69" s="5">
        <v>44488</v>
      </c>
      <c r="G69" s="5">
        <v>44495</v>
      </c>
      <c r="H69" s="4" t="s">
        <v>27</v>
      </c>
      <c r="I69" s="4" t="s">
        <v>91</v>
      </c>
      <c r="J69" s="4" t="s">
        <v>184</v>
      </c>
      <c r="K69" s="5">
        <v>44488</v>
      </c>
      <c r="L69" s="4" t="s">
        <v>24</v>
      </c>
      <c r="M69" t="b">
        <v>1</v>
      </c>
      <c r="Q69">
        <v>68</v>
      </c>
    </row>
    <row r="70" spans="1:17" x14ac:dyDescent="0.35">
      <c r="A70" s="4" t="s">
        <v>720</v>
      </c>
      <c r="B70" s="4" t="s">
        <v>19</v>
      </c>
      <c r="C70" s="4" t="s">
        <v>228</v>
      </c>
      <c r="D70" s="4"/>
      <c r="E70" s="4" t="s">
        <v>721</v>
      </c>
      <c r="F70" s="5">
        <v>44323</v>
      </c>
      <c r="G70" s="5">
        <v>44330</v>
      </c>
      <c r="H70" s="4" t="s">
        <v>27</v>
      </c>
      <c r="I70" s="4" t="s">
        <v>44</v>
      </c>
      <c r="J70" s="4" t="s">
        <v>45</v>
      </c>
      <c r="K70" s="5">
        <v>44323</v>
      </c>
      <c r="L70" s="4" t="s">
        <v>24</v>
      </c>
      <c r="M70" t="b">
        <v>1</v>
      </c>
      <c r="N70" t="b">
        <v>1</v>
      </c>
      <c r="Q70">
        <v>69</v>
      </c>
    </row>
    <row r="71" spans="1:17" x14ac:dyDescent="0.35">
      <c r="A71" s="4" t="s">
        <v>718</v>
      </c>
      <c r="B71" s="4" t="s">
        <v>19</v>
      </c>
      <c r="C71" s="4" t="s">
        <v>228</v>
      </c>
      <c r="D71" s="4"/>
      <c r="E71" s="4" t="s">
        <v>719</v>
      </c>
      <c r="F71" s="5">
        <v>44323</v>
      </c>
      <c r="G71" s="5">
        <v>44330</v>
      </c>
      <c r="H71" s="4" t="s">
        <v>27</v>
      </c>
      <c r="I71" s="4" t="s">
        <v>598</v>
      </c>
      <c r="J71" s="4" t="s">
        <v>599</v>
      </c>
      <c r="K71" s="5">
        <v>44323</v>
      </c>
      <c r="L71" s="4" t="s">
        <v>24</v>
      </c>
      <c r="M71" t="b">
        <v>1</v>
      </c>
      <c r="N71" t="b">
        <v>1</v>
      </c>
      <c r="Q71">
        <v>70</v>
      </c>
    </row>
    <row r="72" spans="1:17" x14ac:dyDescent="0.35">
      <c r="A72" s="4" t="s">
        <v>716</v>
      </c>
      <c r="B72" s="4" t="s">
        <v>19</v>
      </c>
      <c r="C72" s="4" t="s">
        <v>228</v>
      </c>
      <c r="D72" s="4"/>
      <c r="E72" s="4" t="s">
        <v>717</v>
      </c>
      <c r="F72" s="5">
        <v>44323</v>
      </c>
      <c r="G72" s="5">
        <v>44330</v>
      </c>
      <c r="H72" s="4" t="s">
        <v>27</v>
      </c>
      <c r="I72" s="4" t="s">
        <v>594</v>
      </c>
      <c r="J72" s="4" t="s">
        <v>595</v>
      </c>
      <c r="K72" s="5">
        <v>44323</v>
      </c>
      <c r="L72" s="4" t="s">
        <v>24</v>
      </c>
      <c r="M72" t="b">
        <v>1</v>
      </c>
      <c r="Q72">
        <v>71</v>
      </c>
    </row>
    <row r="73" spans="1:17" x14ac:dyDescent="0.35">
      <c r="A73" s="4" t="s">
        <v>650</v>
      </c>
      <c r="B73" s="4" t="s">
        <v>19</v>
      </c>
      <c r="C73" s="4" t="s">
        <v>228</v>
      </c>
      <c r="D73" s="4"/>
      <c r="E73" s="4" t="s">
        <v>651</v>
      </c>
      <c r="F73" s="5">
        <v>44369</v>
      </c>
      <c r="G73" s="5">
        <v>44376</v>
      </c>
      <c r="H73" s="4" t="s">
        <v>27</v>
      </c>
      <c r="I73" s="4" t="s">
        <v>44</v>
      </c>
      <c r="J73" s="4" t="s">
        <v>45</v>
      </c>
      <c r="K73" s="5">
        <v>44369</v>
      </c>
      <c r="L73" s="4" t="s">
        <v>24</v>
      </c>
      <c r="M73" t="b">
        <v>1</v>
      </c>
      <c r="N73" t="b">
        <v>1</v>
      </c>
      <c r="Q73">
        <v>72</v>
      </c>
    </row>
    <row r="74" spans="1:17" x14ac:dyDescent="0.35">
      <c r="A74" s="4" t="s">
        <v>600</v>
      </c>
      <c r="B74" s="4" t="s">
        <v>19</v>
      </c>
      <c r="C74" s="4" t="s">
        <v>228</v>
      </c>
      <c r="D74" s="4"/>
      <c r="E74" s="4" t="s">
        <v>601</v>
      </c>
      <c r="F74" s="5">
        <v>44383</v>
      </c>
      <c r="G74" s="5">
        <v>44390</v>
      </c>
      <c r="H74" s="4" t="s">
        <v>27</v>
      </c>
      <c r="I74" s="4" t="s">
        <v>598</v>
      </c>
      <c r="J74" s="4" t="s">
        <v>599</v>
      </c>
      <c r="K74" s="5">
        <v>44383</v>
      </c>
      <c r="L74" s="4" t="s">
        <v>24</v>
      </c>
      <c r="M74" t="b">
        <v>1</v>
      </c>
      <c r="N74" t="b">
        <v>1</v>
      </c>
      <c r="Q74">
        <v>73</v>
      </c>
    </row>
    <row r="75" spans="1:17" x14ac:dyDescent="0.35">
      <c r="A75" s="4" t="s">
        <v>596</v>
      </c>
      <c r="B75" s="4" t="s">
        <v>19</v>
      </c>
      <c r="C75" s="4" t="s">
        <v>228</v>
      </c>
      <c r="D75" s="4"/>
      <c r="E75" s="4" t="s">
        <v>597</v>
      </c>
      <c r="F75" s="5">
        <v>44383</v>
      </c>
      <c r="G75" s="5">
        <v>44390</v>
      </c>
      <c r="H75" s="4" t="s">
        <v>27</v>
      </c>
      <c r="I75" s="4" t="s">
        <v>598</v>
      </c>
      <c r="J75" s="4" t="s">
        <v>599</v>
      </c>
      <c r="K75" s="5">
        <v>44383</v>
      </c>
      <c r="L75" s="4" t="s">
        <v>24</v>
      </c>
      <c r="M75" t="b">
        <v>1</v>
      </c>
      <c r="Q75">
        <v>74</v>
      </c>
    </row>
    <row r="76" spans="1:17" x14ac:dyDescent="0.35">
      <c r="A76" s="4" t="s">
        <v>493</v>
      </c>
      <c r="B76" s="4" t="s">
        <v>19</v>
      </c>
      <c r="C76" s="4" t="s">
        <v>189</v>
      </c>
      <c r="D76" s="4"/>
      <c r="E76" s="4" t="s">
        <v>494</v>
      </c>
      <c r="F76" s="5">
        <v>44582</v>
      </c>
      <c r="G76" s="5">
        <v>44589</v>
      </c>
      <c r="H76" s="4" t="s">
        <v>27</v>
      </c>
      <c r="I76" s="4" t="s">
        <v>91</v>
      </c>
      <c r="J76" s="4" t="s">
        <v>92</v>
      </c>
      <c r="K76" s="5">
        <v>44582</v>
      </c>
      <c r="L76" s="4" t="s">
        <v>24</v>
      </c>
      <c r="M76" t="b">
        <v>1</v>
      </c>
      <c r="N76" t="b">
        <v>1</v>
      </c>
      <c r="Q76">
        <v>75</v>
      </c>
    </row>
    <row r="77" spans="1:17" x14ac:dyDescent="0.35">
      <c r="A77" s="4" t="s">
        <v>462</v>
      </c>
      <c r="B77" s="4" t="s">
        <v>19</v>
      </c>
      <c r="C77" s="4" t="s">
        <v>189</v>
      </c>
      <c r="D77" s="4"/>
      <c r="E77" s="4" t="s">
        <v>463</v>
      </c>
      <c r="F77" s="5">
        <v>44645</v>
      </c>
      <c r="G77" s="5">
        <v>44652</v>
      </c>
      <c r="H77" s="4" t="s">
        <v>27</v>
      </c>
      <c r="I77" s="4" t="s">
        <v>91</v>
      </c>
      <c r="J77" s="4" t="s">
        <v>184</v>
      </c>
      <c r="K77" s="5">
        <v>44645</v>
      </c>
      <c r="L77" s="4" t="s">
        <v>24</v>
      </c>
      <c r="M77" t="b">
        <v>1</v>
      </c>
      <c r="N77" t="b">
        <v>1</v>
      </c>
      <c r="O77" t="b">
        <v>1</v>
      </c>
      <c r="Q77">
        <v>76</v>
      </c>
    </row>
    <row r="78" spans="1:17" x14ac:dyDescent="0.35">
      <c r="A78" s="4" t="s">
        <v>626</v>
      </c>
      <c r="B78" s="4" t="s">
        <v>19</v>
      </c>
      <c r="C78" s="4" t="s">
        <v>157</v>
      </c>
      <c r="D78" s="4"/>
      <c r="E78" s="4" t="s">
        <v>627</v>
      </c>
      <c r="F78" s="5">
        <v>44369</v>
      </c>
      <c r="G78" s="5">
        <v>44376</v>
      </c>
      <c r="H78" s="4" t="s">
        <v>27</v>
      </c>
      <c r="I78" s="4" t="s">
        <v>594</v>
      </c>
      <c r="J78" s="4" t="s">
        <v>595</v>
      </c>
      <c r="K78" s="5">
        <v>44369</v>
      </c>
      <c r="L78" s="4" t="s">
        <v>24</v>
      </c>
      <c r="M78" t="b">
        <v>1</v>
      </c>
      <c r="N78" t="b">
        <v>1</v>
      </c>
      <c r="Q78">
        <v>77</v>
      </c>
    </row>
    <row r="79" spans="1:17" x14ac:dyDescent="0.35">
      <c r="A79" s="4" t="s">
        <v>507</v>
      </c>
      <c r="B79" s="4" t="s">
        <v>19</v>
      </c>
      <c r="C79" s="4" t="s">
        <v>189</v>
      </c>
      <c r="D79" s="4"/>
      <c r="E79" s="4" t="s">
        <v>508</v>
      </c>
      <c r="F79" s="5">
        <v>44532</v>
      </c>
      <c r="G79" s="5">
        <v>44539</v>
      </c>
      <c r="H79" s="4" t="s">
        <v>27</v>
      </c>
      <c r="I79" s="4" t="s">
        <v>91</v>
      </c>
      <c r="J79" s="4" t="s">
        <v>184</v>
      </c>
      <c r="K79" s="5">
        <v>44532</v>
      </c>
      <c r="L79" s="4" t="s">
        <v>24</v>
      </c>
      <c r="M79" t="b">
        <v>1</v>
      </c>
      <c r="N79" t="b">
        <v>1</v>
      </c>
      <c r="Q79">
        <v>78</v>
      </c>
    </row>
    <row r="80" spans="1:17" x14ac:dyDescent="0.35">
      <c r="A80" s="4" t="s">
        <v>191</v>
      </c>
      <c r="B80" s="4" t="s">
        <v>19</v>
      </c>
      <c r="C80" s="4" t="s">
        <v>189</v>
      </c>
      <c r="D80" s="4"/>
      <c r="E80" s="4" t="s">
        <v>192</v>
      </c>
      <c r="F80" s="5">
        <v>44749</v>
      </c>
      <c r="G80" s="5">
        <v>44756</v>
      </c>
      <c r="H80" s="4" t="s">
        <v>27</v>
      </c>
      <c r="I80" s="4" t="s">
        <v>91</v>
      </c>
      <c r="J80" s="4" t="s">
        <v>184</v>
      </c>
      <c r="K80" s="5">
        <v>44749</v>
      </c>
      <c r="L80" s="4" t="s">
        <v>24</v>
      </c>
      <c r="M80" t="b">
        <v>1</v>
      </c>
      <c r="N80" t="b">
        <v>1</v>
      </c>
      <c r="Q80">
        <v>79</v>
      </c>
    </row>
    <row r="81" spans="1:17" x14ac:dyDescent="0.35">
      <c r="A81" s="4" t="s">
        <v>188</v>
      </c>
      <c r="B81" s="4" t="s">
        <v>19</v>
      </c>
      <c r="C81" s="4" t="s">
        <v>189</v>
      </c>
      <c r="D81" s="4"/>
      <c r="E81" s="4" t="s">
        <v>190</v>
      </c>
      <c r="F81" s="5">
        <v>44749</v>
      </c>
      <c r="G81" s="5">
        <v>44756</v>
      </c>
      <c r="H81" s="4" t="s">
        <v>27</v>
      </c>
      <c r="I81" s="4" t="s">
        <v>91</v>
      </c>
      <c r="J81" s="4" t="s">
        <v>184</v>
      </c>
      <c r="K81" s="5">
        <v>44749</v>
      </c>
      <c r="L81" s="4" t="s">
        <v>24</v>
      </c>
      <c r="M81" t="b">
        <v>1</v>
      </c>
      <c r="N81" t="b">
        <v>1</v>
      </c>
      <c r="Q81">
        <v>80</v>
      </c>
    </row>
    <row r="82" spans="1:17" x14ac:dyDescent="0.35">
      <c r="A82" s="4" t="s">
        <v>590</v>
      </c>
      <c r="B82" s="4" t="s">
        <v>19</v>
      </c>
      <c r="C82" s="4" t="s">
        <v>107</v>
      </c>
      <c r="D82" s="4"/>
      <c r="E82" s="4" t="s">
        <v>591</v>
      </c>
      <c r="F82" s="5">
        <v>44383</v>
      </c>
      <c r="G82" s="5">
        <v>44390</v>
      </c>
      <c r="H82" s="4" t="s">
        <v>27</v>
      </c>
      <c r="I82" s="4" t="s">
        <v>34</v>
      </c>
      <c r="J82" s="4" t="s">
        <v>35</v>
      </c>
      <c r="K82" s="5">
        <v>44383</v>
      </c>
      <c r="L82" s="4" t="s">
        <v>24</v>
      </c>
      <c r="M82" t="b">
        <v>1</v>
      </c>
      <c r="N82" t="b">
        <v>1</v>
      </c>
      <c r="Q82">
        <v>81</v>
      </c>
    </row>
    <row r="83" spans="1:17" x14ac:dyDescent="0.35">
      <c r="A83" s="4" t="s">
        <v>588</v>
      </c>
      <c r="B83" s="4" t="s">
        <v>19</v>
      </c>
      <c r="C83" s="4" t="s">
        <v>107</v>
      </c>
      <c r="D83" s="4"/>
      <c r="E83" s="4" t="s">
        <v>589</v>
      </c>
      <c r="F83" s="5">
        <v>44383</v>
      </c>
      <c r="G83" s="5">
        <v>44390</v>
      </c>
      <c r="H83" s="4" t="s">
        <v>27</v>
      </c>
      <c r="I83" s="4" t="s">
        <v>44</v>
      </c>
      <c r="J83" s="4" t="s">
        <v>45</v>
      </c>
      <c r="K83" s="5">
        <v>44383</v>
      </c>
      <c r="L83" s="4" t="s">
        <v>24</v>
      </c>
      <c r="M83" t="b">
        <v>1</v>
      </c>
      <c r="Q83">
        <v>82</v>
      </c>
    </row>
    <row r="84" spans="1:17" x14ac:dyDescent="0.35">
      <c r="A84" s="4" t="s">
        <v>724</v>
      </c>
      <c r="B84" s="4" t="s">
        <v>19</v>
      </c>
      <c r="C84" s="4" t="s">
        <v>73</v>
      </c>
      <c r="D84" s="4"/>
      <c r="E84" s="4" t="s">
        <v>725</v>
      </c>
      <c r="F84" s="5">
        <v>44323</v>
      </c>
      <c r="G84" s="5">
        <v>44329</v>
      </c>
      <c r="H84" s="4" t="s">
        <v>27</v>
      </c>
      <c r="I84" s="4" t="s">
        <v>44</v>
      </c>
      <c r="J84" s="4" t="s">
        <v>45</v>
      </c>
      <c r="K84" s="5">
        <v>44323</v>
      </c>
      <c r="L84" s="4" t="s">
        <v>24</v>
      </c>
      <c r="M84" t="b">
        <v>1</v>
      </c>
      <c r="N84" t="b">
        <v>1</v>
      </c>
      <c r="Q84">
        <v>83</v>
      </c>
    </row>
    <row r="85" spans="1:17" x14ac:dyDescent="0.35">
      <c r="A85" s="4" t="s">
        <v>446</v>
      </c>
      <c r="B85" s="4" t="s">
        <v>19</v>
      </c>
      <c r="C85" s="4" t="s">
        <v>189</v>
      </c>
      <c r="D85" s="4"/>
      <c r="E85" s="4" t="s">
        <v>447</v>
      </c>
      <c r="F85" s="5">
        <v>44645</v>
      </c>
      <c r="G85" s="5">
        <v>44652</v>
      </c>
      <c r="H85" s="4" t="s">
        <v>27</v>
      </c>
      <c r="I85" s="4" t="s">
        <v>91</v>
      </c>
      <c r="J85" s="4" t="s">
        <v>184</v>
      </c>
      <c r="K85" s="5">
        <v>44645</v>
      </c>
      <c r="L85" s="4" t="s">
        <v>24</v>
      </c>
      <c r="M85" t="b">
        <v>1</v>
      </c>
      <c r="N85" t="b">
        <v>1</v>
      </c>
      <c r="Q85">
        <v>84</v>
      </c>
    </row>
    <row r="86" spans="1:17" x14ac:dyDescent="0.35">
      <c r="A86" s="4" t="s">
        <v>740</v>
      </c>
      <c r="B86" s="4" t="s">
        <v>19</v>
      </c>
      <c r="C86" s="4" t="s">
        <v>186</v>
      </c>
      <c r="D86" s="4" t="s">
        <v>879</v>
      </c>
      <c r="E86" s="4" t="s">
        <v>741</v>
      </c>
      <c r="F86" s="5">
        <v>44323</v>
      </c>
      <c r="G86" s="5">
        <v>44329</v>
      </c>
      <c r="H86" s="4" t="s">
        <v>27</v>
      </c>
      <c r="I86" s="4" t="s">
        <v>598</v>
      </c>
      <c r="J86" s="4" t="s">
        <v>599</v>
      </c>
      <c r="K86" s="5">
        <v>44323</v>
      </c>
      <c r="L86" s="4" t="s">
        <v>24</v>
      </c>
      <c r="M86" t="b">
        <v>1</v>
      </c>
      <c r="N86" t="b">
        <v>1</v>
      </c>
      <c r="Q86">
        <v>85</v>
      </c>
    </row>
    <row r="87" spans="1:17" x14ac:dyDescent="0.35">
      <c r="A87" s="4" t="s">
        <v>714</v>
      </c>
      <c r="B87" s="4" t="s">
        <v>19</v>
      </c>
      <c r="C87" s="4" t="s">
        <v>186</v>
      </c>
      <c r="D87" s="4"/>
      <c r="E87" s="4" t="s">
        <v>715</v>
      </c>
      <c r="F87" s="5">
        <v>44323</v>
      </c>
      <c r="G87" s="5">
        <v>44330</v>
      </c>
      <c r="H87" s="4" t="s">
        <v>27</v>
      </c>
      <c r="I87" s="4" t="s">
        <v>598</v>
      </c>
      <c r="J87" s="4" t="s">
        <v>599</v>
      </c>
      <c r="K87" s="5">
        <v>44323</v>
      </c>
      <c r="L87" s="4" t="s">
        <v>24</v>
      </c>
      <c r="M87" t="b">
        <v>1</v>
      </c>
      <c r="N87" t="b">
        <v>1</v>
      </c>
      <c r="Q87">
        <v>86</v>
      </c>
    </row>
    <row r="88" spans="1:17" x14ac:dyDescent="0.35">
      <c r="A88" s="4" t="s">
        <v>501</v>
      </c>
      <c r="B88" s="4" t="s">
        <v>89</v>
      </c>
      <c r="C88" s="4" t="s">
        <v>426</v>
      </c>
      <c r="D88" s="4"/>
      <c r="E88" s="4" t="s">
        <v>502</v>
      </c>
      <c r="F88" s="5">
        <v>44532</v>
      </c>
      <c r="G88" s="5">
        <v>44539</v>
      </c>
      <c r="H88" s="4" t="s">
        <v>27</v>
      </c>
      <c r="I88" s="4" t="s">
        <v>91</v>
      </c>
      <c r="J88" s="4" t="s">
        <v>92</v>
      </c>
      <c r="K88" s="5">
        <v>44532</v>
      </c>
      <c r="L88" s="4" t="s">
        <v>24</v>
      </c>
      <c r="M88" t="b">
        <v>1</v>
      </c>
      <c r="N88" t="b">
        <v>1</v>
      </c>
      <c r="O88" t="b">
        <v>1</v>
      </c>
      <c r="Q88">
        <v>87</v>
      </c>
    </row>
    <row r="89" spans="1:17" x14ac:dyDescent="0.35">
      <c r="A89" s="4" t="s">
        <v>630</v>
      </c>
      <c r="B89" s="4" t="s">
        <v>89</v>
      </c>
      <c r="C89" s="4" t="s">
        <v>107</v>
      </c>
      <c r="D89" s="4"/>
      <c r="E89" s="4" t="s">
        <v>631</v>
      </c>
      <c r="F89" s="5">
        <v>44369</v>
      </c>
      <c r="G89" s="5">
        <v>44376</v>
      </c>
      <c r="H89" s="4" t="s">
        <v>27</v>
      </c>
      <c r="I89" s="4" t="s">
        <v>44</v>
      </c>
      <c r="J89" s="4" t="s">
        <v>45</v>
      </c>
      <c r="K89" s="5">
        <v>44672</v>
      </c>
      <c r="L89" s="4" t="s">
        <v>24</v>
      </c>
      <c r="M89" t="b">
        <v>1</v>
      </c>
      <c r="N89" t="b">
        <v>1</v>
      </c>
      <c r="Q89">
        <v>88</v>
      </c>
    </row>
    <row r="90" spans="1:17" x14ac:dyDescent="0.35">
      <c r="A90" s="4" t="s">
        <v>628</v>
      </c>
      <c r="B90" s="4" t="s">
        <v>89</v>
      </c>
      <c r="C90" s="4" t="s">
        <v>107</v>
      </c>
      <c r="D90" s="4"/>
      <c r="E90" s="4" t="s">
        <v>629</v>
      </c>
      <c r="F90" s="5">
        <v>44369</v>
      </c>
      <c r="G90" s="5">
        <v>44376</v>
      </c>
      <c r="H90" s="4" t="s">
        <v>27</v>
      </c>
      <c r="I90" s="4" t="s">
        <v>44</v>
      </c>
      <c r="J90" s="4" t="s">
        <v>45</v>
      </c>
      <c r="K90" s="5">
        <v>44672</v>
      </c>
      <c r="L90" s="4" t="s">
        <v>24</v>
      </c>
      <c r="M90" t="b">
        <v>1</v>
      </c>
      <c r="N90" t="b">
        <v>1</v>
      </c>
      <c r="Q90">
        <v>89</v>
      </c>
    </row>
    <row r="91" spans="1:17" x14ac:dyDescent="0.35">
      <c r="A91" s="4" t="s">
        <v>541</v>
      </c>
      <c r="B91" s="4" t="s">
        <v>89</v>
      </c>
      <c r="C91" s="4" t="s">
        <v>107</v>
      </c>
      <c r="D91" s="4"/>
      <c r="E91" s="4" t="s">
        <v>542</v>
      </c>
      <c r="F91" s="5">
        <v>44476</v>
      </c>
      <c r="G91" s="5">
        <v>44476</v>
      </c>
      <c r="H91" s="4" t="s">
        <v>27</v>
      </c>
      <c r="I91" s="4" t="s">
        <v>57</v>
      </c>
      <c r="J91" s="4" t="s">
        <v>58</v>
      </c>
      <c r="K91" s="5">
        <v>44480</v>
      </c>
      <c r="L91" s="4" t="s">
        <v>24</v>
      </c>
      <c r="M91" t="b">
        <v>1</v>
      </c>
      <c r="N91" t="b">
        <v>1</v>
      </c>
      <c r="O91" t="b">
        <v>1</v>
      </c>
      <c r="Q91">
        <v>90</v>
      </c>
    </row>
    <row r="92" spans="1:17" x14ac:dyDescent="0.35">
      <c r="A92" s="4" t="s">
        <v>539</v>
      </c>
      <c r="B92" s="4" t="s">
        <v>134</v>
      </c>
      <c r="C92" s="4" t="s">
        <v>107</v>
      </c>
      <c r="D92" s="4"/>
      <c r="E92" s="4" t="s">
        <v>540</v>
      </c>
      <c r="F92" s="5">
        <v>44476</v>
      </c>
      <c r="G92" s="5">
        <v>44476</v>
      </c>
      <c r="H92" s="4" t="s">
        <v>27</v>
      </c>
      <c r="I92" s="4" t="s">
        <v>57</v>
      </c>
      <c r="J92" s="4" t="s">
        <v>58</v>
      </c>
      <c r="K92" s="5">
        <v>44491</v>
      </c>
      <c r="L92" s="4" t="s">
        <v>24</v>
      </c>
      <c r="M92" t="b">
        <v>0</v>
      </c>
      <c r="N92" t="b">
        <v>1</v>
      </c>
      <c r="O92" t="b">
        <v>1</v>
      </c>
      <c r="Q92">
        <v>91</v>
      </c>
    </row>
    <row r="93" spans="1:17" x14ac:dyDescent="0.35">
      <c r="A93" s="4" t="s">
        <v>537</v>
      </c>
      <c r="B93" s="4" t="s">
        <v>134</v>
      </c>
      <c r="C93" s="4" t="s">
        <v>107</v>
      </c>
      <c r="D93" s="4"/>
      <c r="E93" s="4" t="s">
        <v>538</v>
      </c>
      <c r="F93" s="5">
        <v>44476</v>
      </c>
      <c r="G93" s="5">
        <v>44476</v>
      </c>
      <c r="H93" s="4" t="s">
        <v>27</v>
      </c>
      <c r="I93" s="4" t="s">
        <v>57</v>
      </c>
      <c r="J93" s="4" t="s">
        <v>58</v>
      </c>
      <c r="K93" s="5">
        <v>44491</v>
      </c>
      <c r="L93" s="4" t="s">
        <v>24</v>
      </c>
      <c r="M93" t="b">
        <v>0</v>
      </c>
      <c r="N93" t="b">
        <v>1</v>
      </c>
      <c r="O93" t="b">
        <v>1</v>
      </c>
      <c r="Q93">
        <v>92</v>
      </c>
    </row>
    <row r="94" spans="1:17" x14ac:dyDescent="0.35">
      <c r="A94" s="4" t="s">
        <v>497</v>
      </c>
      <c r="B94" s="4" t="s">
        <v>89</v>
      </c>
      <c r="C94" s="4" t="s">
        <v>189</v>
      </c>
      <c r="D94" s="4"/>
      <c r="E94" s="4" t="s">
        <v>498</v>
      </c>
      <c r="F94" s="5">
        <v>44532</v>
      </c>
      <c r="G94" s="5">
        <v>44539</v>
      </c>
      <c r="H94" s="4" t="s">
        <v>27</v>
      </c>
      <c r="I94" s="4" t="s">
        <v>91</v>
      </c>
      <c r="J94" s="4" t="s">
        <v>92</v>
      </c>
      <c r="K94" s="5">
        <v>44532</v>
      </c>
      <c r="L94" s="4" t="s">
        <v>24</v>
      </c>
      <c r="M94" t="b">
        <v>1</v>
      </c>
      <c r="O94" t="b">
        <v>1</v>
      </c>
      <c r="Q94">
        <v>93</v>
      </c>
    </row>
    <row r="95" spans="1:17" x14ac:dyDescent="0.35">
      <c r="A95" s="4" t="s">
        <v>499</v>
      </c>
      <c r="B95" s="4" t="s">
        <v>89</v>
      </c>
      <c r="C95" s="4" t="s">
        <v>189</v>
      </c>
      <c r="D95" s="4"/>
      <c r="E95" s="4" t="s">
        <v>500</v>
      </c>
      <c r="F95" s="5">
        <v>44532</v>
      </c>
      <c r="G95" s="5">
        <v>44539</v>
      </c>
      <c r="H95" s="4" t="s">
        <v>27</v>
      </c>
      <c r="I95" s="4" t="s">
        <v>91</v>
      </c>
      <c r="J95" s="4" t="s">
        <v>92</v>
      </c>
      <c r="K95" s="5">
        <v>44533</v>
      </c>
      <c r="L95" s="4" t="s">
        <v>24</v>
      </c>
      <c r="M95" t="b">
        <v>1</v>
      </c>
      <c r="N95" t="b">
        <v>1</v>
      </c>
      <c r="O95" t="b">
        <v>1</v>
      </c>
      <c r="Q95">
        <v>94</v>
      </c>
    </row>
    <row r="96" spans="1:17" x14ac:dyDescent="0.35">
      <c r="A96" s="4" t="s">
        <v>559</v>
      </c>
      <c r="B96" s="4" t="s">
        <v>89</v>
      </c>
      <c r="C96" s="4" t="s">
        <v>189</v>
      </c>
      <c r="D96" s="4"/>
      <c r="E96" s="4" t="s">
        <v>560</v>
      </c>
      <c r="F96" s="5">
        <v>44476</v>
      </c>
      <c r="G96" s="5">
        <v>44476</v>
      </c>
      <c r="H96" s="4" t="s">
        <v>27</v>
      </c>
      <c r="I96" s="4" t="s">
        <v>57</v>
      </c>
      <c r="J96" s="4" t="s">
        <v>58</v>
      </c>
      <c r="K96" s="5">
        <v>44480</v>
      </c>
      <c r="L96" s="4" t="s">
        <v>24</v>
      </c>
      <c r="M96" t="b">
        <v>1</v>
      </c>
      <c r="N96" t="b">
        <v>1</v>
      </c>
      <c r="O96" t="b">
        <v>1</v>
      </c>
      <c r="Q96">
        <v>95</v>
      </c>
    </row>
    <row r="97" spans="1:17" x14ac:dyDescent="0.35">
      <c r="A97" s="4" t="s">
        <v>543</v>
      </c>
      <c r="B97" s="4" t="s">
        <v>89</v>
      </c>
      <c r="C97" s="4" t="s">
        <v>189</v>
      </c>
      <c r="D97" s="4"/>
      <c r="E97" s="4" t="s">
        <v>544</v>
      </c>
      <c r="F97" s="5">
        <v>44476</v>
      </c>
      <c r="G97" s="5">
        <v>44476</v>
      </c>
      <c r="H97" s="4" t="s">
        <v>27</v>
      </c>
      <c r="I97" s="4" t="s">
        <v>57</v>
      </c>
      <c r="J97" s="4" t="s">
        <v>58</v>
      </c>
      <c r="K97" s="5">
        <v>44494</v>
      </c>
      <c r="L97" s="4" t="s">
        <v>24</v>
      </c>
      <c r="M97" t="b">
        <v>1</v>
      </c>
      <c r="N97" t="b">
        <v>1</v>
      </c>
      <c r="O97" t="b">
        <v>1</v>
      </c>
      <c r="Q97">
        <v>96</v>
      </c>
    </row>
    <row r="98" spans="1:17" x14ac:dyDescent="0.35">
      <c r="A98" s="4" t="s">
        <v>505</v>
      </c>
      <c r="B98" s="4" t="s">
        <v>89</v>
      </c>
      <c r="C98" s="4" t="s">
        <v>189</v>
      </c>
      <c r="D98" s="4"/>
      <c r="E98" s="4" t="s">
        <v>506</v>
      </c>
      <c r="F98" s="5">
        <v>44532</v>
      </c>
      <c r="G98" s="5">
        <v>44539</v>
      </c>
      <c r="H98" s="4" t="s">
        <v>27</v>
      </c>
      <c r="I98" s="4" t="s">
        <v>91</v>
      </c>
      <c r="J98" s="4" t="s">
        <v>92</v>
      </c>
      <c r="K98" s="5">
        <v>44683</v>
      </c>
      <c r="L98" s="4" t="s">
        <v>24</v>
      </c>
      <c r="M98" t="b">
        <v>1</v>
      </c>
      <c r="N98" t="b">
        <v>1</v>
      </c>
      <c r="O98" t="b">
        <v>1</v>
      </c>
      <c r="Q98">
        <v>97</v>
      </c>
    </row>
    <row r="99" spans="1:17" x14ac:dyDescent="0.35">
      <c r="A99" s="4" t="s">
        <v>495</v>
      </c>
      <c r="B99" s="4" t="s">
        <v>89</v>
      </c>
      <c r="C99" s="4" t="s">
        <v>426</v>
      </c>
      <c r="D99" s="4"/>
      <c r="E99" s="4" t="s">
        <v>496</v>
      </c>
      <c r="F99" s="5">
        <v>44582</v>
      </c>
      <c r="G99" s="5">
        <v>44589</v>
      </c>
      <c r="H99" s="4" t="s">
        <v>27</v>
      </c>
      <c r="I99" s="4" t="s">
        <v>91</v>
      </c>
      <c r="J99" s="4" t="s">
        <v>92</v>
      </c>
      <c r="K99" s="5">
        <v>44616</v>
      </c>
      <c r="L99" s="4" t="s">
        <v>24</v>
      </c>
      <c r="M99" t="b">
        <v>1</v>
      </c>
      <c r="N99" t="b">
        <v>1</v>
      </c>
      <c r="O99" t="b">
        <v>1</v>
      </c>
      <c r="Q99">
        <v>98</v>
      </c>
    </row>
    <row r="100" spans="1:17" x14ac:dyDescent="0.35">
      <c r="A100" s="4" t="s">
        <v>555</v>
      </c>
      <c r="B100" s="4" t="s">
        <v>134</v>
      </c>
      <c r="C100" s="4" t="s">
        <v>189</v>
      </c>
      <c r="D100" s="4" t="s">
        <v>948</v>
      </c>
      <c r="E100" s="4" t="s">
        <v>556</v>
      </c>
      <c r="F100" s="5">
        <v>44476</v>
      </c>
      <c r="G100" s="5">
        <v>44476</v>
      </c>
      <c r="H100" s="4" t="s">
        <v>27</v>
      </c>
      <c r="I100" s="4" t="s">
        <v>57</v>
      </c>
      <c r="J100" s="4" t="s">
        <v>58</v>
      </c>
      <c r="K100" s="5">
        <v>44491</v>
      </c>
      <c r="L100" s="4" t="s">
        <v>24</v>
      </c>
      <c r="M100" t="b">
        <v>0</v>
      </c>
      <c r="N100" t="b">
        <v>1</v>
      </c>
      <c r="O100" t="b">
        <v>1</v>
      </c>
      <c r="Q100">
        <v>99</v>
      </c>
    </row>
    <row r="101" spans="1:17" x14ac:dyDescent="0.35">
      <c r="A101" s="4" t="s">
        <v>668</v>
      </c>
      <c r="B101" s="4" t="s">
        <v>134</v>
      </c>
      <c r="C101" s="4" t="s">
        <v>66</v>
      </c>
      <c r="D101" s="4"/>
      <c r="E101" s="4" t="s">
        <v>669</v>
      </c>
      <c r="F101" s="5">
        <v>44369</v>
      </c>
      <c r="G101" s="5">
        <v>44376</v>
      </c>
      <c r="H101" s="4" t="s">
        <v>27</v>
      </c>
      <c r="I101" s="4" t="s">
        <v>44</v>
      </c>
      <c r="J101" s="4" t="s">
        <v>45</v>
      </c>
      <c r="K101" s="5">
        <v>44818</v>
      </c>
      <c r="L101" s="4" t="s">
        <v>24</v>
      </c>
      <c r="M101" t="b">
        <v>0</v>
      </c>
      <c r="N101" t="b">
        <v>1</v>
      </c>
      <c r="O101" t="b">
        <v>1</v>
      </c>
      <c r="P101" t="b">
        <v>1</v>
      </c>
      <c r="Q101">
        <v>100</v>
      </c>
    </row>
    <row r="102" spans="1:17" x14ac:dyDescent="0.35">
      <c r="A102" s="4" t="s">
        <v>660</v>
      </c>
      <c r="B102" s="4" t="s">
        <v>134</v>
      </c>
      <c r="C102" s="4" t="s">
        <v>66</v>
      </c>
      <c r="D102" s="4"/>
      <c r="E102" s="4" t="s">
        <v>661</v>
      </c>
      <c r="F102" s="5">
        <v>44369</v>
      </c>
      <c r="G102" s="5">
        <v>44376</v>
      </c>
      <c r="H102" s="4" t="s">
        <v>27</v>
      </c>
      <c r="I102" s="4" t="s">
        <v>44</v>
      </c>
      <c r="J102" s="4" t="s">
        <v>45</v>
      </c>
      <c r="K102" s="5">
        <v>44818</v>
      </c>
      <c r="L102" s="4" t="s">
        <v>24</v>
      </c>
      <c r="M102" t="b">
        <v>0</v>
      </c>
      <c r="N102" t="b">
        <v>1</v>
      </c>
      <c r="O102" t="b">
        <v>0</v>
      </c>
      <c r="Q102">
        <v>101</v>
      </c>
    </row>
    <row r="103" spans="1:17" x14ac:dyDescent="0.35">
      <c r="A103" s="4" t="s">
        <v>535</v>
      </c>
      <c r="B103" s="4" t="s">
        <v>134</v>
      </c>
      <c r="C103" s="4" t="s">
        <v>186</v>
      </c>
      <c r="D103" s="4"/>
      <c r="E103" s="4" t="s">
        <v>536</v>
      </c>
      <c r="F103" s="5">
        <v>44476</v>
      </c>
      <c r="G103" s="5">
        <v>44476</v>
      </c>
      <c r="H103" s="4" t="s">
        <v>27</v>
      </c>
      <c r="I103" s="4" t="s">
        <v>57</v>
      </c>
      <c r="J103" s="4" t="s">
        <v>58</v>
      </c>
      <c r="K103" s="5">
        <v>44784</v>
      </c>
      <c r="L103" s="4" t="s">
        <v>24</v>
      </c>
      <c r="M103" t="b">
        <v>0</v>
      </c>
      <c r="N103" t="b">
        <v>1</v>
      </c>
      <c r="O103" t="b">
        <v>1</v>
      </c>
      <c r="Q103">
        <v>102</v>
      </c>
    </row>
    <row r="104" spans="1:17" x14ac:dyDescent="0.35">
      <c r="A104" s="4" t="s">
        <v>744</v>
      </c>
      <c r="B104" s="4" t="s">
        <v>134</v>
      </c>
      <c r="C104" s="4" t="s">
        <v>102</v>
      </c>
      <c r="D104" s="4"/>
      <c r="E104" s="4" t="s">
        <v>745</v>
      </c>
      <c r="F104" s="5">
        <v>44315</v>
      </c>
      <c r="G104" s="5">
        <v>44322</v>
      </c>
      <c r="H104" s="4" t="s">
        <v>27</v>
      </c>
      <c r="I104" s="4" t="s">
        <v>57</v>
      </c>
      <c r="J104" s="4" t="s">
        <v>58</v>
      </c>
      <c r="K104" s="5">
        <v>44784</v>
      </c>
      <c r="L104" s="4" t="s">
        <v>24</v>
      </c>
      <c r="M104" t="b">
        <v>0</v>
      </c>
      <c r="N104" t="b">
        <v>1</v>
      </c>
      <c r="O104" t="b">
        <v>1</v>
      </c>
      <c r="Q104">
        <v>103</v>
      </c>
    </row>
    <row r="105" spans="1:17" x14ac:dyDescent="0.35">
      <c r="A105" s="4" t="s">
        <v>557</v>
      </c>
      <c r="B105" s="4" t="s">
        <v>134</v>
      </c>
      <c r="C105" s="4" t="s">
        <v>189</v>
      </c>
      <c r="D105" s="4"/>
      <c r="E105" s="4" t="s">
        <v>558</v>
      </c>
      <c r="F105" s="5">
        <v>44476</v>
      </c>
      <c r="G105" s="5">
        <v>44476</v>
      </c>
      <c r="H105" s="4" t="s">
        <v>27</v>
      </c>
      <c r="I105" s="4" t="s">
        <v>57</v>
      </c>
      <c r="J105" s="4" t="s">
        <v>58</v>
      </c>
      <c r="K105" s="5">
        <v>44476</v>
      </c>
      <c r="L105" s="4" t="s">
        <v>24</v>
      </c>
      <c r="M105" t="b">
        <v>0</v>
      </c>
      <c r="Q105">
        <v>104</v>
      </c>
    </row>
    <row r="106" spans="1:17" x14ac:dyDescent="0.35">
      <c r="A106" s="4" t="s">
        <v>547</v>
      </c>
      <c r="B106" s="4" t="s">
        <v>134</v>
      </c>
      <c r="C106" s="4" t="s">
        <v>189</v>
      </c>
      <c r="D106" s="4"/>
      <c r="E106" s="4" t="s">
        <v>548</v>
      </c>
      <c r="F106" s="5">
        <v>44476</v>
      </c>
      <c r="G106" s="5">
        <v>44476</v>
      </c>
      <c r="H106" s="4" t="s">
        <v>27</v>
      </c>
      <c r="I106" s="4" t="s">
        <v>57</v>
      </c>
      <c r="J106" s="4" t="s">
        <v>58</v>
      </c>
      <c r="K106" s="5">
        <v>44784</v>
      </c>
      <c r="L106" s="4" t="s">
        <v>24</v>
      </c>
      <c r="M106" t="b">
        <v>0</v>
      </c>
      <c r="N106" t="b">
        <v>1</v>
      </c>
      <c r="O106" t="b">
        <v>1</v>
      </c>
      <c r="Q106">
        <v>105</v>
      </c>
    </row>
    <row r="107" spans="1:17" x14ac:dyDescent="0.35">
      <c r="A107" s="4" t="s">
        <v>545</v>
      </c>
      <c r="B107" s="4" t="s">
        <v>134</v>
      </c>
      <c r="C107" s="4" t="s">
        <v>189</v>
      </c>
      <c r="D107" s="4"/>
      <c r="E107" s="4" t="s">
        <v>546</v>
      </c>
      <c r="F107" s="5">
        <v>44476</v>
      </c>
      <c r="G107" s="5">
        <v>44476</v>
      </c>
      <c r="H107" s="4" t="s">
        <v>27</v>
      </c>
      <c r="I107" s="4" t="s">
        <v>57</v>
      </c>
      <c r="J107" s="4" t="s">
        <v>58</v>
      </c>
      <c r="K107" s="5">
        <v>44491</v>
      </c>
      <c r="L107" s="4" t="s">
        <v>24</v>
      </c>
      <c r="M107" t="b">
        <v>0</v>
      </c>
      <c r="N107" t="b">
        <v>1</v>
      </c>
      <c r="O107" t="b">
        <v>1</v>
      </c>
      <c r="Q107">
        <v>106</v>
      </c>
    </row>
    <row r="108" spans="1:17" x14ac:dyDescent="0.35">
      <c r="A108" s="4" t="s">
        <v>549</v>
      </c>
      <c r="B108" s="4" t="s">
        <v>134</v>
      </c>
      <c r="C108" s="4" t="s">
        <v>189</v>
      </c>
      <c r="D108" s="4"/>
      <c r="E108" s="4" t="s">
        <v>550</v>
      </c>
      <c r="F108" s="5">
        <v>44476</v>
      </c>
      <c r="G108" s="5">
        <v>44476</v>
      </c>
      <c r="H108" s="4" t="s">
        <v>27</v>
      </c>
      <c r="I108" s="4" t="s">
        <v>57</v>
      </c>
      <c r="J108" s="4" t="s">
        <v>58</v>
      </c>
      <c r="K108" s="5">
        <v>44491</v>
      </c>
      <c r="L108" s="4" t="s">
        <v>24</v>
      </c>
      <c r="M108" t="b">
        <v>0</v>
      </c>
      <c r="N108" t="b">
        <v>1</v>
      </c>
      <c r="O108" t="b">
        <v>1</v>
      </c>
      <c r="Q108">
        <v>107</v>
      </c>
    </row>
    <row r="109" spans="1:17" x14ac:dyDescent="0.35">
      <c r="A109" s="4" t="s">
        <v>551</v>
      </c>
      <c r="B109" s="4" t="s">
        <v>134</v>
      </c>
      <c r="C109" s="4" t="s">
        <v>189</v>
      </c>
      <c r="D109" s="4"/>
      <c r="E109" s="4" t="s">
        <v>552</v>
      </c>
      <c r="F109" s="5">
        <v>44476</v>
      </c>
      <c r="G109" s="5">
        <v>44476</v>
      </c>
      <c r="H109" s="4" t="s">
        <v>27</v>
      </c>
      <c r="I109" s="4" t="s">
        <v>57</v>
      </c>
      <c r="J109" s="4" t="s">
        <v>58</v>
      </c>
      <c r="K109" s="5">
        <v>44491</v>
      </c>
      <c r="L109" s="4" t="s">
        <v>24</v>
      </c>
      <c r="M109" t="b">
        <v>0</v>
      </c>
      <c r="N109" t="b">
        <v>1</v>
      </c>
      <c r="O109" t="b">
        <v>1</v>
      </c>
      <c r="Q109">
        <v>108</v>
      </c>
    </row>
    <row r="110" spans="1:17" x14ac:dyDescent="0.35">
      <c r="A110" s="4" t="s">
        <v>553</v>
      </c>
      <c r="B110" s="4" t="s">
        <v>134</v>
      </c>
      <c r="C110" s="4" t="s">
        <v>189</v>
      </c>
      <c r="D110" s="4"/>
      <c r="E110" s="4" t="s">
        <v>554</v>
      </c>
      <c r="F110" s="5">
        <v>44476</v>
      </c>
      <c r="G110" s="5">
        <v>44476</v>
      </c>
      <c r="H110" s="4" t="s">
        <v>27</v>
      </c>
      <c r="I110" s="4" t="s">
        <v>57</v>
      </c>
      <c r="J110" s="4" t="s">
        <v>58</v>
      </c>
      <c r="K110" s="5">
        <v>44491</v>
      </c>
      <c r="L110" s="4" t="s">
        <v>24</v>
      </c>
      <c r="M110" t="b">
        <v>0</v>
      </c>
      <c r="N110" t="b">
        <v>1</v>
      </c>
      <c r="O110" t="b">
        <v>1</v>
      </c>
      <c r="Q110">
        <v>109</v>
      </c>
    </row>
    <row r="111" spans="1:17" x14ac:dyDescent="0.35">
      <c r="A111" s="4" t="s">
        <v>754</v>
      </c>
      <c r="B111" s="4" t="s">
        <v>134</v>
      </c>
      <c r="C111" s="4" t="s">
        <v>189</v>
      </c>
      <c r="D111" s="4"/>
      <c r="E111" s="4" t="s">
        <v>755</v>
      </c>
      <c r="F111" s="5">
        <v>44315</v>
      </c>
      <c r="G111" s="5">
        <v>44322</v>
      </c>
      <c r="H111" s="4" t="s">
        <v>27</v>
      </c>
      <c r="I111" s="4" t="s">
        <v>57</v>
      </c>
      <c r="J111" s="4" t="s">
        <v>58</v>
      </c>
      <c r="K111" s="5">
        <v>44784</v>
      </c>
      <c r="L111" s="4" t="s">
        <v>24</v>
      </c>
      <c r="M111" t="b">
        <v>0</v>
      </c>
      <c r="N111" t="b">
        <v>1</v>
      </c>
      <c r="O111" t="b">
        <v>1</v>
      </c>
      <c r="Q111">
        <v>110</v>
      </c>
    </row>
    <row r="112" spans="1:17" x14ac:dyDescent="0.35">
      <c r="A112" s="4" t="s">
        <v>586</v>
      </c>
      <c r="B112" s="4" t="s">
        <v>134</v>
      </c>
      <c r="C112" s="4" t="s">
        <v>107</v>
      </c>
      <c r="D112" s="4"/>
      <c r="E112" s="4" t="s">
        <v>587</v>
      </c>
      <c r="F112" s="5">
        <v>44383</v>
      </c>
      <c r="G112" s="5">
        <v>44390</v>
      </c>
      <c r="H112" s="4" t="s">
        <v>27</v>
      </c>
      <c r="I112" s="4" t="s">
        <v>34</v>
      </c>
      <c r="J112" s="4" t="s">
        <v>35</v>
      </c>
      <c r="K112" s="5">
        <v>44818</v>
      </c>
      <c r="L112" s="4" t="s">
        <v>24</v>
      </c>
      <c r="M112" t="b">
        <v>0</v>
      </c>
      <c r="N112" t="b">
        <v>0</v>
      </c>
      <c r="O112" t="b">
        <v>0</v>
      </c>
      <c r="Q112">
        <v>111</v>
      </c>
    </row>
    <row r="113" spans="1:17" x14ac:dyDescent="0.35">
      <c r="A113" s="4" t="s">
        <v>760</v>
      </c>
      <c r="B113" s="4" t="s">
        <v>134</v>
      </c>
      <c r="C113" s="4" t="s">
        <v>189</v>
      </c>
      <c r="D113" s="4"/>
      <c r="E113" s="4" t="s">
        <v>761</v>
      </c>
      <c r="F113" s="5">
        <v>44315</v>
      </c>
      <c r="G113" s="5">
        <v>44322</v>
      </c>
      <c r="H113" s="4" t="s">
        <v>27</v>
      </c>
      <c r="I113" s="4" t="s">
        <v>57</v>
      </c>
      <c r="J113" s="4" t="s">
        <v>58</v>
      </c>
      <c r="K113" s="5">
        <v>44797</v>
      </c>
      <c r="L113" s="4" t="s">
        <v>24</v>
      </c>
      <c r="M113" t="b">
        <v>0</v>
      </c>
      <c r="N113" t="b">
        <v>1</v>
      </c>
      <c r="O113" t="b">
        <v>1</v>
      </c>
      <c r="P113" t="b">
        <v>0</v>
      </c>
      <c r="Q113">
        <v>112</v>
      </c>
    </row>
    <row r="114" spans="1:17" x14ac:dyDescent="0.35">
      <c r="A114" s="4" t="s">
        <v>42</v>
      </c>
      <c r="B114" s="4" t="s">
        <v>134</v>
      </c>
      <c r="C114" s="4" t="s">
        <v>868</v>
      </c>
      <c r="D114" s="4" t="s">
        <v>869</v>
      </c>
      <c r="E114" s="4" t="s">
        <v>43</v>
      </c>
      <c r="F114" s="5">
        <v>44791</v>
      </c>
      <c r="G114" s="5">
        <v>44798</v>
      </c>
      <c r="H114" s="4" t="s">
        <v>27</v>
      </c>
      <c r="I114" s="4" t="s">
        <v>44</v>
      </c>
      <c r="J114" s="4" t="s">
        <v>45</v>
      </c>
      <c r="K114" s="5">
        <v>44826</v>
      </c>
      <c r="L114" s="4" t="s">
        <v>24</v>
      </c>
      <c r="M114" t="b">
        <v>0</v>
      </c>
      <c r="N114" t="b">
        <v>1</v>
      </c>
      <c r="O114" t="b">
        <v>0</v>
      </c>
      <c r="Q114">
        <v>113</v>
      </c>
    </row>
    <row r="115" spans="1:17" x14ac:dyDescent="0.35">
      <c r="A115" s="4" t="s">
        <v>758</v>
      </c>
      <c r="B115" s="4" t="s">
        <v>134</v>
      </c>
      <c r="C115" s="4" t="s">
        <v>189</v>
      </c>
      <c r="D115" s="4"/>
      <c r="E115" s="4" t="s">
        <v>759</v>
      </c>
      <c r="F115" s="5">
        <v>44315</v>
      </c>
      <c r="G115" s="5">
        <v>44322</v>
      </c>
      <c r="H115" s="4" t="s">
        <v>27</v>
      </c>
      <c r="I115" s="4" t="s">
        <v>57</v>
      </c>
      <c r="J115" s="4" t="s">
        <v>58</v>
      </c>
      <c r="K115" s="5">
        <v>44784</v>
      </c>
      <c r="L115" s="4" t="s">
        <v>24</v>
      </c>
      <c r="M115" t="b">
        <v>0</v>
      </c>
      <c r="N115" t="b">
        <v>1</v>
      </c>
      <c r="O115" t="b">
        <v>1</v>
      </c>
      <c r="Q115">
        <v>114</v>
      </c>
    </row>
    <row r="116" spans="1:17" x14ac:dyDescent="0.35">
      <c r="A116" s="4" t="s">
        <v>756</v>
      </c>
      <c r="B116" s="4" t="s">
        <v>134</v>
      </c>
      <c r="C116" s="4" t="s">
        <v>189</v>
      </c>
      <c r="D116" s="4"/>
      <c r="E116" s="4" t="s">
        <v>757</v>
      </c>
      <c r="F116" s="5">
        <v>44315</v>
      </c>
      <c r="G116" s="5">
        <v>44322</v>
      </c>
      <c r="H116" s="4" t="s">
        <v>27</v>
      </c>
      <c r="I116" s="4" t="s">
        <v>57</v>
      </c>
      <c r="J116" s="4" t="s">
        <v>58</v>
      </c>
      <c r="K116" s="5">
        <v>44784</v>
      </c>
      <c r="L116" s="4" t="s">
        <v>24</v>
      </c>
      <c r="M116" t="b">
        <v>0</v>
      </c>
      <c r="N116" t="b">
        <v>1</v>
      </c>
      <c r="O116" t="b">
        <v>1</v>
      </c>
      <c r="Q116">
        <v>115</v>
      </c>
    </row>
    <row r="117" spans="1:17" x14ac:dyDescent="0.35">
      <c r="A117" s="4" t="s">
        <v>746</v>
      </c>
      <c r="B117" s="4" t="s">
        <v>134</v>
      </c>
      <c r="C117" s="4" t="s">
        <v>102</v>
      </c>
      <c r="D117" s="4"/>
      <c r="E117" s="4" t="s">
        <v>747</v>
      </c>
      <c r="F117" s="5">
        <v>44315</v>
      </c>
      <c r="G117" s="5">
        <v>44322</v>
      </c>
      <c r="H117" s="4" t="s">
        <v>27</v>
      </c>
      <c r="I117" s="4" t="s">
        <v>57</v>
      </c>
      <c r="J117" s="4" t="s">
        <v>58</v>
      </c>
      <c r="K117" s="5">
        <v>44784</v>
      </c>
      <c r="L117" s="4" t="s">
        <v>24</v>
      </c>
      <c r="M117" t="b">
        <v>0</v>
      </c>
      <c r="N117" t="b">
        <v>1</v>
      </c>
      <c r="O117" t="b">
        <v>1</v>
      </c>
      <c r="Q117">
        <v>116</v>
      </c>
    </row>
    <row r="118" spans="1:17" x14ac:dyDescent="0.35">
      <c r="A118" s="4" t="s">
        <v>60</v>
      </c>
      <c r="B118" s="4" t="s">
        <v>134</v>
      </c>
      <c r="C118" s="4" t="s">
        <v>107</v>
      </c>
      <c r="D118" s="4" t="s">
        <v>872</v>
      </c>
      <c r="E118" s="4" t="s">
        <v>56</v>
      </c>
      <c r="F118" s="5">
        <v>44791</v>
      </c>
      <c r="G118" s="5">
        <v>44798</v>
      </c>
      <c r="H118" s="4" t="s">
        <v>27</v>
      </c>
      <c r="I118" s="4" t="s">
        <v>57</v>
      </c>
      <c r="J118" s="4" t="s">
        <v>58</v>
      </c>
      <c r="K118" s="5">
        <v>44799</v>
      </c>
      <c r="L118" s="4" t="s">
        <v>24</v>
      </c>
      <c r="M118" t="b">
        <v>0</v>
      </c>
      <c r="N118" t="b">
        <v>1</v>
      </c>
      <c r="O118" t="b">
        <v>0</v>
      </c>
      <c r="P118" t="b">
        <v>0</v>
      </c>
      <c r="Q118">
        <v>117</v>
      </c>
    </row>
    <row r="119" spans="1:17" x14ac:dyDescent="0.35">
      <c r="A119" s="4" t="s">
        <v>59</v>
      </c>
      <c r="B119" s="4" t="s">
        <v>134</v>
      </c>
      <c r="C119" s="4" t="s">
        <v>107</v>
      </c>
      <c r="D119" s="4" t="s">
        <v>872</v>
      </c>
      <c r="E119" s="4" t="s">
        <v>56</v>
      </c>
      <c r="F119" s="5">
        <v>44791</v>
      </c>
      <c r="G119" s="5">
        <v>44798</v>
      </c>
      <c r="H119" s="4" t="s">
        <v>27</v>
      </c>
      <c r="I119" s="4" t="s">
        <v>57</v>
      </c>
      <c r="J119" s="4" t="s">
        <v>58</v>
      </c>
      <c r="K119" s="5">
        <v>44799</v>
      </c>
      <c r="L119" s="4" t="s">
        <v>24</v>
      </c>
      <c r="M119" t="b">
        <v>0</v>
      </c>
      <c r="N119" t="b">
        <v>1</v>
      </c>
      <c r="O119" t="b">
        <v>0</v>
      </c>
      <c r="P119" t="b">
        <v>0</v>
      </c>
      <c r="Q119">
        <v>118</v>
      </c>
    </row>
    <row r="120" spans="1:17" x14ac:dyDescent="0.35">
      <c r="A120" s="4" t="s">
        <v>55</v>
      </c>
      <c r="B120" s="4" t="s">
        <v>134</v>
      </c>
      <c r="C120" s="4" t="s">
        <v>107</v>
      </c>
      <c r="D120" s="4" t="s">
        <v>872</v>
      </c>
      <c r="E120" s="4" t="s">
        <v>56</v>
      </c>
      <c r="F120" s="5">
        <v>44791</v>
      </c>
      <c r="G120" s="5">
        <v>44798</v>
      </c>
      <c r="H120" s="4" t="s">
        <v>27</v>
      </c>
      <c r="I120" s="4" t="s">
        <v>57</v>
      </c>
      <c r="J120" s="4" t="s">
        <v>58</v>
      </c>
      <c r="K120" s="5">
        <v>44799</v>
      </c>
      <c r="L120" s="4" t="s">
        <v>24</v>
      </c>
      <c r="M120" t="b">
        <v>0</v>
      </c>
      <c r="N120" t="b">
        <v>1</v>
      </c>
      <c r="O120" t="b">
        <v>0</v>
      </c>
      <c r="P120" t="b">
        <v>0</v>
      </c>
      <c r="Q120">
        <v>119</v>
      </c>
    </row>
    <row r="121" spans="1:17" x14ac:dyDescent="0.35">
      <c r="A121" s="4" t="s">
        <v>752</v>
      </c>
      <c r="B121" s="4" t="s">
        <v>134</v>
      </c>
      <c r="C121" s="4" t="s">
        <v>107</v>
      </c>
      <c r="D121" s="4"/>
      <c r="E121" s="4" t="s">
        <v>753</v>
      </c>
      <c r="F121" s="5">
        <v>44315</v>
      </c>
      <c r="G121" s="5">
        <v>44322</v>
      </c>
      <c r="H121" s="4" t="s">
        <v>27</v>
      </c>
      <c r="I121" s="4" t="s">
        <v>57</v>
      </c>
      <c r="J121" s="4" t="s">
        <v>58</v>
      </c>
      <c r="K121" s="5">
        <v>44784</v>
      </c>
      <c r="L121" s="4" t="s">
        <v>24</v>
      </c>
      <c r="M121" t="b">
        <v>0</v>
      </c>
      <c r="N121" t="b">
        <v>1</v>
      </c>
      <c r="O121" t="b">
        <v>1</v>
      </c>
      <c r="Q121">
        <v>120</v>
      </c>
    </row>
    <row r="122" spans="1:17" x14ac:dyDescent="0.35">
      <c r="A122" s="4" t="s">
        <v>750</v>
      </c>
      <c r="B122" s="4" t="s">
        <v>134</v>
      </c>
      <c r="C122" s="4" t="s">
        <v>107</v>
      </c>
      <c r="D122" s="4"/>
      <c r="E122" s="4" t="s">
        <v>751</v>
      </c>
      <c r="F122" s="5">
        <v>44315</v>
      </c>
      <c r="G122" s="5">
        <v>44322</v>
      </c>
      <c r="H122" s="4" t="s">
        <v>27</v>
      </c>
      <c r="I122" s="4" t="s">
        <v>57</v>
      </c>
      <c r="J122" s="4" t="s">
        <v>58</v>
      </c>
      <c r="K122" s="5">
        <v>44784</v>
      </c>
      <c r="L122" s="4" t="s">
        <v>24</v>
      </c>
      <c r="M122" t="b">
        <v>0</v>
      </c>
      <c r="N122" t="b">
        <v>1</v>
      </c>
      <c r="O122" t="b">
        <v>1</v>
      </c>
      <c r="Q122">
        <v>121</v>
      </c>
    </row>
    <row r="123" spans="1:17" x14ac:dyDescent="0.35">
      <c r="A123" s="4" t="s">
        <v>503</v>
      </c>
      <c r="B123" s="4" t="s">
        <v>89</v>
      </c>
      <c r="C123" s="4" t="s">
        <v>189</v>
      </c>
      <c r="D123" s="4"/>
      <c r="E123" s="4" t="s">
        <v>504</v>
      </c>
      <c r="F123" s="5">
        <v>44532</v>
      </c>
      <c r="G123" s="5">
        <v>44539</v>
      </c>
      <c r="H123" s="4" t="s">
        <v>27</v>
      </c>
      <c r="I123" s="4" t="s">
        <v>91</v>
      </c>
      <c r="J123" s="4" t="s">
        <v>184</v>
      </c>
      <c r="K123" s="5">
        <v>44533</v>
      </c>
      <c r="L123" s="4" t="s">
        <v>24</v>
      </c>
      <c r="M123" t="b">
        <v>1</v>
      </c>
      <c r="N123" t="b">
        <v>1</v>
      </c>
      <c r="O123" t="b">
        <v>1</v>
      </c>
      <c r="Q123">
        <v>122</v>
      </c>
    </row>
    <row r="124" spans="1:17" x14ac:dyDescent="0.35">
      <c r="A124" s="4" t="s">
        <v>25</v>
      </c>
      <c r="B124" s="4" t="s">
        <v>19</v>
      </c>
      <c r="C124" s="4" t="s">
        <v>73</v>
      </c>
      <c r="D124" s="4" t="s">
        <v>864</v>
      </c>
      <c r="E124" s="4" t="s">
        <v>26</v>
      </c>
      <c r="F124" s="5">
        <v>44791</v>
      </c>
      <c r="G124" s="5">
        <v>44798</v>
      </c>
      <c r="H124" s="4" t="s">
        <v>27</v>
      </c>
      <c r="I124" s="4" t="s">
        <v>28</v>
      </c>
      <c r="J124" s="4" t="s">
        <v>29</v>
      </c>
      <c r="K124" s="5">
        <v>44791</v>
      </c>
      <c r="L124" s="4" t="s">
        <v>24</v>
      </c>
      <c r="M124" t="b">
        <v>1</v>
      </c>
      <c r="N124" t="b">
        <v>1</v>
      </c>
      <c r="O124" t="b">
        <v>0</v>
      </c>
      <c r="Q124">
        <v>123</v>
      </c>
    </row>
    <row r="125" spans="1:17" x14ac:dyDescent="0.35">
      <c r="A125" s="4" t="s">
        <v>529</v>
      </c>
      <c r="B125" s="4" t="s">
        <v>134</v>
      </c>
      <c r="C125" s="4" t="s">
        <v>107</v>
      </c>
      <c r="D125" s="4"/>
      <c r="E125" s="4" t="s">
        <v>530</v>
      </c>
      <c r="F125" s="5">
        <v>44488</v>
      </c>
      <c r="G125" s="5">
        <v>44495</v>
      </c>
      <c r="H125" s="4" t="s">
        <v>27</v>
      </c>
      <c r="I125" s="4" t="s">
        <v>91</v>
      </c>
      <c r="J125" s="4" t="s">
        <v>92</v>
      </c>
      <c r="K125" s="5">
        <v>44491</v>
      </c>
      <c r="L125" s="4" t="s">
        <v>24</v>
      </c>
      <c r="M125" t="b">
        <v>0</v>
      </c>
      <c r="N125" t="b">
        <v>1</v>
      </c>
      <c r="O125" t="b">
        <v>1</v>
      </c>
      <c r="Q125">
        <v>124</v>
      </c>
    </row>
    <row r="126" spans="1:17" x14ac:dyDescent="0.35">
      <c r="A126" s="4" t="s">
        <v>748</v>
      </c>
      <c r="B126" s="4" t="s">
        <v>134</v>
      </c>
      <c r="C126" s="4" t="s">
        <v>426</v>
      </c>
      <c r="D126" s="4"/>
      <c r="E126" s="4" t="s">
        <v>749</v>
      </c>
      <c r="F126" s="5">
        <v>44315</v>
      </c>
      <c r="G126" s="5">
        <v>44322</v>
      </c>
      <c r="H126" s="4" t="s">
        <v>27</v>
      </c>
      <c r="I126" s="4" t="s">
        <v>57</v>
      </c>
      <c r="J126" s="4" t="s">
        <v>58</v>
      </c>
      <c r="K126" s="5">
        <v>44784</v>
      </c>
      <c r="L126" s="4" t="s">
        <v>24</v>
      </c>
      <c r="M126" t="b">
        <v>0</v>
      </c>
      <c r="N126" t="b">
        <v>1</v>
      </c>
      <c r="O126" t="b">
        <v>1</v>
      </c>
      <c r="Q126">
        <v>125</v>
      </c>
    </row>
    <row r="127" spans="1:17" x14ac:dyDescent="0.35">
      <c r="A127" s="4" t="s">
        <v>712</v>
      </c>
      <c r="B127" s="4" t="s">
        <v>19</v>
      </c>
      <c r="C127" s="4" t="s">
        <v>186</v>
      </c>
      <c r="D127" s="4"/>
      <c r="E127" s="4" t="s">
        <v>713</v>
      </c>
      <c r="F127" s="5">
        <v>44323</v>
      </c>
      <c r="G127" s="5">
        <v>44330</v>
      </c>
      <c r="H127" s="4" t="s">
        <v>27</v>
      </c>
      <c r="I127" s="4" t="s">
        <v>594</v>
      </c>
      <c r="J127" s="4" t="s">
        <v>595</v>
      </c>
      <c r="K127" s="5">
        <v>44323</v>
      </c>
      <c r="L127" s="4" t="s">
        <v>24</v>
      </c>
      <c r="M127" t="b">
        <v>1</v>
      </c>
      <c r="N127" t="b">
        <v>1</v>
      </c>
      <c r="Q127">
        <v>126</v>
      </c>
    </row>
    <row r="128" spans="1:17" x14ac:dyDescent="0.35">
      <c r="A128" s="4" t="s">
        <v>690</v>
      </c>
      <c r="B128" s="4" t="s">
        <v>134</v>
      </c>
      <c r="C128" s="4" t="s">
        <v>107</v>
      </c>
      <c r="D128" s="4"/>
      <c r="E128" s="4" t="s">
        <v>691</v>
      </c>
      <c r="F128" s="5">
        <v>44334</v>
      </c>
      <c r="G128" s="5">
        <v>44341</v>
      </c>
      <c r="H128" s="4" t="s">
        <v>27</v>
      </c>
      <c r="I128" s="4" t="s">
        <v>57</v>
      </c>
      <c r="J128" s="4" t="s">
        <v>58</v>
      </c>
      <c r="K128" s="5">
        <v>44491</v>
      </c>
      <c r="L128" s="4" t="s">
        <v>24</v>
      </c>
      <c r="M128" t="b">
        <v>0</v>
      </c>
      <c r="O128" t="b">
        <v>1</v>
      </c>
      <c r="P128" t="b">
        <v>1</v>
      </c>
      <c r="Q128">
        <v>127</v>
      </c>
    </row>
    <row r="129" spans="1:17" x14ac:dyDescent="0.35">
      <c r="A129" s="4" t="s">
        <v>434</v>
      </c>
      <c r="B129" s="4" t="s">
        <v>89</v>
      </c>
      <c r="C129" s="4" t="s">
        <v>426</v>
      </c>
      <c r="D129" s="4"/>
      <c r="E129" s="4" t="s">
        <v>435</v>
      </c>
      <c r="F129" s="5">
        <v>44645</v>
      </c>
      <c r="G129" s="5">
        <v>44652</v>
      </c>
      <c r="H129" s="4" t="s">
        <v>27</v>
      </c>
      <c r="I129" s="4" t="s">
        <v>91</v>
      </c>
      <c r="J129" s="4" t="s">
        <v>92</v>
      </c>
      <c r="K129" s="5">
        <v>44714</v>
      </c>
      <c r="L129" s="4" t="s">
        <v>24</v>
      </c>
      <c r="M129" t="b">
        <v>1</v>
      </c>
      <c r="N129" t="b">
        <v>1</v>
      </c>
      <c r="O129" t="b">
        <v>1</v>
      </c>
      <c r="Q129">
        <v>128</v>
      </c>
    </row>
    <row r="130" spans="1:17" x14ac:dyDescent="0.35">
      <c r="A130" s="4" t="s">
        <v>432</v>
      </c>
      <c r="B130" s="4" t="s">
        <v>89</v>
      </c>
      <c r="C130" s="4" t="s">
        <v>426</v>
      </c>
      <c r="D130" s="4"/>
      <c r="E130" s="4" t="s">
        <v>433</v>
      </c>
      <c r="F130" s="5">
        <v>44645</v>
      </c>
      <c r="G130" s="5">
        <v>44652</v>
      </c>
      <c r="H130" s="4" t="s">
        <v>27</v>
      </c>
      <c r="I130" s="4" t="s">
        <v>91</v>
      </c>
      <c r="J130" s="4" t="s">
        <v>92</v>
      </c>
      <c r="K130" s="5">
        <v>44648</v>
      </c>
      <c r="L130" s="4" t="s">
        <v>24</v>
      </c>
      <c r="M130" t="b">
        <v>1</v>
      </c>
      <c r="N130" t="b">
        <v>1</v>
      </c>
      <c r="O130" t="b">
        <v>1</v>
      </c>
      <c r="Q130">
        <v>129</v>
      </c>
    </row>
    <row r="131" spans="1:17" x14ac:dyDescent="0.35">
      <c r="A131" s="4" t="s">
        <v>464</v>
      </c>
      <c r="B131" s="4" t="s">
        <v>89</v>
      </c>
      <c r="C131" s="4" t="s">
        <v>189</v>
      </c>
      <c r="D131" s="4"/>
      <c r="E131" s="4" t="s">
        <v>465</v>
      </c>
      <c r="F131" s="5">
        <v>44645</v>
      </c>
      <c r="G131" s="5">
        <v>44652</v>
      </c>
      <c r="H131" s="4" t="s">
        <v>27</v>
      </c>
      <c r="I131" s="4" t="s">
        <v>91</v>
      </c>
      <c r="J131" s="4" t="s">
        <v>92</v>
      </c>
      <c r="K131" s="5">
        <v>44714</v>
      </c>
      <c r="L131" s="4" t="s">
        <v>24</v>
      </c>
      <c r="M131" t="b">
        <v>1</v>
      </c>
      <c r="N131" t="b">
        <v>1</v>
      </c>
      <c r="O131" t="b">
        <v>1</v>
      </c>
      <c r="Q131">
        <v>130</v>
      </c>
    </row>
    <row r="132" spans="1:17" x14ac:dyDescent="0.35">
      <c r="A132" s="4" t="s">
        <v>450</v>
      </c>
      <c r="B132" s="4" t="s">
        <v>89</v>
      </c>
      <c r="C132" s="4" t="s">
        <v>189</v>
      </c>
      <c r="D132" s="4"/>
      <c r="E132" s="4" t="s">
        <v>451</v>
      </c>
      <c r="F132" s="5">
        <v>44645</v>
      </c>
      <c r="G132" s="5">
        <v>44652</v>
      </c>
      <c r="H132" s="4" t="s">
        <v>27</v>
      </c>
      <c r="I132" s="4" t="s">
        <v>91</v>
      </c>
      <c r="J132" s="4" t="s">
        <v>92</v>
      </c>
      <c r="K132" s="5">
        <v>44648</v>
      </c>
      <c r="L132" s="4" t="s">
        <v>24</v>
      </c>
      <c r="M132" t="b">
        <v>1</v>
      </c>
      <c r="N132" t="b">
        <v>1</v>
      </c>
      <c r="O132" t="b">
        <v>1</v>
      </c>
      <c r="Q132">
        <v>131</v>
      </c>
    </row>
    <row r="133" spans="1:17" x14ac:dyDescent="0.35">
      <c r="A133" s="4" t="s">
        <v>430</v>
      </c>
      <c r="B133" s="4" t="s">
        <v>89</v>
      </c>
      <c r="C133" s="4" t="s">
        <v>189</v>
      </c>
      <c r="D133" s="4"/>
      <c r="E133" s="4" t="s">
        <v>431</v>
      </c>
      <c r="F133" s="5">
        <v>44645</v>
      </c>
      <c r="G133" s="5">
        <v>44652</v>
      </c>
      <c r="H133" s="4" t="s">
        <v>27</v>
      </c>
      <c r="I133" s="4" t="s">
        <v>91</v>
      </c>
      <c r="J133" s="4" t="s">
        <v>92</v>
      </c>
      <c r="K133" s="5">
        <v>44648</v>
      </c>
      <c r="L133" s="4" t="s">
        <v>24</v>
      </c>
      <c r="M133" t="b">
        <v>1</v>
      </c>
      <c r="N133" t="b">
        <v>1</v>
      </c>
      <c r="O133" t="b">
        <v>1</v>
      </c>
      <c r="Q133">
        <v>132</v>
      </c>
    </row>
    <row r="134" spans="1:17" x14ac:dyDescent="0.35">
      <c r="A134" s="4" t="s">
        <v>438</v>
      </c>
      <c r="B134" s="4" t="s">
        <v>89</v>
      </c>
      <c r="C134" s="4" t="s">
        <v>189</v>
      </c>
      <c r="D134" s="4"/>
      <c r="E134" s="4" t="s">
        <v>439</v>
      </c>
      <c r="F134" s="5">
        <v>44645</v>
      </c>
      <c r="G134" s="5">
        <v>44652</v>
      </c>
      <c r="H134" s="4" t="s">
        <v>27</v>
      </c>
      <c r="I134" s="4" t="s">
        <v>57</v>
      </c>
      <c r="J134" s="4" t="s">
        <v>58</v>
      </c>
      <c r="K134" s="5">
        <v>44664</v>
      </c>
      <c r="L134" s="4" t="s">
        <v>24</v>
      </c>
      <c r="M134" t="b">
        <v>1</v>
      </c>
      <c r="N134" t="b">
        <v>1</v>
      </c>
      <c r="O134" t="b">
        <v>1</v>
      </c>
      <c r="Q134">
        <v>133</v>
      </c>
    </row>
    <row r="135" spans="1:17" x14ac:dyDescent="0.35">
      <c r="A135" s="4" t="s">
        <v>440</v>
      </c>
      <c r="B135" s="4" t="s">
        <v>89</v>
      </c>
      <c r="C135" s="4" t="s">
        <v>189</v>
      </c>
      <c r="D135" s="4"/>
      <c r="E135" s="4" t="s">
        <v>441</v>
      </c>
      <c r="F135" s="5">
        <v>44645</v>
      </c>
      <c r="G135" s="5">
        <v>44652</v>
      </c>
      <c r="H135" s="4" t="s">
        <v>27</v>
      </c>
      <c r="I135" s="4" t="s">
        <v>57</v>
      </c>
      <c r="J135" s="4" t="s">
        <v>58</v>
      </c>
      <c r="K135" s="5">
        <v>44664</v>
      </c>
      <c r="L135" s="4" t="s">
        <v>24</v>
      </c>
      <c r="M135" t="b">
        <v>1</v>
      </c>
      <c r="N135" t="b">
        <v>1</v>
      </c>
      <c r="O135" t="b">
        <v>1</v>
      </c>
      <c r="Q135">
        <v>134</v>
      </c>
    </row>
    <row r="136" spans="1:17" x14ac:dyDescent="0.35">
      <c r="A136" s="4" t="s">
        <v>46</v>
      </c>
      <c r="B136" s="4" t="s">
        <v>19</v>
      </c>
      <c r="C136" s="4" t="s">
        <v>868</v>
      </c>
      <c r="D136" s="4" t="s">
        <v>869</v>
      </c>
      <c r="E136" s="4" t="s">
        <v>47</v>
      </c>
      <c r="F136" s="5">
        <v>44791</v>
      </c>
      <c r="G136" s="5">
        <v>44798</v>
      </c>
      <c r="H136" s="4" t="s">
        <v>27</v>
      </c>
      <c r="I136" s="4" t="s">
        <v>40</v>
      </c>
      <c r="J136" s="4" t="s">
        <v>48</v>
      </c>
      <c r="K136" s="5">
        <v>44791</v>
      </c>
      <c r="L136" s="4" t="s">
        <v>24</v>
      </c>
      <c r="M136" t="b">
        <v>1</v>
      </c>
      <c r="N136" t="b">
        <v>1</v>
      </c>
      <c r="O136" t="b">
        <v>0</v>
      </c>
      <c r="Q136">
        <v>135</v>
      </c>
    </row>
    <row r="137" spans="1:17" x14ac:dyDescent="0.35">
      <c r="A137" s="4" t="s">
        <v>38</v>
      </c>
      <c r="B137" s="4" t="s">
        <v>19</v>
      </c>
      <c r="C137" s="4" t="s">
        <v>868</v>
      </c>
      <c r="D137" s="4" t="s">
        <v>869</v>
      </c>
      <c r="E137" s="4" t="s">
        <v>39</v>
      </c>
      <c r="F137" s="5">
        <v>44791</v>
      </c>
      <c r="G137" s="5">
        <v>44798</v>
      </c>
      <c r="H137" s="4" t="s">
        <v>27</v>
      </c>
      <c r="I137" s="4" t="s">
        <v>40</v>
      </c>
      <c r="J137" s="4" t="s">
        <v>41</v>
      </c>
      <c r="K137" s="5">
        <v>44791</v>
      </c>
      <c r="L137" s="4" t="s">
        <v>24</v>
      </c>
      <c r="M137" t="b">
        <v>1</v>
      </c>
      <c r="N137" t="b">
        <v>1</v>
      </c>
      <c r="O137" t="b">
        <v>0</v>
      </c>
      <c r="Q137">
        <v>136</v>
      </c>
    </row>
    <row r="138" spans="1:17" x14ac:dyDescent="0.35">
      <c r="A138" s="4" t="s">
        <v>30</v>
      </c>
      <c r="B138" s="4" t="s">
        <v>19</v>
      </c>
      <c r="C138" s="4" t="s">
        <v>186</v>
      </c>
      <c r="D138" s="4" t="s">
        <v>865</v>
      </c>
      <c r="E138" s="4" t="s">
        <v>31</v>
      </c>
      <c r="F138" s="5">
        <v>44791</v>
      </c>
      <c r="G138" s="5">
        <v>44798</v>
      </c>
      <c r="H138" s="4" t="s">
        <v>27</v>
      </c>
      <c r="I138" s="4" t="s">
        <v>22</v>
      </c>
      <c r="J138" s="4" t="s">
        <v>23</v>
      </c>
      <c r="K138" s="5">
        <v>44791</v>
      </c>
      <c r="L138" s="4" t="s">
        <v>24</v>
      </c>
      <c r="M138" t="b">
        <v>1</v>
      </c>
      <c r="N138" t="b">
        <v>1</v>
      </c>
      <c r="O138" t="b">
        <v>1</v>
      </c>
      <c r="Q138">
        <v>137</v>
      </c>
    </row>
    <row r="139" spans="1:17" x14ac:dyDescent="0.35">
      <c r="A139" s="4" t="s">
        <v>444</v>
      </c>
      <c r="B139" s="4" t="s">
        <v>19</v>
      </c>
      <c r="C139" s="4" t="s">
        <v>189</v>
      </c>
      <c r="D139" s="4"/>
      <c r="E139" s="4" t="s">
        <v>445</v>
      </c>
      <c r="F139" s="5">
        <v>44645</v>
      </c>
      <c r="G139" s="5">
        <v>44652</v>
      </c>
      <c r="H139" s="4" t="s">
        <v>27</v>
      </c>
      <c r="I139" s="4" t="s">
        <v>91</v>
      </c>
      <c r="J139" s="4" t="s">
        <v>184</v>
      </c>
      <c r="K139" s="5">
        <v>44645</v>
      </c>
      <c r="L139" s="4" t="s">
        <v>24</v>
      </c>
      <c r="M139" t="b">
        <v>1</v>
      </c>
      <c r="N139" t="b">
        <v>1</v>
      </c>
      <c r="O139" t="b">
        <v>1</v>
      </c>
      <c r="Q139">
        <v>138</v>
      </c>
    </row>
    <row r="140" spans="1:17" x14ac:dyDescent="0.35">
      <c r="A140" s="4" t="s">
        <v>442</v>
      </c>
      <c r="B140" s="4" t="s">
        <v>19</v>
      </c>
      <c r="C140" s="4" t="s">
        <v>189</v>
      </c>
      <c r="D140" s="4"/>
      <c r="E140" s="4" t="s">
        <v>443</v>
      </c>
      <c r="F140" s="5">
        <v>44645</v>
      </c>
      <c r="G140" s="5">
        <v>44652</v>
      </c>
      <c r="H140" s="4" t="s">
        <v>27</v>
      </c>
      <c r="I140" s="4" t="s">
        <v>91</v>
      </c>
      <c r="J140" s="4" t="s">
        <v>184</v>
      </c>
      <c r="K140" s="5">
        <v>44645</v>
      </c>
      <c r="L140" s="4" t="s">
        <v>24</v>
      </c>
      <c r="M140" t="b">
        <v>1</v>
      </c>
      <c r="N140" t="b">
        <v>1</v>
      </c>
      <c r="O140" t="b">
        <v>1</v>
      </c>
      <c r="Q140">
        <v>139</v>
      </c>
    </row>
    <row r="141" spans="1:17" x14ac:dyDescent="0.35">
      <c r="A141" s="4" t="s">
        <v>436</v>
      </c>
      <c r="B141" s="4" t="s">
        <v>19</v>
      </c>
      <c r="C141" s="4" t="s">
        <v>189</v>
      </c>
      <c r="D141" s="4"/>
      <c r="E141" s="4" t="s">
        <v>437</v>
      </c>
      <c r="F141" s="5">
        <v>44645</v>
      </c>
      <c r="G141" s="5">
        <v>44652</v>
      </c>
      <c r="H141" s="4" t="s">
        <v>27</v>
      </c>
      <c r="I141" s="4" t="s">
        <v>91</v>
      </c>
      <c r="J141" s="4" t="s">
        <v>184</v>
      </c>
      <c r="K141" s="5">
        <v>44645</v>
      </c>
      <c r="L141" s="4" t="s">
        <v>24</v>
      </c>
      <c r="M141" t="b">
        <v>1</v>
      </c>
      <c r="N141" t="b">
        <v>1</v>
      </c>
      <c r="Q141">
        <v>140</v>
      </c>
    </row>
    <row r="142" spans="1:17" x14ac:dyDescent="0.35">
      <c r="A142" s="4" t="s">
        <v>428</v>
      </c>
      <c r="B142" s="4" t="s">
        <v>19</v>
      </c>
      <c r="C142" s="4" t="s">
        <v>189</v>
      </c>
      <c r="D142" s="4"/>
      <c r="E142" s="4" t="s">
        <v>429</v>
      </c>
      <c r="F142" s="5">
        <v>44645</v>
      </c>
      <c r="G142" s="5">
        <v>44652</v>
      </c>
      <c r="H142" s="4" t="s">
        <v>27</v>
      </c>
      <c r="I142" s="4" t="s">
        <v>91</v>
      </c>
      <c r="J142" s="4" t="s">
        <v>184</v>
      </c>
      <c r="K142" s="5">
        <v>44645</v>
      </c>
      <c r="L142" s="4" t="s">
        <v>24</v>
      </c>
      <c r="M142" t="b">
        <v>1</v>
      </c>
      <c r="N142" t="b">
        <v>1</v>
      </c>
      <c r="O142" t="b">
        <v>1</v>
      </c>
      <c r="Q142">
        <v>141</v>
      </c>
    </row>
    <row r="143" spans="1:17" x14ac:dyDescent="0.35">
      <c r="A143" s="4" t="s">
        <v>688</v>
      </c>
      <c r="B143" s="4" t="s">
        <v>19</v>
      </c>
      <c r="C143" s="4" t="s">
        <v>189</v>
      </c>
      <c r="D143" s="4"/>
      <c r="E143" s="4" t="s">
        <v>689</v>
      </c>
      <c r="F143" s="5">
        <v>44334</v>
      </c>
      <c r="G143" s="5">
        <v>44341</v>
      </c>
      <c r="H143" s="4" t="s">
        <v>27</v>
      </c>
      <c r="I143" s="4" t="s">
        <v>28</v>
      </c>
      <c r="J143" s="4" t="s">
        <v>29</v>
      </c>
      <c r="K143" s="5">
        <v>44334</v>
      </c>
      <c r="L143" s="4" t="s">
        <v>24</v>
      </c>
      <c r="M143" t="b">
        <v>1</v>
      </c>
      <c r="Q143">
        <v>142</v>
      </c>
    </row>
    <row r="144" spans="1:17" x14ac:dyDescent="0.35">
      <c r="A144" s="4" t="s">
        <v>460</v>
      </c>
      <c r="B144" s="4" t="s">
        <v>19</v>
      </c>
      <c r="C144" s="4" t="s">
        <v>189</v>
      </c>
      <c r="D144" s="4"/>
      <c r="E144" s="4" t="s">
        <v>461</v>
      </c>
      <c r="F144" s="5">
        <v>44645</v>
      </c>
      <c r="G144" s="5">
        <v>44652</v>
      </c>
      <c r="H144" s="4" t="s">
        <v>27</v>
      </c>
      <c r="I144" s="4" t="s">
        <v>91</v>
      </c>
      <c r="J144" s="4" t="s">
        <v>184</v>
      </c>
      <c r="K144" s="5">
        <v>44645</v>
      </c>
      <c r="L144" s="4" t="s">
        <v>24</v>
      </c>
      <c r="M144" t="b">
        <v>1</v>
      </c>
      <c r="N144" t="b">
        <v>1</v>
      </c>
      <c r="Q144">
        <v>143</v>
      </c>
    </row>
    <row r="145" spans="1:17" x14ac:dyDescent="0.35">
      <c r="A145" s="4" t="s">
        <v>458</v>
      </c>
      <c r="B145" s="4" t="s">
        <v>19</v>
      </c>
      <c r="C145" s="4" t="s">
        <v>189</v>
      </c>
      <c r="D145" s="4"/>
      <c r="E145" s="4" t="s">
        <v>459</v>
      </c>
      <c r="F145" s="5">
        <v>44645</v>
      </c>
      <c r="G145" s="5">
        <v>44652</v>
      </c>
      <c r="H145" s="4" t="s">
        <v>27</v>
      </c>
      <c r="I145" s="4" t="s">
        <v>91</v>
      </c>
      <c r="J145" s="4" t="s">
        <v>184</v>
      </c>
      <c r="K145" s="5">
        <v>44645</v>
      </c>
      <c r="L145" s="4" t="s">
        <v>24</v>
      </c>
      <c r="M145" t="b">
        <v>1</v>
      </c>
      <c r="N145" t="b">
        <v>1</v>
      </c>
      <c r="Q145">
        <v>144</v>
      </c>
    </row>
    <row r="146" spans="1:17" x14ac:dyDescent="0.35">
      <c r="A146" s="4" t="s">
        <v>456</v>
      </c>
      <c r="B146" s="4" t="s">
        <v>19</v>
      </c>
      <c r="C146" s="4" t="s">
        <v>189</v>
      </c>
      <c r="D146" s="4"/>
      <c r="E146" s="4" t="s">
        <v>457</v>
      </c>
      <c r="F146" s="5">
        <v>44645</v>
      </c>
      <c r="G146" s="5">
        <v>44652</v>
      </c>
      <c r="H146" s="4" t="s">
        <v>27</v>
      </c>
      <c r="I146" s="4" t="s">
        <v>91</v>
      </c>
      <c r="J146" s="4" t="s">
        <v>184</v>
      </c>
      <c r="K146" s="5">
        <v>44645</v>
      </c>
      <c r="L146" s="4" t="s">
        <v>24</v>
      </c>
      <c r="M146" t="b">
        <v>1</v>
      </c>
      <c r="N146" t="b">
        <v>1</v>
      </c>
      <c r="Q146">
        <v>145</v>
      </c>
    </row>
    <row r="147" spans="1:17" x14ac:dyDescent="0.35">
      <c r="A147" s="4" t="s">
        <v>454</v>
      </c>
      <c r="B147" s="4" t="s">
        <v>19</v>
      </c>
      <c r="C147" s="4" t="s">
        <v>189</v>
      </c>
      <c r="D147" s="4"/>
      <c r="E147" s="4" t="s">
        <v>455</v>
      </c>
      <c r="F147" s="5">
        <v>44645</v>
      </c>
      <c r="G147" s="5">
        <v>44652</v>
      </c>
      <c r="H147" s="4" t="s">
        <v>27</v>
      </c>
      <c r="I147" s="4" t="s">
        <v>91</v>
      </c>
      <c r="J147" s="4" t="s">
        <v>92</v>
      </c>
      <c r="K147" s="5">
        <v>44645</v>
      </c>
      <c r="L147" s="4" t="s">
        <v>24</v>
      </c>
      <c r="M147" t="b">
        <v>1</v>
      </c>
      <c r="N147" t="b">
        <v>1</v>
      </c>
      <c r="Q147">
        <v>146</v>
      </c>
    </row>
    <row r="148" spans="1:17" x14ac:dyDescent="0.35">
      <c r="A148" s="4" t="s">
        <v>452</v>
      </c>
      <c r="B148" s="4" t="s">
        <v>19</v>
      </c>
      <c r="C148" s="4" t="s">
        <v>189</v>
      </c>
      <c r="D148" s="4"/>
      <c r="E148" s="4" t="s">
        <v>453</v>
      </c>
      <c r="F148" s="5">
        <v>44645</v>
      </c>
      <c r="G148" s="5">
        <v>44652</v>
      </c>
      <c r="H148" s="4" t="s">
        <v>27</v>
      </c>
      <c r="I148" s="4" t="s">
        <v>91</v>
      </c>
      <c r="J148" s="4" t="s">
        <v>184</v>
      </c>
      <c r="K148" s="5">
        <v>44645</v>
      </c>
      <c r="L148" s="4" t="s">
        <v>24</v>
      </c>
      <c r="M148" t="b">
        <v>1</v>
      </c>
      <c r="N148" t="b">
        <v>1</v>
      </c>
      <c r="Q148">
        <v>147</v>
      </c>
    </row>
    <row r="149" spans="1:17" x14ac:dyDescent="0.35">
      <c r="A149" s="4" t="s">
        <v>448</v>
      </c>
      <c r="B149" s="4" t="s">
        <v>19</v>
      </c>
      <c r="C149" s="4" t="s">
        <v>189</v>
      </c>
      <c r="D149" s="4"/>
      <c r="E149" s="4" t="s">
        <v>449</v>
      </c>
      <c r="F149" s="5">
        <v>44645</v>
      </c>
      <c r="G149" s="5">
        <v>44652</v>
      </c>
      <c r="H149" s="4" t="s">
        <v>27</v>
      </c>
      <c r="I149" s="4" t="s">
        <v>91</v>
      </c>
      <c r="J149" s="4" t="s">
        <v>184</v>
      </c>
      <c r="K149" s="5">
        <v>44645</v>
      </c>
      <c r="L149" s="4" t="s">
        <v>24</v>
      </c>
      <c r="M149" t="b">
        <v>1</v>
      </c>
      <c r="N149" t="b">
        <v>1</v>
      </c>
      <c r="O149" t="b">
        <v>1</v>
      </c>
      <c r="Q149">
        <v>148</v>
      </c>
    </row>
    <row r="150" spans="1:17" x14ac:dyDescent="0.35">
      <c r="A150" s="4" t="s">
        <v>694</v>
      </c>
      <c r="B150" s="4" t="s">
        <v>19</v>
      </c>
      <c r="C150" s="4" t="s">
        <v>73</v>
      </c>
      <c r="D150" s="4"/>
      <c r="E150" s="4" t="s">
        <v>693</v>
      </c>
      <c r="F150" s="5">
        <v>44323</v>
      </c>
      <c r="G150" s="5">
        <v>44330</v>
      </c>
      <c r="H150" s="4" t="s">
        <v>27</v>
      </c>
      <c r="I150" s="4" t="s">
        <v>594</v>
      </c>
      <c r="J150" s="4" t="s">
        <v>595</v>
      </c>
      <c r="K150" s="5">
        <v>44323</v>
      </c>
      <c r="L150" s="4" t="s">
        <v>24</v>
      </c>
      <c r="M150" t="b">
        <v>1</v>
      </c>
      <c r="N150" t="b">
        <v>1</v>
      </c>
      <c r="Q150">
        <v>149</v>
      </c>
    </row>
    <row r="151" spans="1:17" x14ac:dyDescent="0.35">
      <c r="A151" s="4" t="s">
        <v>722</v>
      </c>
      <c r="B151" s="4" t="s">
        <v>19</v>
      </c>
      <c r="C151" s="4" t="s">
        <v>228</v>
      </c>
      <c r="D151" s="4"/>
      <c r="E151" s="4" t="s">
        <v>723</v>
      </c>
      <c r="F151" s="5">
        <v>44323</v>
      </c>
      <c r="G151" s="5">
        <v>44329</v>
      </c>
      <c r="H151" s="4" t="s">
        <v>27</v>
      </c>
      <c r="I151" s="4" t="s">
        <v>594</v>
      </c>
      <c r="J151" s="4" t="s">
        <v>595</v>
      </c>
      <c r="K151" s="5">
        <v>44323</v>
      </c>
      <c r="L151" s="4" t="s">
        <v>24</v>
      </c>
      <c r="M151" t="b">
        <v>1</v>
      </c>
      <c r="N151" t="b">
        <v>1</v>
      </c>
      <c r="Q151">
        <v>150</v>
      </c>
    </row>
    <row r="152" spans="1:17" x14ac:dyDescent="0.35">
      <c r="A152" s="4" t="s">
        <v>425</v>
      </c>
      <c r="B152" s="4" t="s">
        <v>19</v>
      </c>
      <c r="C152" s="4" t="s">
        <v>426</v>
      </c>
      <c r="D152" s="4"/>
      <c r="E152" s="4" t="s">
        <v>427</v>
      </c>
      <c r="F152" s="5">
        <v>44645</v>
      </c>
      <c r="G152" s="5">
        <v>44652</v>
      </c>
      <c r="H152" s="4" t="s">
        <v>27</v>
      </c>
      <c r="I152" s="4" t="s">
        <v>91</v>
      </c>
      <c r="J152" s="4" t="s">
        <v>184</v>
      </c>
      <c r="K152" s="5">
        <v>44645</v>
      </c>
      <c r="L152" s="4" t="s">
        <v>24</v>
      </c>
      <c r="M152" t="b">
        <v>1</v>
      </c>
      <c r="N152" t="b">
        <v>1</v>
      </c>
      <c r="O152" t="b">
        <v>1</v>
      </c>
      <c r="Q152">
        <v>151</v>
      </c>
    </row>
    <row r="153" spans="1:17" x14ac:dyDescent="0.35">
      <c r="A153" s="4" t="s">
        <v>738</v>
      </c>
      <c r="B153" s="4" t="s">
        <v>19</v>
      </c>
      <c r="C153" s="4" t="s">
        <v>228</v>
      </c>
      <c r="D153" s="4"/>
      <c r="E153" s="4" t="s">
        <v>739</v>
      </c>
      <c r="F153" s="5">
        <v>44323</v>
      </c>
      <c r="G153" s="5">
        <v>44329</v>
      </c>
      <c r="H153" s="4" t="s">
        <v>27</v>
      </c>
      <c r="I153" s="4" t="s">
        <v>44</v>
      </c>
      <c r="J153" s="4" t="s">
        <v>45</v>
      </c>
      <c r="K153" s="5">
        <v>44323</v>
      </c>
      <c r="L153" s="4" t="s">
        <v>24</v>
      </c>
      <c r="M153" t="b">
        <v>1</v>
      </c>
      <c r="N153" t="b">
        <v>1</v>
      </c>
      <c r="Q153">
        <v>152</v>
      </c>
    </row>
    <row r="154" spans="1:17" x14ac:dyDescent="0.35">
      <c r="A154" s="4" t="s">
        <v>736</v>
      </c>
      <c r="B154" s="4" t="s">
        <v>19</v>
      </c>
      <c r="C154" s="4" t="s">
        <v>228</v>
      </c>
      <c r="D154" s="4"/>
      <c r="E154" s="4" t="s">
        <v>737</v>
      </c>
      <c r="F154" s="5">
        <v>44323</v>
      </c>
      <c r="G154" s="5">
        <v>44329</v>
      </c>
      <c r="H154" s="4" t="s">
        <v>27</v>
      </c>
      <c r="I154" s="4" t="s">
        <v>44</v>
      </c>
      <c r="J154" s="4" t="s">
        <v>45</v>
      </c>
      <c r="K154" s="5">
        <v>44323</v>
      </c>
      <c r="L154" s="4" t="s">
        <v>24</v>
      </c>
      <c r="M154" t="b">
        <v>1</v>
      </c>
      <c r="N154" t="b">
        <v>1</v>
      </c>
      <c r="Q154">
        <v>153</v>
      </c>
    </row>
    <row r="155" spans="1:17" x14ac:dyDescent="0.35">
      <c r="A155" s="4" t="s">
        <v>734</v>
      </c>
      <c r="B155" s="4" t="s">
        <v>19</v>
      </c>
      <c r="C155" s="4" t="s">
        <v>228</v>
      </c>
      <c r="D155" s="4"/>
      <c r="E155" s="4" t="s">
        <v>735</v>
      </c>
      <c r="F155" s="5">
        <v>44323</v>
      </c>
      <c r="G155" s="5">
        <v>44329</v>
      </c>
      <c r="H155" s="4" t="s">
        <v>27</v>
      </c>
      <c r="I155" s="4" t="s">
        <v>594</v>
      </c>
      <c r="J155" s="4" t="s">
        <v>595</v>
      </c>
      <c r="K155" s="5">
        <v>44323</v>
      </c>
      <c r="L155" s="4" t="s">
        <v>24</v>
      </c>
      <c r="M155" t="b">
        <v>1</v>
      </c>
      <c r="N155" t="b">
        <v>1</v>
      </c>
      <c r="Q155">
        <v>154</v>
      </c>
    </row>
    <row r="156" spans="1:17" x14ac:dyDescent="0.35">
      <c r="A156" s="4" t="s">
        <v>732</v>
      </c>
      <c r="B156" s="4" t="s">
        <v>19</v>
      </c>
      <c r="C156" s="4" t="s">
        <v>228</v>
      </c>
      <c r="D156" s="4"/>
      <c r="E156" s="4" t="s">
        <v>733</v>
      </c>
      <c r="F156" s="5">
        <v>44323</v>
      </c>
      <c r="G156" s="5">
        <v>44329</v>
      </c>
      <c r="H156" s="4" t="s">
        <v>27</v>
      </c>
      <c r="I156" s="4" t="s">
        <v>594</v>
      </c>
      <c r="J156" s="4" t="s">
        <v>595</v>
      </c>
      <c r="K156" s="5">
        <v>44323</v>
      </c>
      <c r="L156" s="4" t="s">
        <v>24</v>
      </c>
      <c r="M156" t="b">
        <v>1</v>
      </c>
      <c r="N156" t="b">
        <v>1</v>
      </c>
      <c r="O156" t="b">
        <v>1</v>
      </c>
      <c r="Q156">
        <v>155</v>
      </c>
    </row>
    <row r="157" spans="1:17" x14ac:dyDescent="0.35">
      <c r="A157" s="4" t="s">
        <v>730</v>
      </c>
      <c r="B157" s="4" t="s">
        <v>19</v>
      </c>
      <c r="C157" s="4" t="s">
        <v>228</v>
      </c>
      <c r="D157" s="4"/>
      <c r="E157" s="4" t="s">
        <v>731</v>
      </c>
      <c r="F157" s="5">
        <v>44323</v>
      </c>
      <c r="G157" s="5">
        <v>44329</v>
      </c>
      <c r="H157" s="4" t="s">
        <v>27</v>
      </c>
      <c r="I157" s="4" t="s">
        <v>594</v>
      </c>
      <c r="J157" s="4" t="s">
        <v>595</v>
      </c>
      <c r="K157" s="5">
        <v>44323</v>
      </c>
      <c r="L157" s="4" t="s">
        <v>24</v>
      </c>
      <c r="M157" t="b">
        <v>1</v>
      </c>
      <c r="N157" t="b">
        <v>1</v>
      </c>
      <c r="Q157">
        <v>156</v>
      </c>
    </row>
    <row r="158" spans="1:17" x14ac:dyDescent="0.35">
      <c r="A158" s="4" t="s">
        <v>728</v>
      </c>
      <c r="B158" s="4" t="s">
        <v>19</v>
      </c>
      <c r="C158" s="4" t="s">
        <v>228</v>
      </c>
      <c r="D158" s="4"/>
      <c r="E158" s="4" t="s">
        <v>729</v>
      </c>
      <c r="F158" s="5">
        <v>44323</v>
      </c>
      <c r="G158" s="5">
        <v>44329</v>
      </c>
      <c r="H158" s="4" t="s">
        <v>27</v>
      </c>
      <c r="I158" s="4" t="s">
        <v>598</v>
      </c>
      <c r="J158" s="4" t="s">
        <v>599</v>
      </c>
      <c r="K158" s="5">
        <v>44323</v>
      </c>
      <c r="L158" s="4" t="s">
        <v>24</v>
      </c>
      <c r="M158" t="b">
        <v>1</v>
      </c>
      <c r="N158" t="b">
        <v>1</v>
      </c>
      <c r="Q158">
        <v>157</v>
      </c>
    </row>
    <row r="159" spans="1:17" x14ac:dyDescent="0.35">
      <c r="A159" s="4" t="s">
        <v>726</v>
      </c>
      <c r="B159" s="4" t="s">
        <v>19</v>
      </c>
      <c r="C159" s="4" t="s">
        <v>228</v>
      </c>
      <c r="D159" s="4"/>
      <c r="E159" s="4" t="s">
        <v>727</v>
      </c>
      <c r="F159" s="5">
        <v>44323</v>
      </c>
      <c r="G159" s="5">
        <v>44329</v>
      </c>
      <c r="H159" s="4" t="s">
        <v>27</v>
      </c>
      <c r="I159" s="4" t="s">
        <v>44</v>
      </c>
      <c r="J159" s="4" t="s">
        <v>45</v>
      </c>
      <c r="K159" s="5">
        <v>44323</v>
      </c>
      <c r="L159" s="4" t="s">
        <v>24</v>
      </c>
      <c r="M159" t="b">
        <v>1</v>
      </c>
      <c r="N159" t="b">
        <v>1</v>
      </c>
      <c r="O159" t="b">
        <v>1</v>
      </c>
      <c r="Q159">
        <v>158</v>
      </c>
    </row>
    <row r="160" spans="1:17" x14ac:dyDescent="0.35">
      <c r="A160" s="4" t="s">
        <v>36</v>
      </c>
      <c r="B160" s="4" t="s">
        <v>134</v>
      </c>
      <c r="C160" s="4" t="s">
        <v>107</v>
      </c>
      <c r="D160" s="4" t="s">
        <v>867</v>
      </c>
      <c r="E160" s="4" t="s">
        <v>37</v>
      </c>
      <c r="F160" s="5">
        <v>44791</v>
      </c>
      <c r="G160" s="5">
        <v>44798</v>
      </c>
      <c r="H160" s="4" t="s">
        <v>27</v>
      </c>
      <c r="I160" s="4" t="s">
        <v>28</v>
      </c>
      <c r="J160" s="4" t="s">
        <v>29</v>
      </c>
      <c r="K160" s="5">
        <v>44810</v>
      </c>
      <c r="L160" s="4" t="s">
        <v>24</v>
      </c>
      <c r="M160" t="b">
        <v>0</v>
      </c>
      <c r="N160" t="b">
        <v>1</v>
      </c>
      <c r="O160" t="b">
        <v>1</v>
      </c>
      <c r="Q160">
        <v>159</v>
      </c>
    </row>
    <row r="161" spans="1:17" x14ac:dyDescent="0.35">
      <c r="A161" s="4" t="s">
        <v>742</v>
      </c>
      <c r="B161" s="4" t="s">
        <v>134</v>
      </c>
      <c r="C161" s="4" t="s">
        <v>66</v>
      </c>
      <c r="D161" s="4"/>
      <c r="E161" s="4" t="s">
        <v>743</v>
      </c>
      <c r="F161" s="5">
        <v>44323</v>
      </c>
      <c r="G161" s="5">
        <v>44329</v>
      </c>
      <c r="H161" s="4" t="s">
        <v>27</v>
      </c>
      <c r="I161" s="4" t="s">
        <v>44</v>
      </c>
      <c r="J161" s="4" t="s">
        <v>45</v>
      </c>
      <c r="K161" s="5">
        <v>44818</v>
      </c>
      <c r="L161" s="4" t="s">
        <v>24</v>
      </c>
      <c r="M161" t="b">
        <v>0</v>
      </c>
      <c r="N161" t="b">
        <v>1</v>
      </c>
      <c r="O161" t="b">
        <v>1</v>
      </c>
      <c r="Q161">
        <v>160</v>
      </c>
    </row>
    <row r="162" spans="1:17" x14ac:dyDescent="0.35">
      <c r="A162" s="4" t="s">
        <v>32</v>
      </c>
      <c r="B162" s="4" t="s">
        <v>134</v>
      </c>
      <c r="C162" s="4" t="s">
        <v>107</v>
      </c>
      <c r="D162" s="4" t="s">
        <v>866</v>
      </c>
      <c r="E162" s="4" t="s">
        <v>33</v>
      </c>
      <c r="F162" s="5">
        <v>44791</v>
      </c>
      <c r="G162" s="5">
        <v>44798</v>
      </c>
      <c r="H162" s="4" t="s">
        <v>27</v>
      </c>
      <c r="I162" s="4" t="s">
        <v>34</v>
      </c>
      <c r="J162" s="4" t="s">
        <v>35</v>
      </c>
      <c r="K162" s="5">
        <v>44825</v>
      </c>
      <c r="L162" s="4" t="s">
        <v>24</v>
      </c>
      <c r="M162" t="b">
        <v>0</v>
      </c>
      <c r="N162" t="b">
        <v>1</v>
      </c>
      <c r="O162" t="b">
        <v>0</v>
      </c>
      <c r="Q162">
        <v>161</v>
      </c>
    </row>
    <row r="163" spans="1:17" x14ac:dyDescent="0.35">
      <c r="A163" s="4" t="s">
        <v>165</v>
      </c>
      <c r="B163" s="4" t="s">
        <v>134</v>
      </c>
      <c r="C163" s="4" t="s">
        <v>107</v>
      </c>
      <c r="D163" s="4"/>
      <c r="E163" s="4" t="s">
        <v>166</v>
      </c>
      <c r="F163" s="5">
        <v>44775</v>
      </c>
      <c r="G163" s="5">
        <v>44776</v>
      </c>
      <c r="H163" s="4" t="s">
        <v>27</v>
      </c>
      <c r="I163" s="4" t="s">
        <v>44</v>
      </c>
      <c r="J163" s="4" t="s">
        <v>45</v>
      </c>
      <c r="K163" s="5">
        <v>44825</v>
      </c>
      <c r="L163" s="4" t="s">
        <v>24</v>
      </c>
      <c r="M163" t="b">
        <v>0</v>
      </c>
      <c r="N163" t="b">
        <v>1</v>
      </c>
      <c r="O163" t="b">
        <v>1</v>
      </c>
      <c r="P163" t="b">
        <v>0</v>
      </c>
      <c r="Q163">
        <v>162</v>
      </c>
    </row>
    <row r="164" spans="1:17" x14ac:dyDescent="0.35">
      <c r="A164" s="4" t="s">
        <v>1071</v>
      </c>
      <c r="B164" s="4" t="s">
        <v>19</v>
      </c>
      <c r="C164" s="4" t="s">
        <v>189</v>
      </c>
      <c r="D164" s="4" t="s">
        <v>899</v>
      </c>
      <c r="E164" s="4" t="s">
        <v>1072</v>
      </c>
      <c r="F164" s="5">
        <v>44817</v>
      </c>
      <c r="G164" s="5"/>
      <c r="H164" s="4" t="s">
        <v>27</v>
      </c>
      <c r="I164" s="4" t="s">
        <v>22</v>
      </c>
      <c r="J164" s="4" t="s">
        <v>130</v>
      </c>
      <c r="K164" s="5">
        <v>44817</v>
      </c>
      <c r="L164" s="4" t="s">
        <v>24</v>
      </c>
      <c r="M164" t="b">
        <v>0</v>
      </c>
      <c r="N164" t="b">
        <v>0</v>
      </c>
      <c r="O164" t="b">
        <v>0</v>
      </c>
      <c r="P164" t="b">
        <v>0</v>
      </c>
      <c r="Q164">
        <v>163</v>
      </c>
    </row>
    <row r="165" spans="1:17" x14ac:dyDescent="0.35">
      <c r="A165" s="4" t="s">
        <v>332</v>
      </c>
      <c r="B165" s="4" t="s">
        <v>134</v>
      </c>
      <c r="C165" s="4" t="s">
        <v>102</v>
      </c>
      <c r="D165" s="4" t="s">
        <v>934</v>
      </c>
      <c r="E165" s="4" t="s">
        <v>333</v>
      </c>
      <c r="F165" s="5">
        <v>44663</v>
      </c>
      <c r="G165" s="5">
        <v>44664</v>
      </c>
      <c r="H165" s="4" t="s">
        <v>70</v>
      </c>
      <c r="I165" s="4" t="s">
        <v>57</v>
      </c>
      <c r="J165" s="4" t="s">
        <v>58</v>
      </c>
      <c r="K165" s="5">
        <v>44740</v>
      </c>
      <c r="L165" s="4" t="s">
        <v>24</v>
      </c>
      <c r="M165" t="b">
        <v>0</v>
      </c>
      <c r="N165" t="b">
        <v>0</v>
      </c>
      <c r="O165" t="b">
        <v>1</v>
      </c>
      <c r="P165" t="b">
        <v>0</v>
      </c>
      <c r="Q165">
        <v>164</v>
      </c>
    </row>
    <row r="166" spans="1:17" x14ac:dyDescent="0.35">
      <c r="A166" s="4" t="s">
        <v>334</v>
      </c>
      <c r="B166" s="4" t="s">
        <v>134</v>
      </c>
      <c r="C166" s="4" t="s">
        <v>102</v>
      </c>
      <c r="D166" s="4" t="s">
        <v>935</v>
      </c>
      <c r="E166" s="4" t="s">
        <v>335</v>
      </c>
      <c r="F166" s="5">
        <v>44663</v>
      </c>
      <c r="G166" s="5">
        <v>44664</v>
      </c>
      <c r="H166" s="4" t="s">
        <v>70</v>
      </c>
      <c r="I166" s="4" t="s">
        <v>57</v>
      </c>
      <c r="J166" s="4" t="s">
        <v>58</v>
      </c>
      <c r="K166" s="5">
        <v>44740</v>
      </c>
      <c r="L166" s="4" t="s">
        <v>24</v>
      </c>
      <c r="M166" t="b">
        <v>0</v>
      </c>
      <c r="N166" t="b">
        <v>1</v>
      </c>
      <c r="O166" t="b">
        <v>1</v>
      </c>
      <c r="P166" t="b">
        <v>0</v>
      </c>
      <c r="Q166">
        <v>165</v>
      </c>
    </row>
    <row r="167" spans="1:17" x14ac:dyDescent="0.35">
      <c r="A167" s="4" t="s">
        <v>323</v>
      </c>
      <c r="B167" s="4" t="s">
        <v>134</v>
      </c>
      <c r="C167" s="4" t="s">
        <v>102</v>
      </c>
      <c r="D167" s="4" t="s">
        <v>930</v>
      </c>
      <c r="E167" s="4" t="s">
        <v>324</v>
      </c>
      <c r="F167" s="5">
        <v>44664</v>
      </c>
      <c r="G167" s="5">
        <v>44665</v>
      </c>
      <c r="H167" s="4" t="s">
        <v>70</v>
      </c>
      <c r="I167" s="4" t="s">
        <v>28</v>
      </c>
      <c r="J167" s="4" t="s">
        <v>29</v>
      </c>
      <c r="K167" s="5">
        <v>44664</v>
      </c>
      <c r="L167" s="4" t="s">
        <v>24</v>
      </c>
      <c r="M167" t="b">
        <v>0</v>
      </c>
      <c r="N167" t="b">
        <v>1</v>
      </c>
      <c r="O167" t="b">
        <v>0</v>
      </c>
      <c r="P167" t="b">
        <v>0</v>
      </c>
      <c r="Q167">
        <v>166</v>
      </c>
    </row>
    <row r="168" spans="1:17" x14ac:dyDescent="0.35">
      <c r="A168" s="4" t="s">
        <v>403</v>
      </c>
      <c r="B168" s="4" t="s">
        <v>134</v>
      </c>
      <c r="C168" s="4" t="s">
        <v>186</v>
      </c>
      <c r="D168" s="4" t="s">
        <v>950</v>
      </c>
      <c r="E168" s="4" t="s">
        <v>404</v>
      </c>
      <c r="F168" s="5">
        <v>44651</v>
      </c>
      <c r="G168" s="5">
        <v>44658</v>
      </c>
      <c r="H168" s="4" t="s">
        <v>70</v>
      </c>
      <c r="I168" s="4" t="s">
        <v>22</v>
      </c>
      <c r="J168" s="4" t="s">
        <v>23</v>
      </c>
      <c r="K168" s="5">
        <v>44666</v>
      </c>
      <c r="L168" s="4" t="s">
        <v>24</v>
      </c>
      <c r="M168" t="b">
        <v>0</v>
      </c>
      <c r="N168" t="b">
        <v>1</v>
      </c>
      <c r="O168" t="b">
        <v>1</v>
      </c>
      <c r="P168" t="b">
        <v>0</v>
      </c>
      <c r="Q168">
        <v>167</v>
      </c>
    </row>
    <row r="169" spans="1:17" x14ac:dyDescent="0.35">
      <c r="A169" s="4" t="s">
        <v>336</v>
      </c>
      <c r="B169" s="4" t="s">
        <v>134</v>
      </c>
      <c r="C169" s="4" t="s">
        <v>66</v>
      </c>
      <c r="D169" s="4" t="s">
        <v>936</v>
      </c>
      <c r="E169" s="4" t="s">
        <v>337</v>
      </c>
      <c r="F169" s="5">
        <v>44663</v>
      </c>
      <c r="G169" s="5">
        <v>44670</v>
      </c>
      <c r="H169" s="4" t="s">
        <v>70</v>
      </c>
      <c r="I169" s="4" t="s">
        <v>57</v>
      </c>
      <c r="J169" s="4" t="s">
        <v>58</v>
      </c>
      <c r="K169" s="5">
        <v>44666</v>
      </c>
      <c r="L169" s="4" t="s">
        <v>24</v>
      </c>
      <c r="M169" t="b">
        <v>0</v>
      </c>
      <c r="N169" t="b">
        <v>0</v>
      </c>
      <c r="O169" t="b">
        <v>0</v>
      </c>
      <c r="P169" t="b">
        <v>0</v>
      </c>
      <c r="Q169">
        <v>168</v>
      </c>
    </row>
    <row r="170" spans="1:17" x14ac:dyDescent="0.35">
      <c r="A170" s="4" t="s">
        <v>468</v>
      </c>
      <c r="B170" s="4" t="s">
        <v>134</v>
      </c>
      <c r="C170" s="4" t="s">
        <v>66</v>
      </c>
      <c r="D170" s="4" t="s">
        <v>951</v>
      </c>
      <c r="E170" s="4" t="s">
        <v>469</v>
      </c>
      <c r="F170" s="5">
        <v>44645</v>
      </c>
      <c r="G170" s="5">
        <v>44652</v>
      </c>
      <c r="H170" s="4" t="s">
        <v>70</v>
      </c>
      <c r="I170" s="4" t="s">
        <v>57</v>
      </c>
      <c r="J170" s="4" t="s">
        <v>58</v>
      </c>
      <c r="K170" s="5">
        <v>44666</v>
      </c>
      <c r="L170" s="4" t="s">
        <v>24</v>
      </c>
      <c r="M170" t="b">
        <v>0</v>
      </c>
      <c r="N170" t="b">
        <v>1</v>
      </c>
      <c r="O170" t="b">
        <v>0</v>
      </c>
      <c r="P170" t="b">
        <v>0</v>
      </c>
      <c r="Q170">
        <v>169</v>
      </c>
    </row>
    <row r="171" spans="1:17" x14ac:dyDescent="0.35">
      <c r="A171" s="4" t="s">
        <v>171</v>
      </c>
      <c r="B171" s="4" t="s">
        <v>19</v>
      </c>
      <c r="C171" s="4" t="s">
        <v>868</v>
      </c>
      <c r="D171" s="4" t="s">
        <v>869</v>
      </c>
      <c r="E171" s="4" t="s">
        <v>172</v>
      </c>
      <c r="F171" s="5">
        <v>44764</v>
      </c>
      <c r="G171" s="5">
        <v>44769</v>
      </c>
      <c r="H171" s="4" t="s">
        <v>70</v>
      </c>
      <c r="I171" s="4" t="s">
        <v>22</v>
      </c>
      <c r="J171" s="4" t="s">
        <v>1056</v>
      </c>
      <c r="K171" s="5">
        <v>44790</v>
      </c>
      <c r="L171" s="4" t="s">
        <v>24</v>
      </c>
      <c r="M171" t="b">
        <v>1</v>
      </c>
      <c r="N171" t="b">
        <v>1</v>
      </c>
      <c r="O171" t="b">
        <v>1</v>
      </c>
      <c r="P171" t="b">
        <v>0</v>
      </c>
      <c r="Q171">
        <v>170</v>
      </c>
    </row>
    <row r="172" spans="1:17" x14ac:dyDescent="0.35">
      <c r="A172" s="4" t="s">
        <v>181</v>
      </c>
      <c r="B172" s="4" t="s">
        <v>134</v>
      </c>
      <c r="C172" s="4" t="s">
        <v>186</v>
      </c>
      <c r="D172" s="4" t="s">
        <v>898</v>
      </c>
      <c r="E172" s="4" t="s">
        <v>180</v>
      </c>
      <c r="F172" s="5">
        <v>44754</v>
      </c>
      <c r="G172" s="5">
        <v>44755</v>
      </c>
      <c r="H172" s="4" t="s">
        <v>70</v>
      </c>
      <c r="I172" s="4" t="s">
        <v>34</v>
      </c>
      <c r="J172" s="4" t="s">
        <v>35</v>
      </c>
      <c r="K172" s="5">
        <v>44812</v>
      </c>
      <c r="L172" s="4" t="s">
        <v>24</v>
      </c>
      <c r="M172" t="b">
        <v>0</v>
      </c>
      <c r="N172" t="b">
        <v>1</v>
      </c>
      <c r="O172" t="b">
        <v>0</v>
      </c>
      <c r="P172" t="b">
        <v>0</v>
      </c>
      <c r="Q172">
        <v>171</v>
      </c>
    </row>
    <row r="173" spans="1:17" x14ac:dyDescent="0.35">
      <c r="A173" s="4" t="s">
        <v>179</v>
      </c>
      <c r="B173" s="4" t="s">
        <v>134</v>
      </c>
      <c r="C173" s="4" t="s">
        <v>186</v>
      </c>
      <c r="D173" s="4" t="s">
        <v>897</v>
      </c>
      <c r="E173" s="4" t="s">
        <v>180</v>
      </c>
      <c r="F173" s="5">
        <v>44754</v>
      </c>
      <c r="G173" s="5">
        <v>44755</v>
      </c>
      <c r="H173" s="4" t="s">
        <v>70</v>
      </c>
      <c r="I173" s="4" t="s">
        <v>34</v>
      </c>
      <c r="J173" s="4" t="s">
        <v>35</v>
      </c>
      <c r="K173" s="5">
        <v>44812</v>
      </c>
      <c r="L173" s="4" t="s">
        <v>24</v>
      </c>
      <c r="M173" t="b">
        <v>0</v>
      </c>
      <c r="N173" t="b">
        <v>1</v>
      </c>
      <c r="O173" t="b">
        <v>0</v>
      </c>
      <c r="P173" t="b">
        <v>0</v>
      </c>
      <c r="Q173">
        <v>172</v>
      </c>
    </row>
    <row r="174" spans="1:17" x14ac:dyDescent="0.35">
      <c r="A174" s="4" t="s">
        <v>330</v>
      </c>
      <c r="B174" s="4" t="s">
        <v>134</v>
      </c>
      <c r="C174" s="4" t="s">
        <v>107</v>
      </c>
      <c r="D174" s="4" t="s">
        <v>866</v>
      </c>
      <c r="E174" s="4" t="s">
        <v>331</v>
      </c>
      <c r="F174" s="5">
        <v>44664</v>
      </c>
      <c r="G174" s="5">
        <v>44664</v>
      </c>
      <c r="H174" s="4" t="s">
        <v>70</v>
      </c>
      <c r="I174" s="4" t="s">
        <v>51</v>
      </c>
      <c r="J174" s="4" t="s">
        <v>52</v>
      </c>
      <c r="K174" s="5">
        <v>44691</v>
      </c>
      <c r="L174" s="4" t="s">
        <v>24</v>
      </c>
      <c r="M174" t="b">
        <v>0</v>
      </c>
      <c r="N174" t="b">
        <v>1</v>
      </c>
      <c r="O174" t="b">
        <v>0</v>
      </c>
      <c r="P174" t="b">
        <v>0</v>
      </c>
      <c r="Q174">
        <v>173</v>
      </c>
    </row>
    <row r="175" spans="1:17" x14ac:dyDescent="0.35">
      <c r="A175" s="4" t="s">
        <v>177</v>
      </c>
      <c r="B175" s="4" t="s">
        <v>89</v>
      </c>
      <c r="C175" s="4" t="s">
        <v>102</v>
      </c>
      <c r="D175" s="4" t="s">
        <v>896</v>
      </c>
      <c r="E175" s="4" t="s">
        <v>178</v>
      </c>
      <c r="F175" s="5">
        <v>44754</v>
      </c>
      <c r="G175" s="5">
        <v>44756</v>
      </c>
      <c r="H175" s="4" t="s">
        <v>70</v>
      </c>
      <c r="I175" s="4" t="s">
        <v>34</v>
      </c>
      <c r="J175" s="4" t="s">
        <v>35</v>
      </c>
      <c r="K175" s="5">
        <v>44782</v>
      </c>
      <c r="L175" s="4" t="s">
        <v>24</v>
      </c>
      <c r="M175" t="b">
        <v>1</v>
      </c>
      <c r="N175" t="b">
        <v>1</v>
      </c>
      <c r="O175" t="b">
        <v>0</v>
      </c>
      <c r="P175" t="b">
        <v>0</v>
      </c>
      <c r="Q175">
        <v>174</v>
      </c>
    </row>
    <row r="176" spans="1:17" x14ac:dyDescent="0.35">
      <c r="A176" s="4" t="s">
        <v>136</v>
      </c>
      <c r="B176" s="4" t="s">
        <v>134</v>
      </c>
      <c r="C176" s="4" t="s">
        <v>107</v>
      </c>
      <c r="D176" s="4"/>
      <c r="E176" s="4" t="s">
        <v>137</v>
      </c>
      <c r="F176" s="5">
        <v>44776</v>
      </c>
      <c r="G176" s="5">
        <v>44778</v>
      </c>
      <c r="H176" s="4" t="s">
        <v>70</v>
      </c>
      <c r="I176" s="4" t="s">
        <v>51</v>
      </c>
      <c r="J176" s="4" t="s">
        <v>52</v>
      </c>
      <c r="K176" s="5">
        <v>44804</v>
      </c>
      <c r="L176" s="4" t="s">
        <v>24</v>
      </c>
      <c r="M176" t="b">
        <v>0</v>
      </c>
      <c r="N176" t="b">
        <v>1</v>
      </c>
      <c r="O176" t="b">
        <v>0</v>
      </c>
      <c r="P176" t="b">
        <v>0</v>
      </c>
      <c r="Q176">
        <v>175</v>
      </c>
    </row>
    <row r="177" spans="1:17" x14ac:dyDescent="0.35">
      <c r="A177" s="4" t="s">
        <v>175</v>
      </c>
      <c r="B177" s="4" t="s">
        <v>134</v>
      </c>
      <c r="C177" s="4" t="s">
        <v>102</v>
      </c>
      <c r="D177" s="4" t="s">
        <v>895</v>
      </c>
      <c r="E177" s="4" t="s">
        <v>176</v>
      </c>
      <c r="F177" s="5">
        <v>44754</v>
      </c>
      <c r="G177" s="5">
        <v>44756</v>
      </c>
      <c r="H177" s="4" t="s">
        <v>70</v>
      </c>
      <c r="I177" s="4" t="s">
        <v>161</v>
      </c>
      <c r="J177" s="4" t="s">
        <v>162</v>
      </c>
      <c r="K177" s="5">
        <v>44840</v>
      </c>
      <c r="L177" s="4" t="s">
        <v>24</v>
      </c>
      <c r="M177" t="b">
        <v>0</v>
      </c>
      <c r="N177" t="b">
        <v>1</v>
      </c>
      <c r="O177" t="b">
        <v>0</v>
      </c>
      <c r="P177" t="b">
        <v>0</v>
      </c>
      <c r="Q177">
        <v>176</v>
      </c>
    </row>
    <row r="178" spans="1:17" x14ac:dyDescent="0.35">
      <c r="A178" s="4" t="s">
        <v>211</v>
      </c>
      <c r="B178" s="4" t="s">
        <v>89</v>
      </c>
      <c r="C178" s="4" t="s">
        <v>186</v>
      </c>
      <c r="D178" s="4" t="s">
        <v>905</v>
      </c>
      <c r="E178" s="4" t="s">
        <v>212</v>
      </c>
      <c r="F178" s="5">
        <v>44705</v>
      </c>
      <c r="G178" s="5">
        <v>44712</v>
      </c>
      <c r="H178" s="4" t="s">
        <v>70</v>
      </c>
      <c r="I178" s="4" t="s">
        <v>28</v>
      </c>
      <c r="J178" s="4" t="s">
        <v>29</v>
      </c>
      <c r="K178" s="5">
        <v>44796</v>
      </c>
      <c r="L178" s="4" t="s">
        <v>24</v>
      </c>
      <c r="M178" t="b">
        <v>1</v>
      </c>
      <c r="N178" t="b">
        <v>1</v>
      </c>
      <c r="O178" t="b">
        <v>0</v>
      </c>
      <c r="P178" t="b">
        <v>0</v>
      </c>
      <c r="Q178">
        <v>177</v>
      </c>
    </row>
    <row r="179" spans="1:17" x14ac:dyDescent="0.35">
      <c r="A179" s="4" t="s">
        <v>128</v>
      </c>
      <c r="B179" s="4" t="s">
        <v>134</v>
      </c>
      <c r="C179" s="4" t="s">
        <v>107</v>
      </c>
      <c r="D179" s="4"/>
      <c r="E179" s="4" t="s">
        <v>129</v>
      </c>
      <c r="F179" s="5">
        <v>44776</v>
      </c>
      <c r="G179" s="5">
        <v>44778</v>
      </c>
      <c r="H179" s="4" t="s">
        <v>70</v>
      </c>
      <c r="I179" s="4" t="s">
        <v>22</v>
      </c>
      <c r="J179" s="4" t="s">
        <v>1056</v>
      </c>
      <c r="K179" s="5">
        <v>44817</v>
      </c>
      <c r="L179" s="4" t="s">
        <v>24</v>
      </c>
      <c r="M179" t="b">
        <v>0</v>
      </c>
      <c r="N179" t="b">
        <v>0</v>
      </c>
      <c r="O179" t="b">
        <v>0</v>
      </c>
      <c r="P179" t="b">
        <v>0</v>
      </c>
      <c r="Q179">
        <v>178</v>
      </c>
    </row>
    <row r="180" spans="1:17" x14ac:dyDescent="0.35">
      <c r="A180" s="4" t="s">
        <v>106</v>
      </c>
      <c r="B180" s="4" t="s">
        <v>134</v>
      </c>
      <c r="C180" s="4" t="s">
        <v>107</v>
      </c>
      <c r="D180" s="4"/>
      <c r="E180" s="4" t="s">
        <v>108</v>
      </c>
      <c r="F180" s="5">
        <v>44777</v>
      </c>
      <c r="G180" s="5">
        <v>44784</v>
      </c>
      <c r="H180" s="4" t="s">
        <v>70</v>
      </c>
      <c r="I180" s="4" t="s">
        <v>57</v>
      </c>
      <c r="J180" s="4" t="s">
        <v>58</v>
      </c>
      <c r="K180" s="5">
        <v>44817</v>
      </c>
      <c r="L180" s="4" t="s">
        <v>24</v>
      </c>
      <c r="M180" t="b">
        <v>0</v>
      </c>
      <c r="N180" t="b">
        <v>1</v>
      </c>
      <c r="O180" t="b">
        <v>0</v>
      </c>
      <c r="P180" t="b">
        <v>0</v>
      </c>
      <c r="Q180">
        <v>179</v>
      </c>
    </row>
    <row r="181" spans="1:17" x14ac:dyDescent="0.35">
      <c r="A181" s="4" t="s">
        <v>150</v>
      </c>
      <c r="B181" s="4" t="s">
        <v>134</v>
      </c>
      <c r="C181" s="4" t="s">
        <v>228</v>
      </c>
      <c r="D181" s="4" t="s">
        <v>892</v>
      </c>
      <c r="E181" s="4" t="s">
        <v>151</v>
      </c>
      <c r="F181" s="5">
        <v>44775</v>
      </c>
      <c r="G181" s="5">
        <v>44777</v>
      </c>
      <c r="H181" s="4" t="s">
        <v>70</v>
      </c>
      <c r="I181" s="4" t="s">
        <v>111</v>
      </c>
      <c r="J181" s="4" t="s">
        <v>112</v>
      </c>
      <c r="K181" s="5">
        <v>44816</v>
      </c>
      <c r="L181" s="4" t="s">
        <v>24</v>
      </c>
      <c r="M181" t="b">
        <v>0</v>
      </c>
      <c r="N181" t="b">
        <v>1</v>
      </c>
      <c r="O181" t="b">
        <v>0</v>
      </c>
      <c r="P181" t="b">
        <v>0</v>
      </c>
      <c r="Q181">
        <v>180</v>
      </c>
    </row>
    <row r="182" spans="1:17" x14ac:dyDescent="0.35">
      <c r="A182" s="4" t="s">
        <v>257</v>
      </c>
      <c r="B182" s="4" t="s">
        <v>134</v>
      </c>
      <c r="C182" s="4" t="s">
        <v>107</v>
      </c>
      <c r="D182" s="4"/>
      <c r="E182" s="4" t="s">
        <v>258</v>
      </c>
      <c r="F182" s="5">
        <v>44687</v>
      </c>
      <c r="G182" s="5">
        <v>44687</v>
      </c>
      <c r="H182" s="4" t="s">
        <v>70</v>
      </c>
      <c r="I182" s="4" t="s">
        <v>22</v>
      </c>
      <c r="J182" s="4" t="s">
        <v>130</v>
      </c>
      <c r="K182" s="5">
        <v>44805</v>
      </c>
      <c r="L182" s="4" t="s">
        <v>24</v>
      </c>
      <c r="M182" t="b">
        <v>0</v>
      </c>
      <c r="N182" t="b">
        <v>1</v>
      </c>
      <c r="O182" t="b">
        <v>0</v>
      </c>
      <c r="P182" t="b">
        <v>0</v>
      </c>
      <c r="Q182">
        <v>181</v>
      </c>
    </row>
    <row r="183" spans="1:17" x14ac:dyDescent="0.35">
      <c r="A183" s="4" t="s">
        <v>255</v>
      </c>
      <c r="B183" s="4" t="s">
        <v>134</v>
      </c>
      <c r="C183" s="4" t="s">
        <v>868</v>
      </c>
      <c r="D183" s="4" t="s">
        <v>995</v>
      </c>
      <c r="E183" s="4" t="s">
        <v>256</v>
      </c>
      <c r="F183" s="5">
        <v>44687</v>
      </c>
      <c r="G183" s="5">
        <v>44687</v>
      </c>
      <c r="H183" s="4" t="s">
        <v>70</v>
      </c>
      <c r="I183" s="4" t="s">
        <v>44</v>
      </c>
      <c r="J183" s="4" t="s">
        <v>45</v>
      </c>
      <c r="K183" s="5">
        <v>44718</v>
      </c>
      <c r="L183" s="4" t="s">
        <v>24</v>
      </c>
      <c r="M183" t="b">
        <v>0</v>
      </c>
      <c r="N183" t="b">
        <v>1</v>
      </c>
      <c r="O183" t="b">
        <v>0</v>
      </c>
      <c r="P183" t="b">
        <v>0</v>
      </c>
      <c r="Q183">
        <v>182</v>
      </c>
    </row>
    <row r="184" spans="1:17" x14ac:dyDescent="0.35">
      <c r="A184" s="4" t="s">
        <v>328</v>
      </c>
      <c r="B184" s="4" t="s">
        <v>19</v>
      </c>
      <c r="C184" s="4" t="s">
        <v>189</v>
      </c>
      <c r="D184" s="4" t="s">
        <v>933</v>
      </c>
      <c r="E184" s="4" t="s">
        <v>329</v>
      </c>
      <c r="F184" s="5">
        <v>44664</v>
      </c>
      <c r="G184" s="5">
        <v>44671</v>
      </c>
      <c r="H184" s="4" t="s">
        <v>70</v>
      </c>
      <c r="I184" s="4" t="s">
        <v>111</v>
      </c>
      <c r="J184" s="4" t="s">
        <v>112</v>
      </c>
      <c r="K184" s="5">
        <v>44664</v>
      </c>
      <c r="L184" s="4" t="s">
        <v>24</v>
      </c>
      <c r="M184" t="b">
        <v>1</v>
      </c>
      <c r="N184" t="b">
        <v>1</v>
      </c>
      <c r="O184" t="b">
        <v>0</v>
      </c>
      <c r="P184" t="b">
        <v>0</v>
      </c>
      <c r="Q184">
        <v>183</v>
      </c>
    </row>
    <row r="185" spans="1:17" x14ac:dyDescent="0.35">
      <c r="A185" s="4" t="s">
        <v>163</v>
      </c>
      <c r="B185" s="4" t="s">
        <v>134</v>
      </c>
      <c r="C185" s="4" t="s">
        <v>107</v>
      </c>
      <c r="D185" s="4"/>
      <c r="E185" s="4" t="s">
        <v>164</v>
      </c>
      <c r="F185" s="5">
        <v>44775</v>
      </c>
      <c r="G185" s="5">
        <v>44777</v>
      </c>
      <c r="H185" s="4" t="s">
        <v>70</v>
      </c>
      <c r="I185" s="4" t="s">
        <v>22</v>
      </c>
      <c r="J185" s="4" t="s">
        <v>130</v>
      </c>
      <c r="K185" s="5">
        <v>44799</v>
      </c>
      <c r="L185" s="4" t="s">
        <v>24</v>
      </c>
      <c r="M185" t="b">
        <v>0</v>
      </c>
      <c r="N185" t="b">
        <v>1</v>
      </c>
      <c r="O185" t="b">
        <v>1</v>
      </c>
      <c r="P185" t="b">
        <v>0</v>
      </c>
      <c r="Q185">
        <v>184</v>
      </c>
    </row>
    <row r="186" spans="1:17" x14ac:dyDescent="0.35">
      <c r="A186" s="4" t="s">
        <v>167</v>
      </c>
      <c r="B186" s="4" t="s">
        <v>19</v>
      </c>
      <c r="C186" s="4" t="s">
        <v>228</v>
      </c>
      <c r="D186" s="4" t="s">
        <v>884</v>
      </c>
      <c r="E186" s="4" t="s">
        <v>168</v>
      </c>
      <c r="F186" s="5">
        <v>44775</v>
      </c>
      <c r="G186" s="5">
        <v>44782</v>
      </c>
      <c r="H186" s="4" t="s">
        <v>70</v>
      </c>
      <c r="I186" s="4" t="s">
        <v>51</v>
      </c>
      <c r="J186" s="4" t="s">
        <v>52</v>
      </c>
      <c r="K186" s="5">
        <v>44775</v>
      </c>
      <c r="L186" s="4" t="s">
        <v>24</v>
      </c>
      <c r="M186" t="b">
        <v>1</v>
      </c>
      <c r="N186" t="b">
        <v>1</v>
      </c>
      <c r="O186" t="b">
        <v>0</v>
      </c>
      <c r="P186" t="b">
        <v>0</v>
      </c>
      <c r="Q186">
        <v>185</v>
      </c>
    </row>
    <row r="187" spans="1:17" x14ac:dyDescent="0.35">
      <c r="A187" s="4" t="s">
        <v>75</v>
      </c>
      <c r="B187" s="4" t="s">
        <v>134</v>
      </c>
      <c r="C187" s="4" t="s">
        <v>73</v>
      </c>
      <c r="D187" s="4" t="s">
        <v>876</v>
      </c>
      <c r="E187" s="4" t="s">
        <v>76</v>
      </c>
      <c r="F187" s="5">
        <v>44789</v>
      </c>
      <c r="G187" s="5">
        <v>44796</v>
      </c>
      <c r="H187" s="4" t="s">
        <v>70</v>
      </c>
      <c r="I187" s="4" t="s">
        <v>22</v>
      </c>
      <c r="J187" s="4" t="s">
        <v>23</v>
      </c>
      <c r="K187" s="5">
        <v>44839</v>
      </c>
      <c r="L187" s="4" t="s">
        <v>24</v>
      </c>
      <c r="M187" t="b">
        <v>0</v>
      </c>
      <c r="N187" t="b">
        <v>1</v>
      </c>
      <c r="O187" t="b">
        <v>0</v>
      </c>
      <c r="P187" t="b">
        <v>0</v>
      </c>
      <c r="Q187">
        <v>186</v>
      </c>
    </row>
    <row r="188" spans="1:17" x14ac:dyDescent="0.35">
      <c r="A188" s="4" t="s">
        <v>355</v>
      </c>
      <c r="B188" s="4" t="s">
        <v>134</v>
      </c>
      <c r="C188" s="4" t="s">
        <v>66</v>
      </c>
      <c r="D188" s="4" t="s">
        <v>940</v>
      </c>
      <c r="E188" s="4" t="s">
        <v>356</v>
      </c>
      <c r="F188" s="5">
        <v>44662</v>
      </c>
      <c r="G188" s="5">
        <v>44663</v>
      </c>
      <c r="H188" s="4" t="s">
        <v>70</v>
      </c>
      <c r="I188" s="4" t="s">
        <v>34</v>
      </c>
      <c r="J188" s="4" t="s">
        <v>35</v>
      </c>
      <c r="K188" s="5">
        <v>44818</v>
      </c>
      <c r="L188" s="4" t="s">
        <v>24</v>
      </c>
      <c r="M188" t="b">
        <v>0</v>
      </c>
      <c r="N188" t="b">
        <v>1</v>
      </c>
      <c r="O188" t="b">
        <v>1</v>
      </c>
      <c r="P188" t="b">
        <v>0</v>
      </c>
      <c r="Q188">
        <v>187</v>
      </c>
    </row>
    <row r="189" spans="1:17" x14ac:dyDescent="0.35">
      <c r="A189" s="4" t="s">
        <v>104</v>
      </c>
      <c r="B189" s="4" t="s">
        <v>134</v>
      </c>
      <c r="C189" s="4" t="s">
        <v>186</v>
      </c>
      <c r="D189" s="4" t="s">
        <v>879</v>
      </c>
      <c r="E189" s="4" t="s">
        <v>105</v>
      </c>
      <c r="F189" s="5">
        <v>44782</v>
      </c>
      <c r="G189" s="5">
        <v>44782</v>
      </c>
      <c r="H189" s="4" t="s">
        <v>70</v>
      </c>
      <c r="I189" s="4" t="s">
        <v>34</v>
      </c>
      <c r="J189" s="4" t="s">
        <v>35</v>
      </c>
      <c r="K189" s="5">
        <v>44812</v>
      </c>
      <c r="L189" s="4" t="s">
        <v>24</v>
      </c>
      <c r="M189" t="b">
        <v>0</v>
      </c>
      <c r="N189" t="b">
        <v>1</v>
      </c>
      <c r="O189" t="b">
        <v>0</v>
      </c>
      <c r="P189" t="b">
        <v>0</v>
      </c>
      <c r="Q189">
        <v>188</v>
      </c>
    </row>
    <row r="190" spans="1:17" x14ac:dyDescent="0.35">
      <c r="A190" s="4" t="s">
        <v>146</v>
      </c>
      <c r="B190" s="4" t="s">
        <v>134</v>
      </c>
      <c r="C190" s="4" t="s">
        <v>186</v>
      </c>
      <c r="D190" s="4" t="s">
        <v>890</v>
      </c>
      <c r="E190" s="4" t="s">
        <v>147</v>
      </c>
      <c r="F190" s="5">
        <v>44775</v>
      </c>
      <c r="G190" s="5">
        <v>44782</v>
      </c>
      <c r="H190" s="4" t="s">
        <v>70</v>
      </c>
      <c r="I190" s="4" t="s">
        <v>22</v>
      </c>
      <c r="J190" s="4" t="s">
        <v>23</v>
      </c>
      <c r="K190" s="5">
        <v>44812</v>
      </c>
      <c r="L190" s="4" t="s">
        <v>24</v>
      </c>
      <c r="M190" t="b">
        <v>0</v>
      </c>
      <c r="N190" t="b">
        <v>0</v>
      </c>
      <c r="O190" t="b">
        <v>0</v>
      </c>
      <c r="P190" t="b">
        <v>0</v>
      </c>
      <c r="Q190">
        <v>189</v>
      </c>
    </row>
    <row r="191" spans="1:17" x14ac:dyDescent="0.35">
      <c r="A191" s="4" t="s">
        <v>392</v>
      </c>
      <c r="B191" s="4" t="s">
        <v>134</v>
      </c>
      <c r="C191" s="4" t="s">
        <v>189</v>
      </c>
      <c r="D191" s="4" t="s">
        <v>948</v>
      </c>
      <c r="E191" s="4" t="s">
        <v>393</v>
      </c>
      <c r="F191" s="5">
        <v>44652</v>
      </c>
      <c r="G191" s="5">
        <v>44659</v>
      </c>
      <c r="H191" s="4" t="s">
        <v>70</v>
      </c>
      <c r="I191" s="4" t="s">
        <v>22</v>
      </c>
      <c r="J191" s="4" t="s">
        <v>130</v>
      </c>
      <c r="K191" s="5">
        <v>44838</v>
      </c>
      <c r="L191" s="4" t="s">
        <v>24</v>
      </c>
      <c r="M191" t="b">
        <v>0</v>
      </c>
      <c r="N191" t="b">
        <v>1</v>
      </c>
      <c r="O191" t="b">
        <v>0</v>
      </c>
      <c r="P191" t="b">
        <v>0</v>
      </c>
      <c r="Q191">
        <v>190</v>
      </c>
    </row>
    <row r="192" spans="1:17" x14ac:dyDescent="0.35">
      <c r="A192" s="4" t="s">
        <v>115</v>
      </c>
      <c r="B192" s="4" t="s">
        <v>134</v>
      </c>
      <c r="C192" s="4" t="s">
        <v>189</v>
      </c>
      <c r="D192" s="4" t="s">
        <v>881</v>
      </c>
      <c r="E192" s="4" t="s">
        <v>116</v>
      </c>
      <c r="F192" s="5">
        <v>44777</v>
      </c>
      <c r="G192" s="5">
        <v>44784</v>
      </c>
      <c r="H192" s="4" t="s">
        <v>70</v>
      </c>
      <c r="I192" s="4" t="s">
        <v>34</v>
      </c>
      <c r="J192" s="4" t="s">
        <v>117</v>
      </c>
      <c r="K192" s="5">
        <v>44840</v>
      </c>
      <c r="L192" s="4" t="s">
        <v>24</v>
      </c>
      <c r="M192" t="b">
        <v>0</v>
      </c>
      <c r="N192" t="b">
        <v>1</v>
      </c>
      <c r="O192" t="b">
        <v>0</v>
      </c>
      <c r="P192" t="b">
        <v>0</v>
      </c>
      <c r="Q192">
        <v>191</v>
      </c>
    </row>
    <row r="193" spans="1:17" x14ac:dyDescent="0.35">
      <c r="A193" s="4" t="s">
        <v>221</v>
      </c>
      <c r="B193" s="4" t="s">
        <v>134</v>
      </c>
      <c r="C193" s="4" t="s">
        <v>189</v>
      </c>
      <c r="D193" s="4" t="s">
        <v>881</v>
      </c>
      <c r="E193" s="4" t="s">
        <v>222</v>
      </c>
      <c r="F193" s="5">
        <v>44698</v>
      </c>
      <c r="G193" s="5">
        <v>44699</v>
      </c>
      <c r="H193" s="4" t="s">
        <v>70</v>
      </c>
      <c r="I193" s="4" t="s">
        <v>51</v>
      </c>
      <c r="J193" s="4" t="s">
        <v>52</v>
      </c>
      <c r="K193" s="5">
        <v>44840</v>
      </c>
      <c r="L193" s="4" t="s">
        <v>24</v>
      </c>
      <c r="M193" t="b">
        <v>0</v>
      </c>
      <c r="N193" t="b">
        <v>1</v>
      </c>
      <c r="O193" t="b">
        <v>0</v>
      </c>
      <c r="P193" t="b">
        <v>0</v>
      </c>
      <c r="Q193">
        <v>192</v>
      </c>
    </row>
    <row r="194" spans="1:17" x14ac:dyDescent="0.35">
      <c r="A194" s="4" t="s">
        <v>142</v>
      </c>
      <c r="B194" s="4" t="s">
        <v>134</v>
      </c>
      <c r="C194" s="4" t="s">
        <v>73</v>
      </c>
      <c r="D194" s="4" t="s">
        <v>888</v>
      </c>
      <c r="E194" s="4" t="s">
        <v>143</v>
      </c>
      <c r="F194" s="5">
        <v>44776</v>
      </c>
      <c r="G194" s="5">
        <v>44768</v>
      </c>
      <c r="H194" s="4" t="s">
        <v>70</v>
      </c>
      <c r="I194" s="4" t="s">
        <v>28</v>
      </c>
      <c r="J194" s="4" t="s">
        <v>29</v>
      </c>
      <c r="K194" s="5">
        <v>44817</v>
      </c>
      <c r="L194" s="4" t="s">
        <v>24</v>
      </c>
      <c r="M194" t="b">
        <v>0</v>
      </c>
      <c r="N194" t="b">
        <v>0</v>
      </c>
      <c r="O194" t="b">
        <v>0</v>
      </c>
      <c r="P194" t="b">
        <v>0</v>
      </c>
      <c r="Q194">
        <v>193</v>
      </c>
    </row>
    <row r="195" spans="1:17" x14ac:dyDescent="0.35">
      <c r="A195" s="4" t="s">
        <v>217</v>
      </c>
      <c r="B195" s="4" t="s">
        <v>134</v>
      </c>
      <c r="C195" s="4" t="s">
        <v>704</v>
      </c>
      <c r="D195" s="4" t="s">
        <v>889</v>
      </c>
      <c r="E195" s="4" t="s">
        <v>218</v>
      </c>
      <c r="F195" s="5">
        <v>44700</v>
      </c>
      <c r="G195" s="5">
        <v>44707</v>
      </c>
      <c r="H195" s="4" t="s">
        <v>70</v>
      </c>
      <c r="I195" s="4" t="s">
        <v>51</v>
      </c>
      <c r="J195" s="4" t="s">
        <v>52</v>
      </c>
      <c r="K195" s="5">
        <v>44817</v>
      </c>
      <c r="L195" s="4" t="s">
        <v>24</v>
      </c>
      <c r="M195" t="b">
        <v>0</v>
      </c>
      <c r="N195" t="b">
        <v>1</v>
      </c>
      <c r="O195" t="b">
        <v>0</v>
      </c>
      <c r="P195" t="b">
        <v>0</v>
      </c>
      <c r="Q195">
        <v>194</v>
      </c>
    </row>
    <row r="196" spans="1:17" x14ac:dyDescent="0.35">
      <c r="A196" s="4" t="s">
        <v>305</v>
      </c>
      <c r="B196" s="4" t="s">
        <v>134</v>
      </c>
      <c r="C196" s="4" t="s">
        <v>704</v>
      </c>
      <c r="D196" s="4" t="s">
        <v>926</v>
      </c>
      <c r="E196" s="4" t="s">
        <v>306</v>
      </c>
      <c r="F196" s="5">
        <v>44666</v>
      </c>
      <c r="G196" s="5">
        <v>44673</v>
      </c>
      <c r="H196" s="4" t="s">
        <v>70</v>
      </c>
      <c r="I196" s="4" t="s">
        <v>28</v>
      </c>
      <c r="J196" s="4" t="s">
        <v>29</v>
      </c>
      <c r="K196" s="5">
        <v>44817</v>
      </c>
      <c r="L196" s="4" t="s">
        <v>24</v>
      </c>
      <c r="M196" t="b">
        <v>0</v>
      </c>
      <c r="N196" t="b">
        <v>1</v>
      </c>
      <c r="O196" t="b">
        <v>1</v>
      </c>
      <c r="P196" t="b">
        <v>0</v>
      </c>
      <c r="Q196">
        <v>195</v>
      </c>
    </row>
    <row r="197" spans="1:17" x14ac:dyDescent="0.35">
      <c r="A197" s="4" t="s">
        <v>215</v>
      </c>
      <c r="B197" s="4" t="s">
        <v>134</v>
      </c>
      <c r="C197" s="4" t="s">
        <v>704</v>
      </c>
      <c r="D197" s="4" t="s">
        <v>889</v>
      </c>
      <c r="E197" s="4" t="s">
        <v>216</v>
      </c>
      <c r="F197" s="5">
        <v>44700</v>
      </c>
      <c r="G197" s="5">
        <v>44707</v>
      </c>
      <c r="H197" s="4" t="s">
        <v>70</v>
      </c>
      <c r="I197" s="4" t="s">
        <v>51</v>
      </c>
      <c r="J197" s="4" t="s">
        <v>52</v>
      </c>
      <c r="K197" s="5">
        <v>44817</v>
      </c>
      <c r="L197" s="4" t="s">
        <v>24</v>
      </c>
      <c r="M197" t="b">
        <v>0</v>
      </c>
      <c r="N197" t="b">
        <v>0</v>
      </c>
      <c r="O197" t="b">
        <v>0</v>
      </c>
      <c r="P197" t="b">
        <v>0</v>
      </c>
      <c r="Q197">
        <v>196</v>
      </c>
    </row>
    <row r="198" spans="1:17" x14ac:dyDescent="0.35">
      <c r="A198" s="4" t="s">
        <v>303</v>
      </c>
      <c r="B198" s="4" t="s">
        <v>134</v>
      </c>
      <c r="C198" s="4" t="s">
        <v>704</v>
      </c>
      <c r="D198" s="4" t="s">
        <v>925</v>
      </c>
      <c r="E198" s="4" t="s">
        <v>304</v>
      </c>
      <c r="F198" s="5">
        <v>44666</v>
      </c>
      <c r="G198" s="5">
        <v>44666</v>
      </c>
      <c r="H198" s="4" t="s">
        <v>70</v>
      </c>
      <c r="I198" s="4" t="s">
        <v>44</v>
      </c>
      <c r="J198" s="4" t="s">
        <v>45</v>
      </c>
      <c r="K198" s="5">
        <v>44817</v>
      </c>
      <c r="L198" s="4" t="s">
        <v>24</v>
      </c>
      <c r="M198" t="b">
        <v>0</v>
      </c>
      <c r="N198" t="b">
        <v>0</v>
      </c>
      <c r="O198" t="b">
        <v>0</v>
      </c>
      <c r="P198" t="b">
        <v>0</v>
      </c>
      <c r="Q198">
        <v>197</v>
      </c>
    </row>
    <row r="199" spans="1:17" x14ac:dyDescent="0.35">
      <c r="A199" s="4" t="s">
        <v>243</v>
      </c>
      <c r="B199" s="4" t="s">
        <v>134</v>
      </c>
      <c r="C199" s="4" t="s">
        <v>102</v>
      </c>
      <c r="D199" s="4" t="s">
        <v>909</v>
      </c>
      <c r="E199" s="4" t="s">
        <v>244</v>
      </c>
      <c r="F199" s="5">
        <v>44691</v>
      </c>
      <c r="G199" s="5">
        <v>44694</v>
      </c>
      <c r="H199" s="4" t="s">
        <v>70</v>
      </c>
      <c r="I199" s="4" t="s">
        <v>34</v>
      </c>
      <c r="J199" s="4" t="s">
        <v>117</v>
      </c>
      <c r="K199" s="5">
        <v>44817</v>
      </c>
      <c r="L199" s="4" t="s">
        <v>24</v>
      </c>
      <c r="M199" t="b">
        <v>0</v>
      </c>
      <c r="N199" t="b">
        <v>0</v>
      </c>
      <c r="O199" t="b">
        <v>0</v>
      </c>
      <c r="P199" t="b">
        <v>0</v>
      </c>
      <c r="Q199">
        <v>198</v>
      </c>
    </row>
    <row r="200" spans="1:17" x14ac:dyDescent="0.35">
      <c r="A200" s="4" t="s">
        <v>124</v>
      </c>
      <c r="B200" s="4" t="s">
        <v>134</v>
      </c>
      <c r="C200" s="4" t="s">
        <v>102</v>
      </c>
      <c r="D200" s="4" t="s">
        <v>883</v>
      </c>
      <c r="E200" s="4" t="s">
        <v>125</v>
      </c>
      <c r="F200" s="5">
        <v>44776</v>
      </c>
      <c r="G200" s="5">
        <v>44752</v>
      </c>
      <c r="H200" s="4" t="s">
        <v>70</v>
      </c>
      <c r="I200" s="4" t="s">
        <v>22</v>
      </c>
      <c r="J200" s="4" t="s">
        <v>23</v>
      </c>
      <c r="K200" s="5">
        <v>44817</v>
      </c>
      <c r="L200" s="4" t="s">
        <v>24</v>
      </c>
      <c r="M200" t="b">
        <v>0</v>
      </c>
      <c r="N200" t="b">
        <v>0</v>
      </c>
      <c r="O200" t="b">
        <v>0</v>
      </c>
      <c r="P200" t="b">
        <v>0</v>
      </c>
      <c r="Q200">
        <v>199</v>
      </c>
    </row>
    <row r="201" spans="1:17" x14ac:dyDescent="0.35">
      <c r="A201" s="4" t="s">
        <v>299</v>
      </c>
      <c r="B201" s="4" t="s">
        <v>134</v>
      </c>
      <c r="C201" s="4" t="s">
        <v>102</v>
      </c>
      <c r="D201" s="4" t="s">
        <v>923</v>
      </c>
      <c r="E201" s="4" t="s">
        <v>300</v>
      </c>
      <c r="F201" s="5">
        <v>44666</v>
      </c>
      <c r="G201" s="5">
        <v>44671</v>
      </c>
      <c r="H201" s="4" t="s">
        <v>70</v>
      </c>
      <c r="I201" s="4" t="s">
        <v>44</v>
      </c>
      <c r="J201" s="4" t="s">
        <v>45</v>
      </c>
      <c r="K201" s="5">
        <v>44817</v>
      </c>
      <c r="L201" s="4" t="s">
        <v>24</v>
      </c>
      <c r="M201" t="b">
        <v>0</v>
      </c>
      <c r="N201" t="b">
        <v>0</v>
      </c>
      <c r="O201" t="b">
        <v>0</v>
      </c>
      <c r="P201" t="b">
        <v>0</v>
      </c>
      <c r="Q201">
        <v>200</v>
      </c>
    </row>
    <row r="202" spans="1:17" x14ac:dyDescent="0.35">
      <c r="A202" s="4" t="s">
        <v>378</v>
      </c>
      <c r="B202" s="4" t="s">
        <v>134</v>
      </c>
      <c r="C202" s="4" t="s">
        <v>66</v>
      </c>
      <c r="D202" s="4" t="s">
        <v>944</v>
      </c>
      <c r="E202" s="4" t="s">
        <v>379</v>
      </c>
      <c r="F202" s="5">
        <v>44652</v>
      </c>
      <c r="G202" s="5">
        <v>44659</v>
      </c>
      <c r="H202" s="4" t="s">
        <v>70</v>
      </c>
      <c r="I202" s="4" t="s">
        <v>44</v>
      </c>
      <c r="J202" s="4" t="s">
        <v>45</v>
      </c>
      <c r="K202" s="5">
        <v>44817</v>
      </c>
      <c r="L202" s="4" t="s">
        <v>24</v>
      </c>
      <c r="M202" t="b">
        <v>0</v>
      </c>
      <c r="N202" t="b">
        <v>0</v>
      </c>
      <c r="O202" t="b">
        <v>0</v>
      </c>
      <c r="P202" t="b">
        <v>0</v>
      </c>
      <c r="Q202">
        <v>201</v>
      </c>
    </row>
    <row r="203" spans="1:17" x14ac:dyDescent="0.35">
      <c r="A203" s="4" t="s">
        <v>307</v>
      </c>
      <c r="B203" s="4" t="s">
        <v>134</v>
      </c>
      <c r="C203" s="4" t="s">
        <v>228</v>
      </c>
      <c r="D203" s="4" t="s">
        <v>878</v>
      </c>
      <c r="E203" s="4" t="s">
        <v>308</v>
      </c>
      <c r="F203" s="5">
        <v>44665</v>
      </c>
      <c r="G203" s="5">
        <v>44665</v>
      </c>
      <c r="H203" s="4" t="s">
        <v>70</v>
      </c>
      <c r="I203" s="4" t="s">
        <v>22</v>
      </c>
      <c r="J203" s="4" t="s">
        <v>23</v>
      </c>
      <c r="K203" s="5">
        <v>44817</v>
      </c>
      <c r="L203" s="4" t="s">
        <v>24</v>
      </c>
      <c r="M203" t="b">
        <v>0</v>
      </c>
      <c r="N203" t="b">
        <v>1</v>
      </c>
      <c r="O203" t="b">
        <v>1</v>
      </c>
      <c r="P203" t="b">
        <v>0</v>
      </c>
      <c r="Q203">
        <v>202</v>
      </c>
    </row>
    <row r="204" spans="1:17" x14ac:dyDescent="0.35">
      <c r="A204" s="4" t="s">
        <v>131</v>
      </c>
      <c r="B204" s="4" t="s">
        <v>134</v>
      </c>
      <c r="C204" s="4" t="s">
        <v>228</v>
      </c>
      <c r="D204" s="4" t="s">
        <v>884</v>
      </c>
      <c r="E204" s="4" t="s">
        <v>132</v>
      </c>
      <c r="F204" s="5">
        <v>44776</v>
      </c>
      <c r="G204" s="5">
        <v>44778</v>
      </c>
      <c r="H204" s="4" t="s">
        <v>70</v>
      </c>
      <c r="I204" s="4" t="s">
        <v>34</v>
      </c>
      <c r="J204" s="4" t="s">
        <v>35</v>
      </c>
      <c r="K204" s="5">
        <v>44825</v>
      </c>
      <c r="L204" s="4" t="s">
        <v>24</v>
      </c>
      <c r="M204" t="b">
        <v>0</v>
      </c>
      <c r="N204" t="b">
        <v>1</v>
      </c>
      <c r="O204" t="b">
        <v>0</v>
      </c>
      <c r="P204" t="b">
        <v>0</v>
      </c>
      <c r="Q204">
        <v>203</v>
      </c>
    </row>
    <row r="205" spans="1:17" x14ac:dyDescent="0.35">
      <c r="A205" s="4" t="s">
        <v>71</v>
      </c>
      <c r="B205" s="4" t="s">
        <v>134</v>
      </c>
      <c r="C205" s="4" t="s">
        <v>228</v>
      </c>
      <c r="D205" s="4" t="s">
        <v>875</v>
      </c>
      <c r="E205" s="4" t="s">
        <v>62</v>
      </c>
      <c r="F205" s="5">
        <v>44789</v>
      </c>
      <c r="G205" s="5">
        <v>44791</v>
      </c>
      <c r="H205" s="4" t="s">
        <v>70</v>
      </c>
      <c r="I205" s="4" t="s">
        <v>34</v>
      </c>
      <c r="J205" s="4" t="s">
        <v>35</v>
      </c>
      <c r="K205" s="5">
        <v>44825</v>
      </c>
      <c r="L205" s="4" t="s">
        <v>24</v>
      </c>
      <c r="M205" t="b">
        <v>0</v>
      </c>
      <c r="N205" t="b">
        <v>1</v>
      </c>
      <c r="O205" t="b">
        <v>0</v>
      </c>
      <c r="P205" t="b">
        <v>0</v>
      </c>
      <c r="Q205">
        <v>204</v>
      </c>
    </row>
    <row r="206" spans="1:17" x14ac:dyDescent="0.35">
      <c r="A206" s="4" t="s">
        <v>353</v>
      </c>
      <c r="B206" s="4" t="s">
        <v>134</v>
      </c>
      <c r="C206" s="4" t="s">
        <v>66</v>
      </c>
      <c r="D206" s="4" t="s">
        <v>939</v>
      </c>
      <c r="E206" s="4" t="s">
        <v>354</v>
      </c>
      <c r="F206" s="5">
        <v>44662</v>
      </c>
      <c r="G206" s="5">
        <v>44663</v>
      </c>
      <c r="H206" s="4" t="s">
        <v>70</v>
      </c>
      <c r="I206" s="4" t="s">
        <v>195</v>
      </c>
      <c r="J206" s="4" t="s">
        <v>196</v>
      </c>
      <c r="K206" s="5">
        <v>44817</v>
      </c>
      <c r="L206" s="4" t="s">
        <v>24</v>
      </c>
      <c r="M206" t="b">
        <v>0</v>
      </c>
      <c r="N206" t="b">
        <v>1</v>
      </c>
      <c r="O206" t="b">
        <v>0</v>
      </c>
      <c r="P206" t="b">
        <v>0</v>
      </c>
      <c r="Q206">
        <v>205</v>
      </c>
    </row>
    <row r="207" spans="1:17" x14ac:dyDescent="0.35">
      <c r="A207" s="4" t="s">
        <v>138</v>
      </c>
      <c r="B207" s="4" t="s">
        <v>134</v>
      </c>
      <c r="C207" s="4" t="s">
        <v>66</v>
      </c>
      <c r="D207" s="4" t="s">
        <v>886</v>
      </c>
      <c r="E207" s="4" t="s">
        <v>139</v>
      </c>
      <c r="F207" s="5">
        <v>44776</v>
      </c>
      <c r="G207" s="5">
        <v>44778</v>
      </c>
      <c r="H207" s="4" t="s">
        <v>70</v>
      </c>
      <c r="I207" s="4" t="s">
        <v>28</v>
      </c>
      <c r="J207" s="4" t="s">
        <v>29</v>
      </c>
      <c r="K207" s="5">
        <v>44817</v>
      </c>
      <c r="L207" s="4" t="s">
        <v>24</v>
      </c>
      <c r="M207" t="b">
        <v>0</v>
      </c>
      <c r="N207" t="b">
        <v>1</v>
      </c>
      <c r="O207" t="b">
        <v>0</v>
      </c>
      <c r="P207" t="b">
        <v>0</v>
      </c>
      <c r="Q207">
        <v>206</v>
      </c>
    </row>
    <row r="208" spans="1:17" x14ac:dyDescent="0.35">
      <c r="A208" s="4" t="s">
        <v>301</v>
      </c>
      <c r="B208" s="4" t="s">
        <v>134</v>
      </c>
      <c r="C208" s="4" t="s">
        <v>186</v>
      </c>
      <c r="D208" s="4" t="s">
        <v>924</v>
      </c>
      <c r="E208" s="4" t="s">
        <v>302</v>
      </c>
      <c r="F208" s="5">
        <v>44666</v>
      </c>
      <c r="G208" s="5">
        <v>44669</v>
      </c>
      <c r="H208" s="4" t="s">
        <v>70</v>
      </c>
      <c r="I208" s="4" t="s">
        <v>44</v>
      </c>
      <c r="J208" s="4" t="s">
        <v>45</v>
      </c>
      <c r="K208" s="5">
        <v>44817</v>
      </c>
      <c r="L208" s="4" t="s">
        <v>24</v>
      </c>
      <c r="M208" t="b">
        <v>0</v>
      </c>
      <c r="N208" t="b">
        <v>0</v>
      </c>
      <c r="O208" t="b">
        <v>0</v>
      </c>
      <c r="P208" t="b">
        <v>0</v>
      </c>
      <c r="Q208">
        <v>207</v>
      </c>
    </row>
    <row r="209" spans="1:17" x14ac:dyDescent="0.35">
      <c r="A209" s="4" t="s">
        <v>319</v>
      </c>
      <c r="B209" s="4" t="s">
        <v>134</v>
      </c>
      <c r="C209" s="4" t="s">
        <v>228</v>
      </c>
      <c r="D209" s="4" t="s">
        <v>929</v>
      </c>
      <c r="E209" s="4" t="s">
        <v>320</v>
      </c>
      <c r="F209" s="5">
        <v>44664</v>
      </c>
      <c r="G209" s="5">
        <v>44665</v>
      </c>
      <c r="H209" s="4" t="s">
        <v>70</v>
      </c>
      <c r="I209" s="4" t="s">
        <v>34</v>
      </c>
      <c r="J209" s="4" t="s">
        <v>35</v>
      </c>
      <c r="K209" s="5">
        <v>44825</v>
      </c>
      <c r="L209" s="4" t="s">
        <v>24</v>
      </c>
      <c r="M209" t="b">
        <v>0</v>
      </c>
      <c r="N209" t="b">
        <v>1</v>
      </c>
      <c r="O209" t="b">
        <v>0</v>
      </c>
      <c r="P209" t="b">
        <v>0</v>
      </c>
      <c r="Q209">
        <v>208</v>
      </c>
    </row>
    <row r="210" spans="1:17" x14ac:dyDescent="0.35">
      <c r="A210" s="4" t="s">
        <v>283</v>
      </c>
      <c r="B210" s="4" t="s">
        <v>134</v>
      </c>
      <c r="C210" s="4" t="s">
        <v>66</v>
      </c>
      <c r="D210" s="4" t="s">
        <v>921</v>
      </c>
      <c r="E210" s="4" t="s">
        <v>284</v>
      </c>
      <c r="F210" s="5">
        <v>44671</v>
      </c>
      <c r="G210" s="5">
        <v>44672</v>
      </c>
      <c r="H210" s="4" t="s">
        <v>70</v>
      </c>
      <c r="I210" s="4" t="s">
        <v>51</v>
      </c>
      <c r="J210" s="4" t="s">
        <v>52</v>
      </c>
      <c r="K210" s="5">
        <v>44672</v>
      </c>
      <c r="L210" s="4" t="s">
        <v>24</v>
      </c>
      <c r="M210" t="b">
        <v>0</v>
      </c>
      <c r="N210" t="b">
        <v>1</v>
      </c>
      <c r="O210" t="b">
        <v>0</v>
      </c>
      <c r="P210" t="b">
        <v>0</v>
      </c>
      <c r="Q210">
        <v>209</v>
      </c>
    </row>
    <row r="211" spans="1:17" x14ac:dyDescent="0.35">
      <c r="A211" s="4" t="s">
        <v>368</v>
      </c>
      <c r="B211" s="4" t="s">
        <v>134</v>
      </c>
      <c r="C211" s="4" t="s">
        <v>66</v>
      </c>
      <c r="D211" s="4" t="s">
        <v>940</v>
      </c>
      <c r="E211" s="4" t="s">
        <v>369</v>
      </c>
      <c r="F211" s="5">
        <v>44656</v>
      </c>
      <c r="G211" s="5">
        <v>44663</v>
      </c>
      <c r="H211" s="4" t="s">
        <v>70</v>
      </c>
      <c r="I211" s="4" t="s">
        <v>195</v>
      </c>
      <c r="J211" s="4" t="s">
        <v>196</v>
      </c>
      <c r="K211" s="5">
        <v>44672</v>
      </c>
      <c r="L211" s="4" t="s">
        <v>24</v>
      </c>
      <c r="M211" t="b">
        <v>0</v>
      </c>
      <c r="N211" t="b">
        <v>1</v>
      </c>
      <c r="O211" t="b">
        <v>0</v>
      </c>
      <c r="P211" t="b">
        <v>0</v>
      </c>
      <c r="Q211">
        <v>210</v>
      </c>
    </row>
    <row r="212" spans="1:17" x14ac:dyDescent="0.35">
      <c r="A212" s="4" t="s">
        <v>321</v>
      </c>
      <c r="B212" s="4" t="s">
        <v>134</v>
      </c>
      <c r="C212" s="4" t="s">
        <v>228</v>
      </c>
      <c r="D212" s="4" t="s">
        <v>928</v>
      </c>
      <c r="E212" s="4" t="s">
        <v>322</v>
      </c>
      <c r="F212" s="5">
        <v>44664</v>
      </c>
      <c r="G212" s="5">
        <v>44665</v>
      </c>
      <c r="H212" s="4" t="s">
        <v>70</v>
      </c>
      <c r="I212" s="4" t="s">
        <v>34</v>
      </c>
      <c r="J212" s="4" t="s">
        <v>35</v>
      </c>
      <c r="K212" s="5">
        <v>44676</v>
      </c>
      <c r="L212" s="4" t="s">
        <v>24</v>
      </c>
      <c r="M212" t="b">
        <v>0</v>
      </c>
      <c r="N212" t="b">
        <v>1</v>
      </c>
      <c r="O212" t="b">
        <v>0</v>
      </c>
      <c r="P212" t="b">
        <v>0</v>
      </c>
      <c r="Q212">
        <v>211</v>
      </c>
    </row>
    <row r="213" spans="1:17" x14ac:dyDescent="0.35">
      <c r="A213" s="4" t="s">
        <v>466</v>
      </c>
      <c r="B213" s="4" t="s">
        <v>134</v>
      </c>
      <c r="C213" s="4" t="s">
        <v>66</v>
      </c>
      <c r="D213" s="4" t="s">
        <v>939</v>
      </c>
      <c r="E213" s="4" t="s">
        <v>467</v>
      </c>
      <c r="F213" s="5">
        <v>44645</v>
      </c>
      <c r="G213" s="5">
        <v>44652</v>
      </c>
      <c r="H213" s="4" t="s">
        <v>70</v>
      </c>
      <c r="I213" s="4" t="s">
        <v>57</v>
      </c>
      <c r="J213" s="4" t="s">
        <v>58</v>
      </c>
      <c r="K213" s="5">
        <v>44677</v>
      </c>
      <c r="L213" s="4" t="s">
        <v>24</v>
      </c>
      <c r="M213" t="b">
        <v>0</v>
      </c>
      <c r="N213" t="b">
        <v>1</v>
      </c>
      <c r="O213" t="b">
        <v>1</v>
      </c>
      <c r="P213" t="b">
        <v>0</v>
      </c>
      <c r="Q213">
        <v>212</v>
      </c>
    </row>
    <row r="214" spans="1:17" x14ac:dyDescent="0.35">
      <c r="A214" s="4" t="s">
        <v>265</v>
      </c>
      <c r="B214" s="4" t="s">
        <v>134</v>
      </c>
      <c r="C214" s="4" t="s">
        <v>228</v>
      </c>
      <c r="D214" s="4" t="s">
        <v>915</v>
      </c>
      <c r="E214" s="4" t="s">
        <v>266</v>
      </c>
      <c r="F214" s="5">
        <v>44678</v>
      </c>
      <c r="G214" s="5">
        <v>44679</v>
      </c>
      <c r="H214" s="4" t="s">
        <v>70</v>
      </c>
      <c r="I214" s="4" t="s">
        <v>34</v>
      </c>
      <c r="J214" s="4" t="s">
        <v>35</v>
      </c>
      <c r="K214" s="5">
        <v>44683</v>
      </c>
      <c r="L214" s="4" t="s">
        <v>24</v>
      </c>
      <c r="M214" t="b">
        <v>0</v>
      </c>
      <c r="N214" t="b">
        <v>1</v>
      </c>
      <c r="O214" t="b">
        <v>0</v>
      </c>
      <c r="P214" t="b">
        <v>0</v>
      </c>
      <c r="Q214">
        <v>213</v>
      </c>
    </row>
    <row r="215" spans="1:17" x14ac:dyDescent="0.35">
      <c r="A215" s="4" t="s">
        <v>263</v>
      </c>
      <c r="B215" s="4" t="s">
        <v>134</v>
      </c>
      <c r="C215" s="4" t="s">
        <v>189</v>
      </c>
      <c r="D215" s="4" t="s">
        <v>914</v>
      </c>
      <c r="E215" s="4" t="s">
        <v>264</v>
      </c>
      <c r="F215" s="5">
        <v>44678</v>
      </c>
      <c r="G215" s="5">
        <v>44679</v>
      </c>
      <c r="H215" s="4" t="s">
        <v>70</v>
      </c>
      <c r="I215" s="4" t="s">
        <v>22</v>
      </c>
      <c r="J215" s="4" t="s">
        <v>130</v>
      </c>
      <c r="K215" s="5">
        <v>44728</v>
      </c>
      <c r="L215" s="4" t="s">
        <v>24</v>
      </c>
      <c r="M215" t="b">
        <v>0</v>
      </c>
      <c r="N215" t="b">
        <v>1</v>
      </c>
      <c r="O215" t="b">
        <v>0</v>
      </c>
      <c r="P215" t="b">
        <v>0</v>
      </c>
      <c r="Q215">
        <v>214</v>
      </c>
    </row>
    <row r="216" spans="1:17" x14ac:dyDescent="0.35">
      <c r="A216" s="4" t="s">
        <v>317</v>
      </c>
      <c r="B216" s="4" t="s">
        <v>134</v>
      </c>
      <c r="C216" s="4" t="s">
        <v>228</v>
      </c>
      <c r="D216" s="4" t="s">
        <v>928</v>
      </c>
      <c r="E216" s="4" t="s">
        <v>318</v>
      </c>
      <c r="F216" s="5">
        <v>44664</v>
      </c>
      <c r="G216" s="5">
        <v>44670</v>
      </c>
      <c r="H216" s="4" t="s">
        <v>70</v>
      </c>
      <c r="I216" s="4" t="s">
        <v>28</v>
      </c>
      <c r="J216" s="4" t="s">
        <v>29</v>
      </c>
      <c r="K216" s="5">
        <v>44728</v>
      </c>
      <c r="L216" s="4" t="s">
        <v>24</v>
      </c>
      <c r="M216" t="b">
        <v>0</v>
      </c>
      <c r="N216" t="b">
        <v>1</v>
      </c>
      <c r="O216" t="b">
        <v>0</v>
      </c>
      <c r="P216" t="b">
        <v>0</v>
      </c>
      <c r="Q216">
        <v>215</v>
      </c>
    </row>
    <row r="217" spans="1:17" x14ac:dyDescent="0.35">
      <c r="A217" s="4" t="s">
        <v>390</v>
      </c>
      <c r="B217" s="4" t="s">
        <v>134</v>
      </c>
      <c r="C217" s="4" t="s">
        <v>228</v>
      </c>
      <c r="D217" s="4" t="s">
        <v>947</v>
      </c>
      <c r="E217" s="4" t="s">
        <v>391</v>
      </c>
      <c r="F217" s="5">
        <v>44652</v>
      </c>
      <c r="G217" s="5">
        <v>44659</v>
      </c>
      <c r="H217" s="4" t="s">
        <v>70</v>
      </c>
      <c r="I217" s="4" t="s">
        <v>34</v>
      </c>
      <c r="J217" s="4" t="s">
        <v>35</v>
      </c>
      <c r="K217" s="5">
        <v>44728</v>
      </c>
      <c r="L217" s="4" t="s">
        <v>24</v>
      </c>
      <c r="M217" t="b">
        <v>0</v>
      </c>
      <c r="N217" t="b">
        <v>1</v>
      </c>
      <c r="O217" t="b">
        <v>0</v>
      </c>
      <c r="P217" t="b">
        <v>0</v>
      </c>
      <c r="Q217">
        <v>216</v>
      </c>
    </row>
    <row r="218" spans="1:17" x14ac:dyDescent="0.35">
      <c r="A218" s="4" t="s">
        <v>394</v>
      </c>
      <c r="B218" s="4" t="s">
        <v>134</v>
      </c>
      <c r="C218" s="4" t="s">
        <v>66</v>
      </c>
      <c r="D218" s="4" t="s">
        <v>940</v>
      </c>
      <c r="E218" s="4" t="s">
        <v>395</v>
      </c>
      <c r="F218" s="5">
        <v>44652</v>
      </c>
      <c r="G218" s="5">
        <v>44659</v>
      </c>
      <c r="H218" s="4" t="s">
        <v>70</v>
      </c>
      <c r="I218" s="4" t="s">
        <v>195</v>
      </c>
      <c r="J218" s="4" t="s">
        <v>196</v>
      </c>
      <c r="K218" s="5">
        <v>44728</v>
      </c>
      <c r="L218" s="4" t="s">
        <v>24</v>
      </c>
      <c r="M218" t="b">
        <v>0</v>
      </c>
      <c r="N218" t="b">
        <v>1</v>
      </c>
      <c r="O218" t="b">
        <v>1</v>
      </c>
      <c r="P218" t="b">
        <v>0</v>
      </c>
      <c r="Q218">
        <v>217</v>
      </c>
    </row>
    <row r="219" spans="1:17" x14ac:dyDescent="0.35">
      <c r="A219" s="4" t="s">
        <v>372</v>
      </c>
      <c r="B219" s="4" t="s">
        <v>134</v>
      </c>
      <c r="C219" s="4" t="s">
        <v>66</v>
      </c>
      <c r="D219" s="4" t="s">
        <v>940</v>
      </c>
      <c r="E219" s="4" t="s">
        <v>373</v>
      </c>
      <c r="F219" s="5">
        <v>44656</v>
      </c>
      <c r="G219" s="5">
        <v>44663</v>
      </c>
      <c r="H219" s="4" t="s">
        <v>70</v>
      </c>
      <c r="I219" s="4" t="s">
        <v>57</v>
      </c>
      <c r="J219" s="4" t="s">
        <v>58</v>
      </c>
      <c r="K219" s="5">
        <v>44728</v>
      </c>
      <c r="L219" s="4" t="s">
        <v>24</v>
      </c>
      <c r="M219" t="b">
        <v>0</v>
      </c>
      <c r="N219" t="b">
        <v>1</v>
      </c>
      <c r="O219" t="b">
        <v>1</v>
      </c>
      <c r="P219" t="b">
        <v>0</v>
      </c>
      <c r="Q219">
        <v>218</v>
      </c>
    </row>
    <row r="220" spans="1:17" x14ac:dyDescent="0.35">
      <c r="A220" s="4" t="s">
        <v>223</v>
      </c>
      <c r="B220" s="4" t="s">
        <v>134</v>
      </c>
      <c r="C220" s="4" t="s">
        <v>704</v>
      </c>
      <c r="D220" s="4" t="s">
        <v>906</v>
      </c>
      <c r="E220" s="4" t="s">
        <v>224</v>
      </c>
      <c r="F220" s="5">
        <v>44697</v>
      </c>
      <c r="G220" s="5">
        <v>44698</v>
      </c>
      <c r="H220" s="4" t="s">
        <v>70</v>
      </c>
      <c r="I220" s="4" t="s">
        <v>57</v>
      </c>
      <c r="J220" s="4" t="s">
        <v>58</v>
      </c>
      <c r="K220" s="5">
        <v>44728</v>
      </c>
      <c r="L220" s="4" t="s">
        <v>24</v>
      </c>
      <c r="M220" t="b">
        <v>0</v>
      </c>
      <c r="N220" t="b">
        <v>1</v>
      </c>
      <c r="O220" t="b">
        <v>0</v>
      </c>
      <c r="P220" t="b">
        <v>0</v>
      </c>
      <c r="Q220">
        <v>219</v>
      </c>
    </row>
    <row r="221" spans="1:17" x14ac:dyDescent="0.35">
      <c r="A221" s="4" t="s">
        <v>399</v>
      </c>
      <c r="B221" s="4" t="s">
        <v>134</v>
      </c>
      <c r="C221" s="4" t="s">
        <v>102</v>
      </c>
      <c r="D221" s="4"/>
      <c r="E221" s="4" t="s">
        <v>400</v>
      </c>
      <c r="F221" s="5">
        <v>44651</v>
      </c>
      <c r="G221" s="5">
        <v>44658</v>
      </c>
      <c r="H221" s="4" t="s">
        <v>70</v>
      </c>
      <c r="I221" s="4" t="s">
        <v>22</v>
      </c>
      <c r="J221" s="4" t="s">
        <v>23</v>
      </c>
      <c r="K221" s="5">
        <v>44817</v>
      </c>
      <c r="L221" s="4" t="s">
        <v>24</v>
      </c>
      <c r="M221" t="b">
        <v>0</v>
      </c>
      <c r="N221" t="b">
        <v>1</v>
      </c>
      <c r="O221" t="b">
        <v>0</v>
      </c>
      <c r="P221" t="b">
        <v>0</v>
      </c>
      <c r="Q221">
        <v>220</v>
      </c>
    </row>
    <row r="222" spans="1:17" x14ac:dyDescent="0.35">
      <c r="A222" s="4" t="s">
        <v>360</v>
      </c>
      <c r="B222" s="4" t="s">
        <v>134</v>
      </c>
      <c r="C222" s="4" t="s">
        <v>73</v>
      </c>
      <c r="D222" s="4"/>
      <c r="E222" s="4" t="s">
        <v>361</v>
      </c>
      <c r="F222" s="5">
        <v>44662</v>
      </c>
      <c r="G222" s="5">
        <v>44666</v>
      </c>
      <c r="H222" s="4" t="s">
        <v>70</v>
      </c>
      <c r="I222" s="4" t="s">
        <v>111</v>
      </c>
      <c r="J222" s="4" t="s">
        <v>112</v>
      </c>
      <c r="K222" s="5">
        <v>44837</v>
      </c>
      <c r="L222" s="4" t="s">
        <v>24</v>
      </c>
      <c r="M222" t="b">
        <v>0</v>
      </c>
      <c r="N222" t="b">
        <v>1</v>
      </c>
      <c r="O222" t="b">
        <v>0</v>
      </c>
      <c r="P222" t="b">
        <v>0</v>
      </c>
      <c r="Q222">
        <v>221</v>
      </c>
    </row>
    <row r="223" spans="1:17" x14ac:dyDescent="0.35">
      <c r="A223" s="4" t="s">
        <v>370</v>
      </c>
      <c r="B223" s="4" t="s">
        <v>134</v>
      </c>
      <c r="C223" s="4" t="s">
        <v>66</v>
      </c>
      <c r="D223" s="4" t="s">
        <v>940</v>
      </c>
      <c r="E223" s="4" t="s">
        <v>371</v>
      </c>
      <c r="F223" s="5">
        <v>44656</v>
      </c>
      <c r="G223" s="5">
        <v>44663</v>
      </c>
      <c r="H223" s="4" t="s">
        <v>70</v>
      </c>
      <c r="I223" s="4" t="s">
        <v>91</v>
      </c>
      <c r="J223" s="4" t="s">
        <v>184</v>
      </c>
      <c r="K223" s="5">
        <v>44670</v>
      </c>
      <c r="L223" s="4" t="s">
        <v>24</v>
      </c>
      <c r="M223" t="b">
        <v>0</v>
      </c>
      <c r="N223" t="b">
        <v>0</v>
      </c>
      <c r="O223" t="b">
        <v>1</v>
      </c>
      <c r="P223" t="b">
        <v>0</v>
      </c>
      <c r="Q223">
        <v>222</v>
      </c>
    </row>
    <row r="224" spans="1:17" x14ac:dyDescent="0.35">
      <c r="A224" s="4" t="s">
        <v>366</v>
      </c>
      <c r="B224" s="4" t="s">
        <v>134</v>
      </c>
      <c r="C224" s="4" t="s">
        <v>66</v>
      </c>
      <c r="D224" s="4" t="s">
        <v>940</v>
      </c>
      <c r="E224" s="4" t="s">
        <v>367</v>
      </c>
      <c r="F224" s="5">
        <v>44656</v>
      </c>
      <c r="G224" s="5">
        <v>44663</v>
      </c>
      <c r="H224" s="4" t="s">
        <v>70</v>
      </c>
      <c r="I224" s="4" t="s">
        <v>91</v>
      </c>
      <c r="J224" s="4" t="s">
        <v>92</v>
      </c>
      <c r="K224" s="5">
        <v>44670</v>
      </c>
      <c r="L224" s="4" t="s">
        <v>24</v>
      </c>
      <c r="M224" t="b">
        <v>0</v>
      </c>
      <c r="N224" t="b">
        <v>1</v>
      </c>
      <c r="O224" t="b">
        <v>1</v>
      </c>
      <c r="P224" t="b">
        <v>0</v>
      </c>
      <c r="Q224">
        <v>223</v>
      </c>
    </row>
    <row r="225" spans="1:17" x14ac:dyDescent="0.35">
      <c r="A225" s="4" t="s">
        <v>472</v>
      </c>
      <c r="B225" s="4" t="s">
        <v>134</v>
      </c>
      <c r="C225" s="4" t="s">
        <v>473</v>
      </c>
      <c r="D225" s="4"/>
      <c r="E225" s="4" t="s">
        <v>474</v>
      </c>
      <c r="F225" s="5">
        <v>44635</v>
      </c>
      <c r="G225" s="5">
        <v>44642</v>
      </c>
      <c r="H225" s="4" t="s">
        <v>70</v>
      </c>
      <c r="I225" s="4" t="s">
        <v>57</v>
      </c>
      <c r="J225" s="4" t="s">
        <v>58</v>
      </c>
      <c r="K225" s="5">
        <v>44784</v>
      </c>
      <c r="L225" s="4" t="s">
        <v>24</v>
      </c>
      <c r="M225" t="b">
        <v>0</v>
      </c>
      <c r="O225" t="b">
        <v>1</v>
      </c>
      <c r="Q225">
        <v>224</v>
      </c>
    </row>
    <row r="226" spans="1:17" x14ac:dyDescent="0.35">
      <c r="A226" s="4" t="s">
        <v>207</v>
      </c>
      <c r="B226" s="4" t="s">
        <v>134</v>
      </c>
      <c r="C226" s="4" t="s">
        <v>107</v>
      </c>
      <c r="D226" s="4"/>
      <c r="E226" s="4" t="s">
        <v>208</v>
      </c>
      <c r="F226" s="5">
        <v>44718</v>
      </c>
      <c r="G226" s="5">
        <v>44719</v>
      </c>
      <c r="H226" s="4" t="s">
        <v>70</v>
      </c>
      <c r="I226" s="4" t="s">
        <v>57</v>
      </c>
      <c r="J226" s="4" t="s">
        <v>58</v>
      </c>
      <c r="K226" s="5">
        <v>44754</v>
      </c>
      <c r="L226" s="4" t="s">
        <v>24</v>
      </c>
      <c r="M226" t="b">
        <v>0</v>
      </c>
      <c r="N226" t="b">
        <v>1</v>
      </c>
      <c r="O226" t="b">
        <v>1</v>
      </c>
      <c r="P226" t="b">
        <v>0</v>
      </c>
      <c r="Q226">
        <v>225</v>
      </c>
    </row>
    <row r="227" spans="1:17" x14ac:dyDescent="0.35">
      <c r="A227" s="4" t="s">
        <v>421</v>
      </c>
      <c r="B227" s="4" t="s">
        <v>134</v>
      </c>
      <c r="C227" s="4" t="s">
        <v>228</v>
      </c>
      <c r="D227" s="4" t="s">
        <v>941</v>
      </c>
      <c r="E227" s="4" t="s">
        <v>422</v>
      </c>
      <c r="F227" s="5">
        <v>44650</v>
      </c>
      <c r="G227" s="5">
        <v>44655</v>
      </c>
      <c r="H227" s="4" t="s">
        <v>70</v>
      </c>
      <c r="I227" s="4" t="s">
        <v>57</v>
      </c>
      <c r="J227" s="4" t="s">
        <v>58</v>
      </c>
      <c r="K227" s="5">
        <v>44662</v>
      </c>
      <c r="L227" s="4" t="s">
        <v>24</v>
      </c>
      <c r="M227" t="b">
        <v>0</v>
      </c>
      <c r="N227" t="b">
        <v>0</v>
      </c>
      <c r="O227" t="b">
        <v>0</v>
      </c>
      <c r="P227" t="b">
        <v>0</v>
      </c>
      <c r="Q227">
        <v>226</v>
      </c>
    </row>
    <row r="228" spans="1:17" x14ac:dyDescent="0.35">
      <c r="A228" s="4" t="s">
        <v>109</v>
      </c>
      <c r="B228" s="4" t="s">
        <v>134</v>
      </c>
      <c r="C228" s="4" t="s">
        <v>107</v>
      </c>
      <c r="D228" s="4" t="s">
        <v>880</v>
      </c>
      <c r="E228" s="4" t="s">
        <v>110</v>
      </c>
      <c r="F228" s="5">
        <v>44777</v>
      </c>
      <c r="G228" s="5">
        <v>44784</v>
      </c>
      <c r="H228" s="4" t="s">
        <v>70</v>
      </c>
      <c r="I228" s="4" t="s">
        <v>111</v>
      </c>
      <c r="J228" s="4" t="s">
        <v>112</v>
      </c>
      <c r="K228" s="5">
        <v>44812</v>
      </c>
      <c r="L228" s="4" t="s">
        <v>24</v>
      </c>
      <c r="M228" t="b">
        <v>0</v>
      </c>
      <c r="N228" t="b">
        <v>1</v>
      </c>
      <c r="O228" t="b">
        <v>0</v>
      </c>
      <c r="P228" t="b">
        <v>0</v>
      </c>
      <c r="Q228">
        <v>227</v>
      </c>
    </row>
    <row r="229" spans="1:17" x14ac:dyDescent="0.35">
      <c r="A229" s="4" t="s">
        <v>413</v>
      </c>
      <c r="B229" s="4" t="s">
        <v>134</v>
      </c>
      <c r="C229" s="4" t="s">
        <v>426</v>
      </c>
      <c r="D229" s="4" t="s">
        <v>941</v>
      </c>
      <c r="E229" s="4" t="s">
        <v>414</v>
      </c>
      <c r="F229" s="5">
        <v>44651</v>
      </c>
      <c r="G229" s="5">
        <v>44655</v>
      </c>
      <c r="H229" s="4" t="s">
        <v>70</v>
      </c>
      <c r="I229" s="4" t="s">
        <v>91</v>
      </c>
      <c r="J229" s="4" t="s">
        <v>92</v>
      </c>
      <c r="K229" s="5">
        <v>44662</v>
      </c>
      <c r="L229" s="4" t="s">
        <v>24</v>
      </c>
      <c r="M229" t="b">
        <v>0</v>
      </c>
      <c r="N229" t="b">
        <v>1</v>
      </c>
      <c r="O229" t="b">
        <v>0</v>
      </c>
      <c r="P229" t="b">
        <v>0</v>
      </c>
      <c r="Q229">
        <v>228</v>
      </c>
    </row>
    <row r="230" spans="1:17" x14ac:dyDescent="0.35">
      <c r="A230" s="4" t="s">
        <v>122</v>
      </c>
      <c r="B230" s="4" t="s">
        <v>134</v>
      </c>
      <c r="C230" s="4" t="s">
        <v>107</v>
      </c>
      <c r="D230" s="4" t="s">
        <v>880</v>
      </c>
      <c r="E230" s="4" t="s">
        <v>123</v>
      </c>
      <c r="F230" s="5">
        <v>44776</v>
      </c>
      <c r="G230" s="5">
        <v>44789</v>
      </c>
      <c r="H230" s="4" t="s">
        <v>70</v>
      </c>
      <c r="I230" s="4" t="s">
        <v>111</v>
      </c>
      <c r="J230" s="4" t="s">
        <v>112</v>
      </c>
      <c r="K230" s="5">
        <v>44825</v>
      </c>
      <c r="L230" s="4" t="s">
        <v>24</v>
      </c>
      <c r="M230" t="b">
        <v>0</v>
      </c>
      <c r="N230" t="b">
        <v>1</v>
      </c>
      <c r="O230" t="b">
        <v>0</v>
      </c>
      <c r="P230" t="b">
        <v>0</v>
      </c>
      <c r="Q230">
        <v>229</v>
      </c>
    </row>
    <row r="231" spans="1:17" x14ac:dyDescent="0.35">
      <c r="A231" s="4" t="s">
        <v>273</v>
      </c>
      <c r="B231" s="4" t="s">
        <v>134</v>
      </c>
      <c r="C231" s="4" t="s">
        <v>107</v>
      </c>
      <c r="D231" s="4" t="s">
        <v>912</v>
      </c>
      <c r="E231" s="4" t="s">
        <v>274</v>
      </c>
      <c r="F231" s="5">
        <v>44676</v>
      </c>
      <c r="G231" s="5">
        <v>44679</v>
      </c>
      <c r="H231" s="4" t="s">
        <v>70</v>
      </c>
      <c r="I231" s="4" t="s">
        <v>34</v>
      </c>
      <c r="J231" s="4" t="s">
        <v>35</v>
      </c>
      <c r="K231" s="5">
        <v>44825</v>
      </c>
      <c r="L231" s="4" t="s">
        <v>24</v>
      </c>
      <c r="M231" t="b">
        <v>0</v>
      </c>
      <c r="N231" t="b">
        <v>1</v>
      </c>
      <c r="O231" t="b">
        <v>1</v>
      </c>
      <c r="P231" t="b">
        <v>0</v>
      </c>
      <c r="Q231">
        <v>230</v>
      </c>
    </row>
    <row r="232" spans="1:17" x14ac:dyDescent="0.35">
      <c r="A232" s="4" t="s">
        <v>251</v>
      </c>
      <c r="B232" s="4" t="s">
        <v>134</v>
      </c>
      <c r="C232" s="4" t="s">
        <v>107</v>
      </c>
      <c r="D232" s="4" t="s">
        <v>912</v>
      </c>
      <c r="E232" s="4" t="s">
        <v>252</v>
      </c>
      <c r="F232" s="5">
        <v>44690</v>
      </c>
      <c r="G232" s="5">
        <v>44693</v>
      </c>
      <c r="H232" s="4" t="s">
        <v>70</v>
      </c>
      <c r="I232" s="4" t="s">
        <v>34</v>
      </c>
      <c r="J232" s="4" t="s">
        <v>35</v>
      </c>
      <c r="K232" s="5">
        <v>44825</v>
      </c>
      <c r="L232" s="4" t="s">
        <v>24</v>
      </c>
      <c r="M232" t="b">
        <v>0</v>
      </c>
      <c r="N232" t="b">
        <v>0</v>
      </c>
      <c r="O232" t="b">
        <v>0</v>
      </c>
      <c r="P232" t="b">
        <v>0</v>
      </c>
      <c r="Q232">
        <v>231</v>
      </c>
    </row>
    <row r="233" spans="1:17" x14ac:dyDescent="0.35">
      <c r="A233" s="4" t="s">
        <v>279</v>
      </c>
      <c r="B233" s="4" t="s">
        <v>134</v>
      </c>
      <c r="C233" s="4" t="s">
        <v>107</v>
      </c>
      <c r="D233" s="4" t="s">
        <v>919</v>
      </c>
      <c r="E233" s="4" t="s">
        <v>280</v>
      </c>
      <c r="F233" s="5">
        <v>44672</v>
      </c>
      <c r="G233" s="5">
        <v>44673</v>
      </c>
      <c r="H233" s="4" t="s">
        <v>70</v>
      </c>
      <c r="I233" s="4" t="s">
        <v>161</v>
      </c>
      <c r="J233" s="4" t="s">
        <v>162</v>
      </c>
      <c r="K233" s="5">
        <v>44799</v>
      </c>
      <c r="L233" s="4" t="s">
        <v>24</v>
      </c>
      <c r="M233" t="b">
        <v>0</v>
      </c>
      <c r="N233" t="b">
        <v>1</v>
      </c>
      <c r="O233" t="b">
        <v>0</v>
      </c>
      <c r="P233" t="b">
        <v>0</v>
      </c>
      <c r="Q233">
        <v>232</v>
      </c>
    </row>
    <row r="234" spans="1:17" x14ac:dyDescent="0.35">
      <c r="A234" s="4" t="s">
        <v>133</v>
      </c>
      <c r="B234" s="4" t="s">
        <v>134</v>
      </c>
      <c r="C234" s="4" t="s">
        <v>107</v>
      </c>
      <c r="D234" s="4" t="s">
        <v>885</v>
      </c>
      <c r="E234" s="4" t="s">
        <v>135</v>
      </c>
      <c r="F234" s="5">
        <v>44776</v>
      </c>
      <c r="G234" s="5">
        <v>44788</v>
      </c>
      <c r="H234" s="4" t="s">
        <v>70</v>
      </c>
      <c r="I234" s="4" t="s">
        <v>22</v>
      </c>
      <c r="J234" s="4" t="s">
        <v>130</v>
      </c>
      <c r="K234" s="5">
        <v>44790</v>
      </c>
      <c r="L234" s="4" t="s">
        <v>24</v>
      </c>
      <c r="M234" t="b">
        <v>0</v>
      </c>
      <c r="N234" t="b">
        <v>1</v>
      </c>
      <c r="O234" t="b">
        <v>1</v>
      </c>
      <c r="P234" t="b">
        <v>0</v>
      </c>
      <c r="Q234">
        <v>233</v>
      </c>
    </row>
    <row r="235" spans="1:17" x14ac:dyDescent="0.35">
      <c r="A235" s="4" t="s">
        <v>275</v>
      </c>
      <c r="B235" s="4" t="s">
        <v>134</v>
      </c>
      <c r="C235" s="4" t="s">
        <v>107</v>
      </c>
      <c r="D235" s="4" t="s">
        <v>917</v>
      </c>
      <c r="E235" s="4" t="s">
        <v>276</v>
      </c>
      <c r="F235" s="5">
        <v>44676</v>
      </c>
      <c r="G235" s="5">
        <v>44678</v>
      </c>
      <c r="H235" s="4" t="s">
        <v>70</v>
      </c>
      <c r="I235" s="4" t="s">
        <v>22</v>
      </c>
      <c r="J235" s="4" t="s">
        <v>130</v>
      </c>
      <c r="K235" s="5">
        <v>44817</v>
      </c>
      <c r="L235" s="4" t="s">
        <v>24</v>
      </c>
      <c r="M235" t="b">
        <v>0</v>
      </c>
      <c r="N235" t="b">
        <v>1</v>
      </c>
      <c r="O235" t="b">
        <v>0</v>
      </c>
      <c r="P235" t="b">
        <v>0</v>
      </c>
      <c r="Q235">
        <v>234</v>
      </c>
    </row>
    <row r="236" spans="1:17" x14ac:dyDescent="0.35">
      <c r="A236" s="4" t="s">
        <v>351</v>
      </c>
      <c r="B236" s="4" t="s">
        <v>134</v>
      </c>
      <c r="C236" s="4" t="s">
        <v>107</v>
      </c>
      <c r="D236" s="4" t="s">
        <v>893</v>
      </c>
      <c r="E236" s="4" t="s">
        <v>352</v>
      </c>
      <c r="F236" s="5">
        <v>44662</v>
      </c>
      <c r="G236" s="5">
        <v>44669</v>
      </c>
      <c r="H236" s="4" t="s">
        <v>70</v>
      </c>
      <c r="I236" s="4" t="s">
        <v>51</v>
      </c>
      <c r="J236" s="4" t="s">
        <v>52</v>
      </c>
      <c r="K236" s="5">
        <v>44817</v>
      </c>
      <c r="L236" s="4" t="s">
        <v>24</v>
      </c>
      <c r="M236" t="b">
        <v>0</v>
      </c>
      <c r="N236" t="b">
        <v>1</v>
      </c>
      <c r="O236" t="b">
        <v>1</v>
      </c>
      <c r="P236" t="b">
        <v>0</v>
      </c>
      <c r="Q236">
        <v>235</v>
      </c>
    </row>
    <row r="237" spans="1:17" x14ac:dyDescent="0.35">
      <c r="A237" s="4" t="s">
        <v>407</v>
      </c>
      <c r="B237" s="4" t="s">
        <v>134</v>
      </c>
      <c r="C237" s="4" t="s">
        <v>107</v>
      </c>
      <c r="D237" s="4" t="s">
        <v>949</v>
      </c>
      <c r="E237" s="4" t="s">
        <v>408</v>
      </c>
      <c r="F237" s="5">
        <v>44651</v>
      </c>
      <c r="G237" s="5">
        <v>44658</v>
      </c>
      <c r="H237" s="4" t="s">
        <v>70</v>
      </c>
      <c r="I237" s="4" t="s">
        <v>22</v>
      </c>
      <c r="J237" s="4" t="s">
        <v>130</v>
      </c>
      <c r="K237" s="5">
        <v>44664</v>
      </c>
      <c r="L237" s="4" t="s">
        <v>24</v>
      </c>
      <c r="M237" t="b">
        <v>0</v>
      </c>
      <c r="N237" t="b">
        <v>1</v>
      </c>
      <c r="O237" t="b">
        <v>0</v>
      </c>
      <c r="P237" t="b">
        <v>0</v>
      </c>
      <c r="Q237">
        <v>236</v>
      </c>
    </row>
    <row r="238" spans="1:17" x14ac:dyDescent="0.35">
      <c r="A238" s="4" t="s">
        <v>230</v>
      </c>
      <c r="B238" s="4" t="s">
        <v>134</v>
      </c>
      <c r="C238" s="4" t="s">
        <v>228</v>
      </c>
      <c r="D238" s="4" t="s">
        <v>907</v>
      </c>
      <c r="E238" s="4" t="s">
        <v>231</v>
      </c>
      <c r="F238" s="5">
        <v>44693</v>
      </c>
      <c r="G238" s="5">
        <v>44694</v>
      </c>
      <c r="H238" s="4" t="s">
        <v>70</v>
      </c>
      <c r="I238" s="4" t="s">
        <v>91</v>
      </c>
      <c r="J238" s="4" t="s">
        <v>184</v>
      </c>
      <c r="K238" s="5">
        <v>44699</v>
      </c>
      <c r="L238" s="4" t="s">
        <v>24</v>
      </c>
      <c r="M238" t="b">
        <v>0</v>
      </c>
      <c r="N238" t="b">
        <v>1</v>
      </c>
      <c r="O238" t="b">
        <v>0</v>
      </c>
      <c r="P238" t="b">
        <v>0</v>
      </c>
      <c r="Q238">
        <v>237</v>
      </c>
    </row>
    <row r="239" spans="1:17" x14ac:dyDescent="0.35">
      <c r="A239" s="4" t="s">
        <v>253</v>
      </c>
      <c r="B239" s="4" t="s">
        <v>134</v>
      </c>
      <c r="C239" s="4" t="s">
        <v>107</v>
      </c>
      <c r="D239" s="4"/>
      <c r="E239" s="4" t="s">
        <v>254</v>
      </c>
      <c r="F239" s="5">
        <v>44687</v>
      </c>
      <c r="G239" s="5">
        <v>44694</v>
      </c>
      <c r="H239" s="4" t="s">
        <v>70</v>
      </c>
      <c r="I239" s="4" t="s">
        <v>34</v>
      </c>
      <c r="J239" s="4" t="s">
        <v>117</v>
      </c>
      <c r="K239" s="5">
        <v>44805</v>
      </c>
      <c r="L239" s="4" t="s">
        <v>24</v>
      </c>
      <c r="M239" t="b">
        <v>0</v>
      </c>
      <c r="N239" t="b">
        <v>1</v>
      </c>
      <c r="O239" t="b">
        <v>0</v>
      </c>
      <c r="P239" t="b">
        <v>0</v>
      </c>
      <c r="Q239">
        <v>238</v>
      </c>
    </row>
    <row r="240" spans="1:17" x14ac:dyDescent="0.35">
      <c r="A240" s="4" t="s">
        <v>315</v>
      </c>
      <c r="B240" s="4" t="s">
        <v>134</v>
      </c>
      <c r="C240" s="4" t="s">
        <v>107</v>
      </c>
      <c r="D240" s="4"/>
      <c r="E240" s="4" t="s">
        <v>316</v>
      </c>
      <c r="F240" s="5">
        <v>44664</v>
      </c>
      <c r="G240" s="5">
        <v>44665</v>
      </c>
      <c r="H240" s="4" t="s">
        <v>70</v>
      </c>
      <c r="I240" s="4" t="s">
        <v>28</v>
      </c>
      <c r="J240" s="4" t="s">
        <v>29</v>
      </c>
      <c r="K240" s="5">
        <v>44683</v>
      </c>
      <c r="L240" s="4" t="s">
        <v>24</v>
      </c>
      <c r="M240" t="b">
        <v>0</v>
      </c>
      <c r="N240" t="b">
        <v>1</v>
      </c>
      <c r="O240" t="b">
        <v>0</v>
      </c>
      <c r="P240" t="b">
        <v>0</v>
      </c>
      <c r="Q240">
        <v>239</v>
      </c>
    </row>
    <row r="241" spans="1:17" x14ac:dyDescent="0.35">
      <c r="A241" s="4" t="s">
        <v>295</v>
      </c>
      <c r="B241" s="4" t="s">
        <v>134</v>
      </c>
      <c r="C241" s="4" t="s">
        <v>107</v>
      </c>
      <c r="D241" s="4"/>
      <c r="E241" s="4" t="s">
        <v>296</v>
      </c>
      <c r="F241" s="5">
        <v>44670</v>
      </c>
      <c r="G241" s="5">
        <v>44670</v>
      </c>
      <c r="H241" s="4" t="s">
        <v>70</v>
      </c>
      <c r="I241" s="4" t="s">
        <v>22</v>
      </c>
      <c r="J241" s="4" t="s">
        <v>130</v>
      </c>
      <c r="K241" s="5">
        <v>44810</v>
      </c>
      <c r="L241" s="4" t="s">
        <v>24</v>
      </c>
      <c r="M241" t="b">
        <v>0</v>
      </c>
      <c r="N241" t="b">
        <v>1</v>
      </c>
      <c r="O241" t="b">
        <v>0</v>
      </c>
      <c r="P241" t="b">
        <v>0</v>
      </c>
      <c r="Q241">
        <v>240</v>
      </c>
    </row>
    <row r="242" spans="1:17" x14ac:dyDescent="0.35">
      <c r="A242" s="4" t="s">
        <v>386</v>
      </c>
      <c r="B242" s="4" t="s">
        <v>134</v>
      </c>
      <c r="C242" s="4" t="s">
        <v>66</v>
      </c>
      <c r="D242" s="4"/>
      <c r="E242" s="4" t="s">
        <v>387</v>
      </c>
      <c r="F242" s="5">
        <v>44652</v>
      </c>
      <c r="G242" s="5">
        <v>44659</v>
      </c>
      <c r="H242" s="4" t="s">
        <v>70</v>
      </c>
      <c r="I242" s="4" t="s">
        <v>44</v>
      </c>
      <c r="J242" s="4" t="s">
        <v>45</v>
      </c>
      <c r="K242" s="5">
        <v>44666</v>
      </c>
      <c r="L242" s="4" t="s">
        <v>24</v>
      </c>
      <c r="M242" t="b">
        <v>0</v>
      </c>
      <c r="N242" t="b">
        <v>1</v>
      </c>
      <c r="O242" t="b">
        <v>1</v>
      </c>
      <c r="P242" t="b">
        <v>0</v>
      </c>
      <c r="Q242">
        <v>241</v>
      </c>
    </row>
    <row r="243" spans="1:17" x14ac:dyDescent="0.35">
      <c r="A243" s="4" t="s">
        <v>227</v>
      </c>
      <c r="B243" s="4" t="s">
        <v>134</v>
      </c>
      <c r="C243" s="4" t="s">
        <v>228</v>
      </c>
      <c r="D243" s="4"/>
      <c r="E243" s="4" t="s">
        <v>229</v>
      </c>
      <c r="F243" s="5">
        <v>44694</v>
      </c>
      <c r="G243" s="5">
        <v>44701</v>
      </c>
      <c r="H243" s="4" t="s">
        <v>70</v>
      </c>
      <c r="I243" s="4" t="s">
        <v>44</v>
      </c>
      <c r="J243" s="4" t="s">
        <v>45</v>
      </c>
      <c r="K243" s="5">
        <v>44817</v>
      </c>
      <c r="L243" s="4" t="s">
        <v>24</v>
      </c>
      <c r="M243" t="b">
        <v>0</v>
      </c>
      <c r="N243" t="b">
        <v>1</v>
      </c>
      <c r="O243" t="b">
        <v>1</v>
      </c>
      <c r="P243" t="b">
        <v>0</v>
      </c>
      <c r="Q243">
        <v>242</v>
      </c>
    </row>
    <row r="244" spans="1:17" x14ac:dyDescent="0.35">
      <c r="A244" s="4" t="s">
        <v>225</v>
      </c>
      <c r="B244" s="4" t="s">
        <v>134</v>
      </c>
      <c r="C244" s="4" t="s">
        <v>66</v>
      </c>
      <c r="D244" s="4"/>
      <c r="E244" s="4" t="s">
        <v>226</v>
      </c>
      <c r="F244" s="5">
        <v>44694</v>
      </c>
      <c r="G244" s="5">
        <v>44701</v>
      </c>
      <c r="H244" s="4" t="s">
        <v>70</v>
      </c>
      <c r="I244" s="4" t="s">
        <v>44</v>
      </c>
      <c r="J244" s="4" t="s">
        <v>45</v>
      </c>
      <c r="K244" s="5">
        <v>44817</v>
      </c>
      <c r="L244" s="4" t="s">
        <v>24</v>
      </c>
      <c r="M244" t="b">
        <v>0</v>
      </c>
      <c r="N244" t="b">
        <v>1</v>
      </c>
      <c r="O244" t="b">
        <v>0</v>
      </c>
      <c r="P244" t="b">
        <v>0</v>
      </c>
      <c r="Q244">
        <v>243</v>
      </c>
    </row>
    <row r="245" spans="1:17" x14ac:dyDescent="0.35">
      <c r="A245" s="4" t="s">
        <v>293</v>
      </c>
      <c r="B245" s="4" t="s">
        <v>134</v>
      </c>
      <c r="C245" s="4" t="s">
        <v>66</v>
      </c>
      <c r="D245" s="4"/>
      <c r="E245" s="4" t="s">
        <v>294</v>
      </c>
      <c r="F245" s="5">
        <v>44670</v>
      </c>
      <c r="G245" s="5">
        <v>44677</v>
      </c>
      <c r="H245" s="4" t="s">
        <v>70</v>
      </c>
      <c r="I245" s="4" t="s">
        <v>28</v>
      </c>
      <c r="J245" s="4" t="s">
        <v>29</v>
      </c>
      <c r="K245" s="5">
        <v>44817</v>
      </c>
      <c r="L245" s="4" t="s">
        <v>24</v>
      </c>
      <c r="M245" t="b">
        <v>0</v>
      </c>
      <c r="N245" t="b">
        <v>1</v>
      </c>
      <c r="O245" t="b">
        <v>0</v>
      </c>
      <c r="P245" t="b">
        <v>0</v>
      </c>
      <c r="Q245">
        <v>244</v>
      </c>
    </row>
    <row r="246" spans="1:17" x14ac:dyDescent="0.35">
      <c r="A246" s="4" t="s">
        <v>405</v>
      </c>
      <c r="B246" s="4" t="s">
        <v>134</v>
      </c>
      <c r="C246" s="4" t="s">
        <v>228</v>
      </c>
      <c r="D246" s="4"/>
      <c r="E246" s="4" t="s">
        <v>406</v>
      </c>
      <c r="F246" s="5">
        <v>44651</v>
      </c>
      <c r="G246" s="5">
        <v>44658</v>
      </c>
      <c r="H246" s="4" t="s">
        <v>70</v>
      </c>
      <c r="I246" s="4" t="s">
        <v>195</v>
      </c>
      <c r="J246" s="4" t="s">
        <v>196</v>
      </c>
      <c r="K246" s="5">
        <v>44659</v>
      </c>
      <c r="L246" s="4" t="s">
        <v>24</v>
      </c>
      <c r="M246" t="b">
        <v>0</v>
      </c>
      <c r="N246" t="b">
        <v>1</v>
      </c>
      <c r="O246" t="b">
        <v>0</v>
      </c>
      <c r="P246" t="b">
        <v>0</v>
      </c>
      <c r="Q246">
        <v>245</v>
      </c>
    </row>
    <row r="247" spans="1:17" x14ac:dyDescent="0.35">
      <c r="A247" s="4" t="s">
        <v>237</v>
      </c>
      <c r="B247" s="4" t="s">
        <v>134</v>
      </c>
      <c r="C247" s="4" t="s">
        <v>107</v>
      </c>
      <c r="D247" s="4" t="s">
        <v>885</v>
      </c>
      <c r="E247" s="4" t="s">
        <v>238</v>
      </c>
      <c r="F247" s="5">
        <v>44692</v>
      </c>
      <c r="G247" s="5">
        <v>44695</v>
      </c>
      <c r="H247" s="4" t="s">
        <v>70</v>
      </c>
      <c r="I247" s="4" t="s">
        <v>34</v>
      </c>
      <c r="J247" s="4" t="s">
        <v>35</v>
      </c>
      <c r="K247" s="5">
        <v>44728</v>
      </c>
      <c r="L247" s="4" t="s">
        <v>24</v>
      </c>
      <c r="M247" t="b">
        <v>0</v>
      </c>
      <c r="N247" t="b">
        <v>1</v>
      </c>
      <c r="O247" t="b">
        <v>0</v>
      </c>
      <c r="P247" t="b">
        <v>0</v>
      </c>
      <c r="Q247">
        <v>246</v>
      </c>
    </row>
    <row r="248" spans="1:17" x14ac:dyDescent="0.35">
      <c r="A248" s="4" t="s">
        <v>209</v>
      </c>
      <c r="B248" s="4" t="s">
        <v>134</v>
      </c>
      <c r="C248" s="4" t="s">
        <v>107</v>
      </c>
      <c r="D248" s="4" t="s">
        <v>904</v>
      </c>
      <c r="E248" s="4" t="s">
        <v>210</v>
      </c>
      <c r="F248" s="5">
        <v>44705</v>
      </c>
      <c r="G248" s="5">
        <v>44705</v>
      </c>
      <c r="H248" s="4" t="s">
        <v>70</v>
      </c>
      <c r="I248" s="4" t="s">
        <v>34</v>
      </c>
      <c r="J248" s="4" t="s">
        <v>117</v>
      </c>
      <c r="K248" s="5">
        <v>44754</v>
      </c>
      <c r="L248" s="4" t="s">
        <v>24</v>
      </c>
      <c r="M248" t="b">
        <v>0</v>
      </c>
      <c r="N248" t="b">
        <v>1</v>
      </c>
      <c r="O248" t="b">
        <v>0</v>
      </c>
      <c r="P248" t="b">
        <v>0</v>
      </c>
      <c r="Q248">
        <v>247</v>
      </c>
    </row>
    <row r="249" spans="1:17" x14ac:dyDescent="0.35">
      <c r="A249" s="4" t="s">
        <v>326</v>
      </c>
      <c r="B249" s="4" t="s">
        <v>134</v>
      </c>
      <c r="C249" s="4" t="s">
        <v>107</v>
      </c>
      <c r="D249" s="4" t="s">
        <v>932</v>
      </c>
      <c r="E249" s="4" t="s">
        <v>327</v>
      </c>
      <c r="F249" s="5">
        <v>44664</v>
      </c>
      <c r="G249" s="5">
        <v>44692</v>
      </c>
      <c r="H249" s="4" t="s">
        <v>70</v>
      </c>
      <c r="I249" s="4" t="s">
        <v>111</v>
      </c>
      <c r="J249" s="4" t="s">
        <v>112</v>
      </c>
      <c r="K249" s="5">
        <v>44754</v>
      </c>
      <c r="L249" s="4" t="s">
        <v>24</v>
      </c>
      <c r="M249" t="b">
        <v>0</v>
      </c>
      <c r="N249" t="b">
        <v>1</v>
      </c>
      <c r="O249" t="b">
        <v>0</v>
      </c>
      <c r="P249" t="b">
        <v>0</v>
      </c>
      <c r="Q249">
        <v>248</v>
      </c>
    </row>
    <row r="250" spans="1:17" x14ac:dyDescent="0.35">
      <c r="A250" s="4" t="s">
        <v>411</v>
      </c>
      <c r="B250" s="4" t="s">
        <v>134</v>
      </c>
      <c r="C250" s="4" t="s">
        <v>107</v>
      </c>
      <c r="D250" s="4" t="s">
        <v>932</v>
      </c>
      <c r="E250" s="4" t="s">
        <v>412</v>
      </c>
      <c r="F250" s="5">
        <v>44651</v>
      </c>
      <c r="G250" s="5">
        <v>44652</v>
      </c>
      <c r="H250" s="4" t="s">
        <v>70</v>
      </c>
      <c r="I250" s="4" t="s">
        <v>22</v>
      </c>
      <c r="J250" s="4" t="s">
        <v>130</v>
      </c>
      <c r="K250" s="5">
        <v>44754</v>
      </c>
      <c r="L250" s="4" t="s">
        <v>24</v>
      </c>
      <c r="M250" t="b">
        <v>0</v>
      </c>
      <c r="N250" t="b">
        <v>1</v>
      </c>
      <c r="O250" t="b">
        <v>0</v>
      </c>
      <c r="P250" t="b">
        <v>0</v>
      </c>
      <c r="Q250">
        <v>249</v>
      </c>
    </row>
    <row r="251" spans="1:17" x14ac:dyDescent="0.35">
      <c r="A251" s="4" t="s">
        <v>199</v>
      </c>
      <c r="B251" s="4" t="s">
        <v>134</v>
      </c>
      <c r="C251" s="4" t="s">
        <v>107</v>
      </c>
      <c r="D251" s="4" t="s">
        <v>901</v>
      </c>
      <c r="E251" s="4" t="s">
        <v>200</v>
      </c>
      <c r="F251" s="5">
        <v>44727</v>
      </c>
      <c r="G251" s="5">
        <v>44732</v>
      </c>
      <c r="H251" s="4" t="s">
        <v>70</v>
      </c>
      <c r="I251" s="4" t="s">
        <v>57</v>
      </c>
      <c r="J251" s="4" t="s">
        <v>58</v>
      </c>
      <c r="K251" s="5">
        <v>44754</v>
      </c>
      <c r="L251" s="4" t="s">
        <v>24</v>
      </c>
      <c r="M251" t="b">
        <v>0</v>
      </c>
      <c r="N251" t="b">
        <v>1</v>
      </c>
      <c r="O251" t="b">
        <v>0</v>
      </c>
      <c r="P251" t="b">
        <v>0</v>
      </c>
      <c r="Q251">
        <v>250</v>
      </c>
    </row>
    <row r="252" spans="1:17" x14ac:dyDescent="0.35">
      <c r="A252" s="4" t="s">
        <v>203</v>
      </c>
      <c r="B252" s="4" t="s">
        <v>134</v>
      </c>
      <c r="C252" s="4" t="s">
        <v>107</v>
      </c>
      <c r="D252" s="4" t="s">
        <v>902</v>
      </c>
      <c r="E252" s="4" t="s">
        <v>204</v>
      </c>
      <c r="F252" s="5">
        <v>44718</v>
      </c>
      <c r="G252" s="5">
        <v>44720</v>
      </c>
      <c r="H252" s="4" t="s">
        <v>70</v>
      </c>
      <c r="I252" s="4" t="s">
        <v>51</v>
      </c>
      <c r="J252" s="4" t="s">
        <v>52</v>
      </c>
      <c r="K252" s="5">
        <v>44754</v>
      </c>
      <c r="L252" s="4" t="s">
        <v>24</v>
      </c>
      <c r="M252" t="b">
        <v>0</v>
      </c>
      <c r="N252" t="b">
        <v>1</v>
      </c>
      <c r="O252" t="b">
        <v>0</v>
      </c>
      <c r="P252" t="b">
        <v>0</v>
      </c>
      <c r="Q252">
        <v>251</v>
      </c>
    </row>
    <row r="253" spans="1:17" x14ac:dyDescent="0.35">
      <c r="A253" s="4" t="s">
        <v>269</v>
      </c>
      <c r="B253" s="4" t="s">
        <v>134</v>
      </c>
      <c r="C253" s="4" t="s">
        <v>107</v>
      </c>
      <c r="D253" s="4" t="s">
        <v>916</v>
      </c>
      <c r="E253" s="4" t="s">
        <v>270</v>
      </c>
      <c r="F253" s="5">
        <v>44677</v>
      </c>
      <c r="G253" s="5">
        <v>44679</v>
      </c>
      <c r="H253" s="4" t="s">
        <v>70</v>
      </c>
      <c r="I253" s="4" t="s">
        <v>111</v>
      </c>
      <c r="J253" s="4" t="s">
        <v>112</v>
      </c>
      <c r="K253" s="5">
        <v>44754</v>
      </c>
      <c r="L253" s="4" t="s">
        <v>24</v>
      </c>
      <c r="M253" t="b">
        <v>0</v>
      </c>
      <c r="N253" t="b">
        <v>0</v>
      </c>
      <c r="O253" t="b">
        <v>0</v>
      </c>
      <c r="P253" t="b">
        <v>0</v>
      </c>
      <c r="Q253">
        <v>252</v>
      </c>
    </row>
    <row r="254" spans="1:17" x14ac:dyDescent="0.35">
      <c r="A254" s="4" t="s">
        <v>169</v>
      </c>
      <c r="B254" s="4" t="s">
        <v>134</v>
      </c>
      <c r="C254" s="4" t="s">
        <v>107</v>
      </c>
      <c r="D254" s="4" t="s">
        <v>894</v>
      </c>
      <c r="E254" s="4" t="s">
        <v>170</v>
      </c>
      <c r="F254" s="5">
        <v>44768</v>
      </c>
      <c r="G254" s="5">
        <v>44764</v>
      </c>
      <c r="H254" s="4" t="s">
        <v>70</v>
      </c>
      <c r="I254" s="4" t="s">
        <v>34</v>
      </c>
      <c r="J254" s="4" t="s">
        <v>117</v>
      </c>
      <c r="K254" s="5">
        <v>44768</v>
      </c>
      <c r="L254" s="4" t="s">
        <v>24</v>
      </c>
      <c r="M254" t="b">
        <v>0</v>
      </c>
      <c r="N254" t="b">
        <v>0</v>
      </c>
      <c r="O254" t="b">
        <v>0</v>
      </c>
      <c r="P254" t="b">
        <v>0</v>
      </c>
      <c r="Q254">
        <v>253</v>
      </c>
    </row>
    <row r="255" spans="1:17" x14ac:dyDescent="0.35">
      <c r="A255" s="4" t="s">
        <v>287</v>
      </c>
      <c r="B255" s="4" t="s">
        <v>134</v>
      </c>
      <c r="C255" s="4" t="s">
        <v>107</v>
      </c>
      <c r="D255" s="4" t="s">
        <v>922</v>
      </c>
      <c r="E255" s="4" t="s">
        <v>288</v>
      </c>
      <c r="F255" s="5">
        <v>44670</v>
      </c>
      <c r="G255" s="5">
        <v>44671</v>
      </c>
      <c r="H255" s="4" t="s">
        <v>70</v>
      </c>
      <c r="I255" s="4" t="s">
        <v>28</v>
      </c>
      <c r="J255" s="4" t="s">
        <v>29</v>
      </c>
      <c r="K255" s="5">
        <v>44683</v>
      </c>
      <c r="L255" s="4" t="s">
        <v>24</v>
      </c>
      <c r="M255" t="b">
        <v>0</v>
      </c>
      <c r="N255" t="b">
        <v>1</v>
      </c>
      <c r="O255" t="b">
        <v>0</v>
      </c>
      <c r="P255" t="b">
        <v>0</v>
      </c>
      <c r="Q255">
        <v>254</v>
      </c>
    </row>
    <row r="256" spans="1:17" x14ac:dyDescent="0.35">
      <c r="A256" s="4" t="s">
        <v>259</v>
      </c>
      <c r="B256" s="4" t="s">
        <v>134</v>
      </c>
      <c r="C256" s="4" t="s">
        <v>107</v>
      </c>
      <c r="D256" s="4" t="s">
        <v>913</v>
      </c>
      <c r="E256" s="4" t="s">
        <v>260</v>
      </c>
      <c r="F256" s="5">
        <v>44678</v>
      </c>
      <c r="G256" s="5">
        <v>44679</v>
      </c>
      <c r="H256" s="4" t="s">
        <v>70</v>
      </c>
      <c r="I256" s="4" t="s">
        <v>28</v>
      </c>
      <c r="J256" s="4" t="s">
        <v>29</v>
      </c>
      <c r="K256" s="5">
        <v>44683</v>
      </c>
      <c r="L256" s="4" t="s">
        <v>24</v>
      </c>
      <c r="M256" t="b">
        <v>0</v>
      </c>
      <c r="N256" t="b">
        <v>0</v>
      </c>
      <c r="O256" t="b">
        <v>0</v>
      </c>
      <c r="P256" t="b">
        <v>0</v>
      </c>
      <c r="Q256">
        <v>255</v>
      </c>
    </row>
    <row r="257" spans="1:17" x14ac:dyDescent="0.35">
      <c r="A257" s="4" t="s">
        <v>388</v>
      </c>
      <c r="B257" s="4" t="s">
        <v>134</v>
      </c>
      <c r="C257" s="4" t="s">
        <v>107</v>
      </c>
      <c r="D257" s="4" t="s">
        <v>912</v>
      </c>
      <c r="E257" s="4" t="s">
        <v>389</v>
      </c>
      <c r="F257" s="5">
        <v>44652</v>
      </c>
      <c r="G257" s="5">
        <v>44659</v>
      </c>
      <c r="H257" s="4" t="s">
        <v>70</v>
      </c>
      <c r="I257" s="4" t="s">
        <v>28</v>
      </c>
      <c r="J257" s="4" t="s">
        <v>29</v>
      </c>
      <c r="K257" s="5">
        <v>44687</v>
      </c>
      <c r="L257" s="4" t="s">
        <v>24</v>
      </c>
      <c r="M257" t="b">
        <v>0</v>
      </c>
      <c r="N257" t="b">
        <v>1</v>
      </c>
      <c r="O257" t="b">
        <v>0</v>
      </c>
      <c r="P257" t="b">
        <v>0</v>
      </c>
      <c r="Q257">
        <v>256</v>
      </c>
    </row>
    <row r="258" spans="1:17" x14ac:dyDescent="0.35">
      <c r="A258" s="4" t="s">
        <v>401</v>
      </c>
      <c r="B258" s="4" t="s">
        <v>134</v>
      </c>
      <c r="C258" s="4" t="s">
        <v>107</v>
      </c>
      <c r="D258" s="4" t="s">
        <v>911</v>
      </c>
      <c r="E258" s="4" t="s">
        <v>402</v>
      </c>
      <c r="F258" s="5">
        <v>44651</v>
      </c>
      <c r="G258" s="5">
        <v>44662</v>
      </c>
      <c r="H258" s="4" t="s">
        <v>70</v>
      </c>
      <c r="I258" s="4" t="s">
        <v>22</v>
      </c>
      <c r="J258" s="4" t="s">
        <v>130</v>
      </c>
      <c r="K258" s="5">
        <v>44687</v>
      </c>
      <c r="L258" s="4" t="s">
        <v>24</v>
      </c>
      <c r="M258" t="b">
        <v>0</v>
      </c>
      <c r="N258" t="b">
        <v>1</v>
      </c>
      <c r="O258" t="b">
        <v>0</v>
      </c>
      <c r="P258" t="b">
        <v>0</v>
      </c>
      <c r="Q258">
        <v>257</v>
      </c>
    </row>
    <row r="259" spans="1:17" x14ac:dyDescent="0.35">
      <c r="A259" s="4" t="s">
        <v>338</v>
      </c>
      <c r="B259" s="4" t="s">
        <v>134</v>
      </c>
      <c r="C259" s="4" t="s">
        <v>107</v>
      </c>
      <c r="D259" s="4" t="s">
        <v>937</v>
      </c>
      <c r="E259" s="4" t="s">
        <v>339</v>
      </c>
      <c r="F259" s="5">
        <v>44663</v>
      </c>
      <c r="G259" s="5">
        <v>44663</v>
      </c>
      <c r="H259" s="4" t="s">
        <v>70</v>
      </c>
      <c r="I259" s="4" t="s">
        <v>34</v>
      </c>
      <c r="J259" s="4" t="s">
        <v>117</v>
      </c>
      <c r="K259" s="5">
        <v>44691</v>
      </c>
      <c r="L259" s="4" t="s">
        <v>24</v>
      </c>
      <c r="M259" t="b">
        <v>0</v>
      </c>
      <c r="N259" t="b">
        <v>0</v>
      </c>
      <c r="O259" t="b">
        <v>0</v>
      </c>
      <c r="P259" t="b">
        <v>0</v>
      </c>
      <c r="Q259">
        <v>258</v>
      </c>
    </row>
    <row r="260" spans="1:17" x14ac:dyDescent="0.35">
      <c r="A260" s="4" t="s">
        <v>245</v>
      </c>
      <c r="B260" s="4" t="s">
        <v>134</v>
      </c>
      <c r="C260" s="4" t="s">
        <v>107</v>
      </c>
      <c r="D260" s="4" t="s">
        <v>904</v>
      </c>
      <c r="E260" s="4" t="s">
        <v>246</v>
      </c>
      <c r="F260" s="5">
        <v>44691</v>
      </c>
      <c r="G260" s="5">
        <v>44692</v>
      </c>
      <c r="H260" s="4" t="s">
        <v>70</v>
      </c>
      <c r="I260" s="4" t="s">
        <v>28</v>
      </c>
      <c r="J260" s="4" t="s">
        <v>29</v>
      </c>
      <c r="K260" s="5">
        <v>44692</v>
      </c>
      <c r="L260" s="4" t="s">
        <v>24</v>
      </c>
      <c r="M260" t="b">
        <v>0</v>
      </c>
      <c r="N260" t="b">
        <v>1</v>
      </c>
      <c r="O260" t="b">
        <v>0</v>
      </c>
      <c r="P260" t="b">
        <v>0</v>
      </c>
      <c r="Q260">
        <v>259</v>
      </c>
    </row>
    <row r="261" spans="1:17" x14ac:dyDescent="0.35">
      <c r="A261" s="4" t="s">
        <v>249</v>
      </c>
      <c r="B261" s="4" t="s">
        <v>134</v>
      </c>
      <c r="C261" s="4" t="s">
        <v>107</v>
      </c>
      <c r="D261" s="4" t="s">
        <v>911</v>
      </c>
      <c r="E261" s="4" t="s">
        <v>250</v>
      </c>
      <c r="F261" s="5">
        <v>44690</v>
      </c>
      <c r="G261" s="5">
        <v>44691</v>
      </c>
      <c r="H261" s="4" t="s">
        <v>70</v>
      </c>
      <c r="I261" s="4" t="s">
        <v>34</v>
      </c>
      <c r="J261" s="4" t="s">
        <v>117</v>
      </c>
      <c r="K261" s="5">
        <v>44692</v>
      </c>
      <c r="L261" s="4" t="s">
        <v>24</v>
      </c>
      <c r="M261" t="b">
        <v>0</v>
      </c>
      <c r="N261" t="b">
        <v>0</v>
      </c>
      <c r="O261" t="b">
        <v>0</v>
      </c>
      <c r="P261" t="b">
        <v>0</v>
      </c>
      <c r="Q261">
        <v>260</v>
      </c>
    </row>
    <row r="262" spans="1:17" x14ac:dyDescent="0.35">
      <c r="A262" s="4" t="s">
        <v>313</v>
      </c>
      <c r="B262" s="4" t="s">
        <v>134</v>
      </c>
      <c r="C262" s="4" t="s">
        <v>107</v>
      </c>
      <c r="D262" s="4" t="s">
        <v>927</v>
      </c>
      <c r="E262" s="4" t="s">
        <v>314</v>
      </c>
      <c r="F262" s="5">
        <v>44665</v>
      </c>
      <c r="G262" s="5">
        <v>44669</v>
      </c>
      <c r="H262" s="4" t="s">
        <v>70</v>
      </c>
      <c r="I262" s="4" t="s">
        <v>195</v>
      </c>
      <c r="J262" s="4" t="s">
        <v>196</v>
      </c>
      <c r="K262" s="5">
        <v>44693</v>
      </c>
      <c r="L262" s="4" t="s">
        <v>24</v>
      </c>
      <c r="M262" t="b">
        <v>0</v>
      </c>
      <c r="N262" t="b">
        <v>1</v>
      </c>
      <c r="O262" t="b">
        <v>1</v>
      </c>
      <c r="P262" t="b">
        <v>0</v>
      </c>
      <c r="Q262">
        <v>261</v>
      </c>
    </row>
    <row r="263" spans="1:17" x14ac:dyDescent="0.35">
      <c r="A263" s="4" t="s">
        <v>232</v>
      </c>
      <c r="B263" s="4" t="s">
        <v>89</v>
      </c>
      <c r="C263" s="4" t="s">
        <v>107</v>
      </c>
      <c r="D263" s="4"/>
      <c r="E263" s="4" t="s">
        <v>233</v>
      </c>
      <c r="F263" s="5">
        <v>44692</v>
      </c>
      <c r="G263" s="5">
        <v>44697</v>
      </c>
      <c r="H263" s="4" t="s">
        <v>70</v>
      </c>
      <c r="I263" s="4" t="s">
        <v>22</v>
      </c>
      <c r="J263" s="4" t="s">
        <v>130</v>
      </c>
      <c r="K263" s="5">
        <v>44797</v>
      </c>
      <c r="L263" s="4" t="s">
        <v>24</v>
      </c>
      <c r="M263" t="b">
        <v>1</v>
      </c>
      <c r="N263" t="b">
        <v>1</v>
      </c>
      <c r="O263" t="b">
        <v>0</v>
      </c>
      <c r="P263" t="b">
        <v>0</v>
      </c>
      <c r="Q263">
        <v>262</v>
      </c>
    </row>
    <row r="264" spans="1:17" x14ac:dyDescent="0.35">
      <c r="A264" s="4" t="s">
        <v>281</v>
      </c>
      <c r="B264" s="4" t="s">
        <v>89</v>
      </c>
      <c r="C264" s="4" t="s">
        <v>189</v>
      </c>
      <c r="D264" s="4" t="s">
        <v>920</v>
      </c>
      <c r="E264" s="4" t="s">
        <v>282</v>
      </c>
      <c r="F264" s="5">
        <v>44672</v>
      </c>
      <c r="G264" s="5">
        <v>44673</v>
      </c>
      <c r="H264" s="4" t="s">
        <v>70</v>
      </c>
      <c r="I264" s="4" t="s">
        <v>34</v>
      </c>
      <c r="J264" s="4" t="s">
        <v>35</v>
      </c>
      <c r="K264" s="5">
        <v>44699</v>
      </c>
      <c r="L264" s="4" t="s">
        <v>24</v>
      </c>
      <c r="M264" t="b">
        <v>1</v>
      </c>
      <c r="N264" t="b">
        <v>1</v>
      </c>
      <c r="O264" t="b">
        <v>0</v>
      </c>
      <c r="P264" t="b">
        <v>0</v>
      </c>
      <c r="Q264">
        <v>263</v>
      </c>
    </row>
    <row r="265" spans="1:17" x14ac:dyDescent="0.35">
      <c r="A265" s="4" t="s">
        <v>297</v>
      </c>
      <c r="B265" s="4" t="s">
        <v>89</v>
      </c>
      <c r="C265" s="4" t="s">
        <v>107</v>
      </c>
      <c r="D265" s="4" t="s">
        <v>894</v>
      </c>
      <c r="E265" s="4" t="s">
        <v>298</v>
      </c>
      <c r="F265" s="5">
        <v>44669</v>
      </c>
      <c r="G265" s="5">
        <v>44692</v>
      </c>
      <c r="H265" s="4" t="s">
        <v>70</v>
      </c>
      <c r="I265" s="4" t="s">
        <v>111</v>
      </c>
      <c r="J265" s="4" t="s">
        <v>112</v>
      </c>
      <c r="K265" s="5">
        <v>44699</v>
      </c>
      <c r="L265" s="4" t="s">
        <v>24</v>
      </c>
      <c r="M265" t="b">
        <v>1</v>
      </c>
      <c r="N265" t="b">
        <v>1</v>
      </c>
      <c r="O265" t="b">
        <v>0</v>
      </c>
      <c r="P265" t="b">
        <v>0</v>
      </c>
      <c r="Q265">
        <v>264</v>
      </c>
    </row>
    <row r="266" spans="1:17" x14ac:dyDescent="0.35">
      <c r="A266" s="4" t="s">
        <v>309</v>
      </c>
      <c r="B266" s="4" t="s">
        <v>134</v>
      </c>
      <c r="C266" s="4" t="s">
        <v>107</v>
      </c>
      <c r="D266" s="4" t="s">
        <v>904</v>
      </c>
      <c r="E266" s="4" t="s">
        <v>310</v>
      </c>
      <c r="F266" s="5">
        <v>44665</v>
      </c>
      <c r="G266" s="5">
        <v>44665</v>
      </c>
      <c r="H266" s="4" t="s">
        <v>70</v>
      </c>
      <c r="I266" s="4" t="s">
        <v>28</v>
      </c>
      <c r="J266" s="4" t="s">
        <v>29</v>
      </c>
      <c r="K266" s="5">
        <v>44672</v>
      </c>
      <c r="L266" s="4" t="s">
        <v>24</v>
      </c>
      <c r="M266" t="b">
        <v>0</v>
      </c>
      <c r="N266" t="b">
        <v>1</v>
      </c>
      <c r="O266" t="b">
        <v>0</v>
      </c>
      <c r="P266" t="b">
        <v>0</v>
      </c>
      <c r="Q266">
        <v>265</v>
      </c>
    </row>
    <row r="267" spans="1:17" x14ac:dyDescent="0.35">
      <c r="A267" s="4" t="s">
        <v>285</v>
      </c>
      <c r="B267" s="4" t="s">
        <v>134</v>
      </c>
      <c r="C267" s="4" t="s">
        <v>107</v>
      </c>
      <c r="D267" s="4" t="s">
        <v>922</v>
      </c>
      <c r="E267" s="4" t="s">
        <v>286</v>
      </c>
      <c r="F267" s="5">
        <v>44670</v>
      </c>
      <c r="G267" s="5">
        <v>44671</v>
      </c>
      <c r="H267" s="4" t="s">
        <v>70</v>
      </c>
      <c r="I267" s="4" t="s">
        <v>111</v>
      </c>
      <c r="J267" s="4" t="s">
        <v>112</v>
      </c>
      <c r="K267" s="5">
        <v>44672</v>
      </c>
      <c r="L267" s="4" t="s">
        <v>24</v>
      </c>
      <c r="M267" t="b">
        <v>0</v>
      </c>
      <c r="N267" t="b">
        <v>1</v>
      </c>
      <c r="O267" t="b">
        <v>0</v>
      </c>
      <c r="P267" t="b">
        <v>0</v>
      </c>
      <c r="Q267">
        <v>266</v>
      </c>
    </row>
    <row r="268" spans="1:17" x14ac:dyDescent="0.35">
      <c r="A268" s="4" t="s">
        <v>271</v>
      </c>
      <c r="B268" s="4" t="s">
        <v>134</v>
      </c>
      <c r="C268" s="4" t="s">
        <v>107</v>
      </c>
      <c r="D268" s="4" t="s">
        <v>904</v>
      </c>
      <c r="E268" s="4" t="s">
        <v>272</v>
      </c>
      <c r="F268" s="5">
        <v>44676</v>
      </c>
      <c r="G268" s="5">
        <v>44677</v>
      </c>
      <c r="H268" s="4" t="s">
        <v>70</v>
      </c>
      <c r="I268" s="4" t="s">
        <v>111</v>
      </c>
      <c r="J268" s="4" t="s">
        <v>112</v>
      </c>
      <c r="K268" s="5">
        <v>44705</v>
      </c>
      <c r="L268" s="4" t="s">
        <v>24</v>
      </c>
      <c r="M268" t="b">
        <v>0</v>
      </c>
      <c r="N268" t="b">
        <v>1</v>
      </c>
      <c r="O268" t="b">
        <v>0</v>
      </c>
      <c r="P268" t="b">
        <v>0</v>
      </c>
      <c r="Q268">
        <v>267</v>
      </c>
    </row>
    <row r="269" spans="1:17" x14ac:dyDescent="0.35">
      <c r="A269" s="4" t="s">
        <v>325</v>
      </c>
      <c r="B269" s="4" t="s">
        <v>134</v>
      </c>
      <c r="C269" s="4" t="s">
        <v>107</v>
      </c>
      <c r="D269" s="4" t="s">
        <v>931</v>
      </c>
      <c r="E269" s="4" t="s">
        <v>204</v>
      </c>
      <c r="F269" s="5">
        <v>44664</v>
      </c>
      <c r="G269" s="5">
        <v>44666</v>
      </c>
      <c r="H269" s="4" t="s">
        <v>70</v>
      </c>
      <c r="I269" s="4" t="s">
        <v>51</v>
      </c>
      <c r="J269" s="4" t="s">
        <v>52</v>
      </c>
      <c r="K269" s="5">
        <v>44705</v>
      </c>
      <c r="L269" s="4" t="s">
        <v>24</v>
      </c>
      <c r="M269" t="b">
        <v>0</v>
      </c>
      <c r="N269" t="b">
        <v>1</v>
      </c>
      <c r="O269" t="b">
        <v>0</v>
      </c>
      <c r="P269" t="b">
        <v>0</v>
      </c>
      <c r="Q269">
        <v>268</v>
      </c>
    </row>
    <row r="270" spans="1:17" x14ac:dyDescent="0.35">
      <c r="A270" s="4" t="s">
        <v>213</v>
      </c>
      <c r="B270" s="4" t="s">
        <v>134</v>
      </c>
      <c r="C270" s="4" t="s">
        <v>107</v>
      </c>
      <c r="D270" s="4" t="s">
        <v>866</v>
      </c>
      <c r="E270" s="4" t="s">
        <v>214</v>
      </c>
      <c r="F270" s="5">
        <v>44701</v>
      </c>
      <c r="G270" s="5">
        <v>44704</v>
      </c>
      <c r="H270" s="4" t="s">
        <v>70</v>
      </c>
      <c r="I270" s="4" t="s">
        <v>28</v>
      </c>
      <c r="J270" s="4" t="s">
        <v>29</v>
      </c>
      <c r="K270" s="5">
        <v>44804</v>
      </c>
      <c r="L270" s="4" t="s">
        <v>24</v>
      </c>
      <c r="M270" t="b">
        <v>0</v>
      </c>
      <c r="N270" t="b">
        <v>1</v>
      </c>
      <c r="O270" t="b">
        <v>0</v>
      </c>
      <c r="P270" t="b">
        <v>0</v>
      </c>
      <c r="Q270">
        <v>269</v>
      </c>
    </row>
    <row r="271" spans="1:17" x14ac:dyDescent="0.35">
      <c r="A271" s="4" t="s">
        <v>126</v>
      </c>
      <c r="B271" s="4" t="s">
        <v>134</v>
      </c>
      <c r="C271" s="4" t="s">
        <v>107</v>
      </c>
      <c r="D271" s="4" t="s">
        <v>871</v>
      </c>
      <c r="E271" s="4" t="s">
        <v>127</v>
      </c>
      <c r="F271" s="5">
        <v>44776</v>
      </c>
      <c r="G271" s="5">
        <v>44752</v>
      </c>
      <c r="H271" s="4" t="s">
        <v>70</v>
      </c>
      <c r="I271" s="4" t="s">
        <v>34</v>
      </c>
      <c r="J271" s="4" t="s">
        <v>117</v>
      </c>
      <c r="K271" s="5">
        <v>44812</v>
      </c>
      <c r="L271" s="4" t="s">
        <v>24</v>
      </c>
      <c r="M271" t="b">
        <v>0</v>
      </c>
      <c r="N271" t="b">
        <v>0</v>
      </c>
      <c r="O271" t="b">
        <v>0</v>
      </c>
      <c r="P271" t="b">
        <v>0</v>
      </c>
      <c r="Q271">
        <v>270</v>
      </c>
    </row>
    <row r="272" spans="1:17" x14ac:dyDescent="0.35">
      <c r="A272" s="4" t="s">
        <v>423</v>
      </c>
      <c r="B272" s="4" t="s">
        <v>134</v>
      </c>
      <c r="C272" s="4" t="s">
        <v>426</v>
      </c>
      <c r="D272" s="4" t="s">
        <v>941</v>
      </c>
      <c r="E272" s="4" t="s">
        <v>424</v>
      </c>
      <c r="F272" s="5">
        <v>44650</v>
      </c>
      <c r="G272" s="5">
        <v>44655</v>
      </c>
      <c r="H272" s="4" t="s">
        <v>70</v>
      </c>
      <c r="I272" s="4" t="s">
        <v>34</v>
      </c>
      <c r="J272" s="4" t="s">
        <v>35</v>
      </c>
      <c r="K272" s="5">
        <v>44662</v>
      </c>
      <c r="L272" s="4" t="s">
        <v>24</v>
      </c>
      <c r="M272" t="b">
        <v>0</v>
      </c>
      <c r="N272" t="b">
        <v>1</v>
      </c>
      <c r="O272" t="b">
        <v>0</v>
      </c>
      <c r="P272" t="b">
        <v>0</v>
      </c>
      <c r="Q272">
        <v>271</v>
      </c>
    </row>
    <row r="273" spans="1:17" x14ac:dyDescent="0.35">
      <c r="A273" s="4" t="s">
        <v>376</v>
      </c>
      <c r="B273" s="4" t="s">
        <v>134</v>
      </c>
      <c r="C273" s="4" t="s">
        <v>228</v>
      </c>
      <c r="D273" s="4" t="s">
        <v>943</v>
      </c>
      <c r="E273" s="4" t="s">
        <v>377</v>
      </c>
      <c r="F273" s="5">
        <v>44652</v>
      </c>
      <c r="G273" s="5">
        <v>44656</v>
      </c>
      <c r="H273" s="4" t="s">
        <v>70</v>
      </c>
      <c r="I273" s="4" t="s">
        <v>44</v>
      </c>
      <c r="J273" s="4" t="s">
        <v>45</v>
      </c>
      <c r="K273" s="5">
        <v>44817</v>
      </c>
      <c r="L273" s="4" t="s">
        <v>24</v>
      </c>
      <c r="M273" t="b">
        <v>0</v>
      </c>
      <c r="N273" t="b">
        <v>1</v>
      </c>
      <c r="O273" t="b">
        <v>0</v>
      </c>
      <c r="P273" t="b">
        <v>0</v>
      </c>
      <c r="Q273">
        <v>272</v>
      </c>
    </row>
    <row r="274" spans="1:17" x14ac:dyDescent="0.35">
      <c r="A274" s="4" t="s">
        <v>415</v>
      </c>
      <c r="B274" s="4" t="s">
        <v>134</v>
      </c>
      <c r="C274" s="4" t="s">
        <v>228</v>
      </c>
      <c r="D274" s="4" t="s">
        <v>941</v>
      </c>
      <c r="E274" s="4" t="s">
        <v>416</v>
      </c>
      <c r="F274" s="5">
        <v>44650</v>
      </c>
      <c r="G274" s="5">
        <v>44655</v>
      </c>
      <c r="H274" s="4" t="s">
        <v>70</v>
      </c>
      <c r="I274" s="4" t="s">
        <v>57</v>
      </c>
      <c r="J274" s="4" t="s">
        <v>58</v>
      </c>
      <c r="K274" s="5">
        <v>44659</v>
      </c>
      <c r="L274" s="4" t="s">
        <v>24</v>
      </c>
      <c r="M274" t="b">
        <v>0</v>
      </c>
      <c r="N274" t="b">
        <v>0</v>
      </c>
      <c r="O274" t="b">
        <v>0</v>
      </c>
      <c r="P274" t="b">
        <v>0</v>
      </c>
      <c r="Q274">
        <v>273</v>
      </c>
    </row>
    <row r="275" spans="1:17" x14ac:dyDescent="0.35">
      <c r="A275" s="4" t="s">
        <v>234</v>
      </c>
      <c r="B275" s="4" t="s">
        <v>134</v>
      </c>
      <c r="C275" s="4" t="s">
        <v>349</v>
      </c>
      <c r="D275" s="4" t="s">
        <v>908</v>
      </c>
      <c r="E275" s="4" t="s">
        <v>235</v>
      </c>
      <c r="F275" s="5">
        <v>44692</v>
      </c>
      <c r="G275" s="5">
        <v>44695</v>
      </c>
      <c r="H275" s="4" t="s">
        <v>70</v>
      </c>
      <c r="I275" s="4" t="s">
        <v>195</v>
      </c>
      <c r="J275" s="4" t="s">
        <v>236</v>
      </c>
      <c r="K275" s="5">
        <v>44804</v>
      </c>
      <c r="L275" s="4" t="s">
        <v>24</v>
      </c>
      <c r="M275" t="b">
        <v>0</v>
      </c>
      <c r="N275" t="b">
        <v>1</v>
      </c>
      <c r="O275" t="b">
        <v>0</v>
      </c>
      <c r="P275" t="b">
        <v>0</v>
      </c>
      <c r="Q275">
        <v>274</v>
      </c>
    </row>
    <row r="276" spans="1:17" x14ac:dyDescent="0.35">
      <c r="A276" s="4" t="s">
        <v>417</v>
      </c>
      <c r="B276" s="4" t="s">
        <v>134</v>
      </c>
      <c r="C276" s="4" t="s">
        <v>228</v>
      </c>
      <c r="D276" s="4" t="s">
        <v>941</v>
      </c>
      <c r="E276" s="4" t="s">
        <v>418</v>
      </c>
      <c r="F276" s="5">
        <v>44650</v>
      </c>
      <c r="G276" s="5">
        <v>44655</v>
      </c>
      <c r="H276" s="4" t="s">
        <v>70</v>
      </c>
      <c r="I276" s="4" t="s">
        <v>195</v>
      </c>
      <c r="J276" s="4" t="s">
        <v>196</v>
      </c>
      <c r="K276" s="5">
        <v>44659</v>
      </c>
      <c r="L276" s="4" t="s">
        <v>24</v>
      </c>
      <c r="M276" t="b">
        <v>0</v>
      </c>
      <c r="N276" t="b">
        <v>1</v>
      </c>
      <c r="O276" t="b">
        <v>0</v>
      </c>
      <c r="P276" t="b">
        <v>0</v>
      </c>
      <c r="Q276">
        <v>275</v>
      </c>
    </row>
    <row r="277" spans="1:17" x14ac:dyDescent="0.35">
      <c r="A277" s="4" t="s">
        <v>140</v>
      </c>
      <c r="B277" s="4" t="s">
        <v>134</v>
      </c>
      <c r="C277" s="4" t="s">
        <v>107</v>
      </c>
      <c r="D277" s="4" t="s">
        <v>887</v>
      </c>
      <c r="E277" s="4" t="s">
        <v>141</v>
      </c>
      <c r="F277" s="5">
        <v>44776</v>
      </c>
      <c r="G277" s="5">
        <v>44777</v>
      </c>
      <c r="H277" s="4" t="s">
        <v>70</v>
      </c>
      <c r="I277" s="4" t="s">
        <v>28</v>
      </c>
      <c r="J277" s="4" t="s">
        <v>29</v>
      </c>
      <c r="K277" s="5">
        <v>44805</v>
      </c>
      <c r="L277" s="4" t="s">
        <v>24</v>
      </c>
      <c r="M277" t="b">
        <v>0</v>
      </c>
      <c r="N277" t="b">
        <v>1</v>
      </c>
      <c r="O277" t="b">
        <v>0</v>
      </c>
      <c r="P277" t="b">
        <v>0</v>
      </c>
      <c r="Q277">
        <v>276</v>
      </c>
    </row>
    <row r="278" spans="1:17" x14ac:dyDescent="0.35">
      <c r="A278" s="4" t="s">
        <v>397</v>
      </c>
      <c r="B278" s="4" t="s">
        <v>134</v>
      </c>
      <c r="C278" s="4" t="s">
        <v>107</v>
      </c>
      <c r="D278" s="4" t="s">
        <v>949</v>
      </c>
      <c r="E278" s="4" t="s">
        <v>398</v>
      </c>
      <c r="F278" s="5">
        <v>44651</v>
      </c>
      <c r="G278" s="5">
        <v>44658</v>
      </c>
      <c r="H278" s="4" t="s">
        <v>70</v>
      </c>
      <c r="I278" s="4" t="s">
        <v>34</v>
      </c>
      <c r="J278" s="4" t="s">
        <v>35</v>
      </c>
      <c r="K278" s="5">
        <v>44805</v>
      </c>
      <c r="L278" s="4" t="s">
        <v>24</v>
      </c>
      <c r="M278" t="b">
        <v>0</v>
      </c>
      <c r="N278" t="b">
        <v>1</v>
      </c>
      <c r="O278" t="b">
        <v>0</v>
      </c>
      <c r="P278" t="b">
        <v>0</v>
      </c>
      <c r="Q278">
        <v>277</v>
      </c>
    </row>
    <row r="279" spans="1:17" x14ac:dyDescent="0.35">
      <c r="A279" s="4" t="s">
        <v>247</v>
      </c>
      <c r="B279" s="4" t="s">
        <v>134</v>
      </c>
      <c r="C279" s="4" t="s">
        <v>107</v>
      </c>
      <c r="D279" s="4" t="s">
        <v>910</v>
      </c>
      <c r="E279" s="4" t="s">
        <v>248</v>
      </c>
      <c r="F279" s="5">
        <v>44691</v>
      </c>
      <c r="G279" s="5">
        <v>44697</v>
      </c>
      <c r="H279" s="4" t="s">
        <v>70</v>
      </c>
      <c r="I279" s="4" t="s">
        <v>51</v>
      </c>
      <c r="J279" s="4" t="s">
        <v>52</v>
      </c>
      <c r="K279" s="5">
        <v>44825</v>
      </c>
      <c r="L279" s="4" t="s">
        <v>24</v>
      </c>
      <c r="M279" t="b">
        <v>0</v>
      </c>
      <c r="N279" t="b">
        <v>1</v>
      </c>
      <c r="O279" t="b">
        <v>0</v>
      </c>
      <c r="P279" t="b">
        <v>0</v>
      </c>
      <c r="Q279">
        <v>278</v>
      </c>
    </row>
    <row r="280" spans="1:17" x14ac:dyDescent="0.35">
      <c r="A280" s="4" t="s">
        <v>419</v>
      </c>
      <c r="B280" s="4" t="s">
        <v>134</v>
      </c>
      <c r="C280" s="4" t="s">
        <v>228</v>
      </c>
      <c r="D280" s="4" t="s">
        <v>941</v>
      </c>
      <c r="E280" s="4" t="s">
        <v>420</v>
      </c>
      <c r="F280" s="5">
        <v>44650</v>
      </c>
      <c r="G280" s="5">
        <v>44655</v>
      </c>
      <c r="H280" s="4" t="s">
        <v>70</v>
      </c>
      <c r="I280" s="4" t="s">
        <v>34</v>
      </c>
      <c r="J280" s="4" t="s">
        <v>35</v>
      </c>
      <c r="K280" s="5">
        <v>44825</v>
      </c>
      <c r="L280" s="4" t="s">
        <v>24</v>
      </c>
      <c r="M280" t="b">
        <v>0</v>
      </c>
      <c r="N280" t="b">
        <v>1</v>
      </c>
      <c r="O280" t="b">
        <v>0</v>
      </c>
      <c r="P280" t="b">
        <v>0</v>
      </c>
      <c r="Q280">
        <v>279</v>
      </c>
    </row>
    <row r="281" spans="1:17" x14ac:dyDescent="0.35">
      <c r="A281" s="4" t="s">
        <v>289</v>
      </c>
      <c r="B281" s="4" t="s">
        <v>134</v>
      </c>
      <c r="C281" s="4" t="s">
        <v>107</v>
      </c>
      <c r="D281" s="4" t="s">
        <v>885</v>
      </c>
      <c r="E281" s="4" t="s">
        <v>290</v>
      </c>
      <c r="F281" s="5">
        <v>44670</v>
      </c>
      <c r="G281" s="5">
        <v>44671</v>
      </c>
      <c r="H281" s="4" t="s">
        <v>70</v>
      </c>
      <c r="I281" s="4" t="s">
        <v>34</v>
      </c>
      <c r="J281" s="4" t="s">
        <v>117</v>
      </c>
      <c r="K281" s="5">
        <v>44830</v>
      </c>
      <c r="L281" s="4" t="s">
        <v>24</v>
      </c>
      <c r="M281" t="b">
        <v>0</v>
      </c>
      <c r="N281" t="b">
        <v>1</v>
      </c>
      <c r="O281" t="b">
        <v>0</v>
      </c>
      <c r="P281" t="b">
        <v>0</v>
      </c>
      <c r="Q281">
        <v>280</v>
      </c>
    </row>
    <row r="282" spans="1:17" x14ac:dyDescent="0.35">
      <c r="A282" s="4" t="s">
        <v>409</v>
      </c>
      <c r="B282" s="4" t="s">
        <v>134</v>
      </c>
      <c r="C282" s="4" t="s">
        <v>107</v>
      </c>
      <c r="D282" s="4" t="s">
        <v>912</v>
      </c>
      <c r="E282" s="4" t="s">
        <v>410</v>
      </c>
      <c r="F282" s="5">
        <v>44651</v>
      </c>
      <c r="G282" s="5">
        <v>44652</v>
      </c>
      <c r="H282" s="4" t="s">
        <v>70</v>
      </c>
      <c r="I282" s="4" t="s">
        <v>22</v>
      </c>
      <c r="J282" s="4" t="s">
        <v>130</v>
      </c>
      <c r="K282" s="5">
        <v>44666</v>
      </c>
      <c r="L282" s="4" t="s">
        <v>24</v>
      </c>
      <c r="M282" t="b">
        <v>0</v>
      </c>
      <c r="N282" t="b">
        <v>0</v>
      </c>
      <c r="O282" t="b">
        <v>0</v>
      </c>
      <c r="P282" t="b">
        <v>0</v>
      </c>
      <c r="Q282">
        <v>281</v>
      </c>
    </row>
    <row r="283" spans="1:17" x14ac:dyDescent="0.35">
      <c r="A283" s="4" t="s">
        <v>340</v>
      </c>
      <c r="B283" s="4" t="s">
        <v>134</v>
      </c>
      <c r="C283" s="4" t="s">
        <v>107</v>
      </c>
      <c r="D283" s="4" t="s">
        <v>894</v>
      </c>
      <c r="E283" s="4" t="s">
        <v>341</v>
      </c>
      <c r="F283" s="5">
        <v>44662</v>
      </c>
      <c r="G283" s="5">
        <v>44663</v>
      </c>
      <c r="H283" s="4" t="s">
        <v>70</v>
      </c>
      <c r="I283" s="4" t="s">
        <v>34</v>
      </c>
      <c r="J283" s="4" t="s">
        <v>35</v>
      </c>
      <c r="K283" s="5">
        <v>44666</v>
      </c>
      <c r="L283" s="4" t="s">
        <v>24</v>
      </c>
      <c r="M283" t="b">
        <v>0</v>
      </c>
      <c r="N283" t="b">
        <v>0</v>
      </c>
      <c r="O283" t="b">
        <v>0</v>
      </c>
      <c r="P283" t="b">
        <v>0</v>
      </c>
      <c r="Q283">
        <v>282</v>
      </c>
    </row>
    <row r="284" spans="1:17" x14ac:dyDescent="0.35">
      <c r="A284" s="4" t="s">
        <v>311</v>
      </c>
      <c r="B284" s="4" t="s">
        <v>134</v>
      </c>
      <c r="C284" s="4" t="s">
        <v>107</v>
      </c>
      <c r="D284" s="4" t="s">
        <v>927</v>
      </c>
      <c r="E284" s="4" t="s">
        <v>312</v>
      </c>
      <c r="F284" s="5">
        <v>44665</v>
      </c>
      <c r="G284" s="5">
        <v>44665</v>
      </c>
      <c r="H284" s="4" t="s">
        <v>70</v>
      </c>
      <c r="I284" s="4" t="s">
        <v>34</v>
      </c>
      <c r="J284" s="4" t="s">
        <v>35</v>
      </c>
      <c r="K284" s="5">
        <v>44670</v>
      </c>
      <c r="L284" s="4" t="s">
        <v>24</v>
      </c>
      <c r="M284" t="b">
        <v>0</v>
      </c>
      <c r="N284" t="b">
        <v>1</v>
      </c>
      <c r="O284" t="b">
        <v>0</v>
      </c>
      <c r="P284" t="b">
        <v>0</v>
      </c>
      <c r="Q284">
        <v>283</v>
      </c>
    </row>
    <row r="285" spans="1:17" x14ac:dyDescent="0.35">
      <c r="A285" s="4" t="s">
        <v>357</v>
      </c>
      <c r="B285" s="4" t="s">
        <v>134</v>
      </c>
      <c r="C285" s="4" t="s">
        <v>228</v>
      </c>
      <c r="D285" s="4" t="s">
        <v>941</v>
      </c>
      <c r="E285" s="4" t="s">
        <v>358</v>
      </c>
      <c r="F285" s="5">
        <v>44662</v>
      </c>
      <c r="G285" s="5">
        <v>44663</v>
      </c>
      <c r="H285" s="4" t="s">
        <v>70</v>
      </c>
      <c r="I285" s="4" t="s">
        <v>57</v>
      </c>
      <c r="J285" s="4" t="s">
        <v>58</v>
      </c>
      <c r="K285" s="5">
        <v>44740</v>
      </c>
      <c r="L285" s="4" t="s">
        <v>24</v>
      </c>
      <c r="M285" t="b">
        <v>0</v>
      </c>
      <c r="N285" t="b">
        <v>1</v>
      </c>
      <c r="O285" t="b">
        <v>0</v>
      </c>
      <c r="P285" t="b">
        <v>0</v>
      </c>
      <c r="Q285">
        <v>284</v>
      </c>
    </row>
    <row r="286" spans="1:17" x14ac:dyDescent="0.35">
      <c r="A286" s="4" t="s">
        <v>359</v>
      </c>
      <c r="B286" s="4" t="s">
        <v>134</v>
      </c>
      <c r="C286" s="4" t="s">
        <v>228</v>
      </c>
      <c r="D286" s="4" t="s">
        <v>941</v>
      </c>
      <c r="E286" s="4" t="s">
        <v>358</v>
      </c>
      <c r="F286" s="5">
        <v>44662</v>
      </c>
      <c r="G286" s="5">
        <v>44663</v>
      </c>
      <c r="H286" s="4" t="s">
        <v>70</v>
      </c>
      <c r="I286" s="4" t="s">
        <v>57</v>
      </c>
      <c r="J286" s="4" t="s">
        <v>58</v>
      </c>
      <c r="K286" s="5">
        <v>44740</v>
      </c>
      <c r="L286" s="4" t="s">
        <v>24</v>
      </c>
      <c r="M286" t="b">
        <v>0</v>
      </c>
      <c r="N286" t="b">
        <v>1</v>
      </c>
      <c r="O286" t="b">
        <v>1</v>
      </c>
      <c r="P286" t="b">
        <v>0</v>
      </c>
      <c r="Q286">
        <v>285</v>
      </c>
    </row>
    <row r="287" spans="1:17" x14ac:dyDescent="0.35">
      <c r="A287" s="4" t="s">
        <v>374</v>
      </c>
      <c r="B287" s="4" t="s">
        <v>134</v>
      </c>
      <c r="C287" s="4" t="s">
        <v>66</v>
      </c>
      <c r="D287" s="4" t="s">
        <v>936</v>
      </c>
      <c r="E287" s="4" t="s">
        <v>375</v>
      </c>
      <c r="F287" s="5">
        <v>44655</v>
      </c>
      <c r="G287" s="5">
        <v>44662</v>
      </c>
      <c r="H287" s="4" t="s">
        <v>70</v>
      </c>
      <c r="I287" s="4" t="s">
        <v>57</v>
      </c>
      <c r="J287" s="4" t="s">
        <v>58</v>
      </c>
      <c r="K287" s="5">
        <v>44784</v>
      </c>
      <c r="L287" s="4" t="s">
        <v>24</v>
      </c>
      <c r="M287" t="b">
        <v>0</v>
      </c>
      <c r="N287" t="b">
        <v>1</v>
      </c>
      <c r="O287" t="b">
        <v>1</v>
      </c>
      <c r="P287" t="b">
        <v>0</v>
      </c>
      <c r="Q287">
        <v>286</v>
      </c>
    </row>
    <row r="288" spans="1:17" x14ac:dyDescent="0.35">
      <c r="A288" s="4" t="s">
        <v>68</v>
      </c>
      <c r="B288" s="4" t="s">
        <v>19</v>
      </c>
      <c r="C288" s="4" t="s">
        <v>868</v>
      </c>
      <c r="D288" s="4" t="s">
        <v>995</v>
      </c>
      <c r="E288" s="4" t="s">
        <v>69</v>
      </c>
      <c r="F288" s="5">
        <v>44789</v>
      </c>
      <c r="G288" s="5">
        <v>44790</v>
      </c>
      <c r="H288" s="4" t="s">
        <v>70</v>
      </c>
      <c r="I288" s="4" t="s">
        <v>51</v>
      </c>
      <c r="J288" s="4" t="s">
        <v>52</v>
      </c>
      <c r="K288" s="5">
        <v>44789</v>
      </c>
      <c r="L288" s="4" t="s">
        <v>24</v>
      </c>
      <c r="M288" t="b">
        <v>1</v>
      </c>
      <c r="N288" t="b">
        <v>1</v>
      </c>
      <c r="O288" t="b">
        <v>0</v>
      </c>
      <c r="P288" t="b">
        <v>0</v>
      </c>
      <c r="Q288">
        <v>287</v>
      </c>
    </row>
    <row r="289" spans="1:17" x14ac:dyDescent="0.35">
      <c r="A289" s="4" t="s">
        <v>197</v>
      </c>
      <c r="B289" s="4" t="s">
        <v>19</v>
      </c>
      <c r="C289" s="4" t="s">
        <v>102</v>
      </c>
      <c r="D289" s="4" t="s">
        <v>900</v>
      </c>
      <c r="E289" s="4" t="s">
        <v>198</v>
      </c>
      <c r="F289" s="5">
        <v>44740</v>
      </c>
      <c r="G289" s="5">
        <v>44747</v>
      </c>
      <c r="H289" s="4" t="s">
        <v>70</v>
      </c>
      <c r="I289" s="4" t="s">
        <v>22</v>
      </c>
      <c r="J289" s="4" t="s">
        <v>23</v>
      </c>
      <c r="K289" s="5">
        <v>44740</v>
      </c>
      <c r="L289" s="4" t="s">
        <v>24</v>
      </c>
      <c r="M289" t="b">
        <v>1</v>
      </c>
      <c r="N289" t="b">
        <v>0</v>
      </c>
      <c r="O289" t="b">
        <v>0</v>
      </c>
      <c r="P289" t="b">
        <v>0</v>
      </c>
      <c r="Q289">
        <v>288</v>
      </c>
    </row>
    <row r="290" spans="1:17" x14ac:dyDescent="0.35">
      <c r="A290" s="4" t="s">
        <v>382</v>
      </c>
      <c r="B290" s="4" t="s">
        <v>89</v>
      </c>
      <c r="C290" s="4" t="s">
        <v>157</v>
      </c>
      <c r="D290" s="4" t="s">
        <v>945</v>
      </c>
      <c r="E290" s="4" t="s">
        <v>383</v>
      </c>
      <c r="F290" s="5">
        <v>44652</v>
      </c>
      <c r="G290" s="5">
        <v>44659</v>
      </c>
      <c r="H290" s="4" t="s">
        <v>70</v>
      </c>
      <c r="I290" s="4" t="s">
        <v>195</v>
      </c>
      <c r="J290" s="4" t="s">
        <v>236</v>
      </c>
      <c r="K290" s="5">
        <v>44686</v>
      </c>
      <c r="L290" s="4" t="s">
        <v>24</v>
      </c>
      <c r="M290" t="b">
        <v>1</v>
      </c>
      <c r="N290" t="b">
        <v>0</v>
      </c>
      <c r="O290" t="b">
        <v>1</v>
      </c>
      <c r="P290" t="b">
        <v>0</v>
      </c>
      <c r="Q290">
        <v>289</v>
      </c>
    </row>
    <row r="291" spans="1:17" x14ac:dyDescent="0.35">
      <c r="A291" s="4" t="s">
        <v>154</v>
      </c>
      <c r="B291" s="4" t="s">
        <v>89</v>
      </c>
      <c r="C291" s="4" t="s">
        <v>107</v>
      </c>
      <c r="D291" s="4" t="s">
        <v>893</v>
      </c>
      <c r="E291" s="4" t="s">
        <v>155</v>
      </c>
      <c r="F291" s="5">
        <v>44775</v>
      </c>
      <c r="G291" s="5">
        <v>44787</v>
      </c>
      <c r="H291" s="4" t="s">
        <v>70</v>
      </c>
      <c r="I291" s="4" t="s">
        <v>34</v>
      </c>
      <c r="J291" s="4" t="s">
        <v>35</v>
      </c>
      <c r="K291" s="5">
        <v>44839</v>
      </c>
      <c r="L291" s="4" t="s">
        <v>24</v>
      </c>
      <c r="M291" t="b">
        <v>1</v>
      </c>
      <c r="N291" t="b">
        <v>1</v>
      </c>
      <c r="O291" t="b">
        <v>0</v>
      </c>
      <c r="P291" t="b">
        <v>0</v>
      </c>
      <c r="Q291">
        <v>290</v>
      </c>
    </row>
    <row r="292" spans="1:17" x14ac:dyDescent="0.35">
      <c r="A292" s="4" t="s">
        <v>364</v>
      </c>
      <c r="B292" s="4" t="s">
        <v>19</v>
      </c>
      <c r="C292" s="4" t="s">
        <v>186</v>
      </c>
      <c r="D292" s="4" t="s">
        <v>942</v>
      </c>
      <c r="E292" s="4" t="s">
        <v>365</v>
      </c>
      <c r="F292" s="5">
        <v>44657</v>
      </c>
      <c r="G292" s="5">
        <v>44664</v>
      </c>
      <c r="H292" s="4" t="s">
        <v>70</v>
      </c>
      <c r="I292" s="4" t="s">
        <v>91</v>
      </c>
      <c r="J292" s="4" t="s">
        <v>92</v>
      </c>
      <c r="K292" s="5">
        <v>44657</v>
      </c>
      <c r="L292" s="4" t="s">
        <v>24</v>
      </c>
      <c r="M292" t="b">
        <v>1</v>
      </c>
      <c r="N292" t="b">
        <v>1</v>
      </c>
      <c r="O292" t="b">
        <v>0</v>
      </c>
      <c r="P292" t="b">
        <v>0</v>
      </c>
      <c r="Q292">
        <v>291</v>
      </c>
    </row>
    <row r="293" spans="1:17" x14ac:dyDescent="0.35">
      <c r="A293" s="4" t="s">
        <v>72</v>
      </c>
      <c r="B293" s="4" t="s">
        <v>19</v>
      </c>
      <c r="C293" s="4" t="s">
        <v>73</v>
      </c>
      <c r="D293" s="4"/>
      <c r="E293" s="4" t="s">
        <v>74</v>
      </c>
      <c r="F293" s="5">
        <v>44789</v>
      </c>
      <c r="G293" s="5">
        <v>44791</v>
      </c>
      <c r="H293" s="4" t="s">
        <v>70</v>
      </c>
      <c r="I293" s="4" t="s">
        <v>51</v>
      </c>
      <c r="J293" s="4" t="s">
        <v>52</v>
      </c>
      <c r="K293" s="5">
        <v>44789</v>
      </c>
      <c r="L293" s="4" t="s">
        <v>24</v>
      </c>
      <c r="M293" t="b">
        <v>1</v>
      </c>
      <c r="N293" t="b">
        <v>1</v>
      </c>
      <c r="O293" t="b">
        <v>0</v>
      </c>
      <c r="P293" t="b">
        <v>0</v>
      </c>
      <c r="Q293">
        <v>292</v>
      </c>
    </row>
    <row r="294" spans="1:17" x14ac:dyDescent="0.35">
      <c r="A294" s="4" t="s">
        <v>77</v>
      </c>
      <c r="B294" s="4" t="s">
        <v>19</v>
      </c>
      <c r="C294" s="4" t="s">
        <v>73</v>
      </c>
      <c r="D294" s="4"/>
      <c r="E294" s="4" t="s">
        <v>78</v>
      </c>
      <c r="F294" s="5">
        <v>44789</v>
      </c>
      <c r="G294" s="5">
        <v>44791</v>
      </c>
      <c r="H294" s="4" t="s">
        <v>70</v>
      </c>
      <c r="I294" s="4" t="s">
        <v>57</v>
      </c>
      <c r="J294" s="4" t="s">
        <v>58</v>
      </c>
      <c r="K294" s="5">
        <v>44789</v>
      </c>
      <c r="L294" s="4" t="s">
        <v>24</v>
      </c>
      <c r="M294" t="b">
        <v>1</v>
      </c>
      <c r="N294" t="b">
        <v>1</v>
      </c>
      <c r="O294" t="b">
        <v>0</v>
      </c>
      <c r="P294" t="b">
        <v>0</v>
      </c>
      <c r="Q294">
        <v>293</v>
      </c>
    </row>
    <row r="295" spans="1:17" x14ac:dyDescent="0.35">
      <c r="A295" s="4" t="s">
        <v>113</v>
      </c>
      <c r="B295" s="4" t="s">
        <v>19</v>
      </c>
      <c r="C295" s="4" t="s">
        <v>107</v>
      </c>
      <c r="D295" s="4"/>
      <c r="E295" s="4" t="s">
        <v>114</v>
      </c>
      <c r="F295" s="5">
        <v>44777</v>
      </c>
      <c r="G295" s="5">
        <v>44784</v>
      </c>
      <c r="H295" s="4" t="s">
        <v>70</v>
      </c>
      <c r="I295" s="4" t="s">
        <v>57</v>
      </c>
      <c r="J295" s="4" t="s">
        <v>58</v>
      </c>
      <c r="K295" s="5">
        <v>44777</v>
      </c>
      <c r="L295" s="4" t="s">
        <v>24</v>
      </c>
      <c r="M295" t="b">
        <v>1</v>
      </c>
      <c r="N295" t="b">
        <v>1</v>
      </c>
      <c r="O295" t="b">
        <v>0</v>
      </c>
      <c r="P295" t="b">
        <v>0</v>
      </c>
      <c r="Q295">
        <v>294</v>
      </c>
    </row>
    <row r="296" spans="1:17" x14ac:dyDescent="0.35">
      <c r="A296" s="4" t="s">
        <v>396</v>
      </c>
      <c r="B296" s="4" t="s">
        <v>19</v>
      </c>
      <c r="C296" s="4" t="s">
        <v>157</v>
      </c>
      <c r="D296" s="4" t="s">
        <v>946</v>
      </c>
      <c r="E296" s="4" t="s">
        <v>1628</v>
      </c>
      <c r="F296" s="5">
        <v>44652</v>
      </c>
      <c r="G296" s="5">
        <v>44672</v>
      </c>
      <c r="H296" s="4" t="s">
        <v>70</v>
      </c>
      <c r="I296" s="4" t="s">
        <v>51</v>
      </c>
      <c r="J296" s="4" t="s">
        <v>52</v>
      </c>
      <c r="K296" s="5">
        <v>44652</v>
      </c>
      <c r="L296" s="4" t="s">
        <v>24</v>
      </c>
      <c r="M296" t="b">
        <v>1</v>
      </c>
      <c r="N296" t="b">
        <v>0</v>
      </c>
      <c r="O296" t="b">
        <v>0</v>
      </c>
      <c r="P296" t="b">
        <v>0</v>
      </c>
      <c r="Q296">
        <v>295</v>
      </c>
    </row>
    <row r="297" spans="1:17" x14ac:dyDescent="0.35">
      <c r="A297" s="4" t="s">
        <v>241</v>
      </c>
      <c r="B297" s="4" t="s">
        <v>19</v>
      </c>
      <c r="C297" s="4" t="s">
        <v>704</v>
      </c>
      <c r="D297" s="4" t="s">
        <v>889</v>
      </c>
      <c r="E297" s="4" t="s">
        <v>242</v>
      </c>
      <c r="F297" s="5">
        <v>44691</v>
      </c>
      <c r="G297" s="5">
        <v>44694</v>
      </c>
      <c r="H297" s="4" t="s">
        <v>70</v>
      </c>
      <c r="I297" s="4" t="s">
        <v>34</v>
      </c>
      <c r="J297" s="4" t="s">
        <v>117</v>
      </c>
      <c r="K297" s="5">
        <v>44691</v>
      </c>
      <c r="L297" s="4" t="s">
        <v>24</v>
      </c>
      <c r="M297" t="b">
        <v>1</v>
      </c>
      <c r="N297" t="b">
        <v>0</v>
      </c>
      <c r="O297" t="b">
        <v>0</v>
      </c>
      <c r="P297" t="b">
        <v>0</v>
      </c>
      <c r="Q297">
        <v>296</v>
      </c>
    </row>
    <row r="298" spans="1:17" x14ac:dyDescent="0.35">
      <c r="A298" s="4" t="s">
        <v>239</v>
      </c>
      <c r="B298" s="4" t="s">
        <v>19</v>
      </c>
      <c r="C298" s="4" t="s">
        <v>228</v>
      </c>
      <c r="D298" s="4" t="s">
        <v>878</v>
      </c>
      <c r="E298" s="4" t="s">
        <v>240</v>
      </c>
      <c r="F298" s="5">
        <v>44691</v>
      </c>
      <c r="G298" s="5">
        <v>44692</v>
      </c>
      <c r="H298" s="4" t="s">
        <v>70</v>
      </c>
      <c r="I298" s="4" t="s">
        <v>34</v>
      </c>
      <c r="J298" s="4" t="s">
        <v>35</v>
      </c>
      <c r="K298" s="5">
        <v>44691</v>
      </c>
      <c r="L298" s="4" t="s">
        <v>24</v>
      </c>
      <c r="M298" t="b">
        <v>1</v>
      </c>
      <c r="N298" t="b">
        <v>1</v>
      </c>
      <c r="O298" t="b">
        <v>0</v>
      </c>
      <c r="P298" t="b">
        <v>0</v>
      </c>
      <c r="Q298">
        <v>297</v>
      </c>
    </row>
    <row r="299" spans="1:17" x14ac:dyDescent="0.35">
      <c r="A299" s="4" t="s">
        <v>219</v>
      </c>
      <c r="B299" s="4" t="s">
        <v>19</v>
      </c>
      <c r="C299" s="4" t="s">
        <v>189</v>
      </c>
      <c r="D299" s="4" t="s">
        <v>881</v>
      </c>
      <c r="E299" s="4" t="s">
        <v>220</v>
      </c>
      <c r="F299" s="5">
        <v>44698</v>
      </c>
      <c r="G299" s="5">
        <v>44699</v>
      </c>
      <c r="H299" s="4" t="s">
        <v>70</v>
      </c>
      <c r="I299" s="4" t="s">
        <v>51</v>
      </c>
      <c r="J299" s="4" t="s">
        <v>52</v>
      </c>
      <c r="K299" s="5">
        <v>44698</v>
      </c>
      <c r="L299" s="4" t="s">
        <v>24</v>
      </c>
      <c r="M299" t="b">
        <v>1</v>
      </c>
      <c r="N299" t="b">
        <v>1</v>
      </c>
      <c r="O299" t="b">
        <v>0</v>
      </c>
      <c r="P299" t="b">
        <v>0</v>
      </c>
      <c r="Q299">
        <v>298</v>
      </c>
    </row>
    <row r="300" spans="1:17" x14ac:dyDescent="0.35">
      <c r="A300" s="4" t="s">
        <v>173</v>
      </c>
      <c r="B300" s="4" t="s">
        <v>19</v>
      </c>
      <c r="C300" s="4" t="s">
        <v>102</v>
      </c>
      <c r="D300" s="4" t="s">
        <v>882</v>
      </c>
      <c r="E300" s="4" t="s">
        <v>174</v>
      </c>
      <c r="F300" s="5">
        <v>44754</v>
      </c>
      <c r="G300" s="5">
        <v>44761</v>
      </c>
      <c r="H300" s="4" t="s">
        <v>70</v>
      </c>
      <c r="I300" s="4" t="s">
        <v>28</v>
      </c>
      <c r="J300" s="4" t="s">
        <v>29</v>
      </c>
      <c r="K300" s="5">
        <v>44754</v>
      </c>
      <c r="L300" s="4" t="s">
        <v>24</v>
      </c>
      <c r="M300" t="b">
        <v>1</v>
      </c>
      <c r="N300" t="b">
        <v>1</v>
      </c>
      <c r="O300" t="b">
        <v>0</v>
      </c>
      <c r="P300" t="b">
        <v>0</v>
      </c>
      <c r="Q300">
        <v>299</v>
      </c>
    </row>
    <row r="301" spans="1:17" x14ac:dyDescent="0.35">
      <c r="A301" s="4" t="s">
        <v>384</v>
      </c>
      <c r="B301" s="4" t="s">
        <v>19</v>
      </c>
      <c r="C301" s="4" t="s">
        <v>157</v>
      </c>
      <c r="D301" s="4" t="s">
        <v>946</v>
      </c>
      <c r="E301" s="4" t="s">
        <v>385</v>
      </c>
      <c r="F301" s="5">
        <v>44652</v>
      </c>
      <c r="G301" s="5">
        <v>44659</v>
      </c>
      <c r="H301" s="4" t="s">
        <v>70</v>
      </c>
      <c r="I301" s="4" t="s">
        <v>195</v>
      </c>
      <c r="J301" s="4" t="s">
        <v>236</v>
      </c>
      <c r="K301" s="5">
        <v>44652</v>
      </c>
      <c r="L301" s="4" t="s">
        <v>24</v>
      </c>
      <c r="M301" t="b">
        <v>1</v>
      </c>
      <c r="N301" t="b">
        <v>0</v>
      </c>
      <c r="O301" t="b">
        <v>1</v>
      </c>
      <c r="P301" t="b">
        <v>0</v>
      </c>
      <c r="Q301">
        <v>300</v>
      </c>
    </row>
    <row r="302" spans="1:17" x14ac:dyDescent="0.35">
      <c r="A302" s="4" t="s">
        <v>148</v>
      </c>
      <c r="B302" s="4" t="s">
        <v>19</v>
      </c>
      <c r="C302" s="4" t="s">
        <v>228</v>
      </c>
      <c r="D302" s="4" t="s">
        <v>891</v>
      </c>
      <c r="E302" s="4" t="s">
        <v>149</v>
      </c>
      <c r="F302" s="5">
        <v>44775</v>
      </c>
      <c r="G302" s="5">
        <v>44777</v>
      </c>
      <c r="H302" s="4" t="s">
        <v>70</v>
      </c>
      <c r="I302" s="4" t="s">
        <v>28</v>
      </c>
      <c r="J302" s="4" t="s">
        <v>29</v>
      </c>
      <c r="K302" s="5">
        <v>44775</v>
      </c>
      <c r="L302" s="4" t="s">
        <v>24</v>
      </c>
      <c r="M302" t="b">
        <v>1</v>
      </c>
      <c r="N302" t="b">
        <v>1</v>
      </c>
      <c r="O302" t="b">
        <v>0</v>
      </c>
      <c r="P302" t="b">
        <v>0</v>
      </c>
      <c r="Q302">
        <v>301</v>
      </c>
    </row>
    <row r="303" spans="1:17" x14ac:dyDescent="0.35">
      <c r="A303" s="4" t="s">
        <v>144</v>
      </c>
      <c r="B303" s="4" t="s">
        <v>19</v>
      </c>
      <c r="C303" s="4" t="s">
        <v>704</v>
      </c>
      <c r="D303" s="4" t="s">
        <v>889</v>
      </c>
      <c r="E303" s="4" t="s">
        <v>145</v>
      </c>
      <c r="F303" s="5">
        <v>44775</v>
      </c>
      <c r="G303" s="5">
        <v>44782</v>
      </c>
      <c r="H303" s="4" t="s">
        <v>70</v>
      </c>
      <c r="I303" s="4" t="s">
        <v>57</v>
      </c>
      <c r="J303" s="4" t="s">
        <v>58</v>
      </c>
      <c r="K303" s="5">
        <v>44775</v>
      </c>
      <c r="L303" s="4" t="s">
        <v>24</v>
      </c>
      <c r="M303" t="b">
        <v>1</v>
      </c>
      <c r="N303" t="b">
        <v>0</v>
      </c>
      <c r="O303" t="b">
        <v>0</v>
      </c>
      <c r="P303" t="b">
        <v>0</v>
      </c>
      <c r="Q303">
        <v>302</v>
      </c>
    </row>
    <row r="304" spans="1:17" x14ac:dyDescent="0.35">
      <c r="A304" s="4" t="s">
        <v>120</v>
      </c>
      <c r="B304" s="4" t="s">
        <v>19</v>
      </c>
      <c r="C304" s="4" t="s">
        <v>102</v>
      </c>
      <c r="D304" s="4" t="s">
        <v>882</v>
      </c>
      <c r="E304" s="4" t="s">
        <v>121</v>
      </c>
      <c r="F304" s="5">
        <v>44777</v>
      </c>
      <c r="G304" s="5">
        <v>44778</v>
      </c>
      <c r="H304" s="4" t="s">
        <v>70</v>
      </c>
      <c r="I304" s="4" t="s">
        <v>51</v>
      </c>
      <c r="J304" s="4" t="s">
        <v>52</v>
      </c>
      <c r="K304" s="5">
        <v>44777</v>
      </c>
      <c r="L304" s="4" t="s">
        <v>24</v>
      </c>
      <c r="M304" t="b">
        <v>1</v>
      </c>
      <c r="N304" t="b">
        <v>1</v>
      </c>
      <c r="O304" t="b">
        <v>0</v>
      </c>
      <c r="P304" t="b">
        <v>0</v>
      </c>
      <c r="Q304">
        <v>303</v>
      </c>
    </row>
    <row r="305" spans="1:17" x14ac:dyDescent="0.35">
      <c r="A305" s="4" t="s">
        <v>118</v>
      </c>
      <c r="B305" s="4" t="s">
        <v>19</v>
      </c>
      <c r="C305" s="4" t="s">
        <v>186</v>
      </c>
      <c r="D305" s="4" t="s">
        <v>1055</v>
      </c>
      <c r="E305" s="4" t="s">
        <v>119</v>
      </c>
      <c r="F305" s="5">
        <v>44777</v>
      </c>
      <c r="G305" s="5">
        <v>44782</v>
      </c>
      <c r="H305" s="4" t="s">
        <v>70</v>
      </c>
      <c r="I305" s="4" t="s">
        <v>28</v>
      </c>
      <c r="J305" s="4" t="s">
        <v>29</v>
      </c>
      <c r="K305" s="5">
        <v>44777</v>
      </c>
      <c r="L305" s="4" t="s">
        <v>24</v>
      </c>
      <c r="M305" t="b">
        <v>1</v>
      </c>
      <c r="N305" t="b">
        <v>1</v>
      </c>
      <c r="O305" t="b">
        <v>0</v>
      </c>
      <c r="P305" t="b">
        <v>0</v>
      </c>
      <c r="Q305">
        <v>304</v>
      </c>
    </row>
    <row r="306" spans="1:17" x14ac:dyDescent="0.35">
      <c r="A306" s="4" t="s">
        <v>101</v>
      </c>
      <c r="B306" s="4" t="s">
        <v>19</v>
      </c>
      <c r="C306" s="4" t="s">
        <v>102</v>
      </c>
      <c r="D306" s="4" t="s">
        <v>896</v>
      </c>
      <c r="E306" s="4" t="s">
        <v>103</v>
      </c>
      <c r="F306" s="5">
        <v>44782</v>
      </c>
      <c r="G306" s="5">
        <v>44785</v>
      </c>
      <c r="H306" s="4" t="s">
        <v>70</v>
      </c>
      <c r="I306" s="4" t="s">
        <v>51</v>
      </c>
      <c r="J306" s="4" t="s">
        <v>52</v>
      </c>
      <c r="K306" s="5">
        <v>44782</v>
      </c>
      <c r="L306" s="4" t="s">
        <v>24</v>
      </c>
      <c r="M306" t="b">
        <v>1</v>
      </c>
      <c r="N306" t="b">
        <v>0</v>
      </c>
      <c r="O306" t="b">
        <v>0</v>
      </c>
      <c r="P306" t="b">
        <v>0</v>
      </c>
      <c r="Q306">
        <v>305</v>
      </c>
    </row>
    <row r="307" spans="1:17" x14ac:dyDescent="0.35">
      <c r="A307" s="4" t="s">
        <v>99</v>
      </c>
      <c r="B307" s="4" t="s">
        <v>19</v>
      </c>
      <c r="C307" s="4" t="s">
        <v>228</v>
      </c>
      <c r="D307" s="4" t="s">
        <v>878</v>
      </c>
      <c r="E307" s="4" t="s">
        <v>100</v>
      </c>
      <c r="F307" s="5">
        <v>44782</v>
      </c>
      <c r="G307" s="5">
        <v>44784</v>
      </c>
      <c r="H307" s="4" t="s">
        <v>70</v>
      </c>
      <c r="I307" s="4" t="s">
        <v>34</v>
      </c>
      <c r="J307" s="4" t="s">
        <v>35</v>
      </c>
      <c r="K307" s="5">
        <v>44782</v>
      </c>
      <c r="L307" s="4" t="s">
        <v>24</v>
      </c>
      <c r="M307" t="b">
        <v>1</v>
      </c>
      <c r="N307" t="b">
        <v>1</v>
      </c>
      <c r="O307" t="b">
        <v>0</v>
      </c>
      <c r="P307" t="b">
        <v>0</v>
      </c>
      <c r="Q307">
        <v>306</v>
      </c>
    </row>
    <row r="308" spans="1:17" x14ac:dyDescent="0.35">
      <c r="A308" s="4" t="s">
        <v>277</v>
      </c>
      <c r="B308" s="4" t="s">
        <v>19</v>
      </c>
      <c r="C308" s="4" t="s">
        <v>349</v>
      </c>
      <c r="D308" s="4" t="s">
        <v>918</v>
      </c>
      <c r="E308" s="4" t="s">
        <v>278</v>
      </c>
      <c r="F308" s="5">
        <v>44672</v>
      </c>
      <c r="G308" s="5">
        <v>44673</v>
      </c>
      <c r="H308" s="4" t="s">
        <v>70</v>
      </c>
      <c r="I308" s="4" t="s">
        <v>34</v>
      </c>
      <c r="J308" s="4" t="s">
        <v>35</v>
      </c>
      <c r="K308" s="5">
        <v>44672</v>
      </c>
      <c r="L308" s="4" t="s">
        <v>24</v>
      </c>
      <c r="M308" t="b">
        <v>1</v>
      </c>
      <c r="N308" t="b">
        <v>1</v>
      </c>
      <c r="O308" t="b">
        <v>0</v>
      </c>
      <c r="P308" t="b">
        <v>0</v>
      </c>
      <c r="Q308">
        <v>307</v>
      </c>
    </row>
    <row r="309" spans="1:17" x14ac:dyDescent="0.35">
      <c r="A309" s="4" t="s">
        <v>261</v>
      </c>
      <c r="B309" s="4" t="s">
        <v>19</v>
      </c>
      <c r="C309" s="4" t="s">
        <v>107</v>
      </c>
      <c r="D309" s="4" t="s">
        <v>913</v>
      </c>
      <c r="E309" s="4" t="s">
        <v>262</v>
      </c>
      <c r="F309" s="5">
        <v>44678</v>
      </c>
      <c r="G309" s="5">
        <v>44679</v>
      </c>
      <c r="H309" s="4" t="s">
        <v>70</v>
      </c>
      <c r="I309" s="4" t="s">
        <v>28</v>
      </c>
      <c r="J309" s="4" t="s">
        <v>29</v>
      </c>
      <c r="K309" s="5">
        <v>44678</v>
      </c>
      <c r="L309" s="4" t="s">
        <v>24</v>
      </c>
      <c r="M309" t="b">
        <v>1</v>
      </c>
      <c r="N309" t="b">
        <v>1</v>
      </c>
      <c r="O309" t="b">
        <v>0</v>
      </c>
      <c r="P309" t="b">
        <v>0</v>
      </c>
      <c r="Q309">
        <v>308</v>
      </c>
    </row>
    <row r="310" spans="1:17" x14ac:dyDescent="0.35">
      <c r="A310" s="4" t="s">
        <v>205</v>
      </c>
      <c r="B310" s="4" t="s">
        <v>19</v>
      </c>
      <c r="C310" s="4" t="s">
        <v>107</v>
      </c>
      <c r="D310" s="4" t="s">
        <v>903</v>
      </c>
      <c r="E310" s="4" t="s">
        <v>206</v>
      </c>
      <c r="F310" s="5">
        <v>44718</v>
      </c>
      <c r="G310" s="5">
        <v>44721</v>
      </c>
      <c r="H310" s="4" t="s">
        <v>70</v>
      </c>
      <c r="I310" s="4" t="s">
        <v>51</v>
      </c>
      <c r="J310" s="4" t="s">
        <v>52</v>
      </c>
      <c r="K310" s="5">
        <v>44718</v>
      </c>
      <c r="L310" s="4" t="s">
        <v>24</v>
      </c>
      <c r="M310" t="b">
        <v>1</v>
      </c>
      <c r="N310" t="b">
        <v>1</v>
      </c>
      <c r="O310" t="b">
        <v>0</v>
      </c>
      <c r="P310" t="b">
        <v>0</v>
      </c>
      <c r="Q310">
        <v>309</v>
      </c>
    </row>
    <row r="311" spans="1:17" x14ac:dyDescent="0.35">
      <c r="A311" s="4" t="s">
        <v>156</v>
      </c>
      <c r="B311" s="4" t="s">
        <v>19</v>
      </c>
      <c r="C311" s="4" t="s">
        <v>157</v>
      </c>
      <c r="D311" s="4"/>
      <c r="E311" s="4" t="s">
        <v>158</v>
      </c>
      <c r="F311" s="5">
        <v>44775</v>
      </c>
      <c r="G311" s="5">
        <v>44782</v>
      </c>
      <c r="H311" s="4" t="s">
        <v>70</v>
      </c>
      <c r="I311" s="4" t="s">
        <v>44</v>
      </c>
      <c r="J311" s="4" t="s">
        <v>45</v>
      </c>
      <c r="K311" s="5">
        <v>44775</v>
      </c>
      <c r="L311" s="4" t="s">
        <v>24</v>
      </c>
      <c r="M311" t="b">
        <v>1</v>
      </c>
      <c r="N311" t="b">
        <v>0</v>
      </c>
      <c r="O311" t="b">
        <v>0</v>
      </c>
      <c r="P311" t="b">
        <v>0</v>
      </c>
      <c r="Q311">
        <v>310</v>
      </c>
    </row>
    <row r="312" spans="1:17" x14ac:dyDescent="0.35">
      <c r="A312" s="4" t="s">
        <v>152</v>
      </c>
      <c r="B312" s="4" t="s">
        <v>19</v>
      </c>
      <c r="C312" s="4" t="s">
        <v>107</v>
      </c>
      <c r="D312" s="4" t="s">
        <v>880</v>
      </c>
      <c r="E312" s="4" t="s">
        <v>153</v>
      </c>
      <c r="F312" s="5">
        <v>44775</v>
      </c>
      <c r="G312" s="5">
        <v>44782</v>
      </c>
      <c r="H312" s="4" t="s">
        <v>70</v>
      </c>
      <c r="I312" s="4" t="s">
        <v>57</v>
      </c>
      <c r="J312" s="4" t="s">
        <v>58</v>
      </c>
      <c r="K312" s="5">
        <v>44775</v>
      </c>
      <c r="L312" s="4" t="s">
        <v>24</v>
      </c>
      <c r="M312" t="b">
        <v>1</v>
      </c>
      <c r="N312" t="b">
        <v>1</v>
      </c>
      <c r="O312" t="b">
        <v>0</v>
      </c>
      <c r="P312" t="b">
        <v>0</v>
      </c>
      <c r="Q312">
        <v>311</v>
      </c>
    </row>
    <row r="313" spans="1:17" x14ac:dyDescent="0.35">
      <c r="A313" s="4" t="s">
        <v>380</v>
      </c>
      <c r="B313" s="4" t="s">
        <v>19</v>
      </c>
      <c r="C313" s="4" t="s">
        <v>349</v>
      </c>
      <c r="D313" s="4" t="s">
        <v>908</v>
      </c>
      <c r="E313" s="4" t="s">
        <v>381</v>
      </c>
      <c r="F313" s="5">
        <v>44652</v>
      </c>
      <c r="G313" s="5">
        <v>44666</v>
      </c>
      <c r="H313" s="4" t="s">
        <v>70</v>
      </c>
      <c r="I313" s="4" t="s">
        <v>22</v>
      </c>
      <c r="J313" s="4" t="s">
        <v>130</v>
      </c>
      <c r="K313" s="5">
        <v>44652</v>
      </c>
      <c r="L313" s="4" t="s">
        <v>24</v>
      </c>
      <c r="M313" t="b">
        <v>1</v>
      </c>
      <c r="N313" t="b">
        <v>0</v>
      </c>
      <c r="O313" t="b">
        <v>0</v>
      </c>
      <c r="P313" t="b">
        <v>0</v>
      </c>
      <c r="Q313">
        <v>312</v>
      </c>
    </row>
    <row r="314" spans="1:17" x14ac:dyDescent="0.35">
      <c r="A314" s="4" t="s">
        <v>362</v>
      </c>
      <c r="B314" s="4" t="s">
        <v>19</v>
      </c>
      <c r="C314" s="4" t="s">
        <v>349</v>
      </c>
      <c r="D314" s="4" t="s">
        <v>908</v>
      </c>
      <c r="E314" s="4" t="s">
        <v>363</v>
      </c>
      <c r="F314" s="5">
        <v>44662</v>
      </c>
      <c r="G314" s="5">
        <v>44673</v>
      </c>
      <c r="H314" s="4" t="s">
        <v>70</v>
      </c>
      <c r="I314" s="4" t="s">
        <v>22</v>
      </c>
      <c r="J314" s="4" t="s">
        <v>130</v>
      </c>
      <c r="K314" s="5">
        <v>44662</v>
      </c>
      <c r="L314" s="4" t="s">
        <v>24</v>
      </c>
      <c r="M314" t="b">
        <v>1</v>
      </c>
      <c r="N314" t="b">
        <v>1</v>
      </c>
      <c r="O314" t="b">
        <v>0</v>
      </c>
      <c r="P314" t="b">
        <v>0</v>
      </c>
      <c r="Q314">
        <v>313</v>
      </c>
    </row>
    <row r="315" spans="1:17" x14ac:dyDescent="0.35">
      <c r="A315" s="4" t="s">
        <v>348</v>
      </c>
      <c r="B315" s="4" t="s">
        <v>19</v>
      </c>
      <c r="C315" s="4" t="s">
        <v>349</v>
      </c>
      <c r="D315" s="4"/>
      <c r="E315" s="4" t="s">
        <v>350</v>
      </c>
      <c r="F315" s="5">
        <v>44662</v>
      </c>
      <c r="G315" s="5">
        <v>44669</v>
      </c>
      <c r="H315" s="4" t="s">
        <v>70</v>
      </c>
      <c r="I315" s="4" t="s">
        <v>195</v>
      </c>
      <c r="J315" s="4" t="s">
        <v>236</v>
      </c>
      <c r="K315" s="5">
        <v>44662</v>
      </c>
      <c r="L315" s="4" t="s">
        <v>24</v>
      </c>
      <c r="M315" t="b">
        <v>1</v>
      </c>
      <c r="N315" t="b">
        <v>1</v>
      </c>
      <c r="O315" t="b">
        <v>0</v>
      </c>
      <c r="P315" t="b">
        <v>0</v>
      </c>
      <c r="Q315">
        <v>314</v>
      </c>
    </row>
    <row r="316" spans="1:17" x14ac:dyDescent="0.35">
      <c r="A316" s="4" t="s">
        <v>346</v>
      </c>
      <c r="B316" s="4" t="s">
        <v>19</v>
      </c>
      <c r="C316" s="4" t="s">
        <v>349</v>
      </c>
      <c r="D316" s="4" t="s">
        <v>938</v>
      </c>
      <c r="E316" s="4" t="s">
        <v>347</v>
      </c>
      <c r="F316" s="5">
        <v>44662</v>
      </c>
      <c r="G316" s="5">
        <v>44669</v>
      </c>
      <c r="H316" s="4" t="s">
        <v>70</v>
      </c>
      <c r="I316" s="4" t="s">
        <v>22</v>
      </c>
      <c r="J316" s="4" t="s">
        <v>130</v>
      </c>
      <c r="K316" s="5">
        <v>44662</v>
      </c>
      <c r="L316" s="4" t="s">
        <v>24</v>
      </c>
      <c r="M316" t="b">
        <v>1</v>
      </c>
      <c r="N316" t="b">
        <v>1</v>
      </c>
      <c r="O316" t="b">
        <v>0</v>
      </c>
      <c r="P316" t="b">
        <v>0</v>
      </c>
      <c r="Q316">
        <v>315</v>
      </c>
    </row>
    <row r="317" spans="1:17" x14ac:dyDescent="0.35">
      <c r="A317" s="4" t="s">
        <v>344</v>
      </c>
      <c r="B317" s="4" t="s">
        <v>19</v>
      </c>
      <c r="C317" s="4" t="s">
        <v>349</v>
      </c>
      <c r="D317" s="4" t="s">
        <v>938</v>
      </c>
      <c r="E317" s="4" t="s">
        <v>345</v>
      </c>
      <c r="F317" s="5">
        <v>44662</v>
      </c>
      <c r="G317" s="5">
        <v>44669</v>
      </c>
      <c r="H317" s="4" t="s">
        <v>70</v>
      </c>
      <c r="I317" s="4" t="s">
        <v>22</v>
      </c>
      <c r="J317" s="4" t="s">
        <v>130</v>
      </c>
      <c r="K317" s="5">
        <v>44662</v>
      </c>
      <c r="L317" s="4" t="s">
        <v>24</v>
      </c>
      <c r="M317" t="b">
        <v>1</v>
      </c>
      <c r="N317" t="b">
        <v>1</v>
      </c>
      <c r="O317" t="b">
        <v>0</v>
      </c>
      <c r="P317" t="b">
        <v>0</v>
      </c>
      <c r="Q317">
        <v>316</v>
      </c>
    </row>
    <row r="318" spans="1:17" x14ac:dyDescent="0.35">
      <c r="A318" s="4" t="s">
        <v>342</v>
      </c>
      <c r="B318" s="4" t="s">
        <v>19</v>
      </c>
      <c r="C318" s="4" t="s">
        <v>349</v>
      </c>
      <c r="D318" s="4" t="s">
        <v>938</v>
      </c>
      <c r="E318" s="4" t="s">
        <v>343</v>
      </c>
      <c r="F318" s="5">
        <v>44662</v>
      </c>
      <c r="G318" s="5">
        <v>44669</v>
      </c>
      <c r="H318" s="4" t="s">
        <v>70</v>
      </c>
      <c r="I318" s="4" t="s">
        <v>195</v>
      </c>
      <c r="J318" s="4" t="s">
        <v>236</v>
      </c>
      <c r="K318" s="5">
        <v>44662</v>
      </c>
      <c r="L318" s="4" t="s">
        <v>24</v>
      </c>
      <c r="M318" t="b">
        <v>1</v>
      </c>
      <c r="N318" t="b">
        <v>1</v>
      </c>
      <c r="O318" t="b">
        <v>0</v>
      </c>
      <c r="P318" t="b">
        <v>0</v>
      </c>
      <c r="Q318">
        <v>317</v>
      </c>
    </row>
    <row r="319" spans="1:17" x14ac:dyDescent="0.35">
      <c r="A319" s="4" t="s">
        <v>291</v>
      </c>
      <c r="B319" s="4" t="s">
        <v>19</v>
      </c>
      <c r="C319" s="4" t="s">
        <v>107</v>
      </c>
      <c r="D319" s="4" t="s">
        <v>893</v>
      </c>
      <c r="E319" s="4" t="s">
        <v>292</v>
      </c>
      <c r="F319" s="5">
        <v>44670</v>
      </c>
      <c r="G319" s="5">
        <v>44671</v>
      </c>
      <c r="H319" s="4" t="s">
        <v>70</v>
      </c>
      <c r="I319" s="4" t="s">
        <v>22</v>
      </c>
      <c r="J319" s="4" t="s">
        <v>130</v>
      </c>
      <c r="K319" s="5">
        <v>44670</v>
      </c>
      <c r="L319" s="4" t="s">
        <v>24</v>
      </c>
      <c r="M319" t="b">
        <v>1</v>
      </c>
      <c r="N319" t="b">
        <v>1</v>
      </c>
      <c r="O319" t="b">
        <v>0</v>
      </c>
      <c r="P319" t="b">
        <v>0</v>
      </c>
      <c r="Q319">
        <v>318</v>
      </c>
    </row>
    <row r="320" spans="1:17" x14ac:dyDescent="0.35">
      <c r="A320" s="4" t="s">
        <v>193</v>
      </c>
      <c r="B320" s="4" t="s">
        <v>19</v>
      </c>
      <c r="C320" s="4" t="s">
        <v>189</v>
      </c>
      <c r="D320" s="4" t="s">
        <v>899</v>
      </c>
      <c r="E320" s="4" t="s">
        <v>194</v>
      </c>
      <c r="F320" s="5">
        <v>44740</v>
      </c>
      <c r="G320" s="5">
        <v>44750</v>
      </c>
      <c r="H320" s="4" t="s">
        <v>70</v>
      </c>
      <c r="I320" s="4" t="s">
        <v>195</v>
      </c>
      <c r="J320" s="4" t="s">
        <v>196</v>
      </c>
      <c r="K320" s="5">
        <v>44740</v>
      </c>
      <c r="L320" s="4" t="s">
        <v>24</v>
      </c>
      <c r="M320" t="b">
        <v>1</v>
      </c>
      <c r="N320" t="b">
        <v>1</v>
      </c>
      <c r="O320" t="b">
        <v>0</v>
      </c>
      <c r="P320" t="b">
        <v>0</v>
      </c>
      <c r="Q320">
        <v>319</v>
      </c>
    </row>
    <row r="321" spans="1:17" x14ac:dyDescent="0.35">
      <c r="A321" s="4" t="s">
        <v>267</v>
      </c>
      <c r="B321" s="4" t="s">
        <v>19</v>
      </c>
      <c r="C321" s="4" t="s">
        <v>107</v>
      </c>
      <c r="D321" s="4"/>
      <c r="E321" s="4" t="s">
        <v>268</v>
      </c>
      <c r="F321" s="5">
        <v>44678</v>
      </c>
      <c r="G321" s="5">
        <v>44679</v>
      </c>
      <c r="H321" s="4" t="s">
        <v>70</v>
      </c>
      <c r="I321" s="4" t="s">
        <v>22</v>
      </c>
      <c r="J321" s="4" t="s">
        <v>130</v>
      </c>
      <c r="K321" s="5">
        <v>44678</v>
      </c>
      <c r="L321" s="4" t="s">
        <v>24</v>
      </c>
      <c r="M321" t="b">
        <v>1</v>
      </c>
      <c r="N321" t="b">
        <v>1</v>
      </c>
      <c r="O321" t="b">
        <v>0</v>
      </c>
      <c r="P321" t="b">
        <v>0</v>
      </c>
      <c r="Q321">
        <v>320</v>
      </c>
    </row>
    <row r="322" spans="1:17" x14ac:dyDescent="0.35">
      <c r="A322" s="4" t="s">
        <v>159</v>
      </c>
      <c r="B322" s="4" t="s">
        <v>19</v>
      </c>
      <c r="C322" s="4" t="s">
        <v>107</v>
      </c>
      <c r="D322" s="4"/>
      <c r="E322" s="4" t="s">
        <v>160</v>
      </c>
      <c r="F322" s="5">
        <v>44775</v>
      </c>
      <c r="G322" s="5">
        <v>44786</v>
      </c>
      <c r="H322" s="4" t="s">
        <v>70</v>
      </c>
      <c r="I322" s="4" t="s">
        <v>161</v>
      </c>
      <c r="J322" s="4" t="s">
        <v>162</v>
      </c>
      <c r="K322" s="5">
        <v>44825</v>
      </c>
      <c r="L322" s="4" t="s">
        <v>24</v>
      </c>
      <c r="M322" t="b">
        <v>1</v>
      </c>
      <c r="N322" t="b">
        <v>0</v>
      </c>
      <c r="O322" t="b">
        <v>0</v>
      </c>
      <c r="P322" t="b">
        <v>0</v>
      </c>
      <c r="Q322">
        <v>321</v>
      </c>
    </row>
    <row r="323" spans="1:17" x14ac:dyDescent="0.35">
      <c r="A323" s="4" t="s">
        <v>470</v>
      </c>
      <c r="B323" s="4" t="s">
        <v>19</v>
      </c>
      <c r="C323" s="4" t="s">
        <v>189</v>
      </c>
      <c r="D323" s="4" t="s">
        <v>952</v>
      </c>
      <c r="E323" s="4" t="s">
        <v>471</v>
      </c>
      <c r="F323" s="5">
        <v>44636</v>
      </c>
      <c r="G323" s="5">
        <v>44643</v>
      </c>
      <c r="H323" s="4" t="s">
        <v>81</v>
      </c>
      <c r="I323" s="4" t="s">
        <v>91</v>
      </c>
      <c r="J323" s="4" t="s">
        <v>92</v>
      </c>
      <c r="K323" s="5">
        <v>44636</v>
      </c>
      <c r="L323" s="4" t="s">
        <v>24</v>
      </c>
      <c r="M323" t="b">
        <v>1</v>
      </c>
      <c r="N323" t="b">
        <v>1</v>
      </c>
      <c r="O323" t="b">
        <v>0</v>
      </c>
      <c r="P323" t="b">
        <v>0</v>
      </c>
      <c r="Q323">
        <v>322</v>
      </c>
    </row>
    <row r="324" spans="1:17" x14ac:dyDescent="0.35">
      <c r="A324" s="4" t="s">
        <v>533</v>
      </c>
      <c r="B324" s="4" t="s">
        <v>19</v>
      </c>
      <c r="C324" s="4" t="s">
        <v>189</v>
      </c>
      <c r="D324" s="4" t="s">
        <v>920</v>
      </c>
      <c r="E324" s="4" t="s">
        <v>534</v>
      </c>
      <c r="F324" s="5">
        <v>44480</v>
      </c>
      <c r="G324" s="5">
        <v>44487</v>
      </c>
      <c r="H324" s="4" t="s">
        <v>81</v>
      </c>
      <c r="I324" s="4" t="s">
        <v>57</v>
      </c>
      <c r="J324" s="4" t="s">
        <v>58</v>
      </c>
      <c r="K324" s="5">
        <v>44480</v>
      </c>
      <c r="L324" s="4" t="s">
        <v>24</v>
      </c>
      <c r="M324" t="b">
        <v>1</v>
      </c>
      <c r="N324" t="b">
        <v>1</v>
      </c>
      <c r="O324" t="b">
        <v>0</v>
      </c>
      <c r="P324" t="b">
        <v>0</v>
      </c>
      <c r="Q324">
        <v>323</v>
      </c>
    </row>
    <row r="325" spans="1:17" x14ac:dyDescent="0.35">
      <c r="A325" s="4" t="s">
        <v>767</v>
      </c>
      <c r="B325" s="4" t="s">
        <v>19</v>
      </c>
      <c r="C325" s="4" t="s">
        <v>73</v>
      </c>
      <c r="D325" s="4"/>
      <c r="E325" s="4" t="s">
        <v>768</v>
      </c>
      <c r="F325" s="5">
        <v>44305</v>
      </c>
      <c r="G325" s="5">
        <v>44312</v>
      </c>
      <c r="H325" s="4" t="s">
        <v>81</v>
      </c>
      <c r="I325" s="4" t="s">
        <v>22</v>
      </c>
      <c r="J325" s="4" t="s">
        <v>23</v>
      </c>
      <c r="K325" s="5">
        <v>44305</v>
      </c>
      <c r="L325" s="4" t="s">
        <v>24</v>
      </c>
      <c r="M325" t="b">
        <v>1</v>
      </c>
      <c r="P325" t="b">
        <v>1</v>
      </c>
      <c r="Q325">
        <v>324</v>
      </c>
    </row>
    <row r="326" spans="1:17" x14ac:dyDescent="0.35">
      <c r="A326" s="4" t="s">
        <v>477</v>
      </c>
      <c r="B326" s="4" t="s">
        <v>19</v>
      </c>
      <c r="C326" s="4" t="s">
        <v>102</v>
      </c>
      <c r="D326" s="4" t="s">
        <v>953</v>
      </c>
      <c r="E326" s="4" t="s">
        <v>478</v>
      </c>
      <c r="F326" s="5">
        <v>44620</v>
      </c>
      <c r="G326" s="5">
        <v>44627</v>
      </c>
      <c r="H326" s="4" t="s">
        <v>81</v>
      </c>
      <c r="I326" s="4" t="s">
        <v>195</v>
      </c>
      <c r="J326" s="4" t="s">
        <v>196</v>
      </c>
      <c r="K326" s="5">
        <v>44620</v>
      </c>
      <c r="L326" s="4" t="s">
        <v>24</v>
      </c>
      <c r="M326" t="b">
        <v>1</v>
      </c>
      <c r="N326" t="b">
        <v>1</v>
      </c>
      <c r="O326" t="b">
        <v>1</v>
      </c>
      <c r="P326" t="b">
        <v>0</v>
      </c>
      <c r="Q326">
        <v>325</v>
      </c>
    </row>
    <row r="327" spans="1:17" x14ac:dyDescent="0.35">
      <c r="A327" s="4" t="s">
        <v>777</v>
      </c>
      <c r="B327" s="4" t="s">
        <v>19</v>
      </c>
      <c r="C327" s="4" t="s">
        <v>704</v>
      </c>
      <c r="D327" s="4" t="s">
        <v>926</v>
      </c>
      <c r="E327" s="4" t="s">
        <v>778</v>
      </c>
      <c r="F327" s="5">
        <v>44298</v>
      </c>
      <c r="G327" s="5">
        <v>44305</v>
      </c>
      <c r="H327" s="4" t="s">
        <v>81</v>
      </c>
      <c r="I327" s="4" t="s">
        <v>91</v>
      </c>
      <c r="J327" s="4" t="s">
        <v>92</v>
      </c>
      <c r="K327" s="5">
        <v>44491</v>
      </c>
      <c r="L327" s="4" t="s">
        <v>24</v>
      </c>
      <c r="M327" t="b">
        <v>1</v>
      </c>
      <c r="N327" t="b">
        <v>0</v>
      </c>
      <c r="O327" t="b">
        <v>1</v>
      </c>
      <c r="P327" t="b">
        <v>0</v>
      </c>
      <c r="Q327">
        <v>326</v>
      </c>
    </row>
    <row r="328" spans="1:17" x14ac:dyDescent="0.35">
      <c r="A328" s="4" t="s">
        <v>475</v>
      </c>
      <c r="B328" s="4" t="s">
        <v>89</v>
      </c>
      <c r="C328" s="4" t="s">
        <v>189</v>
      </c>
      <c r="D328" s="4" t="s">
        <v>899</v>
      </c>
      <c r="E328" s="4" t="s">
        <v>476</v>
      </c>
      <c r="F328" s="5">
        <v>44623</v>
      </c>
      <c r="G328" s="5">
        <v>44630</v>
      </c>
      <c r="H328" s="4" t="s">
        <v>81</v>
      </c>
      <c r="I328" s="4" t="s">
        <v>195</v>
      </c>
      <c r="J328" s="4" t="s">
        <v>196</v>
      </c>
      <c r="K328" s="5">
        <v>44651</v>
      </c>
      <c r="L328" s="4" t="s">
        <v>24</v>
      </c>
      <c r="M328" t="b">
        <v>1</v>
      </c>
      <c r="N328" t="b">
        <v>0</v>
      </c>
      <c r="O328" t="b">
        <v>0</v>
      </c>
      <c r="P328" t="b">
        <v>0</v>
      </c>
      <c r="Q328">
        <v>327</v>
      </c>
    </row>
    <row r="329" spans="1:17" x14ac:dyDescent="0.35">
      <c r="A329" s="4" t="s">
        <v>569</v>
      </c>
      <c r="B329" s="4" t="s">
        <v>19</v>
      </c>
      <c r="C329" s="4" t="s">
        <v>73</v>
      </c>
      <c r="D329" s="4" t="s">
        <v>962</v>
      </c>
      <c r="E329" s="4" t="s">
        <v>568</v>
      </c>
      <c r="F329" s="5">
        <v>44440</v>
      </c>
      <c r="G329" s="5">
        <v>44447</v>
      </c>
      <c r="H329" s="4" t="s">
        <v>81</v>
      </c>
      <c r="I329" s="4" t="s">
        <v>195</v>
      </c>
      <c r="J329" s="4" t="s">
        <v>196</v>
      </c>
      <c r="K329" s="5">
        <v>44740</v>
      </c>
      <c r="L329" s="4" t="s">
        <v>24</v>
      </c>
      <c r="M329" t="b">
        <v>1</v>
      </c>
      <c r="N329" t="b">
        <v>1</v>
      </c>
      <c r="O329" t="b">
        <v>0</v>
      </c>
      <c r="P329" t="b">
        <v>0</v>
      </c>
      <c r="Q329">
        <v>328</v>
      </c>
    </row>
    <row r="330" spans="1:17" x14ac:dyDescent="0.35">
      <c r="A330" s="4" t="s">
        <v>95</v>
      </c>
      <c r="B330" s="4" t="s">
        <v>19</v>
      </c>
      <c r="C330" s="4" t="s">
        <v>73</v>
      </c>
      <c r="D330" s="4" t="s">
        <v>877</v>
      </c>
      <c r="E330" s="4" t="s">
        <v>96</v>
      </c>
      <c r="F330" s="5">
        <v>44789</v>
      </c>
      <c r="G330" s="5">
        <v>44805</v>
      </c>
      <c r="H330" s="4" t="s">
        <v>81</v>
      </c>
      <c r="I330" s="4" t="s">
        <v>51</v>
      </c>
      <c r="J330" s="4" t="s">
        <v>52</v>
      </c>
      <c r="K330" s="5">
        <v>44789</v>
      </c>
      <c r="L330" s="4" t="s">
        <v>24</v>
      </c>
      <c r="M330" t="b">
        <v>1</v>
      </c>
      <c r="N330" t="b">
        <v>1</v>
      </c>
      <c r="O330" t="b">
        <v>0</v>
      </c>
      <c r="P330" t="b">
        <v>0</v>
      </c>
      <c r="Q330">
        <v>329</v>
      </c>
    </row>
    <row r="331" spans="1:17" x14ac:dyDescent="0.35">
      <c r="A331" s="4" t="s">
        <v>762</v>
      </c>
      <c r="B331" s="4" t="s">
        <v>134</v>
      </c>
      <c r="C331" s="4" t="s">
        <v>107</v>
      </c>
      <c r="D331" s="4"/>
      <c r="E331" s="4" t="s">
        <v>763</v>
      </c>
      <c r="F331" s="5">
        <v>44309</v>
      </c>
      <c r="G331" s="5">
        <v>44302</v>
      </c>
      <c r="H331" s="4" t="s">
        <v>81</v>
      </c>
      <c r="I331" s="4" t="s">
        <v>57</v>
      </c>
      <c r="J331" s="4" t="s">
        <v>58</v>
      </c>
      <c r="K331" s="5">
        <v>44784</v>
      </c>
      <c r="L331" s="4" t="s">
        <v>764</v>
      </c>
      <c r="M331" t="b">
        <v>0</v>
      </c>
      <c r="N331" t="b">
        <v>1</v>
      </c>
      <c r="O331" t="b">
        <v>1</v>
      </c>
      <c r="P331" t="b">
        <v>0</v>
      </c>
      <c r="Q331">
        <v>330</v>
      </c>
    </row>
    <row r="332" spans="1:17" x14ac:dyDescent="0.35">
      <c r="A332" s="4" t="s">
        <v>840</v>
      </c>
      <c r="B332" s="4" t="s">
        <v>134</v>
      </c>
      <c r="C332" s="4" t="s">
        <v>107</v>
      </c>
      <c r="D332" s="4" t="s">
        <v>872</v>
      </c>
      <c r="E332" s="4" t="s">
        <v>841</v>
      </c>
      <c r="F332" s="5">
        <v>44252</v>
      </c>
      <c r="G332" s="5">
        <v>44253</v>
      </c>
      <c r="H332" s="4" t="s">
        <v>81</v>
      </c>
      <c r="I332" s="4" t="s">
        <v>57</v>
      </c>
      <c r="J332" s="4" t="s">
        <v>58</v>
      </c>
      <c r="K332" s="5">
        <v>44491</v>
      </c>
      <c r="L332" s="4" t="s">
        <v>24</v>
      </c>
      <c r="M332" t="b">
        <v>0</v>
      </c>
      <c r="N332" t="b">
        <v>0</v>
      </c>
      <c r="O332" t="b">
        <v>1</v>
      </c>
      <c r="P332" t="b">
        <v>0</v>
      </c>
      <c r="Q332">
        <v>331</v>
      </c>
    </row>
    <row r="333" spans="1:17" x14ac:dyDescent="0.35">
      <c r="A333" s="4" t="s">
        <v>835</v>
      </c>
      <c r="B333" s="4" t="s">
        <v>134</v>
      </c>
      <c r="C333" s="4" t="s">
        <v>107</v>
      </c>
      <c r="D333" s="4" t="s">
        <v>974</v>
      </c>
      <c r="E333" s="4" t="s">
        <v>836</v>
      </c>
      <c r="F333" s="5">
        <v>44252</v>
      </c>
      <c r="G333" s="5">
        <v>44259</v>
      </c>
      <c r="H333" s="4" t="s">
        <v>81</v>
      </c>
      <c r="I333" s="4" t="s">
        <v>57</v>
      </c>
      <c r="J333" s="4" t="s">
        <v>58</v>
      </c>
      <c r="K333" s="5">
        <v>44491</v>
      </c>
      <c r="L333" s="4" t="s">
        <v>24</v>
      </c>
      <c r="M333" t="b">
        <v>0</v>
      </c>
      <c r="N333" t="b">
        <v>0</v>
      </c>
      <c r="O333" t="b">
        <v>1</v>
      </c>
      <c r="P333" t="b">
        <v>0</v>
      </c>
      <c r="Q333">
        <v>332</v>
      </c>
    </row>
    <row r="334" spans="1:17" x14ac:dyDescent="0.35">
      <c r="A334" s="4" t="s">
        <v>837</v>
      </c>
      <c r="B334" s="4" t="s">
        <v>134</v>
      </c>
      <c r="C334" s="4" t="s">
        <v>107</v>
      </c>
      <c r="D334" s="4" t="s">
        <v>872</v>
      </c>
      <c r="E334" s="4" t="s">
        <v>836</v>
      </c>
      <c r="F334" s="5">
        <v>44252</v>
      </c>
      <c r="G334" s="5">
        <v>44259</v>
      </c>
      <c r="H334" s="4" t="s">
        <v>81</v>
      </c>
      <c r="I334" s="4" t="s">
        <v>57</v>
      </c>
      <c r="J334" s="4" t="s">
        <v>58</v>
      </c>
      <c r="K334" s="5">
        <v>44491</v>
      </c>
      <c r="L334" s="4" t="s">
        <v>24</v>
      </c>
      <c r="M334" t="b">
        <v>0</v>
      </c>
      <c r="N334" t="b">
        <v>0</v>
      </c>
      <c r="O334" t="b">
        <v>1</v>
      </c>
      <c r="P334" t="b">
        <v>0</v>
      </c>
      <c r="Q334">
        <v>333</v>
      </c>
    </row>
    <row r="335" spans="1:17" x14ac:dyDescent="0.35">
      <c r="A335" s="4" t="s">
        <v>833</v>
      </c>
      <c r="B335" s="4" t="s">
        <v>134</v>
      </c>
      <c r="C335" s="4" t="s">
        <v>107</v>
      </c>
      <c r="D335" s="4" t="s">
        <v>974</v>
      </c>
      <c r="E335" s="4" t="s">
        <v>834</v>
      </c>
      <c r="F335" s="5">
        <v>44252</v>
      </c>
      <c r="G335" s="5">
        <v>44259</v>
      </c>
      <c r="H335" s="4" t="s">
        <v>81</v>
      </c>
      <c r="I335" s="4" t="s">
        <v>57</v>
      </c>
      <c r="J335" s="4" t="s">
        <v>58</v>
      </c>
      <c r="K335" s="5">
        <v>44491</v>
      </c>
      <c r="L335" s="4" t="s">
        <v>24</v>
      </c>
      <c r="M335" t="b">
        <v>0</v>
      </c>
      <c r="N335" t="b">
        <v>0</v>
      </c>
      <c r="O335" t="b">
        <v>0</v>
      </c>
      <c r="P335" t="b">
        <v>0</v>
      </c>
      <c r="Q335">
        <v>334</v>
      </c>
    </row>
    <row r="336" spans="1:17" x14ac:dyDescent="0.35">
      <c r="A336" s="4" t="s">
        <v>838</v>
      </c>
      <c r="B336" s="4" t="s">
        <v>134</v>
      </c>
      <c r="C336" s="4" t="s">
        <v>107</v>
      </c>
      <c r="D336" s="4" t="s">
        <v>974</v>
      </c>
      <c r="E336" s="4" t="s">
        <v>839</v>
      </c>
      <c r="F336" s="5">
        <v>44252</v>
      </c>
      <c r="G336" s="5">
        <v>44256</v>
      </c>
      <c r="H336" s="4" t="s">
        <v>81</v>
      </c>
      <c r="I336" s="4" t="s">
        <v>91</v>
      </c>
      <c r="J336" s="4" t="s">
        <v>184</v>
      </c>
      <c r="K336" s="5">
        <v>44491</v>
      </c>
      <c r="L336" s="4" t="s">
        <v>24</v>
      </c>
      <c r="M336" t="b">
        <v>0</v>
      </c>
      <c r="N336" t="b">
        <v>1</v>
      </c>
      <c r="O336" t="b">
        <v>1</v>
      </c>
      <c r="P336" t="b">
        <v>0</v>
      </c>
      <c r="Q336">
        <v>335</v>
      </c>
    </row>
    <row r="337" spans="1:17" x14ac:dyDescent="0.35">
      <c r="A337" s="4" t="s">
        <v>831</v>
      </c>
      <c r="B337" s="4" t="s">
        <v>134</v>
      </c>
      <c r="C337" s="4" t="s">
        <v>107</v>
      </c>
      <c r="D337" s="4" t="s">
        <v>974</v>
      </c>
      <c r="E337" s="4" t="s">
        <v>832</v>
      </c>
      <c r="F337" s="5">
        <v>44252</v>
      </c>
      <c r="G337" s="5">
        <v>44257</v>
      </c>
      <c r="H337" s="4" t="s">
        <v>81</v>
      </c>
      <c r="I337" s="4" t="s">
        <v>57</v>
      </c>
      <c r="J337" s="4" t="s">
        <v>58</v>
      </c>
      <c r="K337" s="5">
        <v>44491</v>
      </c>
      <c r="L337" s="4" t="s">
        <v>24</v>
      </c>
      <c r="M337" t="b">
        <v>0</v>
      </c>
      <c r="N337" t="b">
        <v>0</v>
      </c>
      <c r="O337" t="b">
        <v>0</v>
      </c>
      <c r="P337" t="b">
        <v>0</v>
      </c>
      <c r="Q337">
        <v>336</v>
      </c>
    </row>
    <row r="338" spans="1:17" x14ac:dyDescent="0.35">
      <c r="A338" s="4" t="s">
        <v>855</v>
      </c>
      <c r="B338" s="4" t="s">
        <v>134</v>
      </c>
      <c r="C338" s="4" t="s">
        <v>107</v>
      </c>
      <c r="D338" s="4" t="s">
        <v>872</v>
      </c>
      <c r="E338" s="4" t="s">
        <v>852</v>
      </c>
      <c r="F338" s="5">
        <v>44252</v>
      </c>
      <c r="G338" s="5">
        <v>44256</v>
      </c>
      <c r="H338" s="4" t="s">
        <v>81</v>
      </c>
      <c r="I338" s="4" t="s">
        <v>57</v>
      </c>
      <c r="J338" s="4" t="s">
        <v>58</v>
      </c>
      <c r="K338" s="5">
        <v>44491</v>
      </c>
      <c r="L338" s="4" t="s">
        <v>24</v>
      </c>
      <c r="M338" t="b">
        <v>0</v>
      </c>
      <c r="N338" t="b">
        <v>1</v>
      </c>
      <c r="O338" t="b">
        <v>0</v>
      </c>
      <c r="P338" t="b">
        <v>0</v>
      </c>
      <c r="Q338">
        <v>337</v>
      </c>
    </row>
    <row r="339" spans="1:17" x14ac:dyDescent="0.35">
      <c r="A339" s="4" t="s">
        <v>809</v>
      </c>
      <c r="B339" s="4" t="s">
        <v>134</v>
      </c>
      <c r="C339" s="4" t="s">
        <v>107</v>
      </c>
      <c r="D339" s="4" t="s">
        <v>960</v>
      </c>
      <c r="E339" s="4" t="s">
        <v>810</v>
      </c>
      <c r="F339" s="5">
        <v>44258</v>
      </c>
      <c r="G339" s="5">
        <v>44260</v>
      </c>
      <c r="H339" s="4" t="s">
        <v>81</v>
      </c>
      <c r="I339" s="4" t="s">
        <v>57</v>
      </c>
      <c r="J339" s="4" t="s">
        <v>58</v>
      </c>
      <c r="K339" s="5">
        <v>44491</v>
      </c>
      <c r="L339" s="4" t="s">
        <v>24</v>
      </c>
      <c r="M339" t="b">
        <v>0</v>
      </c>
      <c r="N339" t="b">
        <v>0</v>
      </c>
      <c r="O339" t="b">
        <v>1</v>
      </c>
      <c r="P339" t="b">
        <v>0</v>
      </c>
      <c r="Q339">
        <v>338</v>
      </c>
    </row>
    <row r="340" spans="1:17" x14ac:dyDescent="0.35">
      <c r="A340" s="4" t="s">
        <v>519</v>
      </c>
      <c r="B340" s="4" t="s">
        <v>134</v>
      </c>
      <c r="C340" s="4" t="s">
        <v>228</v>
      </c>
      <c r="D340" s="4" t="s">
        <v>959</v>
      </c>
      <c r="E340" s="4" t="s">
        <v>520</v>
      </c>
      <c r="F340" s="5">
        <v>44491</v>
      </c>
      <c r="G340" s="5">
        <v>44498</v>
      </c>
      <c r="H340" s="4" t="s">
        <v>81</v>
      </c>
      <c r="I340" s="4" t="s">
        <v>195</v>
      </c>
      <c r="J340" s="4" t="s">
        <v>196</v>
      </c>
      <c r="K340" s="5">
        <v>44784</v>
      </c>
      <c r="L340" s="4" t="s">
        <v>24</v>
      </c>
      <c r="M340" t="b">
        <v>0</v>
      </c>
      <c r="N340" t="b">
        <v>0</v>
      </c>
      <c r="O340" t="b">
        <v>0</v>
      </c>
      <c r="P340" t="b">
        <v>0</v>
      </c>
      <c r="Q340">
        <v>339</v>
      </c>
    </row>
    <row r="341" spans="1:17" x14ac:dyDescent="0.35">
      <c r="A341" s="4" t="s">
        <v>513</v>
      </c>
      <c r="B341" s="4" t="s">
        <v>134</v>
      </c>
      <c r="C341" s="4" t="s">
        <v>228</v>
      </c>
      <c r="D341" s="4" t="s">
        <v>956</v>
      </c>
      <c r="E341" s="4" t="s">
        <v>514</v>
      </c>
      <c r="F341" s="5">
        <v>44491</v>
      </c>
      <c r="G341" s="5">
        <v>44498</v>
      </c>
      <c r="H341" s="4" t="s">
        <v>81</v>
      </c>
      <c r="I341" s="4" t="s">
        <v>57</v>
      </c>
      <c r="J341" s="4" t="s">
        <v>58</v>
      </c>
      <c r="K341" s="5">
        <v>44784</v>
      </c>
      <c r="L341" s="4" t="s">
        <v>24</v>
      </c>
      <c r="M341" t="b">
        <v>0</v>
      </c>
      <c r="N341" t="b">
        <v>1</v>
      </c>
      <c r="O341" t="b">
        <v>1</v>
      </c>
      <c r="P341" t="b">
        <v>0</v>
      </c>
      <c r="Q341">
        <v>340</v>
      </c>
    </row>
    <row r="342" spans="1:17" x14ac:dyDescent="0.35">
      <c r="A342" s="4" t="s">
        <v>515</v>
      </c>
      <c r="B342" s="4" t="s">
        <v>134</v>
      </c>
      <c r="C342" s="4" t="s">
        <v>228</v>
      </c>
      <c r="D342" s="4" t="s">
        <v>957</v>
      </c>
      <c r="E342" s="4" t="s">
        <v>516</v>
      </c>
      <c r="F342" s="5">
        <v>44491</v>
      </c>
      <c r="G342" s="5">
        <v>44498</v>
      </c>
      <c r="H342" s="4" t="s">
        <v>81</v>
      </c>
      <c r="I342" s="4" t="s">
        <v>57</v>
      </c>
      <c r="J342" s="4" t="s">
        <v>58</v>
      </c>
      <c r="K342" s="5">
        <v>44784</v>
      </c>
      <c r="L342" s="4" t="s">
        <v>24</v>
      </c>
      <c r="M342" t="b">
        <v>0</v>
      </c>
      <c r="N342" t="b">
        <v>0</v>
      </c>
      <c r="O342" t="b">
        <v>1</v>
      </c>
      <c r="P342" t="b">
        <v>0</v>
      </c>
      <c r="Q342">
        <v>341</v>
      </c>
    </row>
    <row r="343" spans="1:17" x14ac:dyDescent="0.35">
      <c r="A343" s="4" t="s">
        <v>771</v>
      </c>
      <c r="B343" s="4" t="s">
        <v>134</v>
      </c>
      <c r="C343" s="4" t="s">
        <v>704</v>
      </c>
      <c r="D343" s="4" t="s">
        <v>863</v>
      </c>
      <c r="E343" s="4" t="s">
        <v>772</v>
      </c>
      <c r="F343" s="5">
        <v>44298</v>
      </c>
      <c r="G343" s="5">
        <v>44300</v>
      </c>
      <c r="H343" s="4" t="s">
        <v>81</v>
      </c>
      <c r="I343" s="4" t="s">
        <v>195</v>
      </c>
      <c r="J343" s="4" t="s">
        <v>196</v>
      </c>
      <c r="K343" s="5">
        <v>44336</v>
      </c>
      <c r="L343" s="4" t="s">
        <v>24</v>
      </c>
      <c r="M343" t="b">
        <v>0</v>
      </c>
      <c r="N343" t="b">
        <v>1</v>
      </c>
      <c r="O343" t="b">
        <v>1</v>
      </c>
      <c r="P343" t="b">
        <v>0</v>
      </c>
      <c r="Q343">
        <v>342</v>
      </c>
    </row>
    <row r="344" spans="1:17" x14ac:dyDescent="0.35">
      <c r="A344" s="4" t="s">
        <v>790</v>
      </c>
      <c r="B344" s="4" t="s">
        <v>134</v>
      </c>
      <c r="C344" s="4" t="s">
        <v>704</v>
      </c>
      <c r="D344" s="4" t="s">
        <v>965</v>
      </c>
      <c r="E344" s="4" t="s">
        <v>772</v>
      </c>
      <c r="F344" s="5">
        <v>44298</v>
      </c>
      <c r="G344" s="5">
        <v>44302</v>
      </c>
      <c r="H344" s="4" t="s">
        <v>81</v>
      </c>
      <c r="I344" s="4" t="s">
        <v>195</v>
      </c>
      <c r="J344" s="4" t="s">
        <v>196</v>
      </c>
      <c r="K344" s="5">
        <v>44336</v>
      </c>
      <c r="L344" s="4" t="s">
        <v>24</v>
      </c>
      <c r="M344" t="b">
        <v>0</v>
      </c>
      <c r="N344" t="b">
        <v>1</v>
      </c>
      <c r="O344" t="b">
        <v>0</v>
      </c>
      <c r="P344" t="b">
        <v>0</v>
      </c>
      <c r="Q344">
        <v>343</v>
      </c>
    </row>
    <row r="345" spans="1:17" x14ac:dyDescent="0.35">
      <c r="A345" s="4" t="s">
        <v>784</v>
      </c>
      <c r="B345" s="4" t="s">
        <v>134</v>
      </c>
      <c r="C345" s="4" t="s">
        <v>704</v>
      </c>
      <c r="D345" s="4" t="s">
        <v>926</v>
      </c>
      <c r="E345" s="4" t="s">
        <v>785</v>
      </c>
      <c r="F345" s="5">
        <v>44298</v>
      </c>
      <c r="G345" s="5">
        <v>44300</v>
      </c>
      <c r="H345" s="4" t="s">
        <v>81</v>
      </c>
      <c r="I345" s="4" t="s">
        <v>195</v>
      </c>
      <c r="J345" s="4" t="s">
        <v>196</v>
      </c>
      <c r="K345" s="5">
        <v>44336</v>
      </c>
      <c r="L345" s="4" t="s">
        <v>24</v>
      </c>
      <c r="M345" t="b">
        <v>0</v>
      </c>
      <c r="N345" t="b">
        <v>0</v>
      </c>
      <c r="O345" t="b">
        <v>1</v>
      </c>
      <c r="P345" t="b">
        <v>0</v>
      </c>
      <c r="Q345">
        <v>344</v>
      </c>
    </row>
    <row r="346" spans="1:17" x14ac:dyDescent="0.35">
      <c r="A346" s="4" t="s">
        <v>775</v>
      </c>
      <c r="B346" s="4" t="s">
        <v>134</v>
      </c>
      <c r="C346" s="4" t="s">
        <v>704</v>
      </c>
      <c r="D346" s="4" t="s">
        <v>926</v>
      </c>
      <c r="E346" s="4" t="s">
        <v>776</v>
      </c>
      <c r="F346" s="5">
        <v>44298</v>
      </c>
      <c r="G346" s="5">
        <v>44305</v>
      </c>
      <c r="H346" s="4" t="s">
        <v>81</v>
      </c>
      <c r="I346" s="4" t="s">
        <v>91</v>
      </c>
      <c r="J346" s="4" t="s">
        <v>92</v>
      </c>
      <c r="K346" s="5">
        <v>44344</v>
      </c>
      <c r="L346" s="4" t="s">
        <v>24</v>
      </c>
      <c r="M346" t="b">
        <v>0</v>
      </c>
      <c r="N346" t="b">
        <v>0</v>
      </c>
      <c r="O346" t="b">
        <v>0</v>
      </c>
      <c r="P346" t="b">
        <v>0</v>
      </c>
      <c r="Q346">
        <v>345</v>
      </c>
    </row>
    <row r="347" spans="1:17" x14ac:dyDescent="0.35">
      <c r="A347" s="4" t="s">
        <v>805</v>
      </c>
      <c r="B347" s="4" t="s">
        <v>134</v>
      </c>
      <c r="C347" s="4" t="s">
        <v>107</v>
      </c>
      <c r="D347" s="4" t="s">
        <v>970</v>
      </c>
      <c r="E347" s="4" t="s">
        <v>806</v>
      </c>
      <c r="F347" s="5">
        <v>44260</v>
      </c>
      <c r="G347" s="5">
        <v>44265</v>
      </c>
      <c r="H347" s="4" t="s">
        <v>81</v>
      </c>
      <c r="I347" s="4" t="s">
        <v>91</v>
      </c>
      <c r="J347" s="4" t="s">
        <v>92</v>
      </c>
      <c r="K347" s="5">
        <v>44818</v>
      </c>
      <c r="L347" s="4" t="s">
        <v>24</v>
      </c>
      <c r="M347" t="b">
        <v>0</v>
      </c>
      <c r="N347" t="b">
        <v>0</v>
      </c>
      <c r="O347" t="b">
        <v>1</v>
      </c>
      <c r="P347" t="b">
        <v>0</v>
      </c>
      <c r="Q347">
        <v>346</v>
      </c>
    </row>
    <row r="348" spans="1:17" x14ac:dyDescent="0.35">
      <c r="A348" s="4" t="s">
        <v>817</v>
      </c>
      <c r="B348" s="4" t="s">
        <v>134</v>
      </c>
      <c r="C348" s="4" t="s">
        <v>107</v>
      </c>
      <c r="D348" s="4" t="s">
        <v>971</v>
      </c>
      <c r="E348" s="4" t="s">
        <v>818</v>
      </c>
      <c r="F348" s="5">
        <v>44258</v>
      </c>
      <c r="G348" s="5">
        <v>44259</v>
      </c>
      <c r="H348" s="4" t="s">
        <v>81</v>
      </c>
      <c r="I348" s="4" t="s">
        <v>57</v>
      </c>
      <c r="J348" s="4" t="s">
        <v>58</v>
      </c>
      <c r="K348" s="5">
        <v>44818</v>
      </c>
      <c r="L348" s="4" t="s">
        <v>24</v>
      </c>
      <c r="M348" t="b">
        <v>0</v>
      </c>
      <c r="N348" t="b">
        <v>0</v>
      </c>
      <c r="O348" t="b">
        <v>1</v>
      </c>
      <c r="P348" t="b">
        <v>0</v>
      </c>
      <c r="Q348">
        <v>347</v>
      </c>
    </row>
    <row r="349" spans="1:17" x14ac:dyDescent="0.35">
      <c r="A349" s="4" t="s">
        <v>811</v>
      </c>
      <c r="B349" s="4" t="s">
        <v>134</v>
      </c>
      <c r="C349" s="4" t="s">
        <v>107</v>
      </c>
      <c r="D349" s="4" t="s">
        <v>960</v>
      </c>
      <c r="E349" s="4" t="s">
        <v>812</v>
      </c>
      <c r="F349" s="5">
        <v>44258</v>
      </c>
      <c r="G349" s="5">
        <v>44259</v>
      </c>
      <c r="H349" s="4" t="s">
        <v>81</v>
      </c>
      <c r="I349" s="4" t="s">
        <v>57</v>
      </c>
      <c r="J349" s="4" t="s">
        <v>58</v>
      </c>
      <c r="K349" s="5">
        <v>44818</v>
      </c>
      <c r="L349" s="4" t="s">
        <v>24</v>
      </c>
      <c r="M349" t="b">
        <v>0</v>
      </c>
      <c r="N349" t="b">
        <v>0</v>
      </c>
      <c r="O349" t="b">
        <v>1</v>
      </c>
      <c r="P349" t="b">
        <v>0</v>
      </c>
      <c r="Q349">
        <v>348</v>
      </c>
    </row>
    <row r="350" spans="1:17" x14ac:dyDescent="0.35">
      <c r="A350" s="4" t="s">
        <v>813</v>
      </c>
      <c r="B350" s="4" t="s">
        <v>134</v>
      </c>
      <c r="C350" s="4" t="s">
        <v>107</v>
      </c>
      <c r="D350" s="4" t="s">
        <v>960</v>
      </c>
      <c r="E350" s="4" t="s">
        <v>763</v>
      </c>
      <c r="F350" s="5">
        <v>44258</v>
      </c>
      <c r="G350" s="5">
        <v>44259</v>
      </c>
      <c r="H350" s="4" t="s">
        <v>81</v>
      </c>
      <c r="I350" s="4" t="s">
        <v>57</v>
      </c>
      <c r="J350" s="4" t="s">
        <v>58</v>
      </c>
      <c r="K350" s="5">
        <v>44818</v>
      </c>
      <c r="L350" s="4" t="s">
        <v>814</v>
      </c>
      <c r="M350" t="b">
        <v>0</v>
      </c>
      <c r="N350" t="b">
        <v>1</v>
      </c>
      <c r="O350" t="b">
        <v>1</v>
      </c>
      <c r="P350" t="b">
        <v>0</v>
      </c>
      <c r="Q350">
        <v>349</v>
      </c>
    </row>
    <row r="351" spans="1:17" x14ac:dyDescent="0.35">
      <c r="A351" s="4" t="s">
        <v>523</v>
      </c>
      <c r="B351" s="4" t="s">
        <v>134</v>
      </c>
      <c r="C351" s="4" t="s">
        <v>107</v>
      </c>
      <c r="D351" s="4" t="s">
        <v>960</v>
      </c>
      <c r="E351" s="4" t="s">
        <v>524</v>
      </c>
      <c r="F351" s="5">
        <v>44491</v>
      </c>
      <c r="G351" s="5">
        <v>44498</v>
      </c>
      <c r="H351" s="4" t="s">
        <v>81</v>
      </c>
      <c r="I351" s="4" t="s">
        <v>91</v>
      </c>
      <c r="J351" s="4" t="s">
        <v>92</v>
      </c>
      <c r="K351" s="5">
        <v>44825</v>
      </c>
      <c r="L351" s="4" t="s">
        <v>24</v>
      </c>
      <c r="M351" t="b">
        <v>0</v>
      </c>
      <c r="N351" t="b">
        <v>1</v>
      </c>
      <c r="O351" t="b">
        <v>1</v>
      </c>
      <c r="P351" t="b">
        <v>0</v>
      </c>
      <c r="Q351">
        <v>350</v>
      </c>
    </row>
    <row r="352" spans="1:17" x14ac:dyDescent="0.35">
      <c r="A352" s="4" t="s">
        <v>608</v>
      </c>
      <c r="B352" s="4" t="s">
        <v>134</v>
      </c>
      <c r="C352" s="4" t="s">
        <v>189</v>
      </c>
      <c r="D352" s="4"/>
      <c r="E352" s="4" t="s">
        <v>609</v>
      </c>
      <c r="F352" s="5">
        <v>44370</v>
      </c>
      <c r="G352" s="5">
        <v>44376</v>
      </c>
      <c r="H352" s="4" t="s">
        <v>81</v>
      </c>
      <c r="I352" s="4" t="s">
        <v>34</v>
      </c>
      <c r="J352" s="4" t="s">
        <v>35</v>
      </c>
      <c r="K352" s="5">
        <v>44672</v>
      </c>
      <c r="L352" s="4" t="s">
        <v>24</v>
      </c>
      <c r="M352" t="b">
        <v>0</v>
      </c>
      <c r="N352" t="b">
        <v>1</v>
      </c>
      <c r="Q352">
        <v>351</v>
      </c>
    </row>
    <row r="353" spans="1:17" x14ac:dyDescent="0.35">
      <c r="A353" s="4" t="s">
        <v>793</v>
      </c>
      <c r="B353" s="4" t="s">
        <v>134</v>
      </c>
      <c r="C353" s="4" t="s">
        <v>107</v>
      </c>
      <c r="D353" s="4" t="s">
        <v>966</v>
      </c>
      <c r="E353" s="4" t="s">
        <v>794</v>
      </c>
      <c r="F353" s="5">
        <v>44295</v>
      </c>
      <c r="G353" s="5">
        <v>44302</v>
      </c>
      <c r="H353" s="4" t="s">
        <v>81</v>
      </c>
      <c r="I353" s="4" t="s">
        <v>57</v>
      </c>
      <c r="J353" s="4" t="s">
        <v>58</v>
      </c>
      <c r="K353" s="5">
        <v>44491</v>
      </c>
      <c r="L353" s="4" t="s">
        <v>24</v>
      </c>
      <c r="M353" t="b">
        <v>0</v>
      </c>
      <c r="N353" t="b">
        <v>0</v>
      </c>
      <c r="O353" t="b">
        <v>0</v>
      </c>
      <c r="P353" t="b">
        <v>0</v>
      </c>
      <c r="Q353">
        <v>352</v>
      </c>
    </row>
    <row r="354" spans="1:17" x14ac:dyDescent="0.35">
      <c r="A354" s="4" t="s">
        <v>803</v>
      </c>
      <c r="B354" s="4" t="s">
        <v>134</v>
      </c>
      <c r="C354" s="4" t="s">
        <v>107</v>
      </c>
      <c r="D354" s="4" t="s">
        <v>969</v>
      </c>
      <c r="E354" s="4" t="s">
        <v>804</v>
      </c>
      <c r="F354" s="5">
        <v>44260</v>
      </c>
      <c r="G354" s="5">
        <v>44264</v>
      </c>
      <c r="H354" s="4" t="s">
        <v>81</v>
      </c>
      <c r="I354" s="4" t="s">
        <v>57</v>
      </c>
      <c r="J354" s="4" t="s">
        <v>58</v>
      </c>
      <c r="K354" s="5">
        <v>44491</v>
      </c>
      <c r="L354" s="4" t="s">
        <v>24</v>
      </c>
      <c r="M354" t="b">
        <v>0</v>
      </c>
      <c r="N354" t="b">
        <v>1</v>
      </c>
      <c r="O354" t="b">
        <v>1</v>
      </c>
      <c r="P354" t="b">
        <v>0</v>
      </c>
      <c r="Q354">
        <v>353</v>
      </c>
    </row>
    <row r="355" spans="1:17" x14ac:dyDescent="0.35">
      <c r="A355" s="4" t="s">
        <v>580</v>
      </c>
      <c r="B355" s="4" t="s">
        <v>134</v>
      </c>
      <c r="C355" s="4" t="s">
        <v>107</v>
      </c>
      <c r="D355" s="4" t="s">
        <v>880</v>
      </c>
      <c r="E355" s="4" t="s">
        <v>581</v>
      </c>
      <c r="F355" s="5">
        <v>44431</v>
      </c>
      <c r="G355" s="5">
        <v>44432</v>
      </c>
      <c r="H355" s="4" t="s">
        <v>81</v>
      </c>
      <c r="I355" s="4" t="s">
        <v>57</v>
      </c>
      <c r="J355" s="4" t="s">
        <v>58</v>
      </c>
      <c r="K355" s="5">
        <v>44491</v>
      </c>
      <c r="L355" s="4" t="s">
        <v>24</v>
      </c>
      <c r="M355" t="b">
        <v>0</v>
      </c>
      <c r="N355" t="b">
        <v>1</v>
      </c>
      <c r="O355" t="b">
        <v>1</v>
      </c>
      <c r="P355" t="b">
        <v>0</v>
      </c>
      <c r="Q355">
        <v>354</v>
      </c>
    </row>
    <row r="356" spans="1:17" x14ac:dyDescent="0.35">
      <c r="A356" s="4" t="s">
        <v>801</v>
      </c>
      <c r="B356" s="4" t="s">
        <v>134</v>
      </c>
      <c r="C356" s="4" t="s">
        <v>107</v>
      </c>
      <c r="D356" s="4" t="s">
        <v>969</v>
      </c>
      <c r="E356" s="4" t="s">
        <v>802</v>
      </c>
      <c r="F356" s="5">
        <v>44260</v>
      </c>
      <c r="G356" s="5">
        <v>44264</v>
      </c>
      <c r="H356" s="4" t="s">
        <v>81</v>
      </c>
      <c r="I356" s="4" t="s">
        <v>57</v>
      </c>
      <c r="J356" s="4" t="s">
        <v>58</v>
      </c>
      <c r="K356" s="5">
        <v>44491</v>
      </c>
      <c r="L356" s="4" t="s">
        <v>24</v>
      </c>
      <c r="M356" t="b">
        <v>0</v>
      </c>
      <c r="N356" t="b">
        <v>0</v>
      </c>
      <c r="O356" t="b">
        <v>0</v>
      </c>
      <c r="P356" t="b">
        <v>0</v>
      </c>
      <c r="Q356">
        <v>355</v>
      </c>
    </row>
    <row r="357" spans="1:17" x14ac:dyDescent="0.35">
      <c r="A357" s="4" t="s">
        <v>606</v>
      </c>
      <c r="B357" s="4" t="s">
        <v>134</v>
      </c>
      <c r="C357" s="4" t="s">
        <v>107</v>
      </c>
      <c r="D357" s="4" t="s">
        <v>949</v>
      </c>
      <c r="E357" s="4" t="s">
        <v>607</v>
      </c>
      <c r="F357" s="5">
        <v>44379</v>
      </c>
      <c r="G357" s="5">
        <v>44382</v>
      </c>
      <c r="H357" s="4" t="s">
        <v>81</v>
      </c>
      <c r="I357" s="4" t="s">
        <v>195</v>
      </c>
      <c r="J357" s="4" t="s">
        <v>196</v>
      </c>
      <c r="K357" s="5">
        <v>44491</v>
      </c>
      <c r="L357" s="4" t="s">
        <v>24</v>
      </c>
      <c r="M357" t="b">
        <v>0</v>
      </c>
      <c r="N357" t="b">
        <v>1</v>
      </c>
      <c r="O357" t="b">
        <v>0</v>
      </c>
      <c r="P357" t="b">
        <v>0</v>
      </c>
      <c r="Q357">
        <v>356</v>
      </c>
    </row>
    <row r="358" spans="1:17" x14ac:dyDescent="0.35">
      <c r="A358" s="4" t="s">
        <v>807</v>
      </c>
      <c r="B358" s="4" t="s">
        <v>134</v>
      </c>
      <c r="C358" s="4" t="s">
        <v>107</v>
      </c>
      <c r="D358" s="4" t="s">
        <v>949</v>
      </c>
      <c r="E358" s="4" t="s">
        <v>808</v>
      </c>
      <c r="F358" s="5">
        <v>44260</v>
      </c>
      <c r="G358" s="5">
        <v>44265</v>
      </c>
      <c r="H358" s="4" t="s">
        <v>81</v>
      </c>
      <c r="I358" s="4" t="s">
        <v>57</v>
      </c>
      <c r="J358" s="4" t="s">
        <v>58</v>
      </c>
      <c r="K358" s="5">
        <v>44491</v>
      </c>
      <c r="L358" s="4" t="s">
        <v>24</v>
      </c>
      <c r="M358" t="b">
        <v>0</v>
      </c>
      <c r="N358" t="b">
        <v>1</v>
      </c>
      <c r="O358" t="b">
        <v>1</v>
      </c>
      <c r="P358" t="b">
        <v>0</v>
      </c>
      <c r="Q358">
        <v>357</v>
      </c>
    </row>
    <row r="359" spans="1:17" x14ac:dyDescent="0.35">
      <c r="A359" s="4" t="s">
        <v>819</v>
      </c>
      <c r="B359" s="4" t="s">
        <v>134</v>
      </c>
      <c r="C359" s="4" t="s">
        <v>107</v>
      </c>
      <c r="D359" s="4" t="s">
        <v>901</v>
      </c>
      <c r="E359" s="4" t="s">
        <v>820</v>
      </c>
      <c r="F359" s="5">
        <v>44256</v>
      </c>
      <c r="G359" s="5">
        <v>44263</v>
      </c>
      <c r="H359" s="4" t="s">
        <v>81</v>
      </c>
      <c r="I359" s="4" t="s">
        <v>57</v>
      </c>
      <c r="J359" s="4" t="s">
        <v>58</v>
      </c>
      <c r="K359" s="5">
        <v>44491</v>
      </c>
      <c r="L359" s="4" t="s">
        <v>24</v>
      </c>
      <c r="M359" t="b">
        <v>0</v>
      </c>
      <c r="N359" t="b">
        <v>0</v>
      </c>
      <c r="O359" t="b">
        <v>0</v>
      </c>
      <c r="P359" t="b">
        <v>0</v>
      </c>
      <c r="Q359">
        <v>358</v>
      </c>
    </row>
    <row r="360" spans="1:17" x14ac:dyDescent="0.35">
      <c r="A360" s="4" t="s">
        <v>821</v>
      </c>
      <c r="B360" s="4" t="s">
        <v>134</v>
      </c>
      <c r="C360" s="4" t="s">
        <v>107</v>
      </c>
      <c r="D360" s="4" t="s">
        <v>901</v>
      </c>
      <c r="E360" s="4" t="s">
        <v>822</v>
      </c>
      <c r="F360" s="5">
        <v>44256</v>
      </c>
      <c r="G360" s="5">
        <v>44258</v>
      </c>
      <c r="H360" s="4" t="s">
        <v>81</v>
      </c>
      <c r="I360" s="4" t="s">
        <v>57</v>
      </c>
      <c r="J360" s="4" t="s">
        <v>58</v>
      </c>
      <c r="K360" s="5">
        <v>44491</v>
      </c>
      <c r="L360" s="4" t="s">
        <v>24</v>
      </c>
      <c r="M360" t="b">
        <v>0</v>
      </c>
      <c r="N360" t="b">
        <v>0</v>
      </c>
      <c r="O360" t="b">
        <v>0</v>
      </c>
      <c r="P360" t="b">
        <v>0</v>
      </c>
      <c r="Q360">
        <v>359</v>
      </c>
    </row>
    <row r="361" spans="1:17" x14ac:dyDescent="0.35">
      <c r="A361" s="4" t="s">
        <v>829</v>
      </c>
      <c r="B361" s="4" t="s">
        <v>134</v>
      </c>
      <c r="C361" s="4" t="s">
        <v>107</v>
      </c>
      <c r="D361" s="4" t="s">
        <v>973</v>
      </c>
      <c r="E361" s="4" t="s">
        <v>830</v>
      </c>
      <c r="F361" s="5">
        <v>44256</v>
      </c>
      <c r="G361" s="5">
        <v>44258</v>
      </c>
      <c r="H361" s="4" t="s">
        <v>81</v>
      </c>
      <c r="I361" s="4" t="s">
        <v>57</v>
      </c>
      <c r="J361" s="4" t="s">
        <v>58</v>
      </c>
      <c r="K361" s="5">
        <v>44491</v>
      </c>
      <c r="L361" s="4" t="s">
        <v>24</v>
      </c>
      <c r="M361" t="b">
        <v>0</v>
      </c>
      <c r="N361" t="b">
        <v>1</v>
      </c>
      <c r="O361" t="b">
        <v>1</v>
      </c>
      <c r="P361" t="b">
        <v>0</v>
      </c>
      <c r="Q361">
        <v>360</v>
      </c>
    </row>
    <row r="362" spans="1:17" x14ac:dyDescent="0.35">
      <c r="A362" s="4" t="s">
        <v>823</v>
      </c>
      <c r="B362" s="4" t="s">
        <v>134</v>
      </c>
      <c r="C362" s="4" t="s">
        <v>107</v>
      </c>
      <c r="D362" s="4" t="s">
        <v>867</v>
      </c>
      <c r="E362" s="4" t="s">
        <v>824</v>
      </c>
      <c r="F362" s="5">
        <v>44256</v>
      </c>
      <c r="G362" s="5">
        <v>44258</v>
      </c>
      <c r="H362" s="4" t="s">
        <v>81</v>
      </c>
      <c r="I362" s="4" t="s">
        <v>57</v>
      </c>
      <c r="J362" s="4" t="s">
        <v>58</v>
      </c>
      <c r="K362" s="5">
        <v>44491</v>
      </c>
      <c r="L362" s="4" t="s">
        <v>24</v>
      </c>
      <c r="M362" t="b">
        <v>0</v>
      </c>
      <c r="N362" t="b">
        <v>1</v>
      </c>
      <c r="O362" t="b">
        <v>0</v>
      </c>
      <c r="P362" t="b">
        <v>0</v>
      </c>
      <c r="Q362">
        <v>361</v>
      </c>
    </row>
    <row r="363" spans="1:17" x14ac:dyDescent="0.35">
      <c r="A363" s="4" t="s">
        <v>827</v>
      </c>
      <c r="B363" s="4" t="s">
        <v>134</v>
      </c>
      <c r="C363" s="4" t="s">
        <v>107</v>
      </c>
      <c r="D363" s="4" t="s">
        <v>972</v>
      </c>
      <c r="E363" s="4" t="s">
        <v>828</v>
      </c>
      <c r="F363" s="5">
        <v>44256</v>
      </c>
      <c r="G363" s="5">
        <v>44258</v>
      </c>
      <c r="H363" s="4" t="s">
        <v>81</v>
      </c>
      <c r="I363" s="4" t="s">
        <v>91</v>
      </c>
      <c r="J363" s="4" t="s">
        <v>92</v>
      </c>
      <c r="K363" s="5">
        <v>44491</v>
      </c>
      <c r="L363" s="4" t="s">
        <v>24</v>
      </c>
      <c r="M363" t="b">
        <v>0</v>
      </c>
      <c r="N363" t="b">
        <v>1</v>
      </c>
      <c r="O363" t="b">
        <v>1</v>
      </c>
      <c r="P363" t="b">
        <v>0</v>
      </c>
      <c r="Q363">
        <v>362</v>
      </c>
    </row>
    <row r="364" spans="1:17" x14ac:dyDescent="0.35">
      <c r="A364" s="4" t="s">
        <v>842</v>
      </c>
      <c r="B364" s="4" t="s">
        <v>134</v>
      </c>
      <c r="C364" s="4" t="s">
        <v>107</v>
      </c>
      <c r="D364" s="4" t="s">
        <v>872</v>
      </c>
      <c r="E364" s="4" t="s">
        <v>843</v>
      </c>
      <c r="F364" s="5">
        <v>44252</v>
      </c>
      <c r="G364" s="5">
        <v>44259</v>
      </c>
      <c r="H364" s="4" t="s">
        <v>81</v>
      </c>
      <c r="I364" s="4" t="s">
        <v>57</v>
      </c>
      <c r="J364" s="4" t="s">
        <v>58</v>
      </c>
      <c r="K364" s="5">
        <v>44491</v>
      </c>
      <c r="L364" s="4" t="s">
        <v>24</v>
      </c>
      <c r="M364" t="b">
        <v>0</v>
      </c>
      <c r="N364" t="b">
        <v>0</v>
      </c>
      <c r="O364" t="b">
        <v>0</v>
      </c>
      <c r="P364" t="b">
        <v>0</v>
      </c>
      <c r="Q364">
        <v>363</v>
      </c>
    </row>
    <row r="365" spans="1:17" x14ac:dyDescent="0.35">
      <c r="A365" s="4" t="s">
        <v>844</v>
      </c>
      <c r="B365" s="4" t="s">
        <v>134</v>
      </c>
      <c r="C365" s="4" t="s">
        <v>107</v>
      </c>
      <c r="D365" s="4" t="s">
        <v>872</v>
      </c>
      <c r="E365" s="4" t="s">
        <v>843</v>
      </c>
      <c r="F365" s="5">
        <v>44252</v>
      </c>
      <c r="G365" s="5">
        <v>44281</v>
      </c>
      <c r="H365" s="4" t="s">
        <v>81</v>
      </c>
      <c r="I365" s="4" t="s">
        <v>57</v>
      </c>
      <c r="J365" s="4" t="s">
        <v>58</v>
      </c>
      <c r="K365" s="5">
        <v>44491</v>
      </c>
      <c r="L365" s="4" t="s">
        <v>24</v>
      </c>
      <c r="M365" t="b">
        <v>0</v>
      </c>
      <c r="N365" t="b">
        <v>0</v>
      </c>
      <c r="O365" t="b">
        <v>0</v>
      </c>
      <c r="P365" t="b">
        <v>0</v>
      </c>
      <c r="Q365">
        <v>364</v>
      </c>
    </row>
    <row r="366" spans="1:17" x14ac:dyDescent="0.35">
      <c r="A366" s="4" t="s">
        <v>845</v>
      </c>
      <c r="B366" s="4" t="s">
        <v>134</v>
      </c>
      <c r="C366" s="4" t="s">
        <v>107</v>
      </c>
      <c r="D366" s="4" t="s">
        <v>872</v>
      </c>
      <c r="E366" s="4" t="s">
        <v>846</v>
      </c>
      <c r="F366" s="5">
        <v>44252</v>
      </c>
      <c r="G366" s="5">
        <v>44260</v>
      </c>
      <c r="H366" s="4" t="s">
        <v>81</v>
      </c>
      <c r="I366" s="4" t="s">
        <v>57</v>
      </c>
      <c r="J366" s="4" t="s">
        <v>58</v>
      </c>
      <c r="K366" s="5">
        <v>44491</v>
      </c>
      <c r="L366" s="4" t="s">
        <v>24</v>
      </c>
      <c r="M366" t="b">
        <v>0</v>
      </c>
      <c r="N366" t="b">
        <v>1</v>
      </c>
      <c r="O366" t="b">
        <v>0</v>
      </c>
      <c r="P366" t="b">
        <v>0</v>
      </c>
      <c r="Q366">
        <v>365</v>
      </c>
    </row>
    <row r="367" spans="1:17" x14ac:dyDescent="0.35">
      <c r="A367" s="4" t="s">
        <v>847</v>
      </c>
      <c r="B367" s="4" t="s">
        <v>134</v>
      </c>
      <c r="C367" s="4" t="s">
        <v>107</v>
      </c>
      <c r="D367" s="4" t="s">
        <v>872</v>
      </c>
      <c r="E367" s="4" t="s">
        <v>848</v>
      </c>
      <c r="F367" s="5">
        <v>44252</v>
      </c>
      <c r="G367" s="5">
        <v>44259</v>
      </c>
      <c r="H367" s="4" t="s">
        <v>81</v>
      </c>
      <c r="I367" s="4" t="s">
        <v>57</v>
      </c>
      <c r="J367" s="4" t="s">
        <v>58</v>
      </c>
      <c r="K367" s="5">
        <v>44491</v>
      </c>
      <c r="L367" s="4" t="s">
        <v>24</v>
      </c>
      <c r="M367" t="b">
        <v>0</v>
      </c>
      <c r="N367" t="b">
        <v>0</v>
      </c>
      <c r="O367" t="b">
        <v>0</v>
      </c>
      <c r="P367" t="b">
        <v>0</v>
      </c>
      <c r="Q367">
        <v>366</v>
      </c>
    </row>
    <row r="368" spans="1:17" x14ac:dyDescent="0.35">
      <c r="A368" s="4" t="s">
        <v>851</v>
      </c>
      <c r="B368" s="4" t="s">
        <v>134</v>
      </c>
      <c r="C368" s="4" t="s">
        <v>107</v>
      </c>
      <c r="D368" s="4" t="s">
        <v>872</v>
      </c>
      <c r="E368" s="4" t="s">
        <v>852</v>
      </c>
      <c r="F368" s="5">
        <v>44252</v>
      </c>
      <c r="G368" s="5">
        <v>44256</v>
      </c>
      <c r="H368" s="4" t="s">
        <v>81</v>
      </c>
      <c r="I368" s="4" t="s">
        <v>57</v>
      </c>
      <c r="J368" s="4" t="s">
        <v>58</v>
      </c>
      <c r="K368" s="5">
        <v>44491</v>
      </c>
      <c r="L368" s="4" t="s">
        <v>24</v>
      </c>
      <c r="M368" t="b">
        <v>0</v>
      </c>
      <c r="N368" t="b">
        <v>0</v>
      </c>
      <c r="O368" t="b">
        <v>1</v>
      </c>
      <c r="P368" t="b">
        <v>0</v>
      </c>
      <c r="Q368">
        <v>367</v>
      </c>
    </row>
    <row r="369" spans="1:17" x14ac:dyDescent="0.35">
      <c r="A369" s="4" t="s">
        <v>849</v>
      </c>
      <c r="B369" s="4" t="s">
        <v>134</v>
      </c>
      <c r="C369" s="4" t="s">
        <v>107</v>
      </c>
      <c r="D369" s="4" t="s">
        <v>872</v>
      </c>
      <c r="E369" s="4" t="s">
        <v>850</v>
      </c>
      <c r="F369" s="5">
        <v>44252</v>
      </c>
      <c r="G369" s="5">
        <v>44259</v>
      </c>
      <c r="H369" s="4" t="s">
        <v>81</v>
      </c>
      <c r="I369" s="4" t="s">
        <v>57</v>
      </c>
      <c r="J369" s="4" t="s">
        <v>58</v>
      </c>
      <c r="K369" s="5">
        <v>44491</v>
      </c>
      <c r="L369" s="4" t="s">
        <v>24</v>
      </c>
      <c r="M369" t="b">
        <v>0</v>
      </c>
      <c r="N369" t="b">
        <v>1</v>
      </c>
      <c r="O369" t="b">
        <v>1</v>
      </c>
      <c r="P369" t="b">
        <v>0</v>
      </c>
      <c r="Q369">
        <v>368</v>
      </c>
    </row>
    <row r="370" spans="1:17" x14ac:dyDescent="0.35">
      <c r="A370" s="4" t="s">
        <v>479</v>
      </c>
      <c r="B370" s="4" t="s">
        <v>134</v>
      </c>
      <c r="C370" s="4" t="s">
        <v>107</v>
      </c>
      <c r="D370" s="4"/>
      <c r="E370" s="4" t="s">
        <v>480</v>
      </c>
      <c r="F370" s="5">
        <v>44619</v>
      </c>
      <c r="G370" s="5">
        <v>44625</v>
      </c>
      <c r="H370" s="4" t="s">
        <v>81</v>
      </c>
      <c r="I370" s="4" t="s">
        <v>57</v>
      </c>
      <c r="J370" s="4" t="s">
        <v>58</v>
      </c>
      <c r="K370" s="5">
        <v>44784</v>
      </c>
      <c r="L370" s="4" t="s">
        <v>24</v>
      </c>
      <c r="M370" t="b">
        <v>0</v>
      </c>
      <c r="O370" t="b">
        <v>1</v>
      </c>
      <c r="Q370">
        <v>369</v>
      </c>
    </row>
    <row r="371" spans="1:17" x14ac:dyDescent="0.35">
      <c r="A371" s="4" t="s">
        <v>521</v>
      </c>
      <c r="B371" s="4" t="s">
        <v>134</v>
      </c>
      <c r="C371" s="4" t="s">
        <v>107</v>
      </c>
      <c r="D371" s="4" t="s">
        <v>866</v>
      </c>
      <c r="E371" s="4" t="s">
        <v>522</v>
      </c>
      <c r="F371" s="5">
        <v>44491</v>
      </c>
      <c r="G371" s="5">
        <v>44498</v>
      </c>
      <c r="H371" s="4" t="s">
        <v>81</v>
      </c>
      <c r="I371" s="4" t="s">
        <v>34</v>
      </c>
      <c r="J371" s="4" t="s">
        <v>35</v>
      </c>
      <c r="K371" s="5">
        <v>44664</v>
      </c>
      <c r="L371" s="4" t="s">
        <v>24</v>
      </c>
      <c r="M371" t="b">
        <v>0</v>
      </c>
      <c r="N371" t="b">
        <v>1</v>
      </c>
      <c r="O371" t="b">
        <v>0</v>
      </c>
      <c r="P371" t="b">
        <v>0</v>
      </c>
      <c r="Q371">
        <v>370</v>
      </c>
    </row>
    <row r="372" spans="1:17" x14ac:dyDescent="0.35">
      <c r="A372" s="4" t="s">
        <v>576</v>
      </c>
      <c r="B372" s="4" t="s">
        <v>134</v>
      </c>
      <c r="C372" s="4" t="s">
        <v>73</v>
      </c>
      <c r="D372" s="4" t="s">
        <v>864</v>
      </c>
      <c r="E372" s="4" t="s">
        <v>577</v>
      </c>
      <c r="F372" s="5">
        <v>44440</v>
      </c>
      <c r="G372" s="5">
        <v>44448</v>
      </c>
      <c r="H372" s="4" t="s">
        <v>81</v>
      </c>
      <c r="I372" s="4" t="s">
        <v>195</v>
      </c>
      <c r="J372" s="4" t="s">
        <v>196</v>
      </c>
      <c r="K372" s="5">
        <v>44491</v>
      </c>
      <c r="L372" s="4" t="s">
        <v>24</v>
      </c>
      <c r="M372" t="b">
        <v>0</v>
      </c>
      <c r="N372" t="b">
        <v>0</v>
      </c>
      <c r="O372" t="b">
        <v>0</v>
      </c>
      <c r="P372" t="b">
        <v>0</v>
      </c>
      <c r="Q372">
        <v>371</v>
      </c>
    </row>
    <row r="373" spans="1:17" x14ac:dyDescent="0.35">
      <c r="A373" s="4" t="s">
        <v>578</v>
      </c>
      <c r="B373" s="4" t="s">
        <v>134</v>
      </c>
      <c r="C373" s="4" t="s">
        <v>73</v>
      </c>
      <c r="D373" s="4" t="s">
        <v>864</v>
      </c>
      <c r="E373" s="4" t="s">
        <v>579</v>
      </c>
      <c r="F373" s="5">
        <v>44440</v>
      </c>
      <c r="G373" s="5">
        <v>44447</v>
      </c>
      <c r="H373" s="4" t="s">
        <v>81</v>
      </c>
      <c r="I373" s="4" t="s">
        <v>57</v>
      </c>
      <c r="J373" s="4" t="s">
        <v>58</v>
      </c>
      <c r="K373" s="5">
        <v>44491</v>
      </c>
      <c r="L373" s="4" t="s">
        <v>24</v>
      </c>
      <c r="M373" t="b">
        <v>0</v>
      </c>
      <c r="N373" t="b">
        <v>0</v>
      </c>
      <c r="O373" t="b">
        <v>1</v>
      </c>
      <c r="P373" t="b">
        <v>0</v>
      </c>
      <c r="Q373">
        <v>372</v>
      </c>
    </row>
    <row r="374" spans="1:17" x14ac:dyDescent="0.35">
      <c r="A374" s="4" t="s">
        <v>574</v>
      </c>
      <c r="B374" s="4" t="s">
        <v>134</v>
      </c>
      <c r="C374" s="4" t="s">
        <v>73</v>
      </c>
      <c r="D374" s="4" t="s">
        <v>864</v>
      </c>
      <c r="E374" s="4" t="s">
        <v>575</v>
      </c>
      <c r="F374" s="5">
        <v>44440</v>
      </c>
      <c r="G374" s="5">
        <v>44454</v>
      </c>
      <c r="H374" s="4" t="s">
        <v>81</v>
      </c>
      <c r="I374" s="4" t="s">
        <v>195</v>
      </c>
      <c r="J374" s="4" t="s">
        <v>196</v>
      </c>
      <c r="K374" s="5">
        <v>44491</v>
      </c>
      <c r="L374" s="4" t="s">
        <v>24</v>
      </c>
      <c r="M374" t="b">
        <v>0</v>
      </c>
      <c r="N374" t="b">
        <v>0</v>
      </c>
      <c r="O374" t="b">
        <v>1</v>
      </c>
      <c r="P374" t="b">
        <v>0</v>
      </c>
      <c r="Q374">
        <v>373</v>
      </c>
    </row>
    <row r="375" spans="1:17" x14ac:dyDescent="0.35">
      <c r="A375" s="4" t="s">
        <v>570</v>
      </c>
      <c r="B375" s="4" t="s">
        <v>134</v>
      </c>
      <c r="C375" s="4" t="s">
        <v>73</v>
      </c>
      <c r="D375" s="4" t="s">
        <v>963</v>
      </c>
      <c r="E375" s="4" t="s">
        <v>571</v>
      </c>
      <c r="F375" s="5">
        <v>44440</v>
      </c>
      <c r="G375" s="5">
        <v>44447</v>
      </c>
      <c r="H375" s="4" t="s">
        <v>81</v>
      </c>
      <c r="I375" s="4" t="s">
        <v>57</v>
      </c>
      <c r="J375" s="4" t="s">
        <v>58</v>
      </c>
      <c r="K375" s="5">
        <v>44491</v>
      </c>
      <c r="L375" s="4" t="s">
        <v>24</v>
      </c>
      <c r="M375" t="b">
        <v>0</v>
      </c>
      <c r="N375" t="b">
        <v>1</v>
      </c>
      <c r="O375" t="b">
        <v>1</v>
      </c>
      <c r="P375" t="b">
        <v>0</v>
      </c>
      <c r="Q375">
        <v>374</v>
      </c>
    </row>
    <row r="376" spans="1:17" x14ac:dyDescent="0.35">
      <c r="A376" s="4" t="s">
        <v>795</v>
      </c>
      <c r="B376" s="4" t="s">
        <v>134</v>
      </c>
      <c r="C376" s="4" t="s">
        <v>107</v>
      </c>
      <c r="D376" s="4"/>
      <c r="E376" s="4" t="s">
        <v>796</v>
      </c>
      <c r="F376" s="5">
        <v>44272</v>
      </c>
      <c r="G376" s="5">
        <v>44284</v>
      </c>
      <c r="H376" s="4" t="s">
        <v>81</v>
      </c>
      <c r="I376" s="4" t="s">
        <v>57</v>
      </c>
      <c r="J376" s="4" t="s">
        <v>58</v>
      </c>
      <c r="K376" s="5">
        <v>44491</v>
      </c>
      <c r="L376" s="4" t="s">
        <v>24</v>
      </c>
      <c r="M376" t="b">
        <v>0</v>
      </c>
      <c r="N376" t="b">
        <v>1</v>
      </c>
      <c r="O376" t="b">
        <v>1</v>
      </c>
      <c r="P376" t="b">
        <v>0</v>
      </c>
      <c r="Q376">
        <v>375</v>
      </c>
    </row>
    <row r="377" spans="1:17" x14ac:dyDescent="0.35">
      <c r="A377" s="4" t="s">
        <v>853</v>
      </c>
      <c r="B377" s="4" t="s">
        <v>134</v>
      </c>
      <c r="C377" s="4" t="s">
        <v>107</v>
      </c>
      <c r="D377" s="4" t="s">
        <v>872</v>
      </c>
      <c r="E377" s="4" t="s">
        <v>854</v>
      </c>
      <c r="F377" s="5">
        <v>44252</v>
      </c>
      <c r="G377" s="5">
        <v>44256</v>
      </c>
      <c r="H377" s="4" t="s">
        <v>81</v>
      </c>
      <c r="I377" s="4" t="s">
        <v>91</v>
      </c>
      <c r="J377" s="4" t="s">
        <v>92</v>
      </c>
      <c r="K377" s="5">
        <v>44491</v>
      </c>
      <c r="L377" s="4" t="s">
        <v>24</v>
      </c>
      <c r="M377" t="b">
        <v>0</v>
      </c>
      <c r="N377" t="b">
        <v>0</v>
      </c>
      <c r="O377" t="b">
        <v>0</v>
      </c>
      <c r="P377" t="b">
        <v>0</v>
      </c>
      <c r="Q377">
        <v>376</v>
      </c>
    </row>
    <row r="378" spans="1:17" x14ac:dyDescent="0.35">
      <c r="A378" s="4" t="s">
        <v>786</v>
      </c>
      <c r="B378" s="4" t="s">
        <v>134</v>
      </c>
      <c r="C378" s="4" t="s">
        <v>704</v>
      </c>
      <c r="D378" s="4" t="s">
        <v>926</v>
      </c>
      <c r="E378" s="4" t="s">
        <v>787</v>
      </c>
      <c r="F378" s="5">
        <v>44298</v>
      </c>
      <c r="G378" s="5">
        <v>44300</v>
      </c>
      <c r="H378" s="4" t="s">
        <v>81</v>
      </c>
      <c r="I378" s="4" t="s">
        <v>57</v>
      </c>
      <c r="J378" s="4" t="s">
        <v>58</v>
      </c>
      <c r="K378" s="5">
        <v>44491</v>
      </c>
      <c r="L378" s="4" t="s">
        <v>24</v>
      </c>
      <c r="M378" t="b">
        <v>0</v>
      </c>
      <c r="N378" t="b">
        <v>0</v>
      </c>
      <c r="O378" t="b">
        <v>0</v>
      </c>
      <c r="P378" t="b">
        <v>0</v>
      </c>
      <c r="Q378">
        <v>377</v>
      </c>
    </row>
    <row r="379" spans="1:17" x14ac:dyDescent="0.35">
      <c r="A379" s="4" t="s">
        <v>788</v>
      </c>
      <c r="B379" s="4" t="s">
        <v>134</v>
      </c>
      <c r="C379" s="4" t="s">
        <v>704</v>
      </c>
      <c r="D379" s="4" t="s">
        <v>926</v>
      </c>
      <c r="E379" s="4" t="s">
        <v>789</v>
      </c>
      <c r="F379" s="5">
        <v>44298</v>
      </c>
      <c r="G379" s="5">
        <v>44305</v>
      </c>
      <c r="H379" s="4" t="s">
        <v>81</v>
      </c>
      <c r="I379" s="4" t="s">
        <v>57</v>
      </c>
      <c r="J379" s="4" t="s">
        <v>58</v>
      </c>
      <c r="K379" s="5">
        <v>44491</v>
      </c>
      <c r="L379" s="4" t="s">
        <v>24</v>
      </c>
      <c r="M379" t="b">
        <v>0</v>
      </c>
      <c r="N379" t="b">
        <v>0</v>
      </c>
      <c r="O379" t="b">
        <v>0</v>
      </c>
      <c r="P379" t="b">
        <v>0</v>
      </c>
      <c r="Q379">
        <v>378</v>
      </c>
    </row>
    <row r="380" spans="1:17" x14ac:dyDescent="0.35">
      <c r="A380" s="4" t="s">
        <v>779</v>
      </c>
      <c r="B380" s="4" t="s">
        <v>134</v>
      </c>
      <c r="C380" s="4" t="s">
        <v>704</v>
      </c>
      <c r="D380" s="4" t="s">
        <v>926</v>
      </c>
      <c r="E380" s="4" t="s">
        <v>780</v>
      </c>
      <c r="F380" s="5">
        <v>44298</v>
      </c>
      <c r="G380" s="5">
        <v>44302</v>
      </c>
      <c r="H380" s="4" t="s">
        <v>81</v>
      </c>
      <c r="I380" s="4" t="s">
        <v>57</v>
      </c>
      <c r="J380" s="4" t="s">
        <v>58</v>
      </c>
      <c r="K380" s="5">
        <v>44491</v>
      </c>
      <c r="L380" s="4" t="s">
        <v>24</v>
      </c>
      <c r="M380" t="b">
        <v>0</v>
      </c>
      <c r="N380" t="b">
        <v>0</v>
      </c>
      <c r="O380" t="b">
        <v>0</v>
      </c>
      <c r="P380" t="b">
        <v>0</v>
      </c>
      <c r="Q380">
        <v>379</v>
      </c>
    </row>
    <row r="381" spans="1:17" x14ac:dyDescent="0.35">
      <c r="A381" s="4" t="s">
        <v>791</v>
      </c>
      <c r="B381" s="4" t="s">
        <v>134</v>
      </c>
      <c r="C381" s="4" t="s">
        <v>704</v>
      </c>
      <c r="D381" s="4" t="s">
        <v>926</v>
      </c>
      <c r="E381" s="4" t="s">
        <v>792</v>
      </c>
      <c r="F381" s="5">
        <v>44298</v>
      </c>
      <c r="G381" s="5">
        <v>44302</v>
      </c>
      <c r="H381" s="4" t="s">
        <v>81</v>
      </c>
      <c r="I381" s="4" t="s">
        <v>91</v>
      </c>
      <c r="J381" s="4" t="s">
        <v>92</v>
      </c>
      <c r="K381" s="5">
        <v>44491</v>
      </c>
      <c r="L381" s="4" t="s">
        <v>24</v>
      </c>
      <c r="M381" t="b">
        <v>0</v>
      </c>
      <c r="N381" t="b">
        <v>0</v>
      </c>
      <c r="O381" t="b">
        <v>0</v>
      </c>
      <c r="P381" t="b">
        <v>0</v>
      </c>
      <c r="Q381">
        <v>380</v>
      </c>
    </row>
    <row r="382" spans="1:17" x14ac:dyDescent="0.35">
      <c r="A382" s="4" t="s">
        <v>773</v>
      </c>
      <c r="B382" s="4" t="s">
        <v>134</v>
      </c>
      <c r="C382" s="4" t="s">
        <v>704</v>
      </c>
      <c r="D382" s="4" t="s">
        <v>863</v>
      </c>
      <c r="E382" s="4" t="s">
        <v>774</v>
      </c>
      <c r="F382" s="5">
        <v>44298</v>
      </c>
      <c r="G382" s="5">
        <v>44302</v>
      </c>
      <c r="H382" s="4" t="s">
        <v>81</v>
      </c>
      <c r="I382" s="4" t="s">
        <v>57</v>
      </c>
      <c r="J382" s="4" t="s">
        <v>58</v>
      </c>
      <c r="K382" s="5">
        <v>44491</v>
      </c>
      <c r="L382" s="4" t="s">
        <v>24</v>
      </c>
      <c r="M382" t="b">
        <v>0</v>
      </c>
      <c r="N382" t="b">
        <v>0</v>
      </c>
      <c r="O382" t="b">
        <v>1</v>
      </c>
      <c r="P382" t="b">
        <v>0</v>
      </c>
      <c r="Q382">
        <v>381</v>
      </c>
    </row>
    <row r="383" spans="1:17" x14ac:dyDescent="0.35">
      <c r="A383" s="4" t="s">
        <v>563</v>
      </c>
      <c r="B383" s="4" t="s">
        <v>134</v>
      </c>
      <c r="C383" s="4" t="s">
        <v>186</v>
      </c>
      <c r="D383" s="4" t="s">
        <v>942</v>
      </c>
      <c r="E383" s="4" t="s">
        <v>564</v>
      </c>
      <c r="F383" s="5">
        <v>44474</v>
      </c>
      <c r="G383" s="5">
        <v>44477</v>
      </c>
      <c r="H383" s="4" t="s">
        <v>81</v>
      </c>
      <c r="I383" s="4" t="s">
        <v>195</v>
      </c>
      <c r="J383" s="4" t="s">
        <v>196</v>
      </c>
      <c r="K383" s="5">
        <v>44491</v>
      </c>
      <c r="L383" s="4" t="s">
        <v>24</v>
      </c>
      <c r="M383" t="b">
        <v>0</v>
      </c>
      <c r="N383" t="b">
        <v>1</v>
      </c>
      <c r="O383" t="b">
        <v>0</v>
      </c>
      <c r="P383" t="b">
        <v>0</v>
      </c>
      <c r="Q383">
        <v>382</v>
      </c>
    </row>
    <row r="384" spans="1:17" x14ac:dyDescent="0.35">
      <c r="A384" s="4" t="s">
        <v>565</v>
      </c>
      <c r="B384" s="4" t="s">
        <v>134</v>
      </c>
      <c r="C384" s="4" t="s">
        <v>186</v>
      </c>
      <c r="D384" s="4" t="s">
        <v>961</v>
      </c>
      <c r="E384" s="4" t="s">
        <v>566</v>
      </c>
      <c r="F384" s="5">
        <v>44453</v>
      </c>
      <c r="G384" s="5">
        <v>44460</v>
      </c>
      <c r="H384" s="4" t="s">
        <v>81</v>
      </c>
      <c r="I384" s="4" t="s">
        <v>91</v>
      </c>
      <c r="J384" s="4" t="s">
        <v>184</v>
      </c>
      <c r="K384" s="5">
        <v>44491</v>
      </c>
      <c r="L384" s="4" t="s">
        <v>24</v>
      </c>
      <c r="M384" t="b">
        <v>0</v>
      </c>
      <c r="N384" t="b">
        <v>0</v>
      </c>
      <c r="O384" t="b">
        <v>0</v>
      </c>
      <c r="P384" t="b">
        <v>0</v>
      </c>
      <c r="Q384">
        <v>383</v>
      </c>
    </row>
    <row r="385" spans="1:17" x14ac:dyDescent="0.35">
      <c r="A385" s="4" t="s">
        <v>517</v>
      </c>
      <c r="B385" s="4" t="s">
        <v>134</v>
      </c>
      <c r="C385" s="4" t="s">
        <v>228</v>
      </c>
      <c r="D385" s="4" t="s">
        <v>958</v>
      </c>
      <c r="E385" s="4" t="s">
        <v>518</v>
      </c>
      <c r="F385" s="5">
        <v>44491</v>
      </c>
      <c r="G385" s="5">
        <v>44498</v>
      </c>
      <c r="H385" s="4" t="s">
        <v>81</v>
      </c>
      <c r="I385" s="4" t="s">
        <v>57</v>
      </c>
      <c r="J385" s="4" t="s">
        <v>58</v>
      </c>
      <c r="K385" s="5">
        <v>44494</v>
      </c>
      <c r="L385" s="4" t="s">
        <v>24</v>
      </c>
      <c r="M385" t="b">
        <v>0</v>
      </c>
      <c r="N385" t="b">
        <v>0</v>
      </c>
      <c r="O385" t="b">
        <v>0</v>
      </c>
      <c r="P385" t="b">
        <v>0</v>
      </c>
      <c r="Q385">
        <v>384</v>
      </c>
    </row>
    <row r="386" spans="1:17" x14ac:dyDescent="0.35">
      <c r="A386" s="4" t="s">
        <v>783</v>
      </c>
      <c r="B386" s="4" t="s">
        <v>134</v>
      </c>
      <c r="C386" s="4" t="s">
        <v>704</v>
      </c>
      <c r="D386" s="4" t="s">
        <v>926</v>
      </c>
      <c r="E386" s="4" t="s">
        <v>782</v>
      </c>
      <c r="F386" s="5">
        <v>44298</v>
      </c>
      <c r="G386" s="5">
        <v>44302</v>
      </c>
      <c r="H386" s="4" t="s">
        <v>81</v>
      </c>
      <c r="I386" s="4" t="s">
        <v>57</v>
      </c>
      <c r="J386" s="4" t="s">
        <v>58</v>
      </c>
      <c r="K386" s="5">
        <v>44298</v>
      </c>
      <c r="L386" s="4" t="s">
        <v>24</v>
      </c>
      <c r="M386" t="b">
        <v>0</v>
      </c>
      <c r="N386" t="b">
        <v>0</v>
      </c>
      <c r="O386" t="b">
        <v>1</v>
      </c>
      <c r="P386" t="b">
        <v>0</v>
      </c>
      <c r="Q386">
        <v>385</v>
      </c>
    </row>
    <row r="387" spans="1:17" x14ac:dyDescent="0.35">
      <c r="A387" s="4" t="s">
        <v>781</v>
      </c>
      <c r="B387" s="4" t="s">
        <v>134</v>
      </c>
      <c r="C387" s="4" t="s">
        <v>704</v>
      </c>
      <c r="D387" s="4" t="s">
        <v>926</v>
      </c>
      <c r="E387" s="4" t="s">
        <v>782</v>
      </c>
      <c r="F387" s="5">
        <v>44298</v>
      </c>
      <c r="G387" s="5">
        <v>44302</v>
      </c>
      <c r="H387" s="4" t="s">
        <v>81</v>
      </c>
      <c r="I387" s="4" t="s">
        <v>57</v>
      </c>
      <c r="J387" s="4" t="s">
        <v>58</v>
      </c>
      <c r="K387" s="5">
        <v>44337</v>
      </c>
      <c r="L387" s="4" t="s">
        <v>24</v>
      </c>
      <c r="M387" t="b">
        <v>0</v>
      </c>
      <c r="N387" t="b">
        <v>0</v>
      </c>
      <c r="O387" t="b">
        <v>0</v>
      </c>
      <c r="P387" t="b">
        <v>0</v>
      </c>
      <c r="Q387">
        <v>386</v>
      </c>
    </row>
    <row r="388" spans="1:17" x14ac:dyDescent="0.35">
      <c r="A388" s="4" t="s">
        <v>509</v>
      </c>
      <c r="B388" s="4" t="s">
        <v>134</v>
      </c>
      <c r="C388" s="4" t="s">
        <v>228</v>
      </c>
      <c r="D388" s="4" t="s">
        <v>954</v>
      </c>
      <c r="E388" s="4" t="s">
        <v>510</v>
      </c>
      <c r="F388" s="5">
        <v>44494</v>
      </c>
      <c r="G388" s="5">
        <v>44501</v>
      </c>
      <c r="H388" s="4" t="s">
        <v>81</v>
      </c>
      <c r="I388" s="4" t="s">
        <v>57</v>
      </c>
      <c r="J388" s="4" t="s">
        <v>58</v>
      </c>
      <c r="K388" s="5">
        <v>44652</v>
      </c>
      <c r="L388" s="4" t="s">
        <v>24</v>
      </c>
      <c r="M388" t="b">
        <v>0</v>
      </c>
      <c r="N388" t="b">
        <v>1</v>
      </c>
      <c r="O388" t="b">
        <v>0</v>
      </c>
      <c r="P388" t="b">
        <v>0</v>
      </c>
      <c r="Q388">
        <v>387</v>
      </c>
    </row>
    <row r="389" spans="1:17" x14ac:dyDescent="0.35">
      <c r="A389" s="4" t="s">
        <v>561</v>
      </c>
      <c r="B389" s="4" t="s">
        <v>134</v>
      </c>
      <c r="C389" s="4" t="s">
        <v>189</v>
      </c>
      <c r="D389" s="4"/>
      <c r="E389" s="4" t="s">
        <v>562</v>
      </c>
      <c r="F389" s="5">
        <v>44476</v>
      </c>
      <c r="G389" s="5">
        <v>44462</v>
      </c>
      <c r="H389" s="4" t="s">
        <v>81</v>
      </c>
      <c r="I389" s="4" t="s">
        <v>57</v>
      </c>
      <c r="J389" s="4" t="s">
        <v>58</v>
      </c>
      <c r="K389" s="5">
        <v>44491</v>
      </c>
      <c r="L389" s="4" t="s">
        <v>24</v>
      </c>
      <c r="M389" t="b">
        <v>0</v>
      </c>
      <c r="N389" t="b">
        <v>1</v>
      </c>
      <c r="O389" t="b">
        <v>1</v>
      </c>
      <c r="P389" t="b">
        <v>1</v>
      </c>
      <c r="Q389">
        <v>388</v>
      </c>
    </row>
    <row r="390" spans="1:17" x14ac:dyDescent="0.35">
      <c r="A390" s="4" t="s">
        <v>676</v>
      </c>
      <c r="B390" s="4" t="s">
        <v>134</v>
      </c>
      <c r="C390" s="4" t="s">
        <v>107</v>
      </c>
      <c r="D390" s="4" t="s">
        <v>885</v>
      </c>
      <c r="E390" s="4" t="s">
        <v>677</v>
      </c>
      <c r="F390" s="5">
        <v>44341</v>
      </c>
      <c r="G390" s="5">
        <v>44348</v>
      </c>
      <c r="H390" s="4" t="s">
        <v>81</v>
      </c>
      <c r="I390" s="4" t="s">
        <v>57</v>
      </c>
      <c r="J390" s="4" t="s">
        <v>58</v>
      </c>
      <c r="K390" s="5">
        <v>44784</v>
      </c>
      <c r="L390" s="4" t="s">
        <v>24</v>
      </c>
      <c r="M390" t="b">
        <v>0</v>
      </c>
      <c r="N390" t="b">
        <v>0</v>
      </c>
      <c r="O390" t="b">
        <v>1</v>
      </c>
      <c r="P390" t="b">
        <v>0</v>
      </c>
      <c r="Q390">
        <v>389</v>
      </c>
    </row>
    <row r="391" spans="1:17" x14ac:dyDescent="0.35">
      <c r="A391" s="4" t="s">
        <v>670</v>
      </c>
      <c r="B391" s="4" t="s">
        <v>134</v>
      </c>
      <c r="C391" s="4" t="s">
        <v>107</v>
      </c>
      <c r="D391" s="4" t="s">
        <v>894</v>
      </c>
      <c r="E391" s="4" t="s">
        <v>671</v>
      </c>
      <c r="F391" s="5">
        <v>44341</v>
      </c>
      <c r="G391" s="5">
        <v>44348</v>
      </c>
      <c r="H391" s="4" t="s">
        <v>81</v>
      </c>
      <c r="I391" s="4" t="s">
        <v>57</v>
      </c>
      <c r="J391" s="4" t="s">
        <v>58</v>
      </c>
      <c r="K391" s="5">
        <v>44784</v>
      </c>
      <c r="L391" s="4" t="s">
        <v>24</v>
      </c>
      <c r="M391" t="b">
        <v>0</v>
      </c>
      <c r="N391" t="b">
        <v>0</v>
      </c>
      <c r="O391" t="b">
        <v>1</v>
      </c>
      <c r="P391" t="b">
        <v>0</v>
      </c>
      <c r="Q391">
        <v>390</v>
      </c>
    </row>
    <row r="392" spans="1:17" x14ac:dyDescent="0.35">
      <c r="A392" s="4" t="s">
        <v>815</v>
      </c>
      <c r="B392" s="4" t="s">
        <v>134</v>
      </c>
      <c r="C392" s="4" t="s">
        <v>107</v>
      </c>
      <c r="D392" s="4" t="s">
        <v>960</v>
      </c>
      <c r="E392" s="4" t="s">
        <v>816</v>
      </c>
      <c r="F392" s="5">
        <v>44258</v>
      </c>
      <c r="G392" s="5">
        <v>44265</v>
      </c>
      <c r="H392" s="4" t="s">
        <v>81</v>
      </c>
      <c r="I392" s="4" t="s">
        <v>57</v>
      </c>
      <c r="J392" s="4" t="s">
        <v>58</v>
      </c>
      <c r="K392" s="5">
        <v>44784</v>
      </c>
      <c r="L392" s="4" t="s">
        <v>24</v>
      </c>
      <c r="M392" t="b">
        <v>0</v>
      </c>
      <c r="N392" t="b">
        <v>1</v>
      </c>
      <c r="O392" t="b">
        <v>1</v>
      </c>
      <c r="P392" t="b">
        <v>0</v>
      </c>
      <c r="Q392">
        <v>391</v>
      </c>
    </row>
    <row r="393" spans="1:17" x14ac:dyDescent="0.35">
      <c r="A393" s="4" t="s">
        <v>680</v>
      </c>
      <c r="B393" s="4" t="s">
        <v>134</v>
      </c>
      <c r="C393" s="4" t="s">
        <v>107</v>
      </c>
      <c r="D393" s="4" t="s">
        <v>937</v>
      </c>
      <c r="E393" s="4" t="s">
        <v>681</v>
      </c>
      <c r="F393" s="5">
        <v>44341</v>
      </c>
      <c r="G393" s="5">
        <v>44348</v>
      </c>
      <c r="H393" s="4" t="s">
        <v>81</v>
      </c>
      <c r="I393" s="4" t="s">
        <v>195</v>
      </c>
      <c r="J393" s="4" t="s">
        <v>196</v>
      </c>
      <c r="K393" s="5">
        <v>44491</v>
      </c>
      <c r="L393" s="4" t="s">
        <v>24</v>
      </c>
      <c r="M393" t="b">
        <v>0</v>
      </c>
      <c r="N393" t="b">
        <v>0</v>
      </c>
      <c r="O393" t="b">
        <v>0</v>
      </c>
      <c r="P393" t="b">
        <v>0</v>
      </c>
      <c r="Q393">
        <v>392</v>
      </c>
    </row>
    <row r="394" spans="1:17" x14ac:dyDescent="0.35">
      <c r="A394" s="4" t="s">
        <v>682</v>
      </c>
      <c r="B394" s="4" t="s">
        <v>134</v>
      </c>
      <c r="C394" s="4" t="s">
        <v>107</v>
      </c>
      <c r="D394" s="4" t="s">
        <v>937</v>
      </c>
      <c r="E394" s="4" t="s">
        <v>683</v>
      </c>
      <c r="F394" s="5">
        <v>44341</v>
      </c>
      <c r="G394" s="5">
        <v>44357</v>
      </c>
      <c r="H394" s="4" t="s">
        <v>81</v>
      </c>
      <c r="I394" s="4" t="s">
        <v>57</v>
      </c>
      <c r="J394" s="4" t="s">
        <v>58</v>
      </c>
      <c r="K394" s="5">
        <v>44491</v>
      </c>
      <c r="L394" s="4" t="s">
        <v>24</v>
      </c>
      <c r="M394" t="b">
        <v>0</v>
      </c>
      <c r="N394" t="b">
        <v>0</v>
      </c>
      <c r="O394" t="b">
        <v>1</v>
      </c>
      <c r="P394" t="b">
        <v>0</v>
      </c>
      <c r="Q394">
        <v>393</v>
      </c>
    </row>
    <row r="395" spans="1:17" x14ac:dyDescent="0.35">
      <c r="A395" s="4" t="s">
        <v>678</v>
      </c>
      <c r="B395" s="4" t="s">
        <v>134</v>
      </c>
      <c r="C395" s="4" t="s">
        <v>107</v>
      </c>
      <c r="D395" s="4" t="s">
        <v>885</v>
      </c>
      <c r="E395" s="4" t="s">
        <v>679</v>
      </c>
      <c r="F395" s="5">
        <v>44341</v>
      </c>
      <c r="G395" s="5">
        <v>44348</v>
      </c>
      <c r="H395" s="4" t="s">
        <v>81</v>
      </c>
      <c r="I395" s="4" t="s">
        <v>195</v>
      </c>
      <c r="J395" s="4" t="s">
        <v>196</v>
      </c>
      <c r="K395" s="5">
        <v>44491</v>
      </c>
      <c r="L395" s="4" t="s">
        <v>24</v>
      </c>
      <c r="M395" t="b">
        <v>0</v>
      </c>
      <c r="N395" t="b">
        <v>0</v>
      </c>
      <c r="O395" t="b">
        <v>0</v>
      </c>
      <c r="P395" t="b">
        <v>0</v>
      </c>
      <c r="Q395">
        <v>394</v>
      </c>
    </row>
    <row r="396" spans="1:17" x14ac:dyDescent="0.35">
      <c r="A396" s="4" t="s">
        <v>825</v>
      </c>
      <c r="B396" s="4" t="s">
        <v>134</v>
      </c>
      <c r="C396" s="4" t="s">
        <v>107</v>
      </c>
      <c r="D396" s="4" t="s">
        <v>885</v>
      </c>
      <c r="E396" s="4" t="s">
        <v>826</v>
      </c>
      <c r="F396" s="5">
        <v>44256</v>
      </c>
      <c r="G396" s="5">
        <v>44263</v>
      </c>
      <c r="H396" s="4" t="s">
        <v>81</v>
      </c>
      <c r="I396" s="4" t="s">
        <v>34</v>
      </c>
      <c r="J396" s="4" t="s">
        <v>35</v>
      </c>
      <c r="K396" s="5">
        <v>44491</v>
      </c>
      <c r="L396" s="4" t="s">
        <v>24</v>
      </c>
      <c r="M396" t="b">
        <v>0</v>
      </c>
      <c r="N396" t="b">
        <v>1</v>
      </c>
      <c r="O396" t="b">
        <v>0</v>
      </c>
      <c r="P396" t="b">
        <v>0</v>
      </c>
      <c r="Q396">
        <v>395</v>
      </c>
    </row>
    <row r="397" spans="1:17" x14ac:dyDescent="0.35">
      <c r="A397" s="4" t="s">
        <v>672</v>
      </c>
      <c r="B397" s="4" t="s">
        <v>134</v>
      </c>
      <c r="C397" s="4" t="s">
        <v>107</v>
      </c>
      <c r="D397" s="4" t="s">
        <v>894</v>
      </c>
      <c r="E397" s="4" t="s">
        <v>673</v>
      </c>
      <c r="F397" s="5">
        <v>44341</v>
      </c>
      <c r="G397" s="5">
        <v>44348</v>
      </c>
      <c r="H397" s="4" t="s">
        <v>81</v>
      </c>
      <c r="I397" s="4" t="s">
        <v>195</v>
      </c>
      <c r="J397" s="4" t="s">
        <v>196</v>
      </c>
      <c r="K397" s="5">
        <v>44491</v>
      </c>
      <c r="L397" s="4" t="s">
        <v>24</v>
      </c>
      <c r="M397" t="b">
        <v>0</v>
      </c>
      <c r="N397" t="b">
        <v>0</v>
      </c>
      <c r="O397" t="b">
        <v>0</v>
      </c>
      <c r="P397" t="b">
        <v>0</v>
      </c>
      <c r="Q397">
        <v>396</v>
      </c>
    </row>
    <row r="398" spans="1:17" x14ac:dyDescent="0.35">
      <c r="A398" s="4" t="s">
        <v>674</v>
      </c>
      <c r="B398" s="4" t="s">
        <v>134</v>
      </c>
      <c r="C398" s="4" t="s">
        <v>107</v>
      </c>
      <c r="D398" s="4" t="s">
        <v>894</v>
      </c>
      <c r="E398" s="4" t="s">
        <v>675</v>
      </c>
      <c r="F398" s="5">
        <v>44341</v>
      </c>
      <c r="G398" s="5">
        <v>44348</v>
      </c>
      <c r="H398" s="4" t="s">
        <v>81</v>
      </c>
      <c r="I398" s="4" t="s">
        <v>57</v>
      </c>
      <c r="J398" s="4" t="s">
        <v>58</v>
      </c>
      <c r="K398" s="5">
        <v>44491</v>
      </c>
      <c r="L398" s="4" t="s">
        <v>24</v>
      </c>
      <c r="M398" t="b">
        <v>0</v>
      </c>
      <c r="N398" t="b">
        <v>0</v>
      </c>
      <c r="O398" t="b">
        <v>1</v>
      </c>
      <c r="P398" t="b">
        <v>0</v>
      </c>
      <c r="Q398">
        <v>397</v>
      </c>
    </row>
    <row r="399" spans="1:17" x14ac:dyDescent="0.35">
      <c r="A399" s="4" t="s">
        <v>765</v>
      </c>
      <c r="B399" s="4" t="s">
        <v>134</v>
      </c>
      <c r="C399" s="4" t="s">
        <v>107</v>
      </c>
      <c r="D399" s="4" t="s">
        <v>866</v>
      </c>
      <c r="E399" s="4" t="s">
        <v>766</v>
      </c>
      <c r="F399" s="5">
        <v>44308</v>
      </c>
      <c r="G399" s="5">
        <v>44311</v>
      </c>
      <c r="H399" s="4" t="s">
        <v>81</v>
      </c>
      <c r="I399" s="4" t="s">
        <v>91</v>
      </c>
      <c r="J399" s="4" t="s">
        <v>184</v>
      </c>
      <c r="K399" s="5">
        <v>44491</v>
      </c>
      <c r="L399" s="4" t="s">
        <v>24</v>
      </c>
      <c r="M399" t="b">
        <v>0</v>
      </c>
      <c r="N399" t="b">
        <v>0</v>
      </c>
      <c r="O399" t="b">
        <v>0</v>
      </c>
      <c r="P399" t="b">
        <v>0</v>
      </c>
      <c r="Q399">
        <v>398</v>
      </c>
    </row>
    <row r="400" spans="1:17" x14ac:dyDescent="0.35">
      <c r="A400" s="4" t="s">
        <v>531</v>
      </c>
      <c r="B400" s="4" t="s">
        <v>134</v>
      </c>
      <c r="C400" s="4" t="s">
        <v>189</v>
      </c>
      <c r="D400" s="4"/>
      <c r="E400" s="4" t="s">
        <v>532</v>
      </c>
      <c r="F400" s="5">
        <v>44480</v>
      </c>
      <c r="G400" s="5">
        <v>44487</v>
      </c>
      <c r="H400" s="4" t="s">
        <v>81</v>
      </c>
      <c r="I400" s="4" t="s">
        <v>91</v>
      </c>
      <c r="J400" s="4" t="s">
        <v>184</v>
      </c>
      <c r="K400" s="5">
        <v>44491</v>
      </c>
      <c r="L400" s="4" t="s">
        <v>24</v>
      </c>
      <c r="M400" t="b">
        <v>0</v>
      </c>
      <c r="N400" t="b">
        <v>1</v>
      </c>
      <c r="O400" t="b">
        <v>0</v>
      </c>
      <c r="P400" t="b">
        <v>0</v>
      </c>
      <c r="Q400">
        <v>399</v>
      </c>
    </row>
    <row r="401" spans="1:17" x14ac:dyDescent="0.35">
      <c r="A401" s="4" t="s">
        <v>567</v>
      </c>
      <c r="B401" s="4" t="s">
        <v>134</v>
      </c>
      <c r="C401" s="4" t="s">
        <v>73</v>
      </c>
      <c r="D401" s="4" t="s">
        <v>962</v>
      </c>
      <c r="E401" s="4" t="s">
        <v>1001</v>
      </c>
      <c r="F401" s="5">
        <v>44440</v>
      </c>
      <c r="G401" s="5">
        <v>44454</v>
      </c>
      <c r="H401" s="4" t="s">
        <v>81</v>
      </c>
      <c r="I401" s="4" t="s">
        <v>195</v>
      </c>
      <c r="J401" s="4" t="s">
        <v>196</v>
      </c>
      <c r="K401" s="5">
        <v>44838</v>
      </c>
      <c r="L401" s="4" t="s">
        <v>24</v>
      </c>
      <c r="M401" t="b">
        <v>0</v>
      </c>
      <c r="N401" t="b">
        <v>0</v>
      </c>
      <c r="O401" t="b">
        <v>0</v>
      </c>
      <c r="P401" t="b">
        <v>0</v>
      </c>
      <c r="Q401">
        <v>400</v>
      </c>
    </row>
    <row r="402" spans="1:17" x14ac:dyDescent="0.35">
      <c r="A402" s="4" t="s">
        <v>511</v>
      </c>
      <c r="B402" s="4" t="s">
        <v>134</v>
      </c>
      <c r="C402" s="4" t="s">
        <v>228</v>
      </c>
      <c r="D402" s="4" t="s">
        <v>955</v>
      </c>
      <c r="E402" s="4" t="s">
        <v>512</v>
      </c>
      <c r="F402" s="5">
        <v>44491</v>
      </c>
      <c r="G402" s="5">
        <v>44498</v>
      </c>
      <c r="H402" s="4" t="s">
        <v>81</v>
      </c>
      <c r="I402" s="4" t="s">
        <v>91</v>
      </c>
      <c r="J402" s="4" t="s">
        <v>92</v>
      </c>
      <c r="K402" s="5">
        <v>44838</v>
      </c>
      <c r="L402" s="4" t="s">
        <v>24</v>
      </c>
      <c r="M402" t="b">
        <v>0</v>
      </c>
      <c r="N402" t="b">
        <v>1</v>
      </c>
      <c r="O402" t="b">
        <v>1</v>
      </c>
      <c r="P402" t="b">
        <v>0</v>
      </c>
      <c r="Q402">
        <v>401</v>
      </c>
    </row>
    <row r="403" spans="1:17" x14ac:dyDescent="0.35">
      <c r="A403" s="4" t="s">
        <v>797</v>
      </c>
      <c r="B403" s="4" t="s">
        <v>134</v>
      </c>
      <c r="C403" s="4" t="s">
        <v>107</v>
      </c>
      <c r="D403" s="4" t="s">
        <v>967</v>
      </c>
      <c r="E403" s="4" t="s">
        <v>798</v>
      </c>
      <c r="F403" s="5">
        <v>44260</v>
      </c>
      <c r="G403" s="5">
        <v>44264</v>
      </c>
      <c r="H403" s="4" t="s">
        <v>81</v>
      </c>
      <c r="I403" s="4" t="s">
        <v>57</v>
      </c>
      <c r="J403" s="4" t="s">
        <v>58</v>
      </c>
      <c r="K403" s="5">
        <v>44784</v>
      </c>
      <c r="L403" s="4" t="s">
        <v>24</v>
      </c>
      <c r="M403" t="b">
        <v>0</v>
      </c>
      <c r="N403" t="b">
        <v>0</v>
      </c>
      <c r="O403" t="b">
        <v>1</v>
      </c>
      <c r="P403" t="b">
        <v>0</v>
      </c>
      <c r="Q403">
        <v>402</v>
      </c>
    </row>
    <row r="404" spans="1:17" x14ac:dyDescent="0.35">
      <c r="A404" s="4" t="s">
        <v>799</v>
      </c>
      <c r="B404" s="4" t="s">
        <v>134</v>
      </c>
      <c r="C404" s="4" t="s">
        <v>107</v>
      </c>
      <c r="D404" s="4" t="s">
        <v>968</v>
      </c>
      <c r="E404" s="4" t="s">
        <v>800</v>
      </c>
      <c r="F404" s="5">
        <v>44260</v>
      </c>
      <c r="G404" s="5">
        <v>44265</v>
      </c>
      <c r="H404" s="4" t="s">
        <v>81</v>
      </c>
      <c r="I404" s="4" t="s">
        <v>57</v>
      </c>
      <c r="J404" s="4" t="s">
        <v>58</v>
      </c>
      <c r="K404" s="5">
        <v>44784</v>
      </c>
      <c r="L404" s="4" t="s">
        <v>24</v>
      </c>
      <c r="M404" t="b">
        <v>0</v>
      </c>
      <c r="N404" t="b">
        <v>1</v>
      </c>
      <c r="O404" t="b">
        <v>1</v>
      </c>
      <c r="P404" t="b">
        <v>0</v>
      </c>
      <c r="Q404">
        <v>403</v>
      </c>
    </row>
    <row r="405" spans="1:17" x14ac:dyDescent="0.35">
      <c r="A405" s="4" t="s">
        <v>856</v>
      </c>
      <c r="B405" s="4" t="s">
        <v>134</v>
      </c>
      <c r="C405" s="4" t="s">
        <v>107</v>
      </c>
      <c r="D405" s="4" t="s">
        <v>872</v>
      </c>
      <c r="E405" s="4" t="s">
        <v>854</v>
      </c>
      <c r="F405" s="5">
        <v>44252</v>
      </c>
      <c r="G405" s="5">
        <v>44253</v>
      </c>
      <c r="H405" s="4" t="s">
        <v>81</v>
      </c>
      <c r="I405" s="4" t="s">
        <v>91</v>
      </c>
      <c r="J405" s="4" t="s">
        <v>92</v>
      </c>
      <c r="K405" s="5">
        <v>44491</v>
      </c>
      <c r="L405" s="4" t="s">
        <v>24</v>
      </c>
      <c r="M405" t="b">
        <v>0</v>
      </c>
      <c r="N405" t="b">
        <v>0</v>
      </c>
      <c r="O405" t="b">
        <v>0</v>
      </c>
      <c r="P405" t="b">
        <v>0</v>
      </c>
      <c r="Q405">
        <v>404</v>
      </c>
    </row>
    <row r="406" spans="1:17" x14ac:dyDescent="0.35">
      <c r="A406" s="4" t="s">
        <v>572</v>
      </c>
      <c r="B406" s="4" t="s">
        <v>134</v>
      </c>
      <c r="C406" s="4" t="s">
        <v>73</v>
      </c>
      <c r="D406" s="4" t="s">
        <v>864</v>
      </c>
      <c r="E406" s="4" t="s">
        <v>573</v>
      </c>
      <c r="F406" s="5">
        <v>44440</v>
      </c>
      <c r="G406" s="5">
        <v>44447</v>
      </c>
      <c r="H406" s="4" t="s">
        <v>81</v>
      </c>
      <c r="I406" s="4" t="s">
        <v>195</v>
      </c>
      <c r="J406" s="4" t="s">
        <v>196</v>
      </c>
      <c r="K406" s="5">
        <v>44664</v>
      </c>
      <c r="L406" s="4" t="s">
        <v>24</v>
      </c>
      <c r="M406" t="b">
        <v>0</v>
      </c>
      <c r="N406" t="b">
        <v>1</v>
      </c>
      <c r="O406" t="b">
        <v>0</v>
      </c>
      <c r="P406" t="b">
        <v>0</v>
      </c>
      <c r="Q406">
        <v>405</v>
      </c>
    </row>
    <row r="407" spans="1:17" x14ac:dyDescent="0.35">
      <c r="A407" s="4" t="s">
        <v>769</v>
      </c>
      <c r="B407" s="4" t="s">
        <v>89</v>
      </c>
      <c r="C407" s="4" t="s">
        <v>73</v>
      </c>
      <c r="D407" s="4"/>
      <c r="E407" s="4" t="s">
        <v>770</v>
      </c>
      <c r="F407" s="5">
        <v>44305</v>
      </c>
      <c r="G407" s="5">
        <v>44312</v>
      </c>
      <c r="H407" s="4" t="s">
        <v>81</v>
      </c>
      <c r="I407" s="4" t="s">
        <v>594</v>
      </c>
      <c r="J407" s="4" t="s">
        <v>595</v>
      </c>
      <c r="K407" s="5">
        <v>44480</v>
      </c>
      <c r="L407" s="4" t="s">
        <v>24</v>
      </c>
      <c r="M407" t="b">
        <v>1</v>
      </c>
      <c r="N407" t="b">
        <v>0</v>
      </c>
      <c r="O407" t="b">
        <v>1</v>
      </c>
      <c r="P407" t="b">
        <v>1</v>
      </c>
      <c r="Q407">
        <v>406</v>
      </c>
    </row>
    <row r="408" spans="1:17" x14ac:dyDescent="0.35">
      <c r="A408" s="4" t="s">
        <v>684</v>
      </c>
      <c r="B408" s="4" t="s">
        <v>134</v>
      </c>
      <c r="C408" s="4" t="s">
        <v>107</v>
      </c>
      <c r="D408" s="4" t="s">
        <v>964</v>
      </c>
      <c r="E408" s="4" t="s">
        <v>685</v>
      </c>
      <c r="F408" s="5">
        <v>44336</v>
      </c>
      <c r="G408" s="5">
        <v>44343</v>
      </c>
      <c r="H408" s="4" t="s">
        <v>81</v>
      </c>
      <c r="I408" s="4" t="s">
        <v>57</v>
      </c>
      <c r="J408" s="4" t="s">
        <v>58</v>
      </c>
      <c r="K408" s="5">
        <v>44491</v>
      </c>
      <c r="L408" s="4" t="s">
        <v>24</v>
      </c>
      <c r="M408" t="b">
        <v>0</v>
      </c>
      <c r="N408" t="b">
        <v>0</v>
      </c>
      <c r="O408" t="b">
        <v>1</v>
      </c>
      <c r="P408" t="b">
        <v>0</v>
      </c>
      <c r="Q408">
        <v>407</v>
      </c>
    </row>
    <row r="409" spans="1:17" x14ac:dyDescent="0.35">
      <c r="A409" s="4" t="s">
        <v>97</v>
      </c>
      <c r="B409" s="4" t="s">
        <v>19</v>
      </c>
      <c r="C409" s="4" t="s">
        <v>73</v>
      </c>
      <c r="D409" s="4" t="s">
        <v>877</v>
      </c>
      <c r="E409" s="4" t="s">
        <v>98</v>
      </c>
      <c r="F409" s="5">
        <v>44789</v>
      </c>
      <c r="G409" s="5">
        <v>44805</v>
      </c>
      <c r="H409" s="4" t="s">
        <v>81</v>
      </c>
      <c r="I409" s="4" t="s">
        <v>34</v>
      </c>
      <c r="J409" s="4" t="s">
        <v>35</v>
      </c>
      <c r="K409" s="5">
        <v>44789</v>
      </c>
      <c r="L409" s="4" t="s">
        <v>24</v>
      </c>
      <c r="M409" t="b">
        <v>1</v>
      </c>
      <c r="N409" t="b">
        <v>0</v>
      </c>
      <c r="O409" t="b">
        <v>0</v>
      </c>
      <c r="P409" t="b">
        <v>0</v>
      </c>
      <c r="Q409">
        <v>408</v>
      </c>
    </row>
    <row r="410" spans="1:17" x14ac:dyDescent="0.35">
      <c r="A410" s="4" t="s">
        <v>93</v>
      </c>
      <c r="B410" s="4" t="s">
        <v>19</v>
      </c>
      <c r="C410" s="4" t="s">
        <v>73</v>
      </c>
      <c r="D410" s="4" t="s">
        <v>877</v>
      </c>
      <c r="E410" s="4" t="s">
        <v>94</v>
      </c>
      <c r="F410" s="5">
        <v>44789</v>
      </c>
      <c r="G410" s="5">
        <v>44805</v>
      </c>
      <c r="H410" s="4" t="s">
        <v>81</v>
      </c>
      <c r="I410" s="4" t="s">
        <v>57</v>
      </c>
      <c r="J410" s="4" t="s">
        <v>58</v>
      </c>
      <c r="K410" s="5">
        <v>44789</v>
      </c>
      <c r="L410" s="4" t="s">
        <v>24</v>
      </c>
      <c r="M410" t="b">
        <v>1</v>
      </c>
      <c r="N410" t="b">
        <v>1</v>
      </c>
      <c r="O410" t="b">
        <v>0</v>
      </c>
      <c r="P410" t="b">
        <v>0</v>
      </c>
      <c r="Q410">
        <v>409</v>
      </c>
    </row>
    <row r="411" spans="1:17" x14ac:dyDescent="0.35">
      <c r="A411" s="4" t="s">
        <v>86</v>
      </c>
      <c r="B411" s="4" t="s">
        <v>19</v>
      </c>
      <c r="C411" s="4" t="s">
        <v>73</v>
      </c>
      <c r="D411" s="4" t="s">
        <v>877</v>
      </c>
      <c r="E411" s="4" t="s">
        <v>87</v>
      </c>
      <c r="F411" s="5">
        <v>44789</v>
      </c>
      <c r="G411" s="5">
        <v>44805</v>
      </c>
      <c r="H411" s="4" t="s">
        <v>81</v>
      </c>
      <c r="I411" s="4" t="s">
        <v>28</v>
      </c>
      <c r="J411" s="4" t="s">
        <v>29</v>
      </c>
      <c r="K411" s="5">
        <v>44789</v>
      </c>
      <c r="L411" s="4" t="s">
        <v>24</v>
      </c>
      <c r="M411" t="b">
        <v>1</v>
      </c>
      <c r="N411" t="b">
        <v>1</v>
      </c>
      <c r="O411" t="b">
        <v>0</v>
      </c>
      <c r="P411" t="b">
        <v>0</v>
      </c>
      <c r="Q411">
        <v>410</v>
      </c>
    </row>
    <row r="412" spans="1:17" x14ac:dyDescent="0.35">
      <c r="A412" s="4" t="s">
        <v>84</v>
      </c>
      <c r="B412" s="4" t="s">
        <v>19</v>
      </c>
      <c r="C412" s="4" t="s">
        <v>73</v>
      </c>
      <c r="D412" s="4" t="s">
        <v>877</v>
      </c>
      <c r="E412" s="4" t="s">
        <v>85</v>
      </c>
      <c r="F412" s="5">
        <v>44789</v>
      </c>
      <c r="G412" s="5">
        <v>45170</v>
      </c>
      <c r="H412" s="4" t="s">
        <v>81</v>
      </c>
      <c r="I412" s="4" t="s">
        <v>51</v>
      </c>
      <c r="J412" s="4" t="s">
        <v>52</v>
      </c>
      <c r="K412" s="5">
        <v>44789</v>
      </c>
      <c r="L412" s="4" t="s">
        <v>24</v>
      </c>
      <c r="M412" t="b">
        <v>0</v>
      </c>
      <c r="N412" t="b">
        <v>1</v>
      </c>
      <c r="O412" t="b">
        <v>0</v>
      </c>
      <c r="P412" t="b">
        <v>0</v>
      </c>
      <c r="Q412">
        <v>411</v>
      </c>
    </row>
    <row r="413" spans="1:17" x14ac:dyDescent="0.35">
      <c r="A413" s="4" t="s">
        <v>82</v>
      </c>
      <c r="B413" s="4" t="s">
        <v>19</v>
      </c>
      <c r="C413" s="4" t="s">
        <v>73</v>
      </c>
      <c r="D413" s="4" t="s">
        <v>877</v>
      </c>
      <c r="E413" s="4" t="s">
        <v>83</v>
      </c>
      <c r="F413" s="5">
        <v>44789</v>
      </c>
      <c r="G413" s="5">
        <v>44805</v>
      </c>
      <c r="H413" s="4" t="s">
        <v>81</v>
      </c>
      <c r="I413" s="4" t="s">
        <v>34</v>
      </c>
      <c r="J413" s="4" t="s">
        <v>35</v>
      </c>
      <c r="K413" s="5">
        <v>44789</v>
      </c>
      <c r="L413" s="4" t="s">
        <v>24</v>
      </c>
      <c r="M413" t="b">
        <v>1</v>
      </c>
      <c r="N413" t="b">
        <v>1</v>
      </c>
      <c r="O413" t="b">
        <v>0</v>
      </c>
      <c r="P413" t="b">
        <v>0</v>
      </c>
      <c r="Q413">
        <v>412</v>
      </c>
    </row>
    <row r="414" spans="1:17" x14ac:dyDescent="0.35">
      <c r="A414" s="4" t="s">
        <v>79</v>
      </c>
      <c r="B414" s="4" t="s">
        <v>19</v>
      </c>
      <c r="C414" s="4" t="s">
        <v>73</v>
      </c>
      <c r="D414" s="4" t="s">
        <v>877</v>
      </c>
      <c r="E414" s="4" t="s">
        <v>80</v>
      </c>
      <c r="F414" s="5">
        <v>44789</v>
      </c>
      <c r="G414" s="5">
        <v>44805</v>
      </c>
      <c r="H414" s="4" t="s">
        <v>81</v>
      </c>
      <c r="I414" s="4" t="s">
        <v>51</v>
      </c>
      <c r="J414" s="4" t="s">
        <v>52</v>
      </c>
      <c r="K414" s="5">
        <v>44789</v>
      </c>
      <c r="L414" s="4" t="s">
        <v>24</v>
      </c>
      <c r="M414" t="b">
        <v>1</v>
      </c>
      <c r="N414" t="b">
        <v>1</v>
      </c>
      <c r="O414" t="b">
        <v>0</v>
      </c>
      <c r="P414" t="b">
        <v>0</v>
      </c>
      <c r="Q414">
        <v>413</v>
      </c>
    </row>
    <row r="415" spans="1:17" x14ac:dyDescent="0.35">
      <c r="A415" s="4" t="s">
        <v>88</v>
      </c>
      <c r="B415" s="4" t="s">
        <v>89</v>
      </c>
      <c r="C415" s="4" t="s">
        <v>73</v>
      </c>
      <c r="D415" s="4" t="s">
        <v>877</v>
      </c>
      <c r="E415" s="4" t="s">
        <v>90</v>
      </c>
      <c r="F415" s="5">
        <v>44789</v>
      </c>
      <c r="G415" s="5">
        <v>44805</v>
      </c>
      <c r="H415" s="4" t="s">
        <v>81</v>
      </c>
      <c r="I415" s="4" t="s">
        <v>91</v>
      </c>
      <c r="J415" s="4" t="s">
        <v>92</v>
      </c>
      <c r="K415" s="5">
        <v>44790</v>
      </c>
      <c r="L415" s="4" t="s">
        <v>24</v>
      </c>
      <c r="M415" t="b">
        <v>1</v>
      </c>
      <c r="N415" t="b">
        <v>1</v>
      </c>
      <c r="O415" t="b">
        <v>1</v>
      </c>
      <c r="P415" t="b">
        <v>0</v>
      </c>
      <c r="Q415">
        <v>414</v>
      </c>
    </row>
    <row r="416" spans="1:17" x14ac:dyDescent="0.35">
      <c r="A416" s="4" t="s">
        <v>1110</v>
      </c>
      <c r="B416" s="4" t="s">
        <v>19</v>
      </c>
      <c r="C416" s="4" t="s">
        <v>228</v>
      </c>
      <c r="D416" s="4" t="s">
        <v>947</v>
      </c>
      <c r="E416" s="4" t="s">
        <v>1111</v>
      </c>
      <c r="F416" s="5">
        <v>44838</v>
      </c>
      <c r="G416" s="5">
        <v>44845</v>
      </c>
      <c r="H416" s="4" t="s">
        <v>1005</v>
      </c>
      <c r="I416" s="4" t="s">
        <v>195</v>
      </c>
      <c r="J416" s="4" t="s">
        <v>196</v>
      </c>
      <c r="K416" s="5">
        <v>44838</v>
      </c>
      <c r="L416" s="4" t="s">
        <v>24</v>
      </c>
      <c r="M416" t="b">
        <v>0</v>
      </c>
      <c r="N416" t="b">
        <v>1</v>
      </c>
      <c r="O416" t="b">
        <v>0</v>
      </c>
      <c r="P416" t="b">
        <v>0</v>
      </c>
      <c r="Q416">
        <v>415</v>
      </c>
    </row>
    <row r="417" spans="1:17" x14ac:dyDescent="0.35">
      <c r="A417" s="4" t="s">
        <v>1112</v>
      </c>
      <c r="B417" s="4" t="s">
        <v>19</v>
      </c>
      <c r="C417" s="4" t="s">
        <v>73</v>
      </c>
      <c r="D417" s="4" t="s">
        <v>1113</v>
      </c>
      <c r="E417" s="4" t="s">
        <v>1114</v>
      </c>
      <c r="F417" s="5">
        <v>44838</v>
      </c>
      <c r="G417" s="5">
        <v>44845</v>
      </c>
      <c r="H417" s="4" t="s">
        <v>1005</v>
      </c>
      <c r="I417" s="4" t="s">
        <v>51</v>
      </c>
      <c r="J417" s="4" t="s">
        <v>52</v>
      </c>
      <c r="K417" s="5">
        <v>44838</v>
      </c>
      <c r="L417" s="4" t="s">
        <v>24</v>
      </c>
      <c r="M417" t="b">
        <v>0</v>
      </c>
      <c r="N417" t="b">
        <v>1</v>
      </c>
      <c r="O417" t="b">
        <v>0</v>
      </c>
      <c r="P417" t="b">
        <v>0</v>
      </c>
      <c r="Q417">
        <v>416</v>
      </c>
    </row>
    <row r="418" spans="1:17" x14ac:dyDescent="0.35">
      <c r="A418" s="4" t="s">
        <v>1082</v>
      </c>
      <c r="B418" s="4" t="s">
        <v>19</v>
      </c>
      <c r="C418" s="4" t="s">
        <v>189</v>
      </c>
      <c r="D418" s="4" t="s">
        <v>1080</v>
      </c>
      <c r="E418" s="4" t="s">
        <v>1629</v>
      </c>
      <c r="F418" s="5">
        <v>44817</v>
      </c>
      <c r="G418" s="5"/>
      <c r="H418" s="4" t="s">
        <v>1005</v>
      </c>
      <c r="I418" s="4" t="s">
        <v>28</v>
      </c>
      <c r="J418" s="4" t="s">
        <v>29</v>
      </c>
      <c r="K418" s="5">
        <v>44817</v>
      </c>
      <c r="L418" s="4" t="s">
        <v>24</v>
      </c>
      <c r="M418" t="b">
        <v>0</v>
      </c>
      <c r="N418" t="b">
        <v>1</v>
      </c>
      <c r="O418" t="b">
        <v>0</v>
      </c>
      <c r="P418" t="b">
        <v>0</v>
      </c>
      <c r="Q418">
        <v>417</v>
      </c>
    </row>
    <row r="419" spans="1:17" x14ac:dyDescent="0.35">
      <c r="A419" s="4" t="s">
        <v>1115</v>
      </c>
      <c r="B419" s="4" t="s">
        <v>19</v>
      </c>
      <c r="C419" s="4" t="s">
        <v>228</v>
      </c>
      <c r="D419" s="4"/>
      <c r="E419" s="4" t="s">
        <v>1116</v>
      </c>
      <c r="F419" s="5">
        <v>44825</v>
      </c>
      <c r="G419" s="5"/>
      <c r="H419" s="4" t="s">
        <v>1005</v>
      </c>
      <c r="I419" s="4" t="s">
        <v>51</v>
      </c>
      <c r="J419" s="4" t="s">
        <v>52</v>
      </c>
      <c r="K419" s="5">
        <v>44825</v>
      </c>
      <c r="L419" s="4" t="s">
        <v>24</v>
      </c>
      <c r="M419" t="b">
        <v>0</v>
      </c>
      <c r="N419" t="b">
        <v>1</v>
      </c>
      <c r="O419" t="b">
        <v>0</v>
      </c>
      <c r="P419" t="b">
        <v>0</v>
      </c>
      <c r="Q419">
        <v>418</v>
      </c>
    </row>
    <row r="420" spans="1:17" x14ac:dyDescent="0.35">
      <c r="A420" s="4" t="s">
        <v>1117</v>
      </c>
      <c r="B420" s="4" t="s">
        <v>19</v>
      </c>
      <c r="C420" s="4" t="s">
        <v>228</v>
      </c>
      <c r="D420" s="4"/>
      <c r="E420" s="4" t="s">
        <v>1118</v>
      </c>
      <c r="F420" s="5">
        <v>44825</v>
      </c>
      <c r="G420" s="5"/>
      <c r="H420" s="4" t="s">
        <v>1005</v>
      </c>
      <c r="I420" s="4" t="s">
        <v>51</v>
      </c>
      <c r="J420" s="4" t="s">
        <v>52</v>
      </c>
      <c r="K420" s="5">
        <v>44825</v>
      </c>
      <c r="L420" s="4" t="s">
        <v>24</v>
      </c>
      <c r="M420" t="b">
        <v>0</v>
      </c>
      <c r="N420" t="b">
        <v>1</v>
      </c>
      <c r="O420" t="b">
        <v>0</v>
      </c>
      <c r="P420" t="b">
        <v>0</v>
      </c>
      <c r="Q420">
        <v>419</v>
      </c>
    </row>
    <row r="421" spans="1:17" x14ac:dyDescent="0.35">
      <c r="A421" s="4" t="s">
        <v>1119</v>
      </c>
      <c r="B421" s="4" t="s">
        <v>19</v>
      </c>
      <c r="C421" s="4" t="s">
        <v>868</v>
      </c>
      <c r="D421" s="4" t="s">
        <v>1120</v>
      </c>
      <c r="E421" s="4" t="s">
        <v>1121</v>
      </c>
      <c r="F421" s="5">
        <v>44824</v>
      </c>
      <c r="G421" s="5"/>
      <c r="H421" s="4" t="s">
        <v>1005</v>
      </c>
      <c r="I421" s="4" t="s">
        <v>22</v>
      </c>
      <c r="J421" s="4" t="s">
        <v>130</v>
      </c>
      <c r="K421" s="5">
        <v>44824</v>
      </c>
      <c r="L421" s="4" t="s">
        <v>24</v>
      </c>
      <c r="M421" t="b">
        <v>0</v>
      </c>
      <c r="N421" t="b">
        <v>1</v>
      </c>
      <c r="O421" t="b">
        <v>0</v>
      </c>
      <c r="P421" t="b">
        <v>0</v>
      </c>
      <c r="Q421">
        <v>420</v>
      </c>
    </row>
    <row r="422" spans="1:17" x14ac:dyDescent="0.35">
      <c r="A422" s="4" t="s">
        <v>1122</v>
      </c>
      <c r="B422" s="4" t="s">
        <v>19</v>
      </c>
      <c r="C422" s="4" t="s">
        <v>228</v>
      </c>
      <c r="D422" s="4" t="s">
        <v>875</v>
      </c>
      <c r="E422" s="4" t="s">
        <v>1123</v>
      </c>
      <c r="F422" s="5">
        <v>44825</v>
      </c>
      <c r="G422" s="5"/>
      <c r="H422" s="4" t="s">
        <v>1005</v>
      </c>
      <c r="I422" s="4" t="s">
        <v>111</v>
      </c>
      <c r="J422" s="4" t="s">
        <v>112</v>
      </c>
      <c r="K422" s="5">
        <v>44825</v>
      </c>
      <c r="L422" s="4" t="s">
        <v>24</v>
      </c>
      <c r="M422" t="b">
        <v>0</v>
      </c>
      <c r="N422" t="b">
        <v>1</v>
      </c>
      <c r="O422" t="b">
        <v>0</v>
      </c>
      <c r="P422" t="b">
        <v>0</v>
      </c>
      <c r="Q422">
        <v>421</v>
      </c>
    </row>
    <row r="423" spans="1:17" x14ac:dyDescent="0.35">
      <c r="A423" s="4" t="s">
        <v>1124</v>
      </c>
      <c r="B423" s="4" t="s">
        <v>19</v>
      </c>
      <c r="C423" s="4" t="s">
        <v>228</v>
      </c>
      <c r="D423" s="4" t="s">
        <v>875</v>
      </c>
      <c r="E423" s="4" t="s">
        <v>1125</v>
      </c>
      <c r="F423" s="5">
        <v>44825</v>
      </c>
      <c r="G423" s="5"/>
      <c r="H423" s="4" t="s">
        <v>1005</v>
      </c>
      <c r="I423" s="4" t="s">
        <v>161</v>
      </c>
      <c r="J423" s="4" t="s">
        <v>162</v>
      </c>
      <c r="K423" s="5">
        <v>44825</v>
      </c>
      <c r="L423" s="4" t="s">
        <v>24</v>
      </c>
      <c r="M423" t="b">
        <v>0</v>
      </c>
      <c r="N423" t="b">
        <v>1</v>
      </c>
      <c r="O423" t="b">
        <v>0</v>
      </c>
      <c r="P423" t="b">
        <v>0</v>
      </c>
      <c r="Q423">
        <v>422</v>
      </c>
    </row>
    <row r="424" spans="1:17" x14ac:dyDescent="0.35">
      <c r="A424" s="4" t="s">
        <v>1126</v>
      </c>
      <c r="B424" s="4" t="s">
        <v>19</v>
      </c>
      <c r="C424" s="4" t="s">
        <v>228</v>
      </c>
      <c r="D424" s="4" t="s">
        <v>875</v>
      </c>
      <c r="E424" s="4" t="s">
        <v>1127</v>
      </c>
      <c r="F424" s="5">
        <v>44825</v>
      </c>
      <c r="G424" s="5"/>
      <c r="H424" s="4" t="s">
        <v>1005</v>
      </c>
      <c r="I424" s="4" t="s">
        <v>111</v>
      </c>
      <c r="J424" s="4" t="s">
        <v>112</v>
      </c>
      <c r="K424" s="5">
        <v>44825</v>
      </c>
      <c r="L424" s="4" t="s">
        <v>24</v>
      </c>
      <c r="M424" t="b">
        <v>0</v>
      </c>
      <c r="N424" t="b">
        <v>1</v>
      </c>
      <c r="O424" t="b">
        <v>0</v>
      </c>
      <c r="P424" t="b">
        <v>0</v>
      </c>
      <c r="Q424">
        <v>423</v>
      </c>
    </row>
    <row r="425" spans="1:17" x14ac:dyDescent="0.35">
      <c r="A425" s="4" t="s">
        <v>1128</v>
      </c>
      <c r="B425" s="4" t="s">
        <v>19</v>
      </c>
      <c r="C425" s="4" t="s">
        <v>228</v>
      </c>
      <c r="D425" s="4" t="s">
        <v>1129</v>
      </c>
      <c r="E425" s="4" t="s">
        <v>1130</v>
      </c>
      <c r="F425" s="5">
        <v>44825</v>
      </c>
      <c r="G425" s="5"/>
      <c r="H425" s="4" t="s">
        <v>1005</v>
      </c>
      <c r="I425" s="4" t="s">
        <v>34</v>
      </c>
      <c r="J425" s="4" t="s">
        <v>35</v>
      </c>
      <c r="K425" s="5">
        <v>44825</v>
      </c>
      <c r="L425" s="4" t="s">
        <v>24</v>
      </c>
      <c r="M425" t="b">
        <v>0</v>
      </c>
      <c r="N425" t="b">
        <v>1</v>
      </c>
      <c r="O425" t="b">
        <v>0</v>
      </c>
      <c r="P425" t="b">
        <v>0</v>
      </c>
      <c r="Q425">
        <v>424</v>
      </c>
    </row>
    <row r="426" spans="1:17" x14ac:dyDescent="0.35">
      <c r="A426" s="4" t="s">
        <v>1131</v>
      </c>
      <c r="B426" s="4" t="s">
        <v>19</v>
      </c>
      <c r="C426" s="4" t="s">
        <v>228</v>
      </c>
      <c r="D426" s="4" t="s">
        <v>1129</v>
      </c>
      <c r="E426" s="4" t="s">
        <v>1630</v>
      </c>
      <c r="F426" s="5">
        <v>44825</v>
      </c>
      <c r="G426" s="5"/>
      <c r="H426" s="4" t="s">
        <v>1005</v>
      </c>
      <c r="I426" s="4" t="s">
        <v>51</v>
      </c>
      <c r="J426" s="4" t="s">
        <v>52</v>
      </c>
      <c r="K426" s="5">
        <v>44825</v>
      </c>
      <c r="L426" s="4" t="s">
        <v>24</v>
      </c>
      <c r="M426" t="b">
        <v>0</v>
      </c>
      <c r="N426" t="b">
        <v>1</v>
      </c>
      <c r="O426" t="b">
        <v>0</v>
      </c>
      <c r="P426" t="b">
        <v>0</v>
      </c>
      <c r="Q426">
        <v>425</v>
      </c>
    </row>
    <row r="427" spans="1:17" x14ac:dyDescent="0.35">
      <c r="A427" s="4" t="s">
        <v>1132</v>
      </c>
      <c r="B427" s="4" t="s">
        <v>19</v>
      </c>
      <c r="C427" s="4" t="s">
        <v>228</v>
      </c>
      <c r="D427" s="4" t="s">
        <v>1129</v>
      </c>
      <c r="E427" s="4" t="s">
        <v>1133</v>
      </c>
      <c r="F427" s="5">
        <v>44825</v>
      </c>
      <c r="G427" s="5"/>
      <c r="H427" s="4" t="s">
        <v>1005</v>
      </c>
      <c r="I427" s="4" t="s">
        <v>51</v>
      </c>
      <c r="J427" s="4" t="s">
        <v>52</v>
      </c>
      <c r="K427" s="5">
        <v>44825</v>
      </c>
      <c r="L427" s="4" t="s">
        <v>24</v>
      </c>
      <c r="M427" t="b">
        <v>0</v>
      </c>
      <c r="N427" t="b">
        <v>1</v>
      </c>
      <c r="O427" t="b">
        <v>0</v>
      </c>
      <c r="P427" t="b">
        <v>0</v>
      </c>
      <c r="Q427">
        <v>426</v>
      </c>
    </row>
    <row r="428" spans="1:17" x14ac:dyDescent="0.35">
      <c r="A428" s="4" t="s">
        <v>1134</v>
      </c>
      <c r="B428" s="4" t="s">
        <v>19</v>
      </c>
      <c r="C428" s="4" t="s">
        <v>228</v>
      </c>
      <c r="D428" s="4" t="s">
        <v>892</v>
      </c>
      <c r="E428" s="4" t="s">
        <v>1135</v>
      </c>
      <c r="F428" s="5">
        <v>44825</v>
      </c>
      <c r="G428" s="5"/>
      <c r="H428" s="4" t="s">
        <v>1005</v>
      </c>
      <c r="I428" s="4" t="s">
        <v>195</v>
      </c>
      <c r="J428" s="4" t="s">
        <v>196</v>
      </c>
      <c r="K428" s="5">
        <v>44825</v>
      </c>
      <c r="L428" s="4" t="s">
        <v>24</v>
      </c>
      <c r="M428" t="b">
        <v>0</v>
      </c>
      <c r="N428" t="b">
        <v>1</v>
      </c>
      <c r="O428" t="b">
        <v>0</v>
      </c>
      <c r="P428" t="b">
        <v>0</v>
      </c>
      <c r="Q428">
        <v>427</v>
      </c>
    </row>
    <row r="429" spans="1:17" x14ac:dyDescent="0.35">
      <c r="A429" s="4" t="s">
        <v>1136</v>
      </c>
      <c r="B429" s="4" t="s">
        <v>19</v>
      </c>
      <c r="C429" s="4" t="s">
        <v>228</v>
      </c>
      <c r="D429" s="4" t="s">
        <v>892</v>
      </c>
      <c r="E429" s="4" t="s">
        <v>1137</v>
      </c>
      <c r="F429" s="5">
        <v>44825</v>
      </c>
      <c r="G429" s="5"/>
      <c r="H429" s="4" t="s">
        <v>1005</v>
      </c>
      <c r="I429" s="4" t="s">
        <v>51</v>
      </c>
      <c r="J429" s="4" t="s">
        <v>52</v>
      </c>
      <c r="K429" s="5">
        <v>44825</v>
      </c>
      <c r="L429" s="4" t="s">
        <v>24</v>
      </c>
      <c r="M429" t="b">
        <v>0</v>
      </c>
      <c r="N429" t="b">
        <v>1</v>
      </c>
      <c r="O429" t="b">
        <v>0</v>
      </c>
      <c r="P429" t="b">
        <v>0</v>
      </c>
      <c r="Q429">
        <v>428</v>
      </c>
    </row>
    <row r="430" spans="1:17" x14ac:dyDescent="0.35">
      <c r="A430" s="4" t="s">
        <v>1138</v>
      </c>
      <c r="B430" s="4" t="s">
        <v>19</v>
      </c>
      <c r="C430" s="4" t="s">
        <v>228</v>
      </c>
      <c r="D430" s="4" t="s">
        <v>875</v>
      </c>
      <c r="E430" s="4" t="s">
        <v>1139</v>
      </c>
      <c r="F430" s="5">
        <v>44825</v>
      </c>
      <c r="G430" s="5"/>
      <c r="H430" s="4" t="s">
        <v>1005</v>
      </c>
      <c r="I430" s="4" t="s">
        <v>57</v>
      </c>
      <c r="J430" s="4" t="s">
        <v>58</v>
      </c>
      <c r="K430" s="5">
        <v>44825</v>
      </c>
      <c r="L430" s="4" t="s">
        <v>24</v>
      </c>
      <c r="M430" t="b">
        <v>0</v>
      </c>
      <c r="N430" t="b">
        <v>1</v>
      </c>
      <c r="O430" t="b">
        <v>0</v>
      </c>
      <c r="P430" t="b">
        <v>0</v>
      </c>
      <c r="Q430">
        <v>429</v>
      </c>
    </row>
    <row r="431" spans="1:17" x14ac:dyDescent="0.35">
      <c r="A431" s="4" t="s">
        <v>1140</v>
      </c>
      <c r="B431" s="4" t="s">
        <v>19</v>
      </c>
      <c r="C431" s="4" t="s">
        <v>228</v>
      </c>
      <c r="D431" s="4" t="s">
        <v>1141</v>
      </c>
      <c r="E431" s="4" t="s">
        <v>1142</v>
      </c>
      <c r="F431" s="5">
        <v>44838</v>
      </c>
      <c r="G431" s="5">
        <v>44845</v>
      </c>
      <c r="H431" s="4" t="s">
        <v>1005</v>
      </c>
      <c r="I431" s="4" t="s">
        <v>51</v>
      </c>
      <c r="J431" s="4" t="s">
        <v>52</v>
      </c>
      <c r="K431" s="5">
        <v>44838</v>
      </c>
      <c r="L431" s="4" t="s">
        <v>24</v>
      </c>
      <c r="M431" t="b">
        <v>0</v>
      </c>
      <c r="N431" t="b">
        <v>1</v>
      </c>
      <c r="O431" t="b">
        <v>0</v>
      </c>
      <c r="P431" t="b">
        <v>0</v>
      </c>
      <c r="Q431">
        <v>430</v>
      </c>
    </row>
    <row r="432" spans="1:17" x14ac:dyDescent="0.35">
      <c r="A432" s="4" t="s">
        <v>1143</v>
      </c>
      <c r="B432" s="4" t="s">
        <v>19</v>
      </c>
      <c r="C432" s="4" t="s">
        <v>189</v>
      </c>
      <c r="D432" s="4" t="s">
        <v>881</v>
      </c>
      <c r="E432" s="4" t="s">
        <v>1028</v>
      </c>
      <c r="F432" s="5">
        <v>44830</v>
      </c>
      <c r="G432" s="5">
        <v>44837</v>
      </c>
      <c r="H432" s="4" t="s">
        <v>1005</v>
      </c>
      <c r="I432" s="4" t="s">
        <v>51</v>
      </c>
      <c r="J432" s="4" t="s">
        <v>1083</v>
      </c>
      <c r="K432" s="5">
        <v>44830</v>
      </c>
      <c r="L432" s="4" t="s">
        <v>24</v>
      </c>
      <c r="M432" t="b">
        <v>1</v>
      </c>
      <c r="N432" t="b">
        <v>1</v>
      </c>
      <c r="O432" t="b">
        <v>0</v>
      </c>
      <c r="Q432">
        <v>431</v>
      </c>
    </row>
    <row r="433" spans="1:17" x14ac:dyDescent="0.35">
      <c r="A433" s="4" t="s">
        <v>1144</v>
      </c>
      <c r="B433" s="4" t="s">
        <v>19</v>
      </c>
      <c r="C433" s="4" t="s">
        <v>73</v>
      </c>
      <c r="D433" s="4"/>
      <c r="E433" s="4" t="s">
        <v>1145</v>
      </c>
      <c r="F433" s="5">
        <v>44838</v>
      </c>
      <c r="G433" s="5">
        <v>44845</v>
      </c>
      <c r="H433" s="4" t="s">
        <v>1005</v>
      </c>
      <c r="I433" s="4" t="s">
        <v>51</v>
      </c>
      <c r="J433" s="4" t="s">
        <v>52</v>
      </c>
      <c r="K433" s="5">
        <v>44838</v>
      </c>
      <c r="L433" s="4" t="s">
        <v>24</v>
      </c>
      <c r="M433" t="b">
        <v>0</v>
      </c>
      <c r="N433" t="b">
        <v>1</v>
      </c>
      <c r="O433" t="b">
        <v>0</v>
      </c>
      <c r="P433" t="b">
        <v>0</v>
      </c>
      <c r="Q433">
        <v>432</v>
      </c>
    </row>
    <row r="434" spans="1:17" x14ac:dyDescent="0.35">
      <c r="A434" s="4" t="s">
        <v>1146</v>
      </c>
      <c r="B434" s="4" t="s">
        <v>19</v>
      </c>
      <c r="C434" s="4" t="s">
        <v>73</v>
      </c>
      <c r="D434" s="4"/>
      <c r="E434" s="4" t="s">
        <v>1147</v>
      </c>
      <c r="F434" s="5">
        <v>44838</v>
      </c>
      <c r="G434" s="5">
        <v>44845</v>
      </c>
      <c r="H434" s="4" t="s">
        <v>1005</v>
      </c>
      <c r="I434" s="4" t="s">
        <v>51</v>
      </c>
      <c r="J434" s="4" t="s">
        <v>52</v>
      </c>
      <c r="K434" s="5">
        <v>44838</v>
      </c>
      <c r="L434" s="4" t="s">
        <v>24</v>
      </c>
      <c r="M434" t="b">
        <v>0</v>
      </c>
      <c r="N434" t="b">
        <v>1</v>
      </c>
      <c r="O434" t="b">
        <v>0</v>
      </c>
      <c r="P434" t="b">
        <v>0</v>
      </c>
      <c r="Q434">
        <v>433</v>
      </c>
    </row>
    <row r="435" spans="1:17" x14ac:dyDescent="0.35">
      <c r="A435" s="4" t="s">
        <v>1148</v>
      </c>
      <c r="B435" s="4" t="s">
        <v>19</v>
      </c>
      <c r="C435" s="4" t="s">
        <v>73</v>
      </c>
      <c r="D435" s="4"/>
      <c r="E435" s="4" t="s">
        <v>1147</v>
      </c>
      <c r="F435" s="5">
        <v>44838</v>
      </c>
      <c r="G435" s="5">
        <v>44845</v>
      </c>
      <c r="H435" s="4" t="s">
        <v>1005</v>
      </c>
      <c r="I435" s="4" t="s">
        <v>51</v>
      </c>
      <c r="J435" s="4" t="s">
        <v>52</v>
      </c>
      <c r="K435" s="5">
        <v>44838</v>
      </c>
      <c r="L435" s="4" t="s">
        <v>24</v>
      </c>
      <c r="M435" t="b">
        <v>0</v>
      </c>
      <c r="N435" t="b">
        <v>1</v>
      </c>
      <c r="O435" t="b">
        <v>0</v>
      </c>
      <c r="P435" t="b">
        <v>0</v>
      </c>
      <c r="Q435">
        <v>434</v>
      </c>
    </row>
    <row r="436" spans="1:17" x14ac:dyDescent="0.35">
      <c r="A436" s="4" t="s">
        <v>1149</v>
      </c>
      <c r="B436" s="4" t="s">
        <v>19</v>
      </c>
      <c r="C436" s="4" t="s">
        <v>73</v>
      </c>
      <c r="D436" s="4"/>
      <c r="E436" s="4" t="s">
        <v>1150</v>
      </c>
      <c r="F436" s="5">
        <v>44838</v>
      </c>
      <c r="G436" s="5">
        <v>44845</v>
      </c>
      <c r="H436" s="4" t="s">
        <v>1005</v>
      </c>
      <c r="I436" s="4" t="s">
        <v>34</v>
      </c>
      <c r="J436" s="4" t="s">
        <v>35</v>
      </c>
      <c r="K436" s="5">
        <v>44838</v>
      </c>
      <c r="L436" s="4" t="s">
        <v>24</v>
      </c>
      <c r="M436" t="b">
        <v>0</v>
      </c>
      <c r="N436" t="b">
        <v>1</v>
      </c>
      <c r="O436" t="b">
        <v>0</v>
      </c>
      <c r="P436" t="b">
        <v>0</v>
      </c>
      <c r="Q436">
        <v>435</v>
      </c>
    </row>
    <row r="437" spans="1:17" x14ac:dyDescent="0.35">
      <c r="A437" s="4" t="s">
        <v>1151</v>
      </c>
      <c r="B437" s="4" t="s">
        <v>19</v>
      </c>
      <c r="C437" s="4" t="s">
        <v>107</v>
      </c>
      <c r="D437" s="4" t="s">
        <v>1152</v>
      </c>
      <c r="E437" s="4" t="s">
        <v>1153</v>
      </c>
      <c r="F437" s="5">
        <v>44838</v>
      </c>
      <c r="G437" s="5">
        <v>44845</v>
      </c>
      <c r="H437" s="4" t="s">
        <v>1005</v>
      </c>
      <c r="I437" s="4" t="s">
        <v>22</v>
      </c>
      <c r="J437" s="4" t="s">
        <v>130</v>
      </c>
      <c r="K437" s="5">
        <v>44838</v>
      </c>
      <c r="L437" s="4" t="s">
        <v>24</v>
      </c>
      <c r="M437" t="b">
        <v>0</v>
      </c>
      <c r="N437" t="b">
        <v>1</v>
      </c>
      <c r="O437" t="b">
        <v>0</v>
      </c>
      <c r="P437" t="b">
        <v>0</v>
      </c>
      <c r="Q437">
        <v>436</v>
      </c>
    </row>
    <row r="438" spans="1:17" x14ac:dyDescent="0.35">
      <c r="A438" s="4" t="s">
        <v>1154</v>
      </c>
      <c r="B438" s="4" t="s">
        <v>19</v>
      </c>
      <c r="C438" s="4" t="s">
        <v>107</v>
      </c>
      <c r="D438" s="4" t="s">
        <v>1155</v>
      </c>
      <c r="E438" s="4" t="s">
        <v>1156</v>
      </c>
      <c r="F438" s="5">
        <v>44839</v>
      </c>
      <c r="G438" s="5">
        <v>44846</v>
      </c>
      <c r="H438" s="4" t="s">
        <v>1005</v>
      </c>
      <c r="I438" s="4" t="s">
        <v>22</v>
      </c>
      <c r="J438" s="4" t="s">
        <v>130</v>
      </c>
      <c r="K438" s="5">
        <v>44839</v>
      </c>
      <c r="L438" s="4" t="s">
        <v>24</v>
      </c>
      <c r="M438" t="b">
        <v>0</v>
      </c>
      <c r="N438" t="b">
        <v>1</v>
      </c>
      <c r="O438" t="b">
        <v>0</v>
      </c>
      <c r="P438" t="b">
        <v>0</v>
      </c>
      <c r="Q438">
        <v>437</v>
      </c>
    </row>
    <row r="439" spans="1:17" x14ac:dyDescent="0.35">
      <c r="A439" s="4" t="s">
        <v>1157</v>
      </c>
      <c r="B439" s="4" t="s">
        <v>19</v>
      </c>
      <c r="C439" s="4" t="s">
        <v>107</v>
      </c>
      <c r="D439" s="4" t="s">
        <v>1155</v>
      </c>
      <c r="E439" s="4" t="s">
        <v>1158</v>
      </c>
      <c r="F439" s="5">
        <v>44839</v>
      </c>
      <c r="G439" s="5">
        <v>44846</v>
      </c>
      <c r="H439" s="4" t="s">
        <v>1005</v>
      </c>
      <c r="I439" s="4" t="s">
        <v>51</v>
      </c>
      <c r="J439" s="4" t="s">
        <v>52</v>
      </c>
      <c r="K439" s="5">
        <v>44839</v>
      </c>
      <c r="L439" s="4" t="s">
        <v>24</v>
      </c>
      <c r="M439" t="b">
        <v>0</v>
      </c>
      <c r="N439" t="b">
        <v>1</v>
      </c>
      <c r="O439" t="b">
        <v>0</v>
      </c>
      <c r="P439" t="b">
        <v>0</v>
      </c>
      <c r="Q439">
        <v>438</v>
      </c>
    </row>
    <row r="440" spans="1:17" x14ac:dyDescent="0.35">
      <c r="A440" s="4" t="s">
        <v>1159</v>
      </c>
      <c r="B440" s="4" t="s">
        <v>19</v>
      </c>
      <c r="C440" s="4" t="s">
        <v>107</v>
      </c>
      <c r="D440" s="4" t="s">
        <v>1155</v>
      </c>
      <c r="E440" s="4" t="s">
        <v>1160</v>
      </c>
      <c r="F440" s="5">
        <v>44839</v>
      </c>
      <c r="G440" s="5">
        <v>44846</v>
      </c>
      <c r="H440" s="4" t="s">
        <v>1005</v>
      </c>
      <c r="I440" s="4" t="s">
        <v>91</v>
      </c>
      <c r="J440" s="4" t="s">
        <v>184</v>
      </c>
      <c r="K440" s="5">
        <v>44839</v>
      </c>
      <c r="L440" s="4" t="s">
        <v>24</v>
      </c>
      <c r="M440" t="b">
        <v>0</v>
      </c>
      <c r="N440" t="b">
        <v>1</v>
      </c>
      <c r="O440" t="b">
        <v>0</v>
      </c>
      <c r="P440" t="b">
        <v>0</v>
      </c>
      <c r="Q440">
        <v>439</v>
      </c>
    </row>
    <row r="441" spans="1:17" x14ac:dyDescent="0.35">
      <c r="A441" s="4" t="s">
        <v>1161</v>
      </c>
      <c r="B441" s="4" t="s">
        <v>19</v>
      </c>
      <c r="C441" s="4" t="s">
        <v>107</v>
      </c>
      <c r="D441" s="4" t="s">
        <v>1155</v>
      </c>
      <c r="E441" s="4" t="s">
        <v>1162</v>
      </c>
      <c r="F441" s="5">
        <v>44839</v>
      </c>
      <c r="G441" s="5">
        <v>44846</v>
      </c>
      <c r="H441" s="4" t="s">
        <v>1005</v>
      </c>
      <c r="I441" s="4" t="s">
        <v>28</v>
      </c>
      <c r="J441" s="4" t="s">
        <v>29</v>
      </c>
      <c r="K441" s="5">
        <v>44839</v>
      </c>
      <c r="L441" s="4" t="s">
        <v>24</v>
      </c>
      <c r="M441" t="b">
        <v>0</v>
      </c>
      <c r="N441" t="b">
        <v>1</v>
      </c>
      <c r="O441" t="b">
        <v>0</v>
      </c>
      <c r="P441" t="b">
        <v>0</v>
      </c>
      <c r="Q441">
        <v>440</v>
      </c>
    </row>
    <row r="442" spans="1:17" x14ac:dyDescent="0.35">
      <c r="A442" s="4" t="s">
        <v>1163</v>
      </c>
      <c r="B442" s="4" t="s">
        <v>19</v>
      </c>
      <c r="C442" s="4" t="s">
        <v>107</v>
      </c>
      <c r="D442" s="4" t="s">
        <v>1164</v>
      </c>
      <c r="E442" s="4" t="s">
        <v>78</v>
      </c>
      <c r="F442" s="5">
        <v>44839</v>
      </c>
      <c r="G442" s="5">
        <v>44846</v>
      </c>
      <c r="H442" s="4" t="s">
        <v>1005</v>
      </c>
      <c r="I442" s="4" t="s">
        <v>57</v>
      </c>
      <c r="J442" s="4" t="s">
        <v>58</v>
      </c>
      <c r="K442" s="5">
        <v>44839</v>
      </c>
      <c r="L442" s="4" t="s">
        <v>24</v>
      </c>
      <c r="M442" t="b">
        <v>0</v>
      </c>
      <c r="N442" t="b">
        <v>1</v>
      </c>
      <c r="O442" t="b">
        <v>0</v>
      </c>
      <c r="P442" t="b">
        <v>0</v>
      </c>
      <c r="Q442">
        <v>441</v>
      </c>
    </row>
    <row r="443" spans="1:17" x14ac:dyDescent="0.35">
      <c r="A443" s="4" t="s">
        <v>1165</v>
      </c>
      <c r="B443" s="4" t="s">
        <v>19</v>
      </c>
      <c r="C443" s="4" t="s">
        <v>107</v>
      </c>
      <c r="D443" s="4" t="s">
        <v>1166</v>
      </c>
      <c r="E443" s="4" t="s">
        <v>1167</v>
      </c>
      <c r="F443" s="5">
        <v>44839</v>
      </c>
      <c r="G443" s="5">
        <v>44846</v>
      </c>
      <c r="H443" s="4" t="s">
        <v>1005</v>
      </c>
      <c r="I443" s="4" t="s">
        <v>57</v>
      </c>
      <c r="J443" s="4" t="s">
        <v>58</v>
      </c>
      <c r="K443" s="5">
        <v>44839</v>
      </c>
      <c r="L443" s="4" t="s">
        <v>24</v>
      </c>
      <c r="M443" t="b">
        <v>0</v>
      </c>
      <c r="N443" t="b">
        <v>1</v>
      </c>
      <c r="O443" t="b">
        <v>0</v>
      </c>
      <c r="P443" t="b">
        <v>0</v>
      </c>
      <c r="Q443">
        <v>442</v>
      </c>
    </row>
    <row r="444" spans="1:17" x14ac:dyDescent="0.35">
      <c r="A444" s="4" t="s">
        <v>1168</v>
      </c>
      <c r="B444" s="4" t="s">
        <v>19</v>
      </c>
      <c r="C444" s="4" t="s">
        <v>107</v>
      </c>
      <c r="D444" s="4" t="s">
        <v>997</v>
      </c>
      <c r="E444" s="4" t="s">
        <v>1631</v>
      </c>
      <c r="F444" s="5">
        <v>44840</v>
      </c>
      <c r="G444" s="5">
        <v>44847</v>
      </c>
      <c r="H444" s="4" t="s">
        <v>1005</v>
      </c>
      <c r="I444" s="4" t="s">
        <v>22</v>
      </c>
      <c r="J444" s="4" t="s">
        <v>130</v>
      </c>
      <c r="K444" s="5">
        <v>44840</v>
      </c>
      <c r="L444" s="4" t="s">
        <v>24</v>
      </c>
      <c r="M444" t="b">
        <v>0</v>
      </c>
      <c r="N444" t="b">
        <v>1</v>
      </c>
      <c r="O444" t="b">
        <v>0</v>
      </c>
      <c r="P444" t="b">
        <v>0</v>
      </c>
      <c r="Q444">
        <v>443</v>
      </c>
    </row>
    <row r="445" spans="1:17" x14ac:dyDescent="0.35">
      <c r="A445" s="4" t="s">
        <v>1169</v>
      </c>
      <c r="B445" s="4" t="s">
        <v>19</v>
      </c>
      <c r="C445" s="4" t="s">
        <v>73</v>
      </c>
      <c r="D445" s="4" t="s">
        <v>1113</v>
      </c>
      <c r="E445" s="4" t="s">
        <v>1170</v>
      </c>
      <c r="F445" s="5">
        <v>44838</v>
      </c>
      <c r="G445" s="5">
        <v>44845</v>
      </c>
      <c r="H445" s="4" t="s">
        <v>1005</v>
      </c>
      <c r="I445" s="4" t="s">
        <v>51</v>
      </c>
      <c r="J445" s="4" t="s">
        <v>52</v>
      </c>
      <c r="K445" s="5">
        <v>44838</v>
      </c>
      <c r="L445" s="4" t="s">
        <v>24</v>
      </c>
      <c r="M445" t="b">
        <v>0</v>
      </c>
      <c r="N445" t="b">
        <v>1</v>
      </c>
      <c r="O445" t="b">
        <v>0</v>
      </c>
      <c r="P445" t="b">
        <v>0</v>
      </c>
      <c r="Q445">
        <v>444</v>
      </c>
    </row>
    <row r="446" spans="1:17" x14ac:dyDescent="0.35">
      <c r="A446" s="4" t="s">
        <v>1171</v>
      </c>
      <c r="B446" s="4" t="s">
        <v>19</v>
      </c>
      <c r="C446" s="4" t="s">
        <v>73</v>
      </c>
      <c r="D446" s="4" t="s">
        <v>1113</v>
      </c>
      <c r="E446" s="4" t="s">
        <v>1172</v>
      </c>
      <c r="F446" s="5">
        <v>44838</v>
      </c>
      <c r="G446" s="5">
        <v>44845</v>
      </c>
      <c r="H446" s="4" t="s">
        <v>1005</v>
      </c>
      <c r="I446" s="4" t="s">
        <v>51</v>
      </c>
      <c r="J446" s="4" t="s">
        <v>52</v>
      </c>
      <c r="K446" s="5">
        <v>44838</v>
      </c>
      <c r="L446" s="4" t="s">
        <v>24</v>
      </c>
      <c r="M446" t="b">
        <v>0</v>
      </c>
      <c r="N446" t="b">
        <v>1</v>
      </c>
      <c r="O446" t="b">
        <v>0</v>
      </c>
      <c r="P446" t="b">
        <v>0</v>
      </c>
      <c r="Q446">
        <v>445</v>
      </c>
    </row>
    <row r="447" spans="1:17" x14ac:dyDescent="0.35">
      <c r="A447" s="4" t="s">
        <v>1173</v>
      </c>
      <c r="B447" s="4" t="s">
        <v>19</v>
      </c>
      <c r="C447" s="4" t="s">
        <v>73</v>
      </c>
      <c r="D447" s="4" t="s">
        <v>876</v>
      </c>
      <c r="E447" s="4" t="s">
        <v>1174</v>
      </c>
      <c r="F447" s="5">
        <v>44839</v>
      </c>
      <c r="G447" s="5">
        <v>44846</v>
      </c>
      <c r="H447" s="4" t="s">
        <v>1005</v>
      </c>
      <c r="I447" s="4" t="s">
        <v>51</v>
      </c>
      <c r="J447" s="4" t="s">
        <v>52</v>
      </c>
      <c r="K447" s="5">
        <v>44839</v>
      </c>
      <c r="L447" s="4" t="s">
        <v>24</v>
      </c>
      <c r="M447" t="b">
        <v>0</v>
      </c>
      <c r="N447" t="b">
        <v>1</v>
      </c>
      <c r="O447" t="b">
        <v>0</v>
      </c>
      <c r="P447" t="b">
        <v>0</v>
      </c>
      <c r="Q447">
        <v>446</v>
      </c>
    </row>
    <row r="448" spans="1:17" x14ac:dyDescent="0.35">
      <c r="A448" s="4" t="s">
        <v>1175</v>
      </c>
      <c r="B448" s="4" t="s">
        <v>19</v>
      </c>
      <c r="C448" s="4" t="s">
        <v>73</v>
      </c>
      <c r="D448" s="4" t="s">
        <v>876</v>
      </c>
      <c r="E448" s="4" t="s">
        <v>1176</v>
      </c>
      <c r="F448" s="5">
        <v>44839</v>
      </c>
      <c r="G448" s="5">
        <v>44846</v>
      </c>
      <c r="H448" s="4" t="s">
        <v>1005</v>
      </c>
      <c r="I448" s="4" t="s">
        <v>51</v>
      </c>
      <c r="J448" s="4" t="s">
        <v>52</v>
      </c>
      <c r="K448" s="5">
        <v>44839</v>
      </c>
      <c r="L448" s="4" t="s">
        <v>24</v>
      </c>
      <c r="M448" t="b">
        <v>0</v>
      </c>
      <c r="N448" t="b">
        <v>1</v>
      </c>
      <c r="O448" t="b">
        <v>0</v>
      </c>
      <c r="P448" t="b">
        <v>0</v>
      </c>
      <c r="Q448">
        <v>447</v>
      </c>
    </row>
    <row r="449" spans="1:17" x14ac:dyDescent="0.35">
      <c r="A449" s="4" t="s">
        <v>1177</v>
      </c>
      <c r="B449" s="4" t="s">
        <v>19</v>
      </c>
      <c r="C449" s="4" t="s">
        <v>73</v>
      </c>
      <c r="D449" s="4" t="s">
        <v>876</v>
      </c>
      <c r="E449" s="4" t="s">
        <v>1178</v>
      </c>
      <c r="F449" s="5">
        <v>44839</v>
      </c>
      <c r="G449" s="5">
        <v>44846</v>
      </c>
      <c r="H449" s="4" t="s">
        <v>1005</v>
      </c>
      <c r="I449" s="4" t="s">
        <v>51</v>
      </c>
      <c r="J449" s="4" t="s">
        <v>52</v>
      </c>
      <c r="K449" s="5">
        <v>44839</v>
      </c>
      <c r="L449" s="4" t="s">
        <v>24</v>
      </c>
      <c r="M449" t="b">
        <v>0</v>
      </c>
      <c r="N449" t="b">
        <v>0</v>
      </c>
      <c r="O449" t="b">
        <v>0</v>
      </c>
      <c r="P449" t="b">
        <v>0</v>
      </c>
      <c r="Q449">
        <v>448</v>
      </c>
    </row>
    <row r="450" spans="1:17" x14ac:dyDescent="0.35">
      <c r="A450" s="4" t="s">
        <v>1179</v>
      </c>
      <c r="B450" s="4" t="s">
        <v>19</v>
      </c>
      <c r="C450" s="4" t="s">
        <v>73</v>
      </c>
      <c r="D450" s="4" t="s">
        <v>876</v>
      </c>
      <c r="E450" s="4" t="s">
        <v>1178</v>
      </c>
      <c r="F450" s="5">
        <v>44839</v>
      </c>
      <c r="G450" s="5">
        <v>44846</v>
      </c>
      <c r="H450" s="4" t="s">
        <v>1005</v>
      </c>
      <c r="I450" s="4" t="s">
        <v>51</v>
      </c>
      <c r="J450" s="4" t="s">
        <v>52</v>
      </c>
      <c r="K450" s="5">
        <v>44839</v>
      </c>
      <c r="L450" s="4" t="s">
        <v>24</v>
      </c>
      <c r="M450" t="b">
        <v>0</v>
      </c>
      <c r="N450" t="b">
        <v>1</v>
      </c>
      <c r="O450" t="b">
        <v>0</v>
      </c>
      <c r="P450" t="b">
        <v>0</v>
      </c>
      <c r="Q450">
        <v>449</v>
      </c>
    </row>
    <row r="451" spans="1:17" x14ac:dyDescent="0.35">
      <c r="A451" s="4" t="s">
        <v>1180</v>
      </c>
      <c r="B451" s="4" t="s">
        <v>19</v>
      </c>
      <c r="C451" s="4" t="s">
        <v>73</v>
      </c>
      <c r="D451" s="4" t="s">
        <v>876</v>
      </c>
      <c r="E451" s="4" t="s">
        <v>1181</v>
      </c>
      <c r="F451" s="5">
        <v>44839</v>
      </c>
      <c r="G451" s="5">
        <v>44846</v>
      </c>
      <c r="H451" s="4" t="s">
        <v>1005</v>
      </c>
      <c r="I451" s="4" t="s">
        <v>51</v>
      </c>
      <c r="J451" s="4" t="s">
        <v>52</v>
      </c>
      <c r="K451" s="5">
        <v>44839</v>
      </c>
      <c r="L451" s="4" t="s">
        <v>24</v>
      </c>
      <c r="M451" t="b">
        <v>0</v>
      </c>
      <c r="N451" t="b">
        <v>1</v>
      </c>
      <c r="O451" t="b">
        <v>0</v>
      </c>
      <c r="P451" t="b">
        <v>0</v>
      </c>
      <c r="Q451">
        <v>450</v>
      </c>
    </row>
    <row r="452" spans="1:17" x14ac:dyDescent="0.35">
      <c r="A452" s="4" t="s">
        <v>1182</v>
      </c>
      <c r="B452" s="4" t="s">
        <v>19</v>
      </c>
      <c r="C452" s="4" t="s">
        <v>73</v>
      </c>
      <c r="D452" s="4" t="s">
        <v>876</v>
      </c>
      <c r="E452" s="4" t="s">
        <v>1183</v>
      </c>
      <c r="F452" s="5">
        <v>44839</v>
      </c>
      <c r="G452" s="5">
        <v>44846</v>
      </c>
      <c r="H452" s="4" t="s">
        <v>1005</v>
      </c>
      <c r="I452" s="4" t="s">
        <v>51</v>
      </c>
      <c r="J452" s="4" t="s">
        <v>52</v>
      </c>
      <c r="K452" s="5">
        <v>44839</v>
      </c>
      <c r="L452" s="4" t="s">
        <v>24</v>
      </c>
      <c r="M452" t="b">
        <v>0</v>
      </c>
      <c r="N452" t="b">
        <v>1</v>
      </c>
      <c r="O452" t="b">
        <v>0</v>
      </c>
      <c r="P452" t="b">
        <v>0</v>
      </c>
      <c r="Q452">
        <v>451</v>
      </c>
    </row>
    <row r="453" spans="1:17" x14ac:dyDescent="0.35">
      <c r="A453" s="4" t="s">
        <v>1184</v>
      </c>
      <c r="B453" s="4" t="s">
        <v>19</v>
      </c>
      <c r="C453" s="4" t="s">
        <v>73</v>
      </c>
      <c r="D453" s="4" t="s">
        <v>876</v>
      </c>
      <c r="E453" s="4" t="s">
        <v>1176</v>
      </c>
      <c r="F453" s="5">
        <v>44839</v>
      </c>
      <c r="G453" s="5">
        <v>44846</v>
      </c>
      <c r="H453" s="4" t="s">
        <v>1005</v>
      </c>
      <c r="I453" s="4" t="s">
        <v>51</v>
      </c>
      <c r="J453" s="4" t="s">
        <v>52</v>
      </c>
      <c r="K453" s="5">
        <v>44839</v>
      </c>
      <c r="L453" s="4" t="s">
        <v>24</v>
      </c>
      <c r="M453" t="b">
        <v>0</v>
      </c>
      <c r="N453" t="b">
        <v>1</v>
      </c>
      <c r="O453" t="b">
        <v>0</v>
      </c>
      <c r="P453" t="b">
        <v>0</v>
      </c>
      <c r="Q453">
        <v>452</v>
      </c>
    </row>
    <row r="454" spans="1:17" x14ac:dyDescent="0.35">
      <c r="A454" s="4" t="s">
        <v>1185</v>
      </c>
      <c r="B454" s="4" t="s">
        <v>19</v>
      </c>
      <c r="C454" s="4" t="s">
        <v>73</v>
      </c>
      <c r="D454" s="4" t="s">
        <v>876</v>
      </c>
      <c r="E454" s="4" t="s">
        <v>1186</v>
      </c>
      <c r="F454" s="5">
        <v>44839</v>
      </c>
      <c r="G454" s="5">
        <v>44846</v>
      </c>
      <c r="H454" s="4" t="s">
        <v>1005</v>
      </c>
      <c r="I454" s="4" t="s">
        <v>51</v>
      </c>
      <c r="J454" s="4" t="s">
        <v>52</v>
      </c>
      <c r="K454" s="5">
        <v>44839</v>
      </c>
      <c r="L454" s="4" t="s">
        <v>24</v>
      </c>
      <c r="M454" t="b">
        <v>0</v>
      </c>
      <c r="N454" t="b">
        <v>1</v>
      </c>
      <c r="O454" t="b">
        <v>0</v>
      </c>
      <c r="P454" t="b">
        <v>0</v>
      </c>
      <c r="Q454">
        <v>453</v>
      </c>
    </row>
    <row r="455" spans="1:17" x14ac:dyDescent="0.35">
      <c r="A455" s="4" t="s">
        <v>1187</v>
      </c>
      <c r="B455" s="4" t="s">
        <v>19</v>
      </c>
      <c r="C455" s="4" t="s">
        <v>73</v>
      </c>
      <c r="D455" s="4" t="s">
        <v>876</v>
      </c>
      <c r="E455" s="4" t="s">
        <v>1176</v>
      </c>
      <c r="F455" s="5">
        <v>44839</v>
      </c>
      <c r="G455" s="5">
        <v>44846</v>
      </c>
      <c r="H455" s="4" t="s">
        <v>1005</v>
      </c>
      <c r="I455" s="4" t="s">
        <v>51</v>
      </c>
      <c r="J455" s="4" t="s">
        <v>52</v>
      </c>
      <c r="K455" s="5">
        <v>44839</v>
      </c>
      <c r="L455" s="4" t="s">
        <v>24</v>
      </c>
      <c r="M455" t="b">
        <v>0</v>
      </c>
      <c r="N455" t="b">
        <v>1</v>
      </c>
      <c r="O455" t="b">
        <v>0</v>
      </c>
      <c r="P455" t="b">
        <v>0</v>
      </c>
      <c r="Q455">
        <v>454</v>
      </c>
    </row>
    <row r="456" spans="1:17" x14ac:dyDescent="0.35">
      <c r="A456" s="4" t="s">
        <v>1188</v>
      </c>
      <c r="B456" s="4" t="s">
        <v>19</v>
      </c>
      <c r="C456" s="4" t="s">
        <v>73</v>
      </c>
      <c r="D456" s="4" t="s">
        <v>876</v>
      </c>
      <c r="E456" s="4" t="s">
        <v>1189</v>
      </c>
      <c r="F456" s="5">
        <v>44839</v>
      </c>
      <c r="G456" s="5">
        <v>44846</v>
      </c>
      <c r="H456" s="4" t="s">
        <v>1005</v>
      </c>
      <c r="I456" s="4" t="s">
        <v>51</v>
      </c>
      <c r="J456" s="4" t="s">
        <v>52</v>
      </c>
      <c r="K456" s="5">
        <v>44839</v>
      </c>
      <c r="L456" s="4" t="s">
        <v>24</v>
      </c>
      <c r="M456" t="b">
        <v>0</v>
      </c>
      <c r="N456" t="b">
        <v>1</v>
      </c>
      <c r="O456" t="b">
        <v>0</v>
      </c>
      <c r="P456" t="b">
        <v>0</v>
      </c>
      <c r="Q456">
        <v>455</v>
      </c>
    </row>
    <row r="457" spans="1:17" x14ac:dyDescent="0.35">
      <c r="A457" s="4" t="s">
        <v>1190</v>
      </c>
      <c r="B457" s="4" t="s">
        <v>19</v>
      </c>
      <c r="C457" s="4" t="s">
        <v>73</v>
      </c>
      <c r="D457" s="4" t="s">
        <v>876</v>
      </c>
      <c r="E457" s="4" t="s">
        <v>1186</v>
      </c>
      <c r="F457" s="5">
        <v>44839</v>
      </c>
      <c r="G457" s="5">
        <v>44846</v>
      </c>
      <c r="H457" s="4" t="s">
        <v>1005</v>
      </c>
      <c r="I457" s="4" t="s">
        <v>51</v>
      </c>
      <c r="J457" s="4" t="s">
        <v>52</v>
      </c>
      <c r="K457" s="5">
        <v>44839</v>
      </c>
      <c r="L457" s="4" t="s">
        <v>24</v>
      </c>
      <c r="M457" t="b">
        <v>0</v>
      </c>
      <c r="N457" t="b">
        <v>1</v>
      </c>
      <c r="O457" t="b">
        <v>0</v>
      </c>
      <c r="P457" t="b">
        <v>0</v>
      </c>
      <c r="Q457">
        <v>456</v>
      </c>
    </row>
    <row r="458" spans="1:17" x14ac:dyDescent="0.35">
      <c r="A458" s="4" t="s">
        <v>1191</v>
      </c>
      <c r="B458" s="4" t="s">
        <v>19</v>
      </c>
      <c r="C458" s="4" t="s">
        <v>73</v>
      </c>
      <c r="D458" s="4" t="s">
        <v>876</v>
      </c>
      <c r="E458" s="4" t="s">
        <v>1192</v>
      </c>
      <c r="F458" s="5">
        <v>44839</v>
      </c>
      <c r="G458" s="5">
        <v>44846</v>
      </c>
      <c r="H458" s="4" t="s">
        <v>1005</v>
      </c>
      <c r="I458" s="4" t="s">
        <v>28</v>
      </c>
      <c r="J458" s="4" t="s">
        <v>29</v>
      </c>
      <c r="K458" s="5">
        <v>44839</v>
      </c>
      <c r="L458" s="4" t="s">
        <v>24</v>
      </c>
      <c r="M458" t="b">
        <v>0</v>
      </c>
      <c r="N458" t="b">
        <v>1</v>
      </c>
      <c r="O458" t="b">
        <v>0</v>
      </c>
      <c r="P458" t="b">
        <v>0</v>
      </c>
      <c r="Q458">
        <v>457</v>
      </c>
    </row>
    <row r="459" spans="1:17" x14ac:dyDescent="0.35">
      <c r="A459" s="4" t="s">
        <v>1193</v>
      </c>
      <c r="B459" s="4" t="s">
        <v>19</v>
      </c>
      <c r="C459" s="4" t="s">
        <v>73</v>
      </c>
      <c r="D459" s="4" t="s">
        <v>876</v>
      </c>
      <c r="E459" s="4" t="s">
        <v>1194</v>
      </c>
      <c r="F459" s="5">
        <v>44839</v>
      </c>
      <c r="G459" s="5">
        <v>44846</v>
      </c>
      <c r="H459" s="4" t="s">
        <v>1005</v>
      </c>
      <c r="I459" s="4" t="s">
        <v>51</v>
      </c>
      <c r="J459" s="4" t="s">
        <v>52</v>
      </c>
      <c r="K459" s="5">
        <v>44839</v>
      </c>
      <c r="L459" s="4" t="s">
        <v>24</v>
      </c>
      <c r="M459" t="b">
        <v>0</v>
      </c>
      <c r="N459" t="b">
        <v>1</v>
      </c>
      <c r="O459" t="b">
        <v>0</v>
      </c>
      <c r="P459" t="b">
        <v>0</v>
      </c>
      <c r="Q459">
        <v>458</v>
      </c>
    </row>
    <row r="460" spans="1:17" x14ac:dyDescent="0.35">
      <c r="A460" s="4" t="s">
        <v>1195</v>
      </c>
      <c r="B460" s="4" t="s">
        <v>19</v>
      </c>
      <c r="C460" s="4" t="s">
        <v>73</v>
      </c>
      <c r="D460" s="4" t="s">
        <v>963</v>
      </c>
      <c r="E460" s="4" t="s">
        <v>1196</v>
      </c>
      <c r="F460" s="5">
        <v>44839</v>
      </c>
      <c r="G460" s="5">
        <v>44846</v>
      </c>
      <c r="H460" s="4" t="s">
        <v>1005</v>
      </c>
      <c r="I460" s="4" t="s">
        <v>22</v>
      </c>
      <c r="J460" s="4" t="s">
        <v>23</v>
      </c>
      <c r="K460" s="5">
        <v>44839</v>
      </c>
      <c r="L460" s="4" t="s">
        <v>24</v>
      </c>
      <c r="M460" t="b">
        <v>0</v>
      </c>
      <c r="N460" t="b">
        <v>1</v>
      </c>
      <c r="O460" t="b">
        <v>0</v>
      </c>
      <c r="P460" t="b">
        <v>0</v>
      </c>
      <c r="Q460">
        <v>459</v>
      </c>
    </row>
    <row r="461" spans="1:17" x14ac:dyDescent="0.35">
      <c r="A461" s="4" t="s">
        <v>1197</v>
      </c>
      <c r="B461" s="4" t="s">
        <v>19</v>
      </c>
      <c r="C461" s="4" t="s">
        <v>73</v>
      </c>
      <c r="D461" s="4" t="s">
        <v>963</v>
      </c>
      <c r="E461" s="4" t="s">
        <v>1198</v>
      </c>
      <c r="F461" s="5">
        <v>44839</v>
      </c>
      <c r="G461" s="5">
        <v>44846</v>
      </c>
      <c r="H461" s="4" t="s">
        <v>1005</v>
      </c>
      <c r="I461" s="4" t="s">
        <v>51</v>
      </c>
      <c r="J461" s="4" t="s">
        <v>52</v>
      </c>
      <c r="K461" s="5">
        <v>44839</v>
      </c>
      <c r="L461" s="4" t="s">
        <v>24</v>
      </c>
      <c r="M461" t="b">
        <v>0</v>
      </c>
      <c r="N461" t="b">
        <v>1</v>
      </c>
      <c r="O461" t="b">
        <v>0</v>
      </c>
      <c r="P461" t="b">
        <v>0</v>
      </c>
      <c r="Q461">
        <v>460</v>
      </c>
    </row>
    <row r="462" spans="1:17" x14ac:dyDescent="0.35">
      <c r="A462" s="4" t="s">
        <v>1199</v>
      </c>
      <c r="B462" s="4" t="s">
        <v>19</v>
      </c>
      <c r="C462" s="4" t="s">
        <v>73</v>
      </c>
      <c r="D462" s="4" t="s">
        <v>864</v>
      </c>
      <c r="E462" s="4" t="s">
        <v>78</v>
      </c>
      <c r="F462" s="5">
        <v>44839</v>
      </c>
      <c r="G462" s="5">
        <v>44846</v>
      </c>
      <c r="H462" s="4" t="s">
        <v>1005</v>
      </c>
      <c r="I462" s="4" t="s">
        <v>57</v>
      </c>
      <c r="J462" s="4" t="s">
        <v>58</v>
      </c>
      <c r="K462" s="5">
        <v>44839</v>
      </c>
      <c r="L462" s="4" t="s">
        <v>24</v>
      </c>
      <c r="M462" t="b">
        <v>0</v>
      </c>
      <c r="N462" t="b">
        <v>1</v>
      </c>
      <c r="O462" t="b">
        <v>0</v>
      </c>
      <c r="P462" t="b">
        <v>0</v>
      </c>
      <c r="Q462">
        <v>461</v>
      </c>
    </row>
    <row r="463" spans="1:17" x14ac:dyDescent="0.35">
      <c r="A463" s="4" t="s">
        <v>1200</v>
      </c>
      <c r="B463" s="4" t="s">
        <v>19</v>
      </c>
      <c r="C463" s="4" t="s">
        <v>73</v>
      </c>
      <c r="D463" s="4" t="s">
        <v>864</v>
      </c>
      <c r="E463" s="4" t="s">
        <v>1201</v>
      </c>
      <c r="F463" s="5">
        <v>44839</v>
      </c>
      <c r="G463" s="5">
        <v>44846</v>
      </c>
      <c r="H463" s="4" t="s">
        <v>1005</v>
      </c>
      <c r="I463" s="4" t="s">
        <v>51</v>
      </c>
      <c r="J463" s="4" t="s">
        <v>52</v>
      </c>
      <c r="K463" s="5">
        <v>44839</v>
      </c>
      <c r="L463" s="4" t="s">
        <v>24</v>
      </c>
      <c r="M463" t="b">
        <v>0</v>
      </c>
      <c r="N463" t="b">
        <v>1</v>
      </c>
      <c r="O463" t="b">
        <v>0</v>
      </c>
      <c r="P463" t="b">
        <v>0</v>
      </c>
      <c r="Q463">
        <v>462</v>
      </c>
    </row>
    <row r="464" spans="1:17" x14ac:dyDescent="0.35">
      <c r="A464" s="4" t="s">
        <v>1202</v>
      </c>
      <c r="B464" s="4" t="s">
        <v>19</v>
      </c>
      <c r="C464" s="4" t="s">
        <v>73</v>
      </c>
      <c r="D464" s="4" t="s">
        <v>1203</v>
      </c>
      <c r="E464" s="4" t="s">
        <v>1204</v>
      </c>
      <c r="F464" s="5">
        <v>44839</v>
      </c>
      <c r="G464" s="5">
        <v>44846</v>
      </c>
      <c r="H464" s="4" t="s">
        <v>1005</v>
      </c>
      <c r="I464" s="4" t="s">
        <v>51</v>
      </c>
      <c r="J464" s="4" t="s">
        <v>52</v>
      </c>
      <c r="K464" s="5">
        <v>44839</v>
      </c>
      <c r="L464" s="4" t="s">
        <v>24</v>
      </c>
      <c r="M464" t="b">
        <v>0</v>
      </c>
      <c r="N464" t="b">
        <v>1</v>
      </c>
      <c r="O464" t="b">
        <v>0</v>
      </c>
      <c r="P464" t="b">
        <v>0</v>
      </c>
      <c r="Q464">
        <v>463</v>
      </c>
    </row>
    <row r="465" spans="1:17" x14ac:dyDescent="0.35">
      <c r="A465" s="4" t="s">
        <v>1205</v>
      </c>
      <c r="B465" s="4" t="s">
        <v>19</v>
      </c>
      <c r="C465" s="4" t="s">
        <v>704</v>
      </c>
      <c r="D465" s="4" t="s">
        <v>965</v>
      </c>
      <c r="E465" s="4" t="s">
        <v>1206</v>
      </c>
      <c r="F465" s="5">
        <v>44839</v>
      </c>
      <c r="G465" s="5">
        <v>44846</v>
      </c>
      <c r="H465" s="4" t="s">
        <v>1005</v>
      </c>
      <c r="I465" s="4" t="s">
        <v>57</v>
      </c>
      <c r="J465" s="4" t="s">
        <v>58</v>
      </c>
      <c r="K465" s="5">
        <v>44839</v>
      </c>
      <c r="L465" s="4" t="s">
        <v>24</v>
      </c>
      <c r="M465" t="b">
        <v>0</v>
      </c>
      <c r="N465" t="b">
        <v>1</v>
      </c>
      <c r="O465" t="b">
        <v>0</v>
      </c>
      <c r="P465" t="b">
        <v>0</v>
      </c>
      <c r="Q465">
        <v>464</v>
      </c>
    </row>
    <row r="466" spans="1:17" x14ac:dyDescent="0.35">
      <c r="A466" s="4" t="s">
        <v>1207</v>
      </c>
      <c r="B466" s="4" t="s">
        <v>19</v>
      </c>
      <c r="C466" s="4" t="s">
        <v>704</v>
      </c>
      <c r="D466" s="4" t="s">
        <v>965</v>
      </c>
      <c r="E466" s="4" t="s">
        <v>1208</v>
      </c>
      <c r="F466" s="5">
        <v>44839</v>
      </c>
      <c r="G466" s="5">
        <v>44846</v>
      </c>
      <c r="H466" s="4" t="s">
        <v>1005</v>
      </c>
      <c r="I466" s="4" t="s">
        <v>195</v>
      </c>
      <c r="J466" s="4" t="s">
        <v>196</v>
      </c>
      <c r="K466" s="5">
        <v>44839</v>
      </c>
      <c r="L466" s="4" t="s">
        <v>24</v>
      </c>
      <c r="M466" t="b">
        <v>0</v>
      </c>
      <c r="N466" t="b">
        <v>1</v>
      </c>
      <c r="O466" t="b">
        <v>0</v>
      </c>
      <c r="P466" t="b">
        <v>0</v>
      </c>
      <c r="Q466">
        <v>465</v>
      </c>
    </row>
    <row r="467" spans="1:17" x14ac:dyDescent="0.35">
      <c r="A467" s="4" t="s">
        <v>1209</v>
      </c>
      <c r="B467" s="4" t="s">
        <v>19</v>
      </c>
      <c r="C467" s="4" t="s">
        <v>704</v>
      </c>
      <c r="D467" s="4" t="s">
        <v>965</v>
      </c>
      <c r="E467" s="4" t="s">
        <v>1210</v>
      </c>
      <c r="F467" s="5">
        <v>44839</v>
      </c>
      <c r="G467" s="5">
        <v>44846</v>
      </c>
      <c r="H467" s="4" t="s">
        <v>1005</v>
      </c>
      <c r="I467" s="4" t="s">
        <v>28</v>
      </c>
      <c r="J467" s="4" t="s">
        <v>29</v>
      </c>
      <c r="K467" s="5">
        <v>44839</v>
      </c>
      <c r="L467" s="4" t="s">
        <v>24</v>
      </c>
      <c r="M467" t="b">
        <v>0</v>
      </c>
      <c r="N467" t="b">
        <v>1</v>
      </c>
      <c r="O467" t="b">
        <v>0</v>
      </c>
      <c r="P467" t="b">
        <v>0</v>
      </c>
      <c r="Q467">
        <v>466</v>
      </c>
    </row>
    <row r="468" spans="1:17" x14ac:dyDescent="0.35">
      <c r="A468" s="4" t="s">
        <v>1211</v>
      </c>
      <c r="B468" s="4" t="s">
        <v>19</v>
      </c>
      <c r="C468" s="4" t="s">
        <v>704</v>
      </c>
      <c r="D468" s="4" t="s">
        <v>926</v>
      </c>
      <c r="E468" s="4" t="s">
        <v>1210</v>
      </c>
      <c r="F468" s="5">
        <v>44839</v>
      </c>
      <c r="G468" s="5">
        <v>44846</v>
      </c>
      <c r="H468" s="4" t="s">
        <v>1005</v>
      </c>
      <c r="I468" s="4" t="s">
        <v>28</v>
      </c>
      <c r="J468" s="4" t="s">
        <v>29</v>
      </c>
      <c r="K468" s="5">
        <v>44839</v>
      </c>
      <c r="L468" s="4" t="s">
        <v>24</v>
      </c>
      <c r="M468" t="b">
        <v>0</v>
      </c>
      <c r="N468" t="b">
        <v>1</v>
      </c>
      <c r="O468" t="b">
        <v>0</v>
      </c>
      <c r="P468" t="b">
        <v>0</v>
      </c>
      <c r="Q468">
        <v>467</v>
      </c>
    </row>
    <row r="469" spans="1:17" x14ac:dyDescent="0.35">
      <c r="A469" s="4" t="s">
        <v>1212</v>
      </c>
      <c r="B469" s="4" t="s">
        <v>19</v>
      </c>
      <c r="C469" s="4" t="s">
        <v>704</v>
      </c>
      <c r="D469" s="4" t="s">
        <v>926</v>
      </c>
      <c r="E469" s="4" t="s">
        <v>1213</v>
      </c>
      <c r="F469" s="5">
        <v>44839</v>
      </c>
      <c r="G469" s="5">
        <v>44846</v>
      </c>
      <c r="H469" s="4" t="s">
        <v>1005</v>
      </c>
      <c r="I469" s="4" t="s">
        <v>51</v>
      </c>
      <c r="J469" s="4" t="s">
        <v>52</v>
      </c>
      <c r="K469" s="5">
        <v>44839</v>
      </c>
      <c r="L469" s="4" t="s">
        <v>24</v>
      </c>
      <c r="M469" t="b">
        <v>0</v>
      </c>
      <c r="N469" t="b">
        <v>1</v>
      </c>
      <c r="O469" t="b">
        <v>0</v>
      </c>
      <c r="P469" t="b">
        <v>0</v>
      </c>
      <c r="Q469">
        <v>468</v>
      </c>
    </row>
    <row r="470" spans="1:17" x14ac:dyDescent="0.35">
      <c r="A470" s="4" t="s">
        <v>1214</v>
      </c>
      <c r="B470" s="4" t="s">
        <v>19</v>
      </c>
      <c r="C470" s="4" t="s">
        <v>704</v>
      </c>
      <c r="D470" s="4" t="s">
        <v>863</v>
      </c>
      <c r="E470" s="4" t="s">
        <v>1210</v>
      </c>
      <c r="F470" s="5">
        <v>44839</v>
      </c>
      <c r="G470" s="5">
        <v>44846</v>
      </c>
      <c r="H470" s="4" t="s">
        <v>1005</v>
      </c>
      <c r="I470" s="4" t="s">
        <v>51</v>
      </c>
      <c r="J470" s="4" t="s">
        <v>52</v>
      </c>
      <c r="K470" s="5">
        <v>44839</v>
      </c>
      <c r="L470" s="4" t="s">
        <v>24</v>
      </c>
      <c r="M470" t="b">
        <v>0</v>
      </c>
      <c r="N470" t="b">
        <v>1</v>
      </c>
      <c r="O470" t="b">
        <v>0</v>
      </c>
      <c r="P470" t="b">
        <v>0</v>
      </c>
      <c r="Q470">
        <v>469</v>
      </c>
    </row>
    <row r="471" spans="1:17" x14ac:dyDescent="0.35">
      <c r="A471" s="4" t="s">
        <v>1215</v>
      </c>
      <c r="B471" s="4" t="s">
        <v>19</v>
      </c>
      <c r="C471" s="4" t="s">
        <v>704</v>
      </c>
      <c r="D471" s="4" t="s">
        <v>1216</v>
      </c>
      <c r="E471" s="4" t="s">
        <v>1217</v>
      </c>
      <c r="F471" s="5">
        <v>44839</v>
      </c>
      <c r="G471" s="5">
        <v>44846</v>
      </c>
      <c r="H471" s="4" t="s">
        <v>1005</v>
      </c>
      <c r="I471" s="4" t="s">
        <v>51</v>
      </c>
      <c r="J471" s="4" t="s">
        <v>52</v>
      </c>
      <c r="K471" s="5">
        <v>44839</v>
      </c>
      <c r="L471" s="4" t="s">
        <v>24</v>
      </c>
      <c r="M471" t="b">
        <v>0</v>
      </c>
      <c r="N471" t="b">
        <v>1</v>
      </c>
      <c r="O471" t="b">
        <v>0</v>
      </c>
      <c r="P471" t="b">
        <v>0</v>
      </c>
      <c r="Q471">
        <v>470</v>
      </c>
    </row>
    <row r="472" spans="1:17" x14ac:dyDescent="0.35">
      <c r="A472" s="4" t="s">
        <v>1218</v>
      </c>
      <c r="B472" s="4" t="s">
        <v>19</v>
      </c>
      <c r="C472" s="4" t="s">
        <v>102</v>
      </c>
      <c r="D472" s="4" t="s">
        <v>882</v>
      </c>
      <c r="E472" s="4" t="s">
        <v>1219</v>
      </c>
      <c r="F472" s="5">
        <v>44839</v>
      </c>
      <c r="G472" s="5">
        <v>44846</v>
      </c>
      <c r="H472" s="4" t="s">
        <v>1005</v>
      </c>
      <c r="I472" s="4" t="s">
        <v>28</v>
      </c>
      <c r="J472" s="4" t="s">
        <v>29</v>
      </c>
      <c r="K472" s="5">
        <v>44839</v>
      </c>
      <c r="L472" s="4" t="s">
        <v>24</v>
      </c>
      <c r="M472" t="b">
        <v>0</v>
      </c>
      <c r="N472" t="b">
        <v>1</v>
      </c>
      <c r="O472" t="b">
        <v>0</v>
      </c>
      <c r="P472" t="b">
        <v>0</v>
      </c>
      <c r="Q472">
        <v>471</v>
      </c>
    </row>
    <row r="473" spans="1:17" x14ac:dyDescent="0.35">
      <c r="A473" s="4" t="s">
        <v>1220</v>
      </c>
      <c r="B473" s="4" t="s">
        <v>19</v>
      </c>
      <c r="C473" s="4" t="s">
        <v>102</v>
      </c>
      <c r="D473" s="4" t="s">
        <v>882</v>
      </c>
      <c r="E473" s="4" t="s">
        <v>1221</v>
      </c>
      <c r="F473" s="5">
        <v>44839</v>
      </c>
      <c r="G473" s="5">
        <v>44846</v>
      </c>
      <c r="H473" s="4" t="s">
        <v>1005</v>
      </c>
      <c r="I473" s="4" t="s">
        <v>51</v>
      </c>
      <c r="J473" s="4" t="s">
        <v>52</v>
      </c>
      <c r="K473" s="5">
        <v>44839</v>
      </c>
      <c r="L473" s="4" t="s">
        <v>24</v>
      </c>
      <c r="M473" t="b">
        <v>0</v>
      </c>
      <c r="N473" t="b">
        <v>1</v>
      </c>
      <c r="O473" t="b">
        <v>0</v>
      </c>
      <c r="P473" t="b">
        <v>0</v>
      </c>
      <c r="Q473">
        <v>472</v>
      </c>
    </row>
    <row r="474" spans="1:17" x14ac:dyDescent="0.35">
      <c r="A474" s="4" t="s">
        <v>1222</v>
      </c>
      <c r="B474" s="4" t="s">
        <v>19</v>
      </c>
      <c r="C474" s="4" t="s">
        <v>73</v>
      </c>
      <c r="D474" s="4" t="s">
        <v>1223</v>
      </c>
      <c r="E474" s="4" t="s">
        <v>1224</v>
      </c>
      <c r="F474" s="5">
        <v>44838</v>
      </c>
      <c r="G474" s="5">
        <v>44845</v>
      </c>
      <c r="H474" s="4" t="s">
        <v>1005</v>
      </c>
      <c r="I474" s="4" t="s">
        <v>51</v>
      </c>
      <c r="J474" s="4" t="s">
        <v>52</v>
      </c>
      <c r="K474" s="5">
        <v>44838</v>
      </c>
      <c r="L474" s="4" t="s">
        <v>24</v>
      </c>
      <c r="M474" t="b">
        <v>0</v>
      </c>
      <c r="N474" t="b">
        <v>1</v>
      </c>
      <c r="O474" t="b">
        <v>0</v>
      </c>
      <c r="P474" t="b">
        <v>0</v>
      </c>
      <c r="Q474">
        <v>473</v>
      </c>
    </row>
    <row r="475" spans="1:17" x14ac:dyDescent="0.35">
      <c r="A475" s="4" t="s">
        <v>1225</v>
      </c>
      <c r="B475" s="4" t="s">
        <v>19</v>
      </c>
      <c r="C475" s="4" t="s">
        <v>73</v>
      </c>
      <c r="D475" s="4" t="s">
        <v>1223</v>
      </c>
      <c r="E475" s="4" t="s">
        <v>1226</v>
      </c>
      <c r="F475" s="5">
        <v>44838</v>
      </c>
      <c r="G475" s="5">
        <v>44845</v>
      </c>
      <c r="H475" s="4" t="s">
        <v>1005</v>
      </c>
      <c r="I475" s="4" t="s">
        <v>57</v>
      </c>
      <c r="J475" s="4" t="s">
        <v>58</v>
      </c>
      <c r="K475" s="5">
        <v>44838</v>
      </c>
      <c r="L475" s="4" t="s">
        <v>24</v>
      </c>
      <c r="M475" t="b">
        <v>0</v>
      </c>
      <c r="N475" t="b">
        <v>1</v>
      </c>
      <c r="O475" t="b">
        <v>0</v>
      </c>
      <c r="P475" t="b">
        <v>0</v>
      </c>
      <c r="Q475">
        <v>474</v>
      </c>
    </row>
    <row r="476" spans="1:17" x14ac:dyDescent="0.35">
      <c r="A476" s="4" t="s">
        <v>1227</v>
      </c>
      <c r="B476" s="4" t="s">
        <v>19</v>
      </c>
      <c r="C476" s="4" t="s">
        <v>73</v>
      </c>
      <c r="D476" s="4" t="s">
        <v>1228</v>
      </c>
      <c r="E476" s="4" t="s">
        <v>1178</v>
      </c>
      <c r="F476" s="5">
        <v>44838</v>
      </c>
      <c r="G476" s="5">
        <v>44845</v>
      </c>
      <c r="H476" s="4" t="s">
        <v>1005</v>
      </c>
      <c r="I476" s="4" t="s">
        <v>51</v>
      </c>
      <c r="J476" s="4" t="s">
        <v>52</v>
      </c>
      <c r="K476" s="5">
        <v>44838</v>
      </c>
      <c r="L476" s="4" t="s">
        <v>24</v>
      </c>
      <c r="M476" t="b">
        <v>0</v>
      </c>
      <c r="N476" t="b">
        <v>1</v>
      </c>
      <c r="O476" t="b">
        <v>0</v>
      </c>
      <c r="P476" t="b">
        <v>0</v>
      </c>
      <c r="Q476">
        <v>475</v>
      </c>
    </row>
    <row r="477" spans="1:17" x14ac:dyDescent="0.35">
      <c r="A477" s="4" t="s">
        <v>1229</v>
      </c>
      <c r="B477" s="4" t="s">
        <v>19</v>
      </c>
      <c r="C477" s="4" t="s">
        <v>73</v>
      </c>
      <c r="D477" s="4" t="s">
        <v>1228</v>
      </c>
      <c r="E477" s="4" t="s">
        <v>1230</v>
      </c>
      <c r="F477" s="5">
        <v>44838</v>
      </c>
      <c r="G477" s="5">
        <v>44845</v>
      </c>
      <c r="H477" s="4" t="s">
        <v>1005</v>
      </c>
      <c r="I477" s="4" t="s">
        <v>51</v>
      </c>
      <c r="J477" s="4" t="s">
        <v>52</v>
      </c>
      <c r="K477" s="5">
        <v>44838</v>
      </c>
      <c r="L477" s="4" t="s">
        <v>24</v>
      </c>
      <c r="M477" t="b">
        <v>0</v>
      </c>
      <c r="N477" t="b">
        <v>1</v>
      </c>
      <c r="O477" t="b">
        <v>0</v>
      </c>
      <c r="P477" t="b">
        <v>0</v>
      </c>
      <c r="Q477">
        <v>476</v>
      </c>
    </row>
    <row r="478" spans="1:17" x14ac:dyDescent="0.35">
      <c r="A478" s="4" t="s">
        <v>1231</v>
      </c>
      <c r="B478" s="4" t="s">
        <v>19</v>
      </c>
      <c r="C478" s="4" t="s">
        <v>73</v>
      </c>
      <c r="D478" s="4" t="s">
        <v>1228</v>
      </c>
      <c r="E478" s="4" t="s">
        <v>1232</v>
      </c>
      <c r="F478" s="5">
        <v>44838</v>
      </c>
      <c r="G478" s="5">
        <v>44845</v>
      </c>
      <c r="H478" s="4" t="s">
        <v>1005</v>
      </c>
      <c r="I478" s="4" t="s">
        <v>51</v>
      </c>
      <c r="J478" s="4" t="s">
        <v>52</v>
      </c>
      <c r="K478" s="5">
        <v>44838</v>
      </c>
      <c r="L478" s="4" t="s">
        <v>24</v>
      </c>
      <c r="M478" t="b">
        <v>0</v>
      </c>
      <c r="N478" t="b">
        <v>1</v>
      </c>
      <c r="O478" t="b">
        <v>0</v>
      </c>
      <c r="P478" t="b">
        <v>0</v>
      </c>
      <c r="Q478">
        <v>477</v>
      </c>
    </row>
    <row r="479" spans="1:17" x14ac:dyDescent="0.35">
      <c r="A479" s="4" t="s">
        <v>1233</v>
      </c>
      <c r="B479" s="4" t="s">
        <v>19</v>
      </c>
      <c r="C479" s="4" t="s">
        <v>73</v>
      </c>
      <c r="D479" s="4" t="s">
        <v>1228</v>
      </c>
      <c r="E479" s="4" t="s">
        <v>1234</v>
      </c>
      <c r="F479" s="5">
        <v>44838</v>
      </c>
      <c r="G479" s="5">
        <v>44845</v>
      </c>
      <c r="H479" s="4" t="s">
        <v>1005</v>
      </c>
      <c r="I479" s="4" t="s">
        <v>51</v>
      </c>
      <c r="J479" s="4" t="s">
        <v>52</v>
      </c>
      <c r="K479" s="5">
        <v>44838</v>
      </c>
      <c r="L479" s="4" t="s">
        <v>24</v>
      </c>
      <c r="M479" t="b">
        <v>0</v>
      </c>
      <c r="N479" t="b">
        <v>1</v>
      </c>
      <c r="O479" t="b">
        <v>0</v>
      </c>
      <c r="P479" t="b">
        <v>0</v>
      </c>
      <c r="Q479">
        <v>478</v>
      </c>
    </row>
    <row r="480" spans="1:17" x14ac:dyDescent="0.35">
      <c r="A480" s="4" t="s">
        <v>1235</v>
      </c>
      <c r="B480" s="4" t="s">
        <v>19</v>
      </c>
      <c r="C480" s="4" t="s">
        <v>73</v>
      </c>
      <c r="D480" s="4" t="s">
        <v>1228</v>
      </c>
      <c r="E480" s="4" t="s">
        <v>1236</v>
      </c>
      <c r="F480" s="5">
        <v>44838</v>
      </c>
      <c r="G480" s="5">
        <v>44845</v>
      </c>
      <c r="H480" s="4" t="s">
        <v>1005</v>
      </c>
      <c r="I480" s="4" t="s">
        <v>51</v>
      </c>
      <c r="J480" s="4" t="s">
        <v>52</v>
      </c>
      <c r="K480" s="5">
        <v>44838</v>
      </c>
      <c r="L480" s="4" t="s">
        <v>24</v>
      </c>
      <c r="M480" t="b">
        <v>0</v>
      </c>
      <c r="N480" t="b">
        <v>1</v>
      </c>
      <c r="O480" t="b">
        <v>0</v>
      </c>
      <c r="P480" t="b">
        <v>0</v>
      </c>
      <c r="Q480">
        <v>479</v>
      </c>
    </row>
    <row r="481" spans="1:17" x14ac:dyDescent="0.35">
      <c r="A481" s="4" t="s">
        <v>1237</v>
      </c>
      <c r="B481" s="4" t="s">
        <v>19</v>
      </c>
      <c r="C481" s="4" t="s">
        <v>73</v>
      </c>
      <c r="D481" s="4" t="s">
        <v>888</v>
      </c>
      <c r="E481" s="4" t="s">
        <v>1238</v>
      </c>
      <c r="F481" s="5">
        <v>44838</v>
      </c>
      <c r="G481" s="5">
        <v>44845</v>
      </c>
      <c r="H481" s="4" t="s">
        <v>1005</v>
      </c>
      <c r="I481" s="4" t="s">
        <v>51</v>
      </c>
      <c r="J481" s="4" t="s">
        <v>52</v>
      </c>
      <c r="K481" s="5">
        <v>44838</v>
      </c>
      <c r="L481" s="4" t="s">
        <v>24</v>
      </c>
      <c r="M481" t="b">
        <v>0</v>
      </c>
      <c r="N481" t="b">
        <v>1</v>
      </c>
      <c r="O481" t="b">
        <v>0</v>
      </c>
      <c r="P481" t="b">
        <v>0</v>
      </c>
      <c r="Q481">
        <v>480</v>
      </c>
    </row>
    <row r="482" spans="1:17" x14ac:dyDescent="0.35">
      <c r="A482" s="4" t="s">
        <v>1239</v>
      </c>
      <c r="B482" s="4" t="s">
        <v>19</v>
      </c>
      <c r="C482" s="4" t="s">
        <v>73</v>
      </c>
      <c r="D482" s="4" t="s">
        <v>888</v>
      </c>
      <c r="E482" s="4" t="s">
        <v>1240</v>
      </c>
      <c r="F482" s="5">
        <v>44838</v>
      </c>
      <c r="G482" s="5">
        <v>44845</v>
      </c>
      <c r="H482" s="4" t="s">
        <v>1005</v>
      </c>
      <c r="I482" s="4" t="s">
        <v>51</v>
      </c>
      <c r="J482" s="4" t="s">
        <v>52</v>
      </c>
      <c r="K482" s="5">
        <v>44838</v>
      </c>
      <c r="L482" s="4" t="s">
        <v>24</v>
      </c>
      <c r="M482" t="b">
        <v>0</v>
      </c>
      <c r="N482" t="b">
        <v>1</v>
      </c>
      <c r="O482" t="b">
        <v>0</v>
      </c>
      <c r="P482" t="b">
        <v>0</v>
      </c>
      <c r="Q482">
        <v>481</v>
      </c>
    </row>
    <row r="483" spans="1:17" x14ac:dyDescent="0.35">
      <c r="A483" s="4" t="s">
        <v>1241</v>
      </c>
      <c r="B483" s="4" t="s">
        <v>19</v>
      </c>
      <c r="C483" s="4" t="s">
        <v>73</v>
      </c>
      <c r="D483" s="4" t="s">
        <v>888</v>
      </c>
      <c r="E483" s="4" t="s">
        <v>1234</v>
      </c>
      <c r="F483" s="5">
        <v>44838</v>
      </c>
      <c r="G483" s="5">
        <v>44845</v>
      </c>
      <c r="H483" s="4" t="s">
        <v>1005</v>
      </c>
      <c r="I483" s="4" t="s">
        <v>51</v>
      </c>
      <c r="J483" s="4" t="s">
        <v>52</v>
      </c>
      <c r="K483" s="5">
        <v>44838</v>
      </c>
      <c r="L483" s="4" t="s">
        <v>24</v>
      </c>
      <c r="M483" t="b">
        <v>0</v>
      </c>
      <c r="N483" t="b">
        <v>1</v>
      </c>
      <c r="O483" t="b">
        <v>0</v>
      </c>
      <c r="P483" t="b">
        <v>0</v>
      </c>
      <c r="Q483">
        <v>482</v>
      </c>
    </row>
    <row r="484" spans="1:17" x14ac:dyDescent="0.35">
      <c r="A484" s="4" t="s">
        <v>1242</v>
      </c>
      <c r="B484" s="4" t="s">
        <v>19</v>
      </c>
      <c r="C484" s="4" t="s">
        <v>73</v>
      </c>
      <c r="D484" s="4" t="s">
        <v>1243</v>
      </c>
      <c r="E484" s="4" t="s">
        <v>1238</v>
      </c>
      <c r="F484" s="5">
        <v>44838</v>
      </c>
      <c r="G484" s="5">
        <v>44845</v>
      </c>
      <c r="H484" s="4" t="s">
        <v>1005</v>
      </c>
      <c r="I484" s="4" t="s">
        <v>51</v>
      </c>
      <c r="J484" s="4" t="s">
        <v>52</v>
      </c>
      <c r="K484" s="5">
        <v>44838</v>
      </c>
      <c r="L484" s="4" t="s">
        <v>24</v>
      </c>
      <c r="M484" t="b">
        <v>0</v>
      </c>
      <c r="N484" t="b">
        <v>1</v>
      </c>
      <c r="O484" t="b">
        <v>0</v>
      </c>
      <c r="P484" t="b">
        <v>0</v>
      </c>
      <c r="Q484">
        <v>483</v>
      </c>
    </row>
    <row r="485" spans="1:17" x14ac:dyDescent="0.35">
      <c r="A485" s="4" t="s">
        <v>1244</v>
      </c>
      <c r="B485" s="4" t="s">
        <v>19</v>
      </c>
      <c r="C485" s="4" t="s">
        <v>73</v>
      </c>
      <c r="D485" s="4" t="s">
        <v>1243</v>
      </c>
      <c r="E485" s="4" t="s">
        <v>1245</v>
      </c>
      <c r="F485" s="5">
        <v>44838</v>
      </c>
      <c r="G485" s="5">
        <v>44845</v>
      </c>
      <c r="H485" s="4" t="s">
        <v>1005</v>
      </c>
      <c r="I485" s="4" t="s">
        <v>51</v>
      </c>
      <c r="J485" s="4" t="s">
        <v>52</v>
      </c>
      <c r="K485" s="5">
        <v>44838</v>
      </c>
      <c r="L485" s="4" t="s">
        <v>24</v>
      </c>
      <c r="M485" t="b">
        <v>0</v>
      </c>
      <c r="N485" t="b">
        <v>1</v>
      </c>
      <c r="O485" t="b">
        <v>0</v>
      </c>
      <c r="P485" t="b">
        <v>0</v>
      </c>
      <c r="Q485">
        <v>484</v>
      </c>
    </row>
    <row r="486" spans="1:17" x14ac:dyDescent="0.35">
      <c r="A486" s="4" t="s">
        <v>1246</v>
      </c>
      <c r="B486" s="4" t="s">
        <v>19</v>
      </c>
      <c r="C486" s="4" t="s">
        <v>73</v>
      </c>
      <c r="D486" s="4" t="s">
        <v>1243</v>
      </c>
      <c r="E486" s="4" t="s">
        <v>1245</v>
      </c>
      <c r="F486" s="5">
        <v>44838</v>
      </c>
      <c r="G486" s="5">
        <v>44845</v>
      </c>
      <c r="H486" s="4" t="s">
        <v>1005</v>
      </c>
      <c r="I486" s="4" t="s">
        <v>51</v>
      </c>
      <c r="J486" s="4" t="s">
        <v>52</v>
      </c>
      <c r="K486" s="5">
        <v>44838</v>
      </c>
      <c r="L486" s="4" t="s">
        <v>24</v>
      </c>
      <c r="M486" t="b">
        <v>0</v>
      </c>
      <c r="N486" t="b">
        <v>0</v>
      </c>
      <c r="O486" t="b">
        <v>0</v>
      </c>
      <c r="P486" t="b">
        <v>0</v>
      </c>
      <c r="Q486">
        <v>485</v>
      </c>
    </row>
    <row r="487" spans="1:17" x14ac:dyDescent="0.35">
      <c r="A487" s="4" t="s">
        <v>1247</v>
      </c>
      <c r="B487" s="4" t="s">
        <v>19</v>
      </c>
      <c r="C487" s="4" t="s">
        <v>73</v>
      </c>
      <c r="D487" s="4" t="s">
        <v>1243</v>
      </c>
      <c r="E487" s="4" t="s">
        <v>1248</v>
      </c>
      <c r="F487" s="5">
        <v>44838</v>
      </c>
      <c r="G487" s="5">
        <v>44845</v>
      </c>
      <c r="H487" s="4" t="s">
        <v>1005</v>
      </c>
      <c r="I487" s="4" t="s">
        <v>51</v>
      </c>
      <c r="J487" s="4" t="s">
        <v>52</v>
      </c>
      <c r="K487" s="5">
        <v>44838</v>
      </c>
      <c r="L487" s="4" t="s">
        <v>24</v>
      </c>
      <c r="M487" t="b">
        <v>0</v>
      </c>
      <c r="N487" t="b">
        <v>1</v>
      </c>
      <c r="O487" t="b">
        <v>0</v>
      </c>
      <c r="P487" t="b">
        <v>0</v>
      </c>
      <c r="Q487">
        <v>486</v>
      </c>
    </row>
    <row r="488" spans="1:17" x14ac:dyDescent="0.35">
      <c r="A488" s="4" t="s">
        <v>1249</v>
      </c>
      <c r="B488" s="4" t="s">
        <v>19</v>
      </c>
      <c r="C488" s="4" t="s">
        <v>73</v>
      </c>
      <c r="D488" s="4" t="s">
        <v>1250</v>
      </c>
      <c r="E488" s="4" t="s">
        <v>1251</v>
      </c>
      <c r="F488" s="5">
        <v>44838</v>
      </c>
      <c r="G488" s="5">
        <v>44845</v>
      </c>
      <c r="H488" s="4" t="s">
        <v>1005</v>
      </c>
      <c r="I488" s="4" t="s">
        <v>51</v>
      </c>
      <c r="J488" s="4" t="s">
        <v>52</v>
      </c>
      <c r="K488" s="5">
        <v>44838</v>
      </c>
      <c r="L488" s="4" t="s">
        <v>24</v>
      </c>
      <c r="M488" t="b">
        <v>0</v>
      </c>
      <c r="N488" t="b">
        <v>1</v>
      </c>
      <c r="O488" t="b">
        <v>0</v>
      </c>
      <c r="P488" t="b">
        <v>0</v>
      </c>
      <c r="Q488">
        <v>487</v>
      </c>
    </row>
    <row r="489" spans="1:17" x14ac:dyDescent="0.35">
      <c r="A489" s="4" t="s">
        <v>1252</v>
      </c>
      <c r="B489" s="4" t="s">
        <v>19</v>
      </c>
      <c r="C489" s="4" t="s">
        <v>73</v>
      </c>
      <c r="D489" s="4" t="s">
        <v>1250</v>
      </c>
      <c r="E489" s="4" t="s">
        <v>1253</v>
      </c>
      <c r="F489" s="5">
        <v>44838</v>
      </c>
      <c r="G489" s="5">
        <v>44845</v>
      </c>
      <c r="H489" s="4" t="s">
        <v>1005</v>
      </c>
      <c r="I489" s="4" t="s">
        <v>51</v>
      </c>
      <c r="J489" s="4" t="s">
        <v>52</v>
      </c>
      <c r="K489" s="5">
        <v>44838</v>
      </c>
      <c r="L489" s="4" t="s">
        <v>24</v>
      </c>
      <c r="M489" t="b">
        <v>0</v>
      </c>
      <c r="N489" t="b">
        <v>1</v>
      </c>
      <c r="O489" t="b">
        <v>0</v>
      </c>
      <c r="P489" t="b">
        <v>0</v>
      </c>
      <c r="Q489">
        <v>488</v>
      </c>
    </row>
    <row r="490" spans="1:17" x14ac:dyDescent="0.35">
      <c r="A490" s="4" t="s">
        <v>1254</v>
      </c>
      <c r="B490" s="4" t="s">
        <v>19</v>
      </c>
      <c r="C490" s="4" t="s">
        <v>73</v>
      </c>
      <c r="D490" s="4" t="s">
        <v>1250</v>
      </c>
      <c r="E490" s="4" t="s">
        <v>1255</v>
      </c>
      <c r="F490" s="5">
        <v>44838</v>
      </c>
      <c r="G490" s="5">
        <v>44845</v>
      </c>
      <c r="H490" s="4" t="s">
        <v>1005</v>
      </c>
      <c r="I490" s="4" t="s">
        <v>51</v>
      </c>
      <c r="J490" s="4" t="s">
        <v>52</v>
      </c>
      <c r="K490" s="5">
        <v>44838</v>
      </c>
      <c r="L490" s="4" t="s">
        <v>24</v>
      </c>
      <c r="M490" t="b">
        <v>0</v>
      </c>
      <c r="N490" t="b">
        <v>1</v>
      </c>
      <c r="O490" t="b">
        <v>0</v>
      </c>
      <c r="P490" t="b">
        <v>0</v>
      </c>
      <c r="Q490">
        <v>489</v>
      </c>
    </row>
    <row r="491" spans="1:17" x14ac:dyDescent="0.35">
      <c r="A491" s="4" t="s">
        <v>1256</v>
      </c>
      <c r="B491" s="4" t="s">
        <v>19</v>
      </c>
      <c r="C491" s="4" t="s">
        <v>189</v>
      </c>
      <c r="D491" s="4" t="s">
        <v>1074</v>
      </c>
      <c r="E491" s="4" t="s">
        <v>1257</v>
      </c>
      <c r="F491" s="5">
        <v>44839</v>
      </c>
      <c r="G491" s="5">
        <v>44846</v>
      </c>
      <c r="H491" s="4" t="s">
        <v>1005</v>
      </c>
      <c r="I491" s="4" t="s">
        <v>51</v>
      </c>
      <c r="J491" s="4" t="s">
        <v>52</v>
      </c>
      <c r="K491" s="5">
        <v>44839</v>
      </c>
      <c r="L491" s="4" t="s">
        <v>24</v>
      </c>
      <c r="M491" t="b">
        <v>0</v>
      </c>
      <c r="N491" t="b">
        <v>1</v>
      </c>
      <c r="O491" t="b">
        <v>0</v>
      </c>
      <c r="P491" t="b">
        <v>0</v>
      </c>
      <c r="Q491">
        <v>490</v>
      </c>
    </row>
    <row r="492" spans="1:17" x14ac:dyDescent="0.35">
      <c r="A492" s="4" t="s">
        <v>1258</v>
      </c>
      <c r="B492" s="4" t="s">
        <v>19</v>
      </c>
      <c r="C492" s="4" t="s">
        <v>189</v>
      </c>
      <c r="D492" s="4" t="s">
        <v>1074</v>
      </c>
      <c r="E492" s="4" t="s">
        <v>1259</v>
      </c>
      <c r="F492" s="5">
        <v>44839</v>
      </c>
      <c r="G492" s="5">
        <v>44846</v>
      </c>
      <c r="H492" s="4" t="s">
        <v>1005</v>
      </c>
      <c r="I492" s="4" t="s">
        <v>51</v>
      </c>
      <c r="J492" s="4" t="s">
        <v>52</v>
      </c>
      <c r="K492" s="5">
        <v>44839</v>
      </c>
      <c r="L492" s="4" t="s">
        <v>24</v>
      </c>
      <c r="M492" t="b">
        <v>0</v>
      </c>
      <c r="N492" t="b">
        <v>1</v>
      </c>
      <c r="O492" t="b">
        <v>0</v>
      </c>
      <c r="P492" t="b">
        <v>0</v>
      </c>
      <c r="Q492">
        <v>491</v>
      </c>
    </row>
    <row r="493" spans="1:17" x14ac:dyDescent="0.35">
      <c r="A493" s="4" t="s">
        <v>1260</v>
      </c>
      <c r="B493" s="4" t="s">
        <v>19</v>
      </c>
      <c r="C493" s="4" t="s">
        <v>107</v>
      </c>
      <c r="D493" s="4" t="s">
        <v>885</v>
      </c>
      <c r="E493" s="4" t="s">
        <v>1261</v>
      </c>
      <c r="F493" s="5">
        <v>44832</v>
      </c>
      <c r="G493" s="5">
        <v>44862</v>
      </c>
      <c r="H493" s="4" t="s">
        <v>1005</v>
      </c>
      <c r="I493" s="4" t="s">
        <v>1262</v>
      </c>
      <c r="J493" s="4" t="s">
        <v>1263</v>
      </c>
      <c r="K493" s="5">
        <v>44832</v>
      </c>
      <c r="L493" s="4" t="s">
        <v>24</v>
      </c>
      <c r="M493" t="b">
        <v>0</v>
      </c>
      <c r="N493" t="b">
        <v>0</v>
      </c>
      <c r="O493" t="b">
        <v>0</v>
      </c>
      <c r="P493" t="b">
        <v>0</v>
      </c>
      <c r="Q493">
        <v>492</v>
      </c>
    </row>
    <row r="494" spans="1:17" x14ac:dyDescent="0.35">
      <c r="A494" s="4" t="s">
        <v>1264</v>
      </c>
      <c r="B494" s="4" t="s">
        <v>19</v>
      </c>
      <c r="C494" s="4" t="s">
        <v>107</v>
      </c>
      <c r="D494" s="4" t="s">
        <v>885</v>
      </c>
      <c r="E494" s="4" t="s">
        <v>1265</v>
      </c>
      <c r="F494" s="5">
        <v>44832</v>
      </c>
      <c r="G494" s="5">
        <v>44862</v>
      </c>
      <c r="H494" s="4" t="s">
        <v>1005</v>
      </c>
      <c r="I494" s="4" t="s">
        <v>1262</v>
      </c>
      <c r="J494" s="4" t="s">
        <v>1263</v>
      </c>
      <c r="K494" s="5">
        <v>44832</v>
      </c>
      <c r="L494" s="4" t="s">
        <v>24</v>
      </c>
      <c r="M494" t="b">
        <v>0</v>
      </c>
      <c r="N494" t="b">
        <v>1</v>
      </c>
      <c r="O494" t="b">
        <v>0</v>
      </c>
      <c r="P494" t="b">
        <v>0</v>
      </c>
      <c r="Q494">
        <v>493</v>
      </c>
    </row>
    <row r="495" spans="1:17" x14ac:dyDescent="0.35">
      <c r="A495" s="4" t="s">
        <v>1266</v>
      </c>
      <c r="B495" s="4" t="s">
        <v>19</v>
      </c>
      <c r="C495" s="4" t="s">
        <v>107</v>
      </c>
      <c r="D495" s="4" t="s">
        <v>885</v>
      </c>
      <c r="E495" s="4" t="s">
        <v>1267</v>
      </c>
      <c r="F495" s="5">
        <v>44832</v>
      </c>
      <c r="G495" s="5">
        <v>44862</v>
      </c>
      <c r="H495" s="4" t="s">
        <v>1005</v>
      </c>
      <c r="I495" s="4" t="s">
        <v>1262</v>
      </c>
      <c r="J495" s="4" t="s">
        <v>1263</v>
      </c>
      <c r="K495" s="5">
        <v>44832</v>
      </c>
      <c r="L495" s="4" t="s">
        <v>24</v>
      </c>
      <c r="M495" t="b">
        <v>0</v>
      </c>
      <c r="N495" t="b">
        <v>1</v>
      </c>
      <c r="O495" t="b">
        <v>0</v>
      </c>
      <c r="P495" t="b">
        <v>0</v>
      </c>
      <c r="Q495">
        <v>494</v>
      </c>
    </row>
    <row r="496" spans="1:17" x14ac:dyDescent="0.35">
      <c r="A496" s="4" t="s">
        <v>1268</v>
      </c>
      <c r="B496" s="4" t="s">
        <v>19</v>
      </c>
      <c r="C496" s="4" t="s">
        <v>107</v>
      </c>
      <c r="D496" s="4" t="s">
        <v>885</v>
      </c>
      <c r="E496" s="4" t="s">
        <v>1269</v>
      </c>
      <c r="F496" s="5">
        <v>44832</v>
      </c>
      <c r="G496" s="5">
        <v>44862</v>
      </c>
      <c r="H496" s="4" t="s">
        <v>1005</v>
      </c>
      <c r="I496" s="4" t="s">
        <v>1262</v>
      </c>
      <c r="J496" s="4" t="s">
        <v>1263</v>
      </c>
      <c r="K496" s="5">
        <v>44832</v>
      </c>
      <c r="L496" s="4" t="s">
        <v>24</v>
      </c>
      <c r="M496" t="b">
        <v>0</v>
      </c>
      <c r="N496" t="b">
        <v>1</v>
      </c>
      <c r="O496" t="b">
        <v>0</v>
      </c>
      <c r="P496" t="b">
        <v>0</v>
      </c>
      <c r="Q496">
        <v>495</v>
      </c>
    </row>
    <row r="497" spans="1:17" x14ac:dyDescent="0.35">
      <c r="A497" s="4" t="s">
        <v>1270</v>
      </c>
      <c r="B497" s="4" t="s">
        <v>19</v>
      </c>
      <c r="C497" s="4" t="s">
        <v>107</v>
      </c>
      <c r="D497" s="4" t="s">
        <v>885</v>
      </c>
      <c r="E497" s="4" t="s">
        <v>1271</v>
      </c>
      <c r="F497" s="5">
        <v>44832</v>
      </c>
      <c r="G497" s="5">
        <v>44862</v>
      </c>
      <c r="H497" s="4" t="s">
        <v>1005</v>
      </c>
      <c r="I497" s="4" t="s">
        <v>1262</v>
      </c>
      <c r="J497" s="4" t="s">
        <v>1263</v>
      </c>
      <c r="K497" s="5">
        <v>44832</v>
      </c>
      <c r="L497" s="4" t="s">
        <v>24</v>
      </c>
      <c r="M497" t="b">
        <v>0</v>
      </c>
      <c r="N497" t="b">
        <v>1</v>
      </c>
      <c r="O497" t="b">
        <v>0</v>
      </c>
      <c r="P497" t="b">
        <v>0</v>
      </c>
      <c r="Q497">
        <v>496</v>
      </c>
    </row>
    <row r="498" spans="1:17" x14ac:dyDescent="0.35">
      <c r="A498" s="4" t="s">
        <v>1272</v>
      </c>
      <c r="B498" s="4" t="s">
        <v>19</v>
      </c>
      <c r="C498" s="4" t="s">
        <v>107</v>
      </c>
      <c r="D498" s="4" t="s">
        <v>885</v>
      </c>
      <c r="E498" s="4" t="s">
        <v>1273</v>
      </c>
      <c r="F498" s="5">
        <v>44832</v>
      </c>
      <c r="G498" s="5">
        <v>44862</v>
      </c>
      <c r="H498" s="4" t="s">
        <v>1005</v>
      </c>
      <c r="I498" s="4" t="s">
        <v>1262</v>
      </c>
      <c r="J498" s="4" t="s">
        <v>1263</v>
      </c>
      <c r="K498" s="5">
        <v>44832</v>
      </c>
      <c r="L498" s="4" t="s">
        <v>24</v>
      </c>
      <c r="M498" t="b">
        <v>0</v>
      </c>
      <c r="N498" t="b">
        <v>1</v>
      </c>
      <c r="O498" t="b">
        <v>0</v>
      </c>
      <c r="P498" t="b">
        <v>0</v>
      </c>
      <c r="Q498">
        <v>497</v>
      </c>
    </row>
    <row r="499" spans="1:17" x14ac:dyDescent="0.35">
      <c r="A499" s="4" t="s">
        <v>1274</v>
      </c>
      <c r="B499" s="4" t="s">
        <v>19</v>
      </c>
      <c r="C499" s="4" t="s">
        <v>107</v>
      </c>
      <c r="D499" s="4" t="s">
        <v>885</v>
      </c>
      <c r="E499" s="4" t="s">
        <v>1275</v>
      </c>
      <c r="F499" s="5">
        <v>44832</v>
      </c>
      <c r="G499" s="5">
        <v>44862</v>
      </c>
      <c r="H499" s="4" t="s">
        <v>1005</v>
      </c>
      <c r="I499" s="4" t="s">
        <v>1262</v>
      </c>
      <c r="J499" s="4" t="s">
        <v>1263</v>
      </c>
      <c r="K499" s="5">
        <v>44832</v>
      </c>
      <c r="L499" s="4" t="s">
        <v>24</v>
      </c>
      <c r="M499" t="b">
        <v>0</v>
      </c>
      <c r="N499" t="b">
        <v>1</v>
      </c>
      <c r="O499" t="b">
        <v>0</v>
      </c>
      <c r="P499" t="b">
        <v>0</v>
      </c>
      <c r="Q499">
        <v>498</v>
      </c>
    </row>
    <row r="500" spans="1:17" x14ac:dyDescent="0.35">
      <c r="A500" s="4" t="s">
        <v>1276</v>
      </c>
      <c r="B500" s="4" t="s">
        <v>19</v>
      </c>
      <c r="C500" s="4" t="s">
        <v>107</v>
      </c>
      <c r="D500" s="4" t="s">
        <v>885</v>
      </c>
      <c r="E500" s="4" t="s">
        <v>1277</v>
      </c>
      <c r="F500" s="5">
        <v>44832</v>
      </c>
      <c r="G500" s="5">
        <v>44862</v>
      </c>
      <c r="H500" s="4" t="s">
        <v>1005</v>
      </c>
      <c r="I500" s="4" t="s">
        <v>1262</v>
      </c>
      <c r="J500" s="4" t="s">
        <v>1263</v>
      </c>
      <c r="K500" s="5">
        <v>44832</v>
      </c>
      <c r="L500" s="4" t="s">
        <v>24</v>
      </c>
      <c r="M500" t="b">
        <v>0</v>
      </c>
      <c r="N500" t="b">
        <v>1</v>
      </c>
      <c r="O500" t="b">
        <v>0</v>
      </c>
      <c r="P500" t="b">
        <v>0</v>
      </c>
      <c r="Q500">
        <v>499</v>
      </c>
    </row>
    <row r="501" spans="1:17" x14ac:dyDescent="0.35">
      <c r="A501" s="4" t="s">
        <v>1278</v>
      </c>
      <c r="B501" s="4" t="s">
        <v>19</v>
      </c>
      <c r="C501" s="4" t="s">
        <v>107</v>
      </c>
      <c r="D501" s="4" t="s">
        <v>885</v>
      </c>
      <c r="E501" s="4" t="s">
        <v>1279</v>
      </c>
      <c r="F501" s="5">
        <v>44832</v>
      </c>
      <c r="G501" s="5">
        <v>44862</v>
      </c>
      <c r="H501" s="4" t="s">
        <v>1005</v>
      </c>
      <c r="I501" s="4" t="s">
        <v>1262</v>
      </c>
      <c r="J501" s="4" t="s">
        <v>1263</v>
      </c>
      <c r="K501" s="5">
        <v>44832</v>
      </c>
      <c r="L501" s="4" t="s">
        <v>24</v>
      </c>
      <c r="M501" t="b">
        <v>0</v>
      </c>
      <c r="N501" t="b">
        <v>1</v>
      </c>
      <c r="O501" t="b">
        <v>0</v>
      </c>
      <c r="P501" t="b">
        <v>0</v>
      </c>
      <c r="Q501">
        <v>500</v>
      </c>
    </row>
    <row r="502" spans="1:17" x14ac:dyDescent="0.35">
      <c r="A502" s="4" t="s">
        <v>1280</v>
      </c>
      <c r="B502" s="4" t="s">
        <v>19</v>
      </c>
      <c r="C502" s="4" t="s">
        <v>107</v>
      </c>
      <c r="D502" s="4" t="s">
        <v>885</v>
      </c>
      <c r="E502" s="4" t="s">
        <v>1281</v>
      </c>
      <c r="F502" s="5">
        <v>44832</v>
      </c>
      <c r="G502" s="5">
        <v>44862</v>
      </c>
      <c r="H502" s="4" t="s">
        <v>1005</v>
      </c>
      <c r="I502" s="4" t="s">
        <v>1262</v>
      </c>
      <c r="J502" s="4" t="s">
        <v>1263</v>
      </c>
      <c r="K502" s="5">
        <v>44832</v>
      </c>
      <c r="L502" s="4" t="s">
        <v>24</v>
      </c>
      <c r="M502" t="b">
        <v>0</v>
      </c>
      <c r="N502" t="b">
        <v>1</v>
      </c>
      <c r="O502" t="b">
        <v>0</v>
      </c>
      <c r="P502" t="b">
        <v>0</v>
      </c>
      <c r="Q502">
        <v>501</v>
      </c>
    </row>
    <row r="503" spans="1:17" x14ac:dyDescent="0.35">
      <c r="A503" s="4" t="s">
        <v>1282</v>
      </c>
      <c r="B503" s="4" t="s">
        <v>19</v>
      </c>
      <c r="C503" s="4" t="s">
        <v>107</v>
      </c>
      <c r="D503" s="4" t="s">
        <v>885</v>
      </c>
      <c r="E503" s="4" t="s">
        <v>1283</v>
      </c>
      <c r="F503" s="5">
        <v>44832</v>
      </c>
      <c r="G503" s="5">
        <v>44862</v>
      </c>
      <c r="H503" s="4" t="s">
        <v>1005</v>
      </c>
      <c r="I503" s="4" t="s">
        <v>1262</v>
      </c>
      <c r="J503" s="4" t="s">
        <v>1263</v>
      </c>
      <c r="K503" s="5">
        <v>44832</v>
      </c>
      <c r="L503" s="4" t="s">
        <v>24</v>
      </c>
      <c r="M503" t="b">
        <v>0</v>
      </c>
      <c r="N503" t="b">
        <v>1</v>
      </c>
      <c r="O503" t="b">
        <v>0</v>
      </c>
      <c r="P503" t="b">
        <v>0</v>
      </c>
      <c r="Q503">
        <v>502</v>
      </c>
    </row>
    <row r="504" spans="1:17" x14ac:dyDescent="0.35">
      <c r="A504" s="4" t="s">
        <v>1284</v>
      </c>
      <c r="B504" s="4" t="s">
        <v>19</v>
      </c>
      <c r="C504" s="4" t="s">
        <v>107</v>
      </c>
      <c r="D504" s="4" t="s">
        <v>885</v>
      </c>
      <c r="E504" s="4" t="s">
        <v>1285</v>
      </c>
      <c r="F504" s="5">
        <v>44832</v>
      </c>
      <c r="G504" s="5">
        <v>44862</v>
      </c>
      <c r="H504" s="4" t="s">
        <v>1005</v>
      </c>
      <c r="I504" s="4" t="s">
        <v>1262</v>
      </c>
      <c r="J504" s="4" t="s">
        <v>1263</v>
      </c>
      <c r="K504" s="5">
        <v>44832</v>
      </c>
      <c r="L504" s="4" t="s">
        <v>24</v>
      </c>
      <c r="M504" t="b">
        <v>0</v>
      </c>
      <c r="N504" t="b">
        <v>1</v>
      </c>
      <c r="O504" t="b">
        <v>0</v>
      </c>
      <c r="P504" t="b">
        <v>0</v>
      </c>
      <c r="Q504">
        <v>503</v>
      </c>
    </row>
    <row r="505" spans="1:17" x14ac:dyDescent="0.35">
      <c r="A505" s="4" t="s">
        <v>1286</v>
      </c>
      <c r="B505" s="4" t="s">
        <v>19</v>
      </c>
      <c r="C505" s="4" t="s">
        <v>107</v>
      </c>
      <c r="D505" s="4" t="s">
        <v>885</v>
      </c>
      <c r="E505" s="4" t="s">
        <v>1287</v>
      </c>
      <c r="F505" s="5">
        <v>44832</v>
      </c>
      <c r="G505" s="5">
        <v>44862</v>
      </c>
      <c r="H505" s="4" t="s">
        <v>1005</v>
      </c>
      <c r="I505" s="4" t="s">
        <v>1262</v>
      </c>
      <c r="J505" s="4" t="s">
        <v>1263</v>
      </c>
      <c r="K505" s="5">
        <v>44832</v>
      </c>
      <c r="L505" s="4" t="s">
        <v>24</v>
      </c>
      <c r="M505" t="b">
        <v>0</v>
      </c>
      <c r="N505" t="b">
        <v>1</v>
      </c>
      <c r="O505" t="b">
        <v>0</v>
      </c>
      <c r="P505" t="b">
        <v>0</v>
      </c>
      <c r="Q505">
        <v>504</v>
      </c>
    </row>
    <row r="506" spans="1:17" x14ac:dyDescent="0.35">
      <c r="A506" s="4" t="s">
        <v>1288</v>
      </c>
      <c r="B506" s="4" t="s">
        <v>19</v>
      </c>
      <c r="C506" s="4" t="s">
        <v>107</v>
      </c>
      <c r="D506" s="4" t="s">
        <v>885</v>
      </c>
      <c r="E506" s="4" t="s">
        <v>1289</v>
      </c>
      <c r="F506" s="5">
        <v>44832</v>
      </c>
      <c r="G506" s="5">
        <v>44862</v>
      </c>
      <c r="H506" s="4" t="s">
        <v>1005</v>
      </c>
      <c r="I506" s="4" t="s">
        <v>1262</v>
      </c>
      <c r="J506" s="4" t="s">
        <v>1263</v>
      </c>
      <c r="K506" s="5">
        <v>44832</v>
      </c>
      <c r="L506" s="4" t="s">
        <v>24</v>
      </c>
      <c r="M506" t="b">
        <v>0</v>
      </c>
      <c r="N506" t="b">
        <v>0</v>
      </c>
      <c r="O506" t="b">
        <v>0</v>
      </c>
      <c r="P506" t="b">
        <v>0</v>
      </c>
      <c r="Q506">
        <v>505</v>
      </c>
    </row>
    <row r="507" spans="1:17" x14ac:dyDescent="0.35">
      <c r="A507" s="4" t="s">
        <v>1290</v>
      </c>
      <c r="B507" s="4" t="s">
        <v>19</v>
      </c>
      <c r="C507" s="4" t="s">
        <v>107</v>
      </c>
      <c r="D507" s="4" t="s">
        <v>885</v>
      </c>
      <c r="E507" s="4" t="s">
        <v>1291</v>
      </c>
      <c r="F507" s="5">
        <v>44832</v>
      </c>
      <c r="G507" s="5">
        <v>44862</v>
      </c>
      <c r="H507" s="4" t="s">
        <v>1005</v>
      </c>
      <c r="I507" s="4" t="s">
        <v>1262</v>
      </c>
      <c r="J507" s="4" t="s">
        <v>1263</v>
      </c>
      <c r="K507" s="5">
        <v>44832</v>
      </c>
      <c r="L507" s="4" t="s">
        <v>24</v>
      </c>
      <c r="M507" t="b">
        <v>0</v>
      </c>
      <c r="N507" t="b">
        <v>1</v>
      </c>
      <c r="O507" t="b">
        <v>0</v>
      </c>
      <c r="P507" t="b">
        <v>0</v>
      </c>
      <c r="Q507">
        <v>506</v>
      </c>
    </row>
    <row r="508" spans="1:17" x14ac:dyDescent="0.35">
      <c r="A508" s="4" t="s">
        <v>1292</v>
      </c>
      <c r="B508" s="4" t="s">
        <v>19</v>
      </c>
      <c r="C508" s="4" t="s">
        <v>107</v>
      </c>
      <c r="D508" s="4" t="s">
        <v>885</v>
      </c>
      <c r="E508" s="4" t="s">
        <v>1293</v>
      </c>
      <c r="F508" s="5">
        <v>44832</v>
      </c>
      <c r="G508" s="5">
        <v>44862</v>
      </c>
      <c r="H508" s="4" t="s">
        <v>1005</v>
      </c>
      <c r="I508" s="4" t="s">
        <v>1262</v>
      </c>
      <c r="J508" s="4" t="s">
        <v>1263</v>
      </c>
      <c r="K508" s="5">
        <v>44832</v>
      </c>
      <c r="L508" s="4" t="s">
        <v>24</v>
      </c>
      <c r="M508" t="b">
        <v>0</v>
      </c>
      <c r="N508" t="b">
        <v>1</v>
      </c>
      <c r="O508" t="b">
        <v>0</v>
      </c>
      <c r="P508" t="b">
        <v>0</v>
      </c>
      <c r="Q508">
        <v>507</v>
      </c>
    </row>
    <row r="509" spans="1:17" x14ac:dyDescent="0.35">
      <c r="A509" s="4" t="s">
        <v>1294</v>
      </c>
      <c r="B509" s="4" t="s">
        <v>19</v>
      </c>
      <c r="C509" s="4" t="s">
        <v>107</v>
      </c>
      <c r="D509" s="4" t="s">
        <v>885</v>
      </c>
      <c r="E509" s="4" t="s">
        <v>1295</v>
      </c>
      <c r="F509" s="5">
        <v>44832</v>
      </c>
      <c r="G509" s="5">
        <v>44862</v>
      </c>
      <c r="H509" s="4" t="s">
        <v>1005</v>
      </c>
      <c r="I509" s="4" t="s">
        <v>1262</v>
      </c>
      <c r="J509" s="4" t="s">
        <v>1263</v>
      </c>
      <c r="K509" s="5">
        <v>44832</v>
      </c>
      <c r="L509" s="4" t="s">
        <v>24</v>
      </c>
      <c r="M509" t="b">
        <v>0</v>
      </c>
      <c r="N509" t="b">
        <v>1</v>
      </c>
      <c r="O509" t="b">
        <v>0</v>
      </c>
      <c r="P509" t="b">
        <v>0</v>
      </c>
      <c r="Q509">
        <v>508</v>
      </c>
    </row>
    <row r="510" spans="1:17" x14ac:dyDescent="0.35">
      <c r="A510" s="4" t="s">
        <v>1296</v>
      </c>
      <c r="B510" s="4" t="s">
        <v>19</v>
      </c>
      <c r="C510" s="4" t="s">
        <v>107</v>
      </c>
      <c r="D510" s="4" t="s">
        <v>885</v>
      </c>
      <c r="E510" s="4" t="s">
        <v>1297</v>
      </c>
      <c r="F510" s="5">
        <v>44832</v>
      </c>
      <c r="G510" s="5">
        <v>44862</v>
      </c>
      <c r="H510" s="4" t="s">
        <v>1005</v>
      </c>
      <c r="I510" s="4" t="s">
        <v>1262</v>
      </c>
      <c r="J510" s="4" t="s">
        <v>1263</v>
      </c>
      <c r="K510" s="5">
        <v>44832</v>
      </c>
      <c r="L510" s="4" t="s">
        <v>24</v>
      </c>
      <c r="M510" t="b">
        <v>0</v>
      </c>
      <c r="N510" t="b">
        <v>1</v>
      </c>
      <c r="O510" t="b">
        <v>0</v>
      </c>
      <c r="P510" t="b">
        <v>0</v>
      </c>
      <c r="Q510">
        <v>509</v>
      </c>
    </row>
    <row r="511" spans="1:17" x14ac:dyDescent="0.35">
      <c r="A511" s="4" t="s">
        <v>1298</v>
      </c>
      <c r="B511" s="4" t="s">
        <v>19</v>
      </c>
      <c r="C511" s="4" t="s">
        <v>107</v>
      </c>
      <c r="D511" s="4" t="s">
        <v>885</v>
      </c>
      <c r="E511" s="4" t="s">
        <v>1299</v>
      </c>
      <c r="F511" s="5">
        <v>44832</v>
      </c>
      <c r="G511" s="5">
        <v>44862</v>
      </c>
      <c r="H511" s="4" t="s">
        <v>1005</v>
      </c>
      <c r="I511" s="4" t="s">
        <v>1262</v>
      </c>
      <c r="J511" s="4" t="s">
        <v>1263</v>
      </c>
      <c r="K511" s="5">
        <v>44832</v>
      </c>
      <c r="L511" s="4" t="s">
        <v>24</v>
      </c>
      <c r="M511" t="b">
        <v>0</v>
      </c>
      <c r="N511" t="b">
        <v>1</v>
      </c>
      <c r="O511" t="b">
        <v>0</v>
      </c>
      <c r="P511" t="b">
        <v>0</v>
      </c>
      <c r="Q511">
        <v>510</v>
      </c>
    </row>
    <row r="512" spans="1:17" x14ac:dyDescent="0.35">
      <c r="A512" s="4" t="s">
        <v>1300</v>
      </c>
      <c r="B512" s="4" t="s">
        <v>19</v>
      </c>
      <c r="C512" s="4" t="s">
        <v>107</v>
      </c>
      <c r="D512" s="4" t="s">
        <v>885</v>
      </c>
      <c r="E512" s="4" t="s">
        <v>1301</v>
      </c>
      <c r="F512" s="5">
        <v>44832</v>
      </c>
      <c r="G512" s="5">
        <v>44862</v>
      </c>
      <c r="H512" s="4" t="s">
        <v>1005</v>
      </c>
      <c r="I512" s="4" t="s">
        <v>1262</v>
      </c>
      <c r="J512" s="4" t="s">
        <v>1263</v>
      </c>
      <c r="K512" s="5">
        <v>44832</v>
      </c>
      <c r="L512" s="4" t="s">
        <v>24</v>
      </c>
      <c r="M512" t="b">
        <v>0</v>
      </c>
      <c r="N512" t="b">
        <v>1</v>
      </c>
      <c r="O512" t="b">
        <v>0</v>
      </c>
      <c r="P512" t="b">
        <v>0</v>
      </c>
      <c r="Q512">
        <v>511</v>
      </c>
    </row>
    <row r="513" spans="1:17" x14ac:dyDescent="0.35">
      <c r="A513" s="4" t="s">
        <v>1302</v>
      </c>
      <c r="B513" s="4" t="s">
        <v>19</v>
      </c>
      <c r="C513" s="4" t="s">
        <v>107</v>
      </c>
      <c r="D513" s="4" t="s">
        <v>885</v>
      </c>
      <c r="E513" s="4" t="s">
        <v>1303</v>
      </c>
      <c r="F513" s="5">
        <v>44831</v>
      </c>
      <c r="G513" s="5">
        <v>44862</v>
      </c>
      <c r="H513" s="4" t="s">
        <v>1005</v>
      </c>
      <c r="I513" s="4" t="s">
        <v>1262</v>
      </c>
      <c r="J513" s="4" t="s">
        <v>1263</v>
      </c>
      <c r="K513" s="5">
        <v>44831</v>
      </c>
      <c r="L513" s="4" t="s">
        <v>24</v>
      </c>
      <c r="M513" t="b">
        <v>0</v>
      </c>
      <c r="N513" t="b">
        <v>0</v>
      </c>
      <c r="O513" t="b">
        <v>0</v>
      </c>
      <c r="P513" t="b">
        <v>0</v>
      </c>
      <c r="Q513">
        <v>512</v>
      </c>
    </row>
    <row r="514" spans="1:17" x14ac:dyDescent="0.35">
      <c r="A514" s="4" t="s">
        <v>1304</v>
      </c>
      <c r="B514" s="4" t="s">
        <v>19</v>
      </c>
      <c r="C514" s="4" t="s">
        <v>107</v>
      </c>
      <c r="D514" s="4" t="s">
        <v>885</v>
      </c>
      <c r="E514" s="4" t="s">
        <v>1305</v>
      </c>
      <c r="F514" s="5">
        <v>44832</v>
      </c>
      <c r="G514" s="5">
        <v>44862</v>
      </c>
      <c r="H514" s="4" t="s">
        <v>1005</v>
      </c>
      <c r="I514" s="4" t="s">
        <v>1262</v>
      </c>
      <c r="J514" s="4" t="s">
        <v>1263</v>
      </c>
      <c r="K514" s="5">
        <v>44832</v>
      </c>
      <c r="L514" s="4" t="s">
        <v>24</v>
      </c>
      <c r="M514" t="b">
        <v>0</v>
      </c>
      <c r="N514" t="b">
        <v>1</v>
      </c>
      <c r="O514" t="b">
        <v>0</v>
      </c>
      <c r="P514" t="b">
        <v>0</v>
      </c>
      <c r="Q514">
        <v>513</v>
      </c>
    </row>
    <row r="515" spans="1:17" x14ac:dyDescent="0.35">
      <c r="A515" s="4" t="s">
        <v>1306</v>
      </c>
      <c r="B515" s="4" t="s">
        <v>19</v>
      </c>
      <c r="C515" s="4" t="s">
        <v>107</v>
      </c>
      <c r="D515" s="4" t="s">
        <v>885</v>
      </c>
      <c r="E515" s="4" t="s">
        <v>1307</v>
      </c>
      <c r="F515" s="5">
        <v>44832</v>
      </c>
      <c r="G515" s="5">
        <v>44862</v>
      </c>
      <c r="H515" s="4" t="s">
        <v>1005</v>
      </c>
      <c r="I515" s="4" t="s">
        <v>1262</v>
      </c>
      <c r="J515" s="4" t="s">
        <v>1263</v>
      </c>
      <c r="K515" s="5">
        <v>44832</v>
      </c>
      <c r="L515" s="4" t="s">
        <v>24</v>
      </c>
      <c r="M515" t="b">
        <v>0</v>
      </c>
      <c r="N515" t="b">
        <v>1</v>
      </c>
      <c r="O515" t="b">
        <v>0</v>
      </c>
      <c r="P515" t="b">
        <v>0</v>
      </c>
      <c r="Q515">
        <v>514</v>
      </c>
    </row>
    <row r="516" spans="1:17" x14ac:dyDescent="0.35">
      <c r="A516" s="4" t="s">
        <v>1308</v>
      </c>
      <c r="B516" s="4" t="s">
        <v>19</v>
      </c>
      <c r="C516" s="4" t="s">
        <v>107</v>
      </c>
      <c r="D516" s="4" t="s">
        <v>885</v>
      </c>
      <c r="E516" s="4" t="s">
        <v>1309</v>
      </c>
      <c r="F516" s="5">
        <v>44832</v>
      </c>
      <c r="G516" s="5">
        <v>44862</v>
      </c>
      <c r="H516" s="4" t="s">
        <v>1005</v>
      </c>
      <c r="I516" s="4" t="s">
        <v>1262</v>
      </c>
      <c r="J516" s="4" t="s">
        <v>1263</v>
      </c>
      <c r="K516" s="5">
        <v>44832</v>
      </c>
      <c r="L516" s="4" t="s">
        <v>24</v>
      </c>
      <c r="M516" t="b">
        <v>0</v>
      </c>
      <c r="N516" t="b">
        <v>1</v>
      </c>
      <c r="O516" t="b">
        <v>0</v>
      </c>
      <c r="P516" t="b">
        <v>0</v>
      </c>
      <c r="Q516">
        <v>515</v>
      </c>
    </row>
    <row r="517" spans="1:17" x14ac:dyDescent="0.35">
      <c r="A517" s="4" t="s">
        <v>1310</v>
      </c>
      <c r="B517" s="4" t="s">
        <v>19</v>
      </c>
      <c r="C517" s="4" t="s">
        <v>107</v>
      </c>
      <c r="D517" s="4" t="s">
        <v>885</v>
      </c>
      <c r="E517" s="4" t="s">
        <v>1311</v>
      </c>
      <c r="F517" s="5">
        <v>44832</v>
      </c>
      <c r="G517" s="5">
        <v>44862</v>
      </c>
      <c r="H517" s="4" t="s">
        <v>1005</v>
      </c>
      <c r="I517" s="4" t="s">
        <v>1262</v>
      </c>
      <c r="J517" s="4" t="s">
        <v>1263</v>
      </c>
      <c r="K517" s="5">
        <v>44832</v>
      </c>
      <c r="L517" s="4" t="s">
        <v>24</v>
      </c>
      <c r="M517" t="b">
        <v>0</v>
      </c>
      <c r="N517" t="b">
        <v>1</v>
      </c>
      <c r="O517" t="b">
        <v>0</v>
      </c>
      <c r="P517" t="b">
        <v>0</v>
      </c>
      <c r="Q517">
        <v>516</v>
      </c>
    </row>
    <row r="518" spans="1:17" x14ac:dyDescent="0.35">
      <c r="A518" s="4" t="s">
        <v>1312</v>
      </c>
      <c r="B518" s="4" t="s">
        <v>19</v>
      </c>
      <c r="C518" s="4" t="s">
        <v>107</v>
      </c>
      <c r="D518" s="4" t="s">
        <v>885</v>
      </c>
      <c r="E518" s="4" t="s">
        <v>1313</v>
      </c>
      <c r="F518" s="5">
        <v>44832</v>
      </c>
      <c r="G518" s="5">
        <v>44862</v>
      </c>
      <c r="H518" s="4" t="s">
        <v>1005</v>
      </c>
      <c r="I518" s="4" t="s">
        <v>1262</v>
      </c>
      <c r="J518" s="4" t="s">
        <v>1263</v>
      </c>
      <c r="K518" s="5">
        <v>44832</v>
      </c>
      <c r="L518" s="4" t="s">
        <v>24</v>
      </c>
      <c r="M518" t="b">
        <v>0</v>
      </c>
      <c r="N518" t="b">
        <v>1</v>
      </c>
      <c r="O518" t="b">
        <v>0</v>
      </c>
      <c r="P518" t="b">
        <v>0</v>
      </c>
      <c r="Q518">
        <v>517</v>
      </c>
    </row>
    <row r="519" spans="1:17" x14ac:dyDescent="0.35">
      <c r="A519" s="4" t="s">
        <v>1314</v>
      </c>
      <c r="B519" s="4" t="s">
        <v>19</v>
      </c>
      <c r="C519" s="4" t="s">
        <v>107</v>
      </c>
      <c r="D519" s="4" t="s">
        <v>885</v>
      </c>
      <c r="E519" s="4" t="s">
        <v>1315</v>
      </c>
      <c r="F519" s="5">
        <v>44832</v>
      </c>
      <c r="G519" s="5">
        <v>44862</v>
      </c>
      <c r="H519" s="4" t="s">
        <v>1005</v>
      </c>
      <c r="I519" s="4" t="s">
        <v>1262</v>
      </c>
      <c r="J519" s="4" t="s">
        <v>1263</v>
      </c>
      <c r="K519" s="5">
        <v>44832</v>
      </c>
      <c r="L519" s="4" t="s">
        <v>24</v>
      </c>
      <c r="M519" t="b">
        <v>0</v>
      </c>
      <c r="N519" t="b">
        <v>1</v>
      </c>
      <c r="O519" t="b">
        <v>0</v>
      </c>
      <c r="P519" t="b">
        <v>0</v>
      </c>
      <c r="Q519">
        <v>518</v>
      </c>
    </row>
    <row r="520" spans="1:17" x14ac:dyDescent="0.35">
      <c r="A520" s="4" t="s">
        <v>1316</v>
      </c>
      <c r="B520" s="4" t="s">
        <v>19</v>
      </c>
      <c r="C520" s="4" t="s">
        <v>107</v>
      </c>
      <c r="D520" s="4" t="s">
        <v>885</v>
      </c>
      <c r="E520" s="4" t="s">
        <v>1317</v>
      </c>
      <c r="F520" s="5">
        <v>44832</v>
      </c>
      <c r="G520" s="5">
        <v>44862</v>
      </c>
      <c r="H520" s="4" t="s">
        <v>1005</v>
      </c>
      <c r="I520" s="4" t="s">
        <v>1262</v>
      </c>
      <c r="J520" s="4" t="s">
        <v>1263</v>
      </c>
      <c r="K520" s="5">
        <v>44832</v>
      </c>
      <c r="L520" s="4" t="s">
        <v>24</v>
      </c>
      <c r="M520" t="b">
        <v>0</v>
      </c>
      <c r="N520" t="b">
        <v>1</v>
      </c>
      <c r="O520" t="b">
        <v>0</v>
      </c>
      <c r="P520" t="b">
        <v>0</v>
      </c>
      <c r="Q520">
        <v>519</v>
      </c>
    </row>
    <row r="521" spans="1:17" x14ac:dyDescent="0.35">
      <c r="A521" s="4" t="s">
        <v>1318</v>
      </c>
      <c r="B521" s="4" t="s">
        <v>19</v>
      </c>
      <c r="C521" s="4" t="s">
        <v>107</v>
      </c>
      <c r="D521" s="4" t="s">
        <v>885</v>
      </c>
      <c r="E521" s="4" t="s">
        <v>1319</v>
      </c>
      <c r="F521" s="5">
        <v>44832</v>
      </c>
      <c r="G521" s="5">
        <v>44862</v>
      </c>
      <c r="H521" s="4" t="s">
        <v>1005</v>
      </c>
      <c r="I521" s="4" t="s">
        <v>1262</v>
      </c>
      <c r="J521" s="4" t="s">
        <v>1263</v>
      </c>
      <c r="K521" s="5">
        <v>44832</v>
      </c>
      <c r="L521" s="4" t="s">
        <v>24</v>
      </c>
      <c r="M521" t="b">
        <v>0</v>
      </c>
      <c r="N521" t="b">
        <v>1</v>
      </c>
      <c r="O521" t="b">
        <v>0</v>
      </c>
      <c r="P521" t="b">
        <v>0</v>
      </c>
      <c r="Q521">
        <v>520</v>
      </c>
    </row>
    <row r="522" spans="1:17" x14ac:dyDescent="0.35">
      <c r="A522" s="4" t="s">
        <v>1320</v>
      </c>
      <c r="B522" s="4" t="s">
        <v>19</v>
      </c>
      <c r="C522" s="4" t="s">
        <v>107</v>
      </c>
      <c r="D522" s="4" t="s">
        <v>885</v>
      </c>
      <c r="E522" s="4" t="s">
        <v>1321</v>
      </c>
      <c r="F522" s="5">
        <v>44832</v>
      </c>
      <c r="G522" s="5">
        <v>44862</v>
      </c>
      <c r="H522" s="4" t="s">
        <v>1005</v>
      </c>
      <c r="I522" s="4" t="s">
        <v>1262</v>
      </c>
      <c r="J522" s="4" t="s">
        <v>1263</v>
      </c>
      <c r="K522" s="5">
        <v>44832</v>
      </c>
      <c r="L522" s="4" t="s">
        <v>24</v>
      </c>
      <c r="M522" t="b">
        <v>0</v>
      </c>
      <c r="N522" t="b">
        <v>1</v>
      </c>
      <c r="O522" t="b">
        <v>0</v>
      </c>
      <c r="P522" t="b">
        <v>0</v>
      </c>
      <c r="Q522">
        <v>521</v>
      </c>
    </row>
    <row r="523" spans="1:17" x14ac:dyDescent="0.35">
      <c r="A523" s="4" t="s">
        <v>1322</v>
      </c>
      <c r="B523" s="4" t="s">
        <v>19</v>
      </c>
      <c r="C523" s="4" t="s">
        <v>189</v>
      </c>
      <c r="D523" s="4" t="s">
        <v>1074</v>
      </c>
      <c r="E523" s="4" t="s">
        <v>1323</v>
      </c>
      <c r="F523" s="5">
        <v>44839</v>
      </c>
      <c r="G523" s="5">
        <v>44846</v>
      </c>
      <c r="H523" s="4" t="s">
        <v>1005</v>
      </c>
      <c r="I523" s="4" t="s">
        <v>57</v>
      </c>
      <c r="J523" s="4" t="s">
        <v>58</v>
      </c>
      <c r="K523" s="5">
        <v>44839</v>
      </c>
      <c r="L523" s="4" t="s">
        <v>24</v>
      </c>
      <c r="M523" t="b">
        <v>0</v>
      </c>
      <c r="N523" t="b">
        <v>1</v>
      </c>
      <c r="O523" t="b">
        <v>0</v>
      </c>
      <c r="P523" t="b">
        <v>0</v>
      </c>
      <c r="Q523">
        <v>522</v>
      </c>
    </row>
    <row r="524" spans="1:17" x14ac:dyDescent="0.35">
      <c r="A524" s="4" t="s">
        <v>1324</v>
      </c>
      <c r="B524" s="4" t="s">
        <v>19</v>
      </c>
      <c r="C524" s="4" t="s">
        <v>189</v>
      </c>
      <c r="D524" s="4" t="s">
        <v>1325</v>
      </c>
      <c r="E524" s="4" t="s">
        <v>78</v>
      </c>
      <c r="F524" s="5">
        <v>44839</v>
      </c>
      <c r="G524" s="5">
        <v>44846</v>
      </c>
      <c r="H524" s="4" t="s">
        <v>1005</v>
      </c>
      <c r="I524" s="4" t="s">
        <v>57</v>
      </c>
      <c r="J524" s="4" t="s">
        <v>58</v>
      </c>
      <c r="K524" s="5">
        <v>44839</v>
      </c>
      <c r="L524" s="4" t="s">
        <v>24</v>
      </c>
      <c r="M524" t="b">
        <v>0</v>
      </c>
      <c r="N524" t="b">
        <v>1</v>
      </c>
      <c r="O524" t="b">
        <v>0</v>
      </c>
      <c r="P524" t="b">
        <v>0</v>
      </c>
      <c r="Q524">
        <v>523</v>
      </c>
    </row>
    <row r="525" spans="1:17" x14ac:dyDescent="0.35">
      <c r="A525" s="4" t="s">
        <v>1326</v>
      </c>
      <c r="B525" s="4" t="s">
        <v>19</v>
      </c>
      <c r="C525" s="4" t="s">
        <v>189</v>
      </c>
      <c r="D525" s="4" t="s">
        <v>1074</v>
      </c>
      <c r="E525" s="4" t="s">
        <v>1327</v>
      </c>
      <c r="F525" s="5">
        <v>44839</v>
      </c>
      <c r="G525" s="5">
        <v>44846</v>
      </c>
      <c r="H525" s="4" t="s">
        <v>1005</v>
      </c>
      <c r="I525" s="4" t="s">
        <v>51</v>
      </c>
      <c r="J525" s="4" t="s">
        <v>52</v>
      </c>
      <c r="K525" s="5">
        <v>44839</v>
      </c>
      <c r="L525" s="4" t="s">
        <v>24</v>
      </c>
      <c r="M525" t="b">
        <v>0</v>
      </c>
      <c r="N525" t="b">
        <v>1</v>
      </c>
      <c r="O525" t="b">
        <v>0</v>
      </c>
      <c r="P525" t="b">
        <v>0</v>
      </c>
      <c r="Q525">
        <v>524</v>
      </c>
    </row>
    <row r="526" spans="1:17" x14ac:dyDescent="0.35">
      <c r="A526" s="4" t="s">
        <v>1328</v>
      </c>
      <c r="B526" s="4" t="s">
        <v>19</v>
      </c>
      <c r="C526" s="4" t="s">
        <v>189</v>
      </c>
      <c r="D526" s="4" t="s">
        <v>1074</v>
      </c>
      <c r="E526" s="4" t="s">
        <v>1329</v>
      </c>
      <c r="F526" s="5">
        <v>44839</v>
      </c>
      <c r="G526" s="5">
        <v>44846</v>
      </c>
      <c r="H526" s="4" t="s">
        <v>1005</v>
      </c>
      <c r="I526" s="4" t="s">
        <v>51</v>
      </c>
      <c r="J526" s="4" t="s">
        <v>52</v>
      </c>
      <c r="K526" s="5">
        <v>44839</v>
      </c>
      <c r="L526" s="4" t="s">
        <v>24</v>
      </c>
      <c r="M526" t="b">
        <v>0</v>
      </c>
      <c r="N526" t="b">
        <v>1</v>
      </c>
      <c r="O526" t="b">
        <v>0</v>
      </c>
      <c r="P526" t="b">
        <v>0</v>
      </c>
      <c r="Q526">
        <v>525</v>
      </c>
    </row>
    <row r="527" spans="1:17" x14ac:dyDescent="0.35">
      <c r="A527" s="4" t="s">
        <v>1330</v>
      </c>
      <c r="B527" s="4" t="s">
        <v>19</v>
      </c>
      <c r="C527" s="4" t="s">
        <v>189</v>
      </c>
      <c r="D527" s="4" t="s">
        <v>1074</v>
      </c>
      <c r="E527" s="4" t="s">
        <v>1162</v>
      </c>
      <c r="F527" s="5">
        <v>44839</v>
      </c>
      <c r="G527" s="5">
        <v>44846</v>
      </c>
      <c r="H527" s="4" t="s">
        <v>1005</v>
      </c>
      <c r="I527" s="4" t="s">
        <v>28</v>
      </c>
      <c r="J527" s="4" t="s">
        <v>29</v>
      </c>
      <c r="K527" s="5">
        <v>44839</v>
      </c>
      <c r="L527" s="4" t="s">
        <v>24</v>
      </c>
      <c r="M527" t="b">
        <v>0</v>
      </c>
      <c r="N527" t="b">
        <v>1</v>
      </c>
      <c r="O527" t="b">
        <v>0</v>
      </c>
      <c r="P527" t="b">
        <v>0</v>
      </c>
      <c r="Q527">
        <v>526</v>
      </c>
    </row>
    <row r="528" spans="1:17" x14ac:dyDescent="0.35">
      <c r="A528" s="4" t="s">
        <v>1331</v>
      </c>
      <c r="B528" s="4" t="s">
        <v>19</v>
      </c>
      <c r="C528" s="4" t="s">
        <v>189</v>
      </c>
      <c r="D528" s="4" t="s">
        <v>1074</v>
      </c>
      <c r="E528" s="4" t="s">
        <v>1332</v>
      </c>
      <c r="F528" s="5">
        <v>44839</v>
      </c>
      <c r="G528" s="5">
        <v>44846</v>
      </c>
      <c r="H528" s="4" t="s">
        <v>1005</v>
      </c>
      <c r="I528" s="4" t="s">
        <v>51</v>
      </c>
      <c r="J528" s="4" t="s">
        <v>52</v>
      </c>
      <c r="K528" s="5">
        <v>44839</v>
      </c>
      <c r="L528" s="4" t="s">
        <v>24</v>
      </c>
      <c r="M528" t="b">
        <v>0</v>
      </c>
      <c r="N528" t="b">
        <v>1</v>
      </c>
      <c r="O528" t="b">
        <v>0</v>
      </c>
      <c r="P528" t="b">
        <v>0</v>
      </c>
      <c r="Q528">
        <v>527</v>
      </c>
    </row>
    <row r="529" spans="1:17" x14ac:dyDescent="0.35">
      <c r="A529" s="4" t="s">
        <v>1333</v>
      </c>
      <c r="B529" s="4" t="s">
        <v>19</v>
      </c>
      <c r="C529" s="4" t="s">
        <v>189</v>
      </c>
      <c r="D529" s="4" t="s">
        <v>1074</v>
      </c>
      <c r="E529" s="4" t="s">
        <v>1334</v>
      </c>
      <c r="F529" s="5">
        <v>44839</v>
      </c>
      <c r="G529" s="5">
        <v>44846</v>
      </c>
      <c r="H529" s="4" t="s">
        <v>1005</v>
      </c>
      <c r="I529" s="4" t="s">
        <v>51</v>
      </c>
      <c r="J529" s="4" t="s">
        <v>52</v>
      </c>
      <c r="K529" s="5">
        <v>44839</v>
      </c>
      <c r="L529" s="4" t="s">
        <v>24</v>
      </c>
      <c r="M529" t="b">
        <v>0</v>
      </c>
      <c r="N529" t="b">
        <v>1</v>
      </c>
      <c r="O529" t="b">
        <v>0</v>
      </c>
      <c r="P529" t="b">
        <v>0</v>
      </c>
      <c r="Q529">
        <v>528</v>
      </c>
    </row>
    <row r="530" spans="1:17" x14ac:dyDescent="0.35">
      <c r="A530" s="4" t="s">
        <v>1335</v>
      </c>
      <c r="B530" s="4" t="s">
        <v>19</v>
      </c>
      <c r="C530" s="4" t="s">
        <v>189</v>
      </c>
      <c r="D530" s="4" t="s">
        <v>1074</v>
      </c>
      <c r="E530" s="4" t="s">
        <v>1336</v>
      </c>
      <c r="F530" s="5">
        <v>44839</v>
      </c>
      <c r="G530" s="5">
        <v>44846</v>
      </c>
      <c r="H530" s="4" t="s">
        <v>1005</v>
      </c>
      <c r="I530" s="4" t="s">
        <v>57</v>
      </c>
      <c r="J530" s="4" t="s">
        <v>58</v>
      </c>
      <c r="K530" s="5">
        <v>44839</v>
      </c>
      <c r="L530" s="4" t="s">
        <v>24</v>
      </c>
      <c r="M530" t="b">
        <v>0</v>
      </c>
      <c r="N530" t="b">
        <v>1</v>
      </c>
      <c r="O530" t="b">
        <v>0</v>
      </c>
      <c r="P530" t="b">
        <v>0</v>
      </c>
      <c r="Q530">
        <v>529</v>
      </c>
    </row>
    <row r="531" spans="1:17" x14ac:dyDescent="0.35">
      <c r="A531" s="4" t="s">
        <v>1337</v>
      </c>
      <c r="B531" s="4" t="s">
        <v>19</v>
      </c>
      <c r="C531" s="4" t="s">
        <v>189</v>
      </c>
      <c r="D531" s="4" t="s">
        <v>1074</v>
      </c>
      <c r="E531" s="4" t="s">
        <v>1338</v>
      </c>
      <c r="F531" s="5">
        <v>44839</v>
      </c>
      <c r="G531" s="5">
        <v>44846</v>
      </c>
      <c r="H531" s="4" t="s">
        <v>1005</v>
      </c>
      <c r="I531" s="4" t="s">
        <v>57</v>
      </c>
      <c r="J531" s="4" t="s">
        <v>58</v>
      </c>
      <c r="K531" s="5">
        <v>44839</v>
      </c>
      <c r="L531" s="4" t="s">
        <v>24</v>
      </c>
      <c r="M531" t="b">
        <v>0</v>
      </c>
      <c r="N531" t="b">
        <v>1</v>
      </c>
      <c r="O531" t="b">
        <v>0</v>
      </c>
      <c r="P531" t="b">
        <v>0</v>
      </c>
      <c r="Q531">
        <v>530</v>
      </c>
    </row>
    <row r="532" spans="1:17" x14ac:dyDescent="0.35">
      <c r="A532" s="4" t="s">
        <v>1339</v>
      </c>
      <c r="B532" s="4" t="s">
        <v>19</v>
      </c>
      <c r="C532" s="4" t="s">
        <v>107</v>
      </c>
      <c r="D532" s="4" t="s">
        <v>1155</v>
      </c>
      <c r="E532" s="4" t="s">
        <v>1340</v>
      </c>
      <c r="F532" s="5">
        <v>44839</v>
      </c>
      <c r="G532" s="5">
        <v>44846</v>
      </c>
      <c r="H532" s="4" t="s">
        <v>1005</v>
      </c>
      <c r="I532" s="4" t="s">
        <v>584</v>
      </c>
      <c r="J532" s="4" t="s">
        <v>585</v>
      </c>
      <c r="K532" s="5">
        <v>44839</v>
      </c>
      <c r="L532" s="4" t="s">
        <v>24</v>
      </c>
      <c r="M532" t="b">
        <v>0</v>
      </c>
      <c r="N532" t="b">
        <v>1</v>
      </c>
      <c r="O532" t="b">
        <v>0</v>
      </c>
      <c r="P532" t="b">
        <v>0</v>
      </c>
      <c r="Q532">
        <v>531</v>
      </c>
    </row>
    <row r="533" spans="1:17" x14ac:dyDescent="0.35">
      <c r="A533" s="4" t="s">
        <v>1341</v>
      </c>
      <c r="B533" s="4" t="s">
        <v>19</v>
      </c>
      <c r="C533" s="4" t="s">
        <v>704</v>
      </c>
      <c r="D533" s="4" t="s">
        <v>926</v>
      </c>
      <c r="E533" s="4" t="s">
        <v>1342</v>
      </c>
      <c r="F533" s="5">
        <v>44831</v>
      </c>
      <c r="G533" s="5">
        <v>44838</v>
      </c>
      <c r="H533" s="4" t="s">
        <v>1005</v>
      </c>
      <c r="I533" s="4" t="s">
        <v>28</v>
      </c>
      <c r="J533" s="4" t="s">
        <v>29</v>
      </c>
      <c r="K533" s="5">
        <v>44831</v>
      </c>
      <c r="L533" s="4" t="s">
        <v>24</v>
      </c>
      <c r="M533" t="b">
        <v>1</v>
      </c>
      <c r="N533" t="b">
        <v>1</v>
      </c>
      <c r="O533" t="b">
        <v>0</v>
      </c>
      <c r="P533" t="b">
        <v>0</v>
      </c>
      <c r="Q533">
        <v>532</v>
      </c>
    </row>
    <row r="534" spans="1:17" x14ac:dyDescent="0.35">
      <c r="A534" s="4" t="s">
        <v>1343</v>
      </c>
      <c r="B534" s="4" t="s">
        <v>19</v>
      </c>
      <c r="C534" s="4" t="s">
        <v>73</v>
      </c>
      <c r="D534" s="4" t="s">
        <v>1344</v>
      </c>
      <c r="E534" s="4" t="s">
        <v>1345</v>
      </c>
      <c r="F534" s="5">
        <v>44837</v>
      </c>
      <c r="G534" s="5">
        <v>44844</v>
      </c>
      <c r="H534" s="4" t="s">
        <v>1005</v>
      </c>
      <c r="I534" s="4" t="s">
        <v>51</v>
      </c>
      <c r="J534" s="4" t="s">
        <v>52</v>
      </c>
      <c r="K534" s="5">
        <v>44837</v>
      </c>
      <c r="L534" s="4" t="s">
        <v>24</v>
      </c>
      <c r="M534" t="b">
        <v>0</v>
      </c>
      <c r="N534" t="b">
        <v>1</v>
      </c>
      <c r="O534" t="b">
        <v>0</v>
      </c>
      <c r="P534" t="b">
        <v>0</v>
      </c>
      <c r="Q534">
        <v>533</v>
      </c>
    </row>
    <row r="535" spans="1:17" x14ac:dyDescent="0.35">
      <c r="A535" s="4" t="s">
        <v>1346</v>
      </c>
      <c r="B535" s="4" t="s">
        <v>19</v>
      </c>
      <c r="C535" s="4" t="s">
        <v>73</v>
      </c>
      <c r="D535" s="4" t="s">
        <v>1344</v>
      </c>
      <c r="E535" s="4" t="s">
        <v>1347</v>
      </c>
      <c r="F535" s="5">
        <v>44837</v>
      </c>
      <c r="G535" s="5">
        <v>44844</v>
      </c>
      <c r="H535" s="4" t="s">
        <v>1005</v>
      </c>
      <c r="I535" s="4" t="s">
        <v>51</v>
      </c>
      <c r="J535" s="4" t="s">
        <v>52</v>
      </c>
      <c r="K535" s="5">
        <v>44837</v>
      </c>
      <c r="L535" s="4" t="s">
        <v>24</v>
      </c>
      <c r="M535" t="b">
        <v>0</v>
      </c>
      <c r="N535" t="b">
        <v>1</v>
      </c>
      <c r="O535" t="b">
        <v>0</v>
      </c>
      <c r="P535" t="b">
        <v>0</v>
      </c>
      <c r="Q535">
        <v>534</v>
      </c>
    </row>
    <row r="536" spans="1:17" x14ac:dyDescent="0.35">
      <c r="A536" s="4" t="s">
        <v>1348</v>
      </c>
      <c r="B536" s="4" t="s">
        <v>19</v>
      </c>
      <c r="C536" s="4" t="s">
        <v>73</v>
      </c>
      <c r="D536" s="4" t="s">
        <v>1344</v>
      </c>
      <c r="E536" s="4" t="s">
        <v>1234</v>
      </c>
      <c r="F536" s="5">
        <v>44837</v>
      </c>
      <c r="G536" s="5">
        <v>44844</v>
      </c>
      <c r="H536" s="4" t="s">
        <v>1005</v>
      </c>
      <c r="I536" s="4" t="s">
        <v>51</v>
      </c>
      <c r="J536" s="4" t="s">
        <v>52</v>
      </c>
      <c r="K536" s="5">
        <v>44837</v>
      </c>
      <c r="L536" s="4" t="s">
        <v>24</v>
      </c>
      <c r="M536" t="b">
        <v>0</v>
      </c>
      <c r="N536" t="b">
        <v>1</v>
      </c>
      <c r="O536" t="b">
        <v>0</v>
      </c>
      <c r="P536" t="b">
        <v>0</v>
      </c>
      <c r="Q536">
        <v>535</v>
      </c>
    </row>
    <row r="537" spans="1:17" x14ac:dyDescent="0.35">
      <c r="A537" s="4" t="s">
        <v>1349</v>
      </c>
      <c r="B537" s="4" t="s">
        <v>19</v>
      </c>
      <c r="C537" s="4" t="s">
        <v>73</v>
      </c>
      <c r="D537" s="4" t="s">
        <v>1344</v>
      </c>
      <c r="E537" s="4" t="s">
        <v>1350</v>
      </c>
      <c r="F537" s="5">
        <v>44837</v>
      </c>
      <c r="G537" s="5">
        <v>44844</v>
      </c>
      <c r="H537" s="4" t="s">
        <v>1005</v>
      </c>
      <c r="I537" s="4" t="s">
        <v>51</v>
      </c>
      <c r="J537" s="4" t="s">
        <v>52</v>
      </c>
      <c r="K537" s="5">
        <v>44837</v>
      </c>
      <c r="L537" s="4" t="s">
        <v>24</v>
      </c>
      <c r="M537" t="b">
        <v>0</v>
      </c>
      <c r="N537" t="b">
        <v>1</v>
      </c>
      <c r="O537" t="b">
        <v>0</v>
      </c>
      <c r="P537" t="b">
        <v>0</v>
      </c>
      <c r="Q537">
        <v>536</v>
      </c>
    </row>
    <row r="538" spans="1:17" x14ac:dyDescent="0.35">
      <c r="A538" s="4" t="s">
        <v>1351</v>
      </c>
      <c r="B538" s="4" t="s">
        <v>19</v>
      </c>
      <c r="C538" s="4" t="s">
        <v>73</v>
      </c>
      <c r="D538" s="4" t="s">
        <v>1352</v>
      </c>
      <c r="E538" s="4" t="s">
        <v>1353</v>
      </c>
      <c r="F538" s="5">
        <v>44837</v>
      </c>
      <c r="G538" s="5">
        <v>44844</v>
      </c>
      <c r="H538" s="4" t="s">
        <v>1005</v>
      </c>
      <c r="I538" s="4" t="s">
        <v>34</v>
      </c>
      <c r="J538" s="4" t="s">
        <v>35</v>
      </c>
      <c r="K538" s="5">
        <v>44837</v>
      </c>
      <c r="L538" s="4" t="s">
        <v>24</v>
      </c>
      <c r="M538" t="b">
        <v>0</v>
      </c>
      <c r="N538" t="b">
        <v>1</v>
      </c>
      <c r="O538" t="b">
        <v>0</v>
      </c>
      <c r="P538" t="b">
        <v>0</v>
      </c>
      <c r="Q538">
        <v>537</v>
      </c>
    </row>
    <row r="539" spans="1:17" x14ac:dyDescent="0.35">
      <c r="A539" s="4" t="s">
        <v>1354</v>
      </c>
      <c r="B539" s="4" t="s">
        <v>19</v>
      </c>
      <c r="C539" s="4" t="s">
        <v>73</v>
      </c>
      <c r="D539" s="4" t="s">
        <v>1352</v>
      </c>
      <c r="E539" s="4" t="s">
        <v>1355</v>
      </c>
      <c r="F539" s="5">
        <v>44837</v>
      </c>
      <c r="G539" s="5">
        <v>44844</v>
      </c>
      <c r="H539" s="4" t="s">
        <v>1005</v>
      </c>
      <c r="I539" s="4" t="s">
        <v>51</v>
      </c>
      <c r="J539" s="4" t="s">
        <v>52</v>
      </c>
      <c r="K539" s="5">
        <v>44837</v>
      </c>
      <c r="L539" s="4" t="s">
        <v>24</v>
      </c>
      <c r="M539" t="b">
        <v>0</v>
      </c>
      <c r="N539" t="b">
        <v>1</v>
      </c>
      <c r="O539" t="b">
        <v>0</v>
      </c>
      <c r="P539" t="b">
        <v>0</v>
      </c>
      <c r="Q539">
        <v>538</v>
      </c>
    </row>
    <row r="540" spans="1:17" x14ac:dyDescent="0.35">
      <c r="A540" s="4" t="s">
        <v>1356</v>
      </c>
      <c r="B540" s="4" t="s">
        <v>19</v>
      </c>
      <c r="C540" s="4" t="s">
        <v>73</v>
      </c>
      <c r="D540" s="4" t="s">
        <v>1352</v>
      </c>
      <c r="E540" s="4" t="s">
        <v>1357</v>
      </c>
      <c r="F540" s="5">
        <v>44837</v>
      </c>
      <c r="G540" s="5">
        <v>44844</v>
      </c>
      <c r="H540" s="4" t="s">
        <v>1005</v>
      </c>
      <c r="I540" s="4" t="s">
        <v>51</v>
      </c>
      <c r="J540" s="4" t="s">
        <v>52</v>
      </c>
      <c r="K540" s="5">
        <v>44837</v>
      </c>
      <c r="L540" s="4" t="s">
        <v>24</v>
      </c>
      <c r="M540" t="b">
        <v>0</v>
      </c>
      <c r="N540" t="b">
        <v>1</v>
      </c>
      <c r="O540" t="b">
        <v>0</v>
      </c>
      <c r="P540" t="b">
        <v>0</v>
      </c>
      <c r="Q540">
        <v>539</v>
      </c>
    </row>
    <row r="541" spans="1:17" x14ac:dyDescent="0.35">
      <c r="A541" s="4" t="s">
        <v>1358</v>
      </c>
      <c r="B541" s="4" t="s">
        <v>19</v>
      </c>
      <c r="C541" s="4" t="s">
        <v>73</v>
      </c>
      <c r="D541" s="4" t="s">
        <v>1352</v>
      </c>
      <c r="E541" s="4" t="s">
        <v>1359</v>
      </c>
      <c r="F541" s="5">
        <v>44837</v>
      </c>
      <c r="G541" s="5">
        <v>44844</v>
      </c>
      <c r="H541" s="4" t="s">
        <v>1005</v>
      </c>
      <c r="I541" s="4" t="s">
        <v>51</v>
      </c>
      <c r="J541" s="4" t="s">
        <v>52</v>
      </c>
      <c r="K541" s="5">
        <v>44837</v>
      </c>
      <c r="L541" s="4" t="s">
        <v>24</v>
      </c>
      <c r="M541" t="b">
        <v>0</v>
      </c>
      <c r="N541" t="b">
        <v>1</v>
      </c>
      <c r="O541" t="b">
        <v>0</v>
      </c>
      <c r="P541" t="b">
        <v>0</v>
      </c>
      <c r="Q541">
        <v>540</v>
      </c>
    </row>
    <row r="542" spans="1:17" x14ac:dyDescent="0.35">
      <c r="A542" s="4" t="s">
        <v>1360</v>
      </c>
      <c r="B542" s="4" t="s">
        <v>19</v>
      </c>
      <c r="C542" s="4" t="s">
        <v>73</v>
      </c>
      <c r="D542" s="4" t="s">
        <v>1361</v>
      </c>
      <c r="E542" s="4" t="s">
        <v>1353</v>
      </c>
      <c r="F542" s="5">
        <v>44837</v>
      </c>
      <c r="G542" s="5">
        <v>44844</v>
      </c>
      <c r="H542" s="4" t="s">
        <v>1005</v>
      </c>
      <c r="I542" s="4" t="s">
        <v>34</v>
      </c>
      <c r="J542" s="4" t="s">
        <v>35</v>
      </c>
      <c r="K542" s="5">
        <v>44837</v>
      </c>
      <c r="L542" s="4" t="s">
        <v>24</v>
      </c>
      <c r="M542" t="b">
        <v>0</v>
      </c>
      <c r="N542" t="b">
        <v>1</v>
      </c>
      <c r="O542" t="b">
        <v>0</v>
      </c>
      <c r="P542" t="b">
        <v>0</v>
      </c>
      <c r="Q542">
        <v>541</v>
      </c>
    </row>
    <row r="543" spans="1:17" x14ac:dyDescent="0.35">
      <c r="A543" s="4" t="s">
        <v>1362</v>
      </c>
      <c r="B543" s="4" t="s">
        <v>19</v>
      </c>
      <c r="C543" s="4" t="s">
        <v>73</v>
      </c>
      <c r="D543" s="4" t="s">
        <v>1361</v>
      </c>
      <c r="E543" s="4" t="s">
        <v>1363</v>
      </c>
      <c r="F543" s="5">
        <v>44837</v>
      </c>
      <c r="G543" s="5">
        <v>44844</v>
      </c>
      <c r="H543" s="4" t="s">
        <v>1005</v>
      </c>
      <c r="I543" s="4" t="s">
        <v>57</v>
      </c>
      <c r="J543" s="4" t="s">
        <v>58</v>
      </c>
      <c r="K543" s="5">
        <v>44837</v>
      </c>
      <c r="L543" s="4" t="s">
        <v>24</v>
      </c>
      <c r="M543" t="b">
        <v>0</v>
      </c>
      <c r="N543" t="b">
        <v>1</v>
      </c>
      <c r="O543" t="b">
        <v>0</v>
      </c>
      <c r="P543" t="b">
        <v>0</v>
      </c>
      <c r="Q543">
        <v>542</v>
      </c>
    </row>
    <row r="544" spans="1:17" x14ac:dyDescent="0.35">
      <c r="A544" s="4" t="s">
        <v>1364</v>
      </c>
      <c r="B544" s="4" t="s">
        <v>19</v>
      </c>
      <c r="C544" s="4" t="s">
        <v>73</v>
      </c>
      <c r="D544" s="4" t="s">
        <v>1361</v>
      </c>
      <c r="E544" s="4" t="s">
        <v>1170</v>
      </c>
      <c r="F544" s="5">
        <v>44837</v>
      </c>
      <c r="G544" s="5">
        <v>44844</v>
      </c>
      <c r="H544" s="4" t="s">
        <v>1005</v>
      </c>
      <c r="I544" s="4" t="s">
        <v>51</v>
      </c>
      <c r="J544" s="4" t="s">
        <v>52</v>
      </c>
      <c r="K544" s="5">
        <v>44837</v>
      </c>
      <c r="L544" s="4" t="s">
        <v>24</v>
      </c>
      <c r="M544" t="b">
        <v>0</v>
      </c>
      <c r="N544" t="b">
        <v>1</v>
      </c>
      <c r="O544" t="b">
        <v>0</v>
      </c>
      <c r="P544" t="b">
        <v>0</v>
      </c>
      <c r="Q544">
        <v>543</v>
      </c>
    </row>
    <row r="545" spans="1:17" x14ac:dyDescent="0.35">
      <c r="A545" s="4" t="s">
        <v>1365</v>
      </c>
      <c r="B545" s="4" t="s">
        <v>19</v>
      </c>
      <c r="C545" s="4" t="s">
        <v>73</v>
      </c>
      <c r="D545" s="4" t="s">
        <v>1366</v>
      </c>
      <c r="E545" s="4" t="s">
        <v>1367</v>
      </c>
      <c r="F545" s="5">
        <v>44837</v>
      </c>
      <c r="G545" s="5">
        <v>44844</v>
      </c>
      <c r="H545" s="4" t="s">
        <v>1005</v>
      </c>
      <c r="I545" s="4" t="s">
        <v>34</v>
      </c>
      <c r="J545" s="4" t="s">
        <v>35</v>
      </c>
      <c r="K545" s="5">
        <v>44837</v>
      </c>
      <c r="L545" s="4" t="s">
        <v>24</v>
      </c>
      <c r="M545" t="b">
        <v>0</v>
      </c>
      <c r="N545" t="b">
        <v>1</v>
      </c>
      <c r="O545" t="b">
        <v>0</v>
      </c>
      <c r="P545" t="b">
        <v>0</v>
      </c>
      <c r="Q545">
        <v>544</v>
      </c>
    </row>
    <row r="546" spans="1:17" x14ac:dyDescent="0.35">
      <c r="A546" s="4" t="s">
        <v>1368</v>
      </c>
      <c r="B546" s="4" t="s">
        <v>19</v>
      </c>
      <c r="C546" s="4" t="s">
        <v>73</v>
      </c>
      <c r="D546" s="4" t="s">
        <v>1366</v>
      </c>
      <c r="E546" s="4" t="s">
        <v>96</v>
      </c>
      <c r="F546" s="5">
        <v>44837</v>
      </c>
      <c r="G546" s="5">
        <v>44844</v>
      </c>
      <c r="H546" s="4" t="s">
        <v>1005</v>
      </c>
      <c r="I546" s="4" t="s">
        <v>51</v>
      </c>
      <c r="J546" s="4" t="s">
        <v>52</v>
      </c>
      <c r="K546" s="5">
        <v>44837</v>
      </c>
      <c r="L546" s="4" t="s">
        <v>24</v>
      </c>
      <c r="M546" t="b">
        <v>0</v>
      </c>
      <c r="N546" t="b">
        <v>0</v>
      </c>
      <c r="O546" t="b">
        <v>0</v>
      </c>
      <c r="P546" t="b">
        <v>0</v>
      </c>
      <c r="Q546">
        <v>545</v>
      </c>
    </row>
    <row r="547" spans="1:17" x14ac:dyDescent="0.35">
      <c r="A547" s="4" t="s">
        <v>1369</v>
      </c>
      <c r="B547" s="4" t="s">
        <v>19</v>
      </c>
      <c r="C547" s="4" t="s">
        <v>73</v>
      </c>
      <c r="D547" s="4" t="s">
        <v>1370</v>
      </c>
      <c r="E547" s="4" t="s">
        <v>1371</v>
      </c>
      <c r="F547" s="5">
        <v>44837</v>
      </c>
      <c r="G547" s="5">
        <v>44844</v>
      </c>
      <c r="H547" s="4" t="s">
        <v>1005</v>
      </c>
      <c r="I547" s="4" t="s">
        <v>51</v>
      </c>
      <c r="J547" s="4" t="s">
        <v>52</v>
      </c>
      <c r="K547" s="5">
        <v>44837</v>
      </c>
      <c r="L547" s="4" t="s">
        <v>24</v>
      </c>
      <c r="M547" t="b">
        <v>0</v>
      </c>
      <c r="N547" t="b">
        <v>1</v>
      </c>
      <c r="O547" t="b">
        <v>0</v>
      </c>
      <c r="P547" t="b">
        <v>0</v>
      </c>
      <c r="Q547">
        <v>546</v>
      </c>
    </row>
    <row r="548" spans="1:17" x14ac:dyDescent="0.35">
      <c r="A548" s="4" t="s">
        <v>1372</v>
      </c>
      <c r="B548" s="4" t="s">
        <v>19</v>
      </c>
      <c r="C548" s="4" t="s">
        <v>73</v>
      </c>
      <c r="D548" s="4" t="s">
        <v>1370</v>
      </c>
      <c r="E548" s="4" t="s">
        <v>1373</v>
      </c>
      <c r="F548" s="5">
        <v>44837</v>
      </c>
      <c r="G548" s="5">
        <v>44844</v>
      </c>
      <c r="H548" s="4" t="s">
        <v>1005</v>
      </c>
      <c r="I548" s="4" t="s">
        <v>51</v>
      </c>
      <c r="J548" s="4" t="s">
        <v>52</v>
      </c>
      <c r="K548" s="5">
        <v>44837</v>
      </c>
      <c r="L548" s="4" t="s">
        <v>24</v>
      </c>
      <c r="M548" t="b">
        <v>0</v>
      </c>
      <c r="N548" t="b">
        <v>1</v>
      </c>
      <c r="O548" t="b">
        <v>0</v>
      </c>
      <c r="P548" t="b">
        <v>0</v>
      </c>
      <c r="Q548">
        <v>547</v>
      </c>
    </row>
    <row r="549" spans="1:17" x14ac:dyDescent="0.35">
      <c r="A549" s="4" t="s">
        <v>1374</v>
      </c>
      <c r="B549" s="4" t="s">
        <v>19</v>
      </c>
      <c r="C549" s="4" t="s">
        <v>73</v>
      </c>
      <c r="D549" s="4" t="s">
        <v>1375</v>
      </c>
      <c r="E549" s="4" t="s">
        <v>1376</v>
      </c>
      <c r="F549" s="5">
        <v>44837</v>
      </c>
      <c r="G549" s="5">
        <v>44844</v>
      </c>
      <c r="H549" s="4" t="s">
        <v>1005</v>
      </c>
      <c r="I549" s="4" t="s">
        <v>51</v>
      </c>
      <c r="J549" s="4" t="s">
        <v>52</v>
      </c>
      <c r="K549" s="5">
        <v>44837</v>
      </c>
      <c r="L549" s="4" t="s">
        <v>24</v>
      </c>
      <c r="M549" t="b">
        <v>0</v>
      </c>
      <c r="N549" t="b">
        <v>1</v>
      </c>
      <c r="O549" t="b">
        <v>0</v>
      </c>
      <c r="P549" t="b">
        <v>0</v>
      </c>
      <c r="Q549">
        <v>548</v>
      </c>
    </row>
    <row r="550" spans="1:17" x14ac:dyDescent="0.35">
      <c r="A550" s="4" t="s">
        <v>1377</v>
      </c>
      <c r="B550" s="4" t="s">
        <v>19</v>
      </c>
      <c r="C550" s="4" t="s">
        <v>73</v>
      </c>
      <c r="D550" s="4" t="s">
        <v>1375</v>
      </c>
      <c r="E550" s="4" t="s">
        <v>1378</v>
      </c>
      <c r="F550" s="5">
        <v>44837</v>
      </c>
      <c r="G550" s="5">
        <v>44844</v>
      </c>
      <c r="H550" s="4" t="s">
        <v>1005</v>
      </c>
      <c r="I550" s="4" t="s">
        <v>51</v>
      </c>
      <c r="J550" s="4" t="s">
        <v>52</v>
      </c>
      <c r="K550" s="5">
        <v>44837</v>
      </c>
      <c r="L550" s="4" t="s">
        <v>24</v>
      </c>
      <c r="M550" t="b">
        <v>0</v>
      </c>
      <c r="N550" t="b">
        <v>1</v>
      </c>
      <c r="O550" t="b">
        <v>0</v>
      </c>
      <c r="P550" t="b">
        <v>0</v>
      </c>
      <c r="Q550">
        <v>549</v>
      </c>
    </row>
    <row r="551" spans="1:17" x14ac:dyDescent="0.35">
      <c r="A551" s="4" t="s">
        <v>1379</v>
      </c>
      <c r="B551" s="4" t="s">
        <v>19</v>
      </c>
      <c r="C551" s="4" t="s">
        <v>189</v>
      </c>
      <c r="D551" s="4" t="s">
        <v>1380</v>
      </c>
      <c r="E551" s="4" t="s">
        <v>1327</v>
      </c>
      <c r="F551" s="5">
        <v>44838</v>
      </c>
      <c r="G551" s="5">
        <v>44845</v>
      </c>
      <c r="H551" s="4" t="s">
        <v>1005</v>
      </c>
      <c r="I551" s="4" t="s">
        <v>51</v>
      </c>
      <c r="J551" s="4" t="s">
        <v>52</v>
      </c>
      <c r="K551" s="5">
        <v>44838</v>
      </c>
      <c r="L551" s="4" t="s">
        <v>24</v>
      </c>
      <c r="M551" t="b">
        <v>0</v>
      </c>
      <c r="N551" t="b">
        <v>1</v>
      </c>
      <c r="O551" t="b">
        <v>0</v>
      </c>
      <c r="P551" t="b">
        <v>0</v>
      </c>
      <c r="Q551">
        <v>550</v>
      </c>
    </row>
    <row r="552" spans="1:17" x14ac:dyDescent="0.35">
      <c r="A552" s="4" t="s">
        <v>1381</v>
      </c>
      <c r="B552" s="4" t="s">
        <v>19</v>
      </c>
      <c r="C552" s="4" t="s">
        <v>189</v>
      </c>
      <c r="D552" s="4" t="s">
        <v>1380</v>
      </c>
      <c r="E552" s="4" t="s">
        <v>1382</v>
      </c>
      <c r="F552" s="5">
        <v>44838</v>
      </c>
      <c r="G552" s="5">
        <v>44845</v>
      </c>
      <c r="H552" s="4" t="s">
        <v>1005</v>
      </c>
      <c r="I552" s="4" t="s">
        <v>51</v>
      </c>
      <c r="J552" s="4" t="s">
        <v>52</v>
      </c>
      <c r="K552" s="5">
        <v>44838</v>
      </c>
      <c r="L552" s="4" t="s">
        <v>24</v>
      </c>
      <c r="M552" t="b">
        <v>0</v>
      </c>
      <c r="N552" t="b">
        <v>1</v>
      </c>
      <c r="O552" t="b">
        <v>0</v>
      </c>
      <c r="P552" t="b">
        <v>0</v>
      </c>
      <c r="Q552">
        <v>551</v>
      </c>
    </row>
    <row r="553" spans="1:17" x14ac:dyDescent="0.35">
      <c r="A553" s="4" t="s">
        <v>1383</v>
      </c>
      <c r="B553" s="4" t="s">
        <v>19</v>
      </c>
      <c r="C553" s="4" t="s">
        <v>189</v>
      </c>
      <c r="D553" s="4" t="s">
        <v>1380</v>
      </c>
      <c r="E553" s="4" t="s">
        <v>1384</v>
      </c>
      <c r="F553" s="5">
        <v>44838</v>
      </c>
      <c r="G553" s="5">
        <v>44845</v>
      </c>
      <c r="H553" s="4" t="s">
        <v>1005</v>
      </c>
      <c r="I553" s="4" t="s">
        <v>51</v>
      </c>
      <c r="J553" s="4" t="s">
        <v>52</v>
      </c>
      <c r="K553" s="5">
        <v>44838</v>
      </c>
      <c r="L553" s="4" t="s">
        <v>24</v>
      </c>
      <c r="M553" t="b">
        <v>0</v>
      </c>
      <c r="N553" t="b">
        <v>1</v>
      </c>
      <c r="O553" t="b">
        <v>0</v>
      </c>
      <c r="P553" t="b">
        <v>0</v>
      </c>
      <c r="Q553">
        <v>552</v>
      </c>
    </row>
    <row r="554" spans="1:17" x14ac:dyDescent="0.35">
      <c r="A554" s="4" t="s">
        <v>1385</v>
      </c>
      <c r="B554" s="4" t="s">
        <v>19</v>
      </c>
      <c r="C554" s="4" t="s">
        <v>73</v>
      </c>
      <c r="D554" s="4" t="s">
        <v>962</v>
      </c>
      <c r="E554" s="4" t="s">
        <v>1386</v>
      </c>
      <c r="F554" s="5">
        <v>44838</v>
      </c>
      <c r="G554" s="5">
        <v>44845</v>
      </c>
      <c r="H554" s="4" t="s">
        <v>1005</v>
      </c>
      <c r="I554" s="4" t="s">
        <v>34</v>
      </c>
      <c r="J554" s="4" t="s">
        <v>35</v>
      </c>
      <c r="K554" s="5">
        <v>44838</v>
      </c>
      <c r="L554" s="4" t="s">
        <v>24</v>
      </c>
      <c r="M554" t="b">
        <v>0</v>
      </c>
      <c r="N554" t="b">
        <v>1</v>
      </c>
      <c r="O554" t="b">
        <v>0</v>
      </c>
      <c r="P554" t="b">
        <v>0</v>
      </c>
      <c r="Q554">
        <v>553</v>
      </c>
    </row>
    <row r="555" spans="1:17" x14ac:dyDescent="0.35">
      <c r="A555" s="4" t="s">
        <v>1387</v>
      </c>
      <c r="B555" s="4" t="s">
        <v>19</v>
      </c>
      <c r="C555" s="4" t="s">
        <v>73</v>
      </c>
      <c r="D555" s="4" t="s">
        <v>1388</v>
      </c>
      <c r="E555" s="4" t="s">
        <v>1389</v>
      </c>
      <c r="F555" s="5">
        <v>44838</v>
      </c>
      <c r="G555" s="5">
        <v>44845</v>
      </c>
      <c r="H555" s="4" t="s">
        <v>1005</v>
      </c>
      <c r="I555" s="4" t="s">
        <v>57</v>
      </c>
      <c r="J555" s="4" t="s">
        <v>58</v>
      </c>
      <c r="K555" s="5">
        <v>44838</v>
      </c>
      <c r="L555" s="4" t="s">
        <v>24</v>
      </c>
      <c r="M555" t="b">
        <v>0</v>
      </c>
      <c r="N555" t="b">
        <v>1</v>
      </c>
      <c r="O555" t="b">
        <v>0</v>
      </c>
      <c r="P555" t="b">
        <v>0</v>
      </c>
      <c r="Q555">
        <v>554</v>
      </c>
    </row>
    <row r="556" spans="1:17" x14ac:dyDescent="0.35">
      <c r="A556" s="4" t="s">
        <v>1390</v>
      </c>
      <c r="B556" s="4" t="s">
        <v>19</v>
      </c>
      <c r="C556" s="4" t="s">
        <v>73</v>
      </c>
      <c r="D556" s="4" t="s">
        <v>1391</v>
      </c>
      <c r="E556" s="4" t="s">
        <v>1392</v>
      </c>
      <c r="F556" s="5">
        <v>44838</v>
      </c>
      <c r="G556" s="5">
        <v>44845</v>
      </c>
      <c r="H556" s="4" t="s">
        <v>1005</v>
      </c>
      <c r="I556" s="4" t="s">
        <v>51</v>
      </c>
      <c r="J556" s="4" t="s">
        <v>52</v>
      </c>
      <c r="K556" s="5">
        <v>44838</v>
      </c>
      <c r="L556" s="4" t="s">
        <v>24</v>
      </c>
      <c r="M556" t="b">
        <v>0</v>
      </c>
      <c r="N556" t="b">
        <v>1</v>
      </c>
      <c r="O556" t="b">
        <v>0</v>
      </c>
      <c r="P556" t="b">
        <v>0</v>
      </c>
      <c r="Q556">
        <v>555</v>
      </c>
    </row>
    <row r="557" spans="1:17" x14ac:dyDescent="0.35">
      <c r="A557" s="4" t="s">
        <v>1393</v>
      </c>
      <c r="B557" s="4" t="s">
        <v>19</v>
      </c>
      <c r="C557" s="4" t="s">
        <v>73</v>
      </c>
      <c r="D557" s="4" t="s">
        <v>1391</v>
      </c>
      <c r="E557" s="4" t="s">
        <v>1632</v>
      </c>
      <c r="F557" s="5">
        <v>44838</v>
      </c>
      <c r="G557" s="5">
        <v>44845</v>
      </c>
      <c r="H557" s="4" t="s">
        <v>1005</v>
      </c>
      <c r="I557" s="4" t="s">
        <v>51</v>
      </c>
      <c r="J557" s="4" t="s">
        <v>52</v>
      </c>
      <c r="K557" s="5">
        <v>44838</v>
      </c>
      <c r="L557" s="4" t="s">
        <v>24</v>
      </c>
      <c r="M557" t="b">
        <v>0</v>
      </c>
      <c r="N557" t="b">
        <v>1</v>
      </c>
      <c r="O557" t="b">
        <v>0</v>
      </c>
      <c r="P557" t="b">
        <v>0</v>
      </c>
      <c r="Q557">
        <v>556</v>
      </c>
    </row>
    <row r="558" spans="1:17" x14ac:dyDescent="0.35">
      <c r="A558" s="4" t="s">
        <v>1394</v>
      </c>
      <c r="B558" s="4" t="s">
        <v>19</v>
      </c>
      <c r="C558" s="4" t="s">
        <v>73</v>
      </c>
      <c r="D558" s="4" t="s">
        <v>1391</v>
      </c>
      <c r="E558" s="4" t="s">
        <v>1395</v>
      </c>
      <c r="F558" s="5">
        <v>44838</v>
      </c>
      <c r="G558" s="5">
        <v>44845</v>
      </c>
      <c r="H558" s="4" t="s">
        <v>1005</v>
      </c>
      <c r="I558" s="4" t="s">
        <v>51</v>
      </c>
      <c r="J558" s="4" t="s">
        <v>52</v>
      </c>
      <c r="K558" s="5">
        <v>44838</v>
      </c>
      <c r="L558" s="4" t="s">
        <v>24</v>
      </c>
      <c r="M558" t="b">
        <v>0</v>
      </c>
      <c r="N558" t="b">
        <v>1</v>
      </c>
      <c r="O558" t="b">
        <v>0</v>
      </c>
      <c r="P558" t="b">
        <v>0</v>
      </c>
      <c r="Q558">
        <v>557</v>
      </c>
    </row>
    <row r="559" spans="1:17" x14ac:dyDescent="0.35">
      <c r="A559" s="4" t="s">
        <v>1396</v>
      </c>
      <c r="B559" s="4" t="s">
        <v>19</v>
      </c>
      <c r="C559" s="4" t="s">
        <v>73</v>
      </c>
      <c r="D559" s="4" t="s">
        <v>1391</v>
      </c>
      <c r="E559" s="4" t="s">
        <v>1397</v>
      </c>
      <c r="F559" s="5">
        <v>44838</v>
      </c>
      <c r="G559" s="5">
        <v>44845</v>
      </c>
      <c r="H559" s="4" t="s">
        <v>1005</v>
      </c>
      <c r="I559" s="4" t="s">
        <v>51</v>
      </c>
      <c r="J559" s="4" t="s">
        <v>52</v>
      </c>
      <c r="K559" s="5">
        <v>44838</v>
      </c>
      <c r="L559" s="4" t="s">
        <v>24</v>
      </c>
      <c r="M559" t="b">
        <v>0</v>
      </c>
      <c r="N559" t="b">
        <v>1</v>
      </c>
      <c r="O559" t="b">
        <v>0</v>
      </c>
      <c r="P559" t="b">
        <v>0</v>
      </c>
      <c r="Q559">
        <v>558</v>
      </c>
    </row>
    <row r="560" spans="1:17" x14ac:dyDescent="0.35">
      <c r="A560" s="4" t="s">
        <v>1398</v>
      </c>
      <c r="B560" s="4" t="s">
        <v>19</v>
      </c>
      <c r="C560" s="4" t="s">
        <v>73</v>
      </c>
      <c r="D560" s="4" t="s">
        <v>1203</v>
      </c>
      <c r="E560" s="4" t="s">
        <v>1399</v>
      </c>
      <c r="F560" s="5">
        <v>44838</v>
      </c>
      <c r="G560" s="5">
        <v>44845</v>
      </c>
      <c r="H560" s="4" t="s">
        <v>1005</v>
      </c>
      <c r="I560" s="4" t="s">
        <v>57</v>
      </c>
      <c r="J560" s="4" t="s">
        <v>58</v>
      </c>
      <c r="K560" s="5">
        <v>44838</v>
      </c>
      <c r="L560" s="4" t="s">
        <v>24</v>
      </c>
      <c r="M560" t="b">
        <v>0</v>
      </c>
      <c r="N560" t="b">
        <v>1</v>
      </c>
      <c r="O560" t="b">
        <v>0</v>
      </c>
      <c r="P560" t="b">
        <v>0</v>
      </c>
      <c r="Q560">
        <v>559</v>
      </c>
    </row>
    <row r="561" spans="1:17" x14ac:dyDescent="0.35">
      <c r="A561" s="4" t="s">
        <v>1400</v>
      </c>
      <c r="B561" s="4" t="s">
        <v>19</v>
      </c>
      <c r="C561" s="4" t="s">
        <v>73</v>
      </c>
      <c r="D561" s="4" t="s">
        <v>1203</v>
      </c>
      <c r="E561" s="4" t="s">
        <v>1401</v>
      </c>
      <c r="F561" s="5">
        <v>44838</v>
      </c>
      <c r="G561" s="5">
        <v>44845</v>
      </c>
      <c r="H561" s="4" t="s">
        <v>1005</v>
      </c>
      <c r="I561" s="4" t="s">
        <v>57</v>
      </c>
      <c r="J561" s="4" t="s">
        <v>58</v>
      </c>
      <c r="K561" s="5">
        <v>44838</v>
      </c>
      <c r="L561" s="4" t="s">
        <v>24</v>
      </c>
      <c r="M561" t="b">
        <v>0</v>
      </c>
      <c r="N561" t="b">
        <v>1</v>
      </c>
      <c r="O561" t="b">
        <v>0</v>
      </c>
      <c r="P561" t="b">
        <v>0</v>
      </c>
      <c r="Q561">
        <v>560</v>
      </c>
    </row>
    <row r="562" spans="1:17" x14ac:dyDescent="0.35">
      <c r="A562" s="4" t="s">
        <v>1402</v>
      </c>
      <c r="B562" s="4" t="s">
        <v>19</v>
      </c>
      <c r="C562" s="4" t="s">
        <v>73</v>
      </c>
      <c r="D562" s="4" t="s">
        <v>1203</v>
      </c>
      <c r="E562" s="4" t="s">
        <v>1403</v>
      </c>
      <c r="F562" s="5">
        <v>44838</v>
      </c>
      <c r="G562" s="5">
        <v>44845</v>
      </c>
      <c r="H562" s="4" t="s">
        <v>1005</v>
      </c>
      <c r="I562" s="4" t="s">
        <v>195</v>
      </c>
      <c r="J562" s="4" t="s">
        <v>196</v>
      </c>
      <c r="K562" s="5">
        <v>44838</v>
      </c>
      <c r="L562" s="4" t="s">
        <v>24</v>
      </c>
      <c r="M562" t="b">
        <v>0</v>
      </c>
      <c r="N562" t="b">
        <v>1</v>
      </c>
      <c r="O562" t="b">
        <v>0</v>
      </c>
      <c r="P562" t="b">
        <v>0</v>
      </c>
      <c r="Q562">
        <v>561</v>
      </c>
    </row>
    <row r="563" spans="1:17" x14ac:dyDescent="0.35">
      <c r="A563" s="4" t="s">
        <v>1404</v>
      </c>
      <c r="B563" s="4" t="s">
        <v>19</v>
      </c>
      <c r="C563" s="4" t="s">
        <v>704</v>
      </c>
      <c r="D563" s="4" t="s">
        <v>965</v>
      </c>
      <c r="E563" s="4" t="s">
        <v>1405</v>
      </c>
      <c r="F563" s="5">
        <v>44838</v>
      </c>
      <c r="G563" s="5">
        <v>44845</v>
      </c>
      <c r="H563" s="4" t="s">
        <v>1005</v>
      </c>
      <c r="I563" s="4" t="s">
        <v>28</v>
      </c>
      <c r="J563" s="4" t="s">
        <v>29</v>
      </c>
      <c r="K563" s="5">
        <v>44838</v>
      </c>
      <c r="L563" s="4" t="s">
        <v>24</v>
      </c>
      <c r="M563" t="b">
        <v>0</v>
      </c>
      <c r="N563" t="b">
        <v>1</v>
      </c>
      <c r="O563" t="b">
        <v>0</v>
      </c>
      <c r="P563" t="b">
        <v>0</v>
      </c>
      <c r="Q563">
        <v>562</v>
      </c>
    </row>
    <row r="564" spans="1:17" x14ac:dyDescent="0.35">
      <c r="A564" s="4" t="s">
        <v>1406</v>
      </c>
      <c r="B564" s="4" t="s">
        <v>19</v>
      </c>
      <c r="C564" s="4" t="s">
        <v>228</v>
      </c>
      <c r="D564" s="4" t="s">
        <v>1407</v>
      </c>
      <c r="E564" s="4" t="s">
        <v>1408</v>
      </c>
      <c r="F564" s="5">
        <v>44839</v>
      </c>
      <c r="G564" s="5">
        <v>44862</v>
      </c>
      <c r="H564" s="4" t="s">
        <v>1005</v>
      </c>
      <c r="I564" s="4" t="s">
        <v>1262</v>
      </c>
      <c r="J564" s="4" t="s">
        <v>1263</v>
      </c>
      <c r="K564" s="5">
        <v>44839</v>
      </c>
      <c r="L564" s="4" t="s">
        <v>24</v>
      </c>
      <c r="M564" t="b">
        <v>0</v>
      </c>
      <c r="N564" t="b">
        <v>1</v>
      </c>
      <c r="O564" t="b">
        <v>0</v>
      </c>
      <c r="P564" t="b">
        <v>0</v>
      </c>
      <c r="Q564">
        <v>563</v>
      </c>
    </row>
    <row r="565" spans="1:17" x14ac:dyDescent="0.35">
      <c r="A565" s="4" t="s">
        <v>1409</v>
      </c>
      <c r="B565" s="4" t="s">
        <v>19</v>
      </c>
      <c r="C565" s="4" t="s">
        <v>228</v>
      </c>
      <c r="D565" s="4" t="s">
        <v>1407</v>
      </c>
      <c r="E565" s="4" t="s">
        <v>1410</v>
      </c>
      <c r="F565" s="5">
        <v>44839</v>
      </c>
      <c r="G565" s="5">
        <v>44846</v>
      </c>
      <c r="H565" s="4" t="s">
        <v>1005</v>
      </c>
      <c r="I565" s="4" t="s">
        <v>111</v>
      </c>
      <c r="J565" s="4" t="s">
        <v>112</v>
      </c>
      <c r="K565" s="5">
        <v>44839</v>
      </c>
      <c r="L565" s="4" t="s">
        <v>24</v>
      </c>
      <c r="M565" t="b">
        <v>0</v>
      </c>
      <c r="N565" t="b">
        <v>1</v>
      </c>
      <c r="O565" t="b">
        <v>0</v>
      </c>
      <c r="P565" t="b">
        <v>0</v>
      </c>
      <c r="Q565">
        <v>564</v>
      </c>
    </row>
    <row r="566" spans="1:17" x14ac:dyDescent="0.35">
      <c r="A566" s="4" t="s">
        <v>1411</v>
      </c>
      <c r="B566" s="4" t="s">
        <v>19</v>
      </c>
      <c r="C566" s="4" t="s">
        <v>228</v>
      </c>
      <c r="D566" s="4" t="s">
        <v>1407</v>
      </c>
      <c r="E566" s="4" t="s">
        <v>1412</v>
      </c>
      <c r="F566" s="5">
        <v>44839</v>
      </c>
      <c r="G566" s="5">
        <v>44862</v>
      </c>
      <c r="H566" s="4" t="s">
        <v>1005</v>
      </c>
      <c r="I566" s="4" t="s">
        <v>1262</v>
      </c>
      <c r="J566" s="4" t="s">
        <v>1263</v>
      </c>
      <c r="K566" s="5">
        <v>44839</v>
      </c>
      <c r="L566" s="4" t="s">
        <v>24</v>
      </c>
      <c r="M566" t="b">
        <v>0</v>
      </c>
      <c r="N566" t="b">
        <v>1</v>
      </c>
      <c r="O566" t="b">
        <v>0</v>
      </c>
      <c r="P566" t="b">
        <v>0</v>
      </c>
      <c r="Q566">
        <v>565</v>
      </c>
    </row>
    <row r="567" spans="1:17" x14ac:dyDescent="0.35">
      <c r="A567" s="4" t="s">
        <v>1413</v>
      </c>
      <c r="B567" s="4" t="s">
        <v>19</v>
      </c>
      <c r="C567" s="4" t="s">
        <v>228</v>
      </c>
      <c r="D567" s="4" t="s">
        <v>1407</v>
      </c>
      <c r="E567" s="4" t="s">
        <v>1414</v>
      </c>
      <c r="F567" s="5">
        <v>44839</v>
      </c>
      <c r="G567" s="5">
        <v>44862</v>
      </c>
      <c r="H567" s="4" t="s">
        <v>1005</v>
      </c>
      <c r="I567" s="4" t="s">
        <v>1262</v>
      </c>
      <c r="J567" s="4" t="s">
        <v>1263</v>
      </c>
      <c r="K567" s="5">
        <v>44839</v>
      </c>
      <c r="L567" s="4" t="s">
        <v>24</v>
      </c>
      <c r="M567" t="b">
        <v>0</v>
      </c>
      <c r="N567" t="b">
        <v>1</v>
      </c>
      <c r="O567" t="b">
        <v>0</v>
      </c>
      <c r="P567" t="b">
        <v>0</v>
      </c>
      <c r="Q567">
        <v>566</v>
      </c>
    </row>
    <row r="568" spans="1:17" x14ac:dyDescent="0.35">
      <c r="A568" s="4" t="s">
        <v>1415</v>
      </c>
      <c r="B568" s="4" t="s">
        <v>19</v>
      </c>
      <c r="C568" s="4" t="s">
        <v>228</v>
      </c>
      <c r="D568" s="4" t="s">
        <v>1407</v>
      </c>
      <c r="E568" s="4" t="s">
        <v>1416</v>
      </c>
      <c r="F568" s="5">
        <v>44839</v>
      </c>
      <c r="G568" s="5">
        <v>44862</v>
      </c>
      <c r="H568" s="4" t="s">
        <v>1005</v>
      </c>
      <c r="I568" s="4" t="s">
        <v>1262</v>
      </c>
      <c r="J568" s="4" t="s">
        <v>1263</v>
      </c>
      <c r="K568" s="5">
        <v>44839</v>
      </c>
      <c r="L568" s="4" t="s">
        <v>24</v>
      </c>
      <c r="M568" t="b">
        <v>0</v>
      </c>
      <c r="N568" t="b">
        <v>1</v>
      </c>
      <c r="O568" t="b">
        <v>0</v>
      </c>
      <c r="P568" t="b">
        <v>0</v>
      </c>
      <c r="Q568">
        <v>567</v>
      </c>
    </row>
    <row r="569" spans="1:17" x14ac:dyDescent="0.35">
      <c r="A569" s="4" t="s">
        <v>1417</v>
      </c>
      <c r="B569" s="4" t="s">
        <v>19</v>
      </c>
      <c r="C569" s="4" t="s">
        <v>228</v>
      </c>
      <c r="D569" s="4" t="s">
        <v>1407</v>
      </c>
      <c r="E569" s="4" t="s">
        <v>1418</v>
      </c>
      <c r="F569" s="5">
        <v>44839</v>
      </c>
      <c r="G569" s="5">
        <v>44862</v>
      </c>
      <c r="H569" s="4" t="s">
        <v>1005</v>
      </c>
      <c r="I569" s="4" t="s">
        <v>1262</v>
      </c>
      <c r="J569" s="4" t="s">
        <v>1263</v>
      </c>
      <c r="K569" s="5">
        <v>44839</v>
      </c>
      <c r="L569" s="4" t="s">
        <v>24</v>
      </c>
      <c r="M569" t="b">
        <v>0</v>
      </c>
      <c r="N569" t="b">
        <v>1</v>
      </c>
      <c r="O569" t="b">
        <v>0</v>
      </c>
      <c r="P569" t="b">
        <v>0</v>
      </c>
      <c r="Q569">
        <v>568</v>
      </c>
    </row>
    <row r="570" spans="1:17" x14ac:dyDescent="0.35">
      <c r="A570" s="4" t="s">
        <v>1419</v>
      </c>
      <c r="B570" s="4" t="s">
        <v>19</v>
      </c>
      <c r="C570" s="4" t="s">
        <v>228</v>
      </c>
      <c r="D570" s="4" t="s">
        <v>1407</v>
      </c>
      <c r="E570" s="4" t="s">
        <v>1420</v>
      </c>
      <c r="F570" s="5">
        <v>44839</v>
      </c>
      <c r="G570" s="5">
        <v>44862</v>
      </c>
      <c r="H570" s="4" t="s">
        <v>1005</v>
      </c>
      <c r="I570" s="4" t="s">
        <v>1262</v>
      </c>
      <c r="J570" s="4" t="s">
        <v>1263</v>
      </c>
      <c r="K570" s="5">
        <v>44839</v>
      </c>
      <c r="L570" s="4" t="s">
        <v>24</v>
      </c>
      <c r="M570" t="b">
        <v>0</v>
      </c>
      <c r="N570" t="b">
        <v>1</v>
      </c>
      <c r="O570" t="b">
        <v>0</v>
      </c>
      <c r="P570" t="b">
        <v>0</v>
      </c>
      <c r="Q570">
        <v>569</v>
      </c>
    </row>
    <row r="571" spans="1:17" x14ac:dyDescent="0.35">
      <c r="A571" s="4" t="s">
        <v>1421</v>
      </c>
      <c r="B571" s="4" t="s">
        <v>19</v>
      </c>
      <c r="C571" s="4" t="s">
        <v>228</v>
      </c>
      <c r="D571" s="4" t="s">
        <v>1407</v>
      </c>
      <c r="E571" s="4" t="s">
        <v>1422</v>
      </c>
      <c r="F571" s="5">
        <v>44839</v>
      </c>
      <c r="G571" s="5">
        <v>44862</v>
      </c>
      <c r="H571" s="4" t="s">
        <v>1005</v>
      </c>
      <c r="I571" s="4" t="s">
        <v>1262</v>
      </c>
      <c r="J571" s="4" t="s">
        <v>1263</v>
      </c>
      <c r="K571" s="5">
        <v>44839</v>
      </c>
      <c r="L571" s="4" t="s">
        <v>24</v>
      </c>
      <c r="M571" t="b">
        <v>0</v>
      </c>
      <c r="N571" t="b">
        <v>1</v>
      </c>
      <c r="O571" t="b">
        <v>0</v>
      </c>
      <c r="P571" t="b">
        <v>0</v>
      </c>
      <c r="Q571">
        <v>570</v>
      </c>
    </row>
    <row r="572" spans="1:17" x14ac:dyDescent="0.35">
      <c r="A572" s="4" t="s">
        <v>1423</v>
      </c>
      <c r="B572" s="4" t="s">
        <v>19</v>
      </c>
      <c r="C572" s="4" t="s">
        <v>228</v>
      </c>
      <c r="D572" s="4" t="s">
        <v>1407</v>
      </c>
      <c r="E572" s="4" t="s">
        <v>1424</v>
      </c>
      <c r="F572" s="5">
        <v>44839</v>
      </c>
      <c r="G572" s="5">
        <v>44862</v>
      </c>
      <c r="H572" s="4" t="s">
        <v>1005</v>
      </c>
      <c r="I572" s="4" t="s">
        <v>1262</v>
      </c>
      <c r="J572" s="4" t="s">
        <v>1263</v>
      </c>
      <c r="K572" s="5">
        <v>44839</v>
      </c>
      <c r="L572" s="4" t="s">
        <v>24</v>
      </c>
      <c r="M572" t="b">
        <v>0</v>
      </c>
      <c r="N572" t="b">
        <v>1</v>
      </c>
      <c r="O572" t="b">
        <v>0</v>
      </c>
      <c r="P572" t="b">
        <v>0</v>
      </c>
      <c r="Q572">
        <v>571</v>
      </c>
    </row>
    <row r="573" spans="1:17" x14ac:dyDescent="0.35">
      <c r="A573" s="4" t="s">
        <v>1425</v>
      </c>
      <c r="B573" s="4" t="s">
        <v>19</v>
      </c>
      <c r="C573" s="4" t="s">
        <v>228</v>
      </c>
      <c r="D573" s="4" t="s">
        <v>1407</v>
      </c>
      <c r="E573" s="4" t="s">
        <v>1426</v>
      </c>
      <c r="F573" s="5">
        <v>44839</v>
      </c>
      <c r="G573" s="5">
        <v>44862</v>
      </c>
      <c r="H573" s="4" t="s">
        <v>1005</v>
      </c>
      <c r="I573" s="4" t="s">
        <v>1262</v>
      </c>
      <c r="J573" s="4" t="s">
        <v>1263</v>
      </c>
      <c r="K573" s="5">
        <v>44839</v>
      </c>
      <c r="L573" s="4" t="s">
        <v>24</v>
      </c>
      <c r="M573" t="b">
        <v>0</v>
      </c>
      <c r="N573" t="b">
        <v>1</v>
      </c>
      <c r="O573" t="b">
        <v>0</v>
      </c>
      <c r="P573" t="b">
        <v>0</v>
      </c>
      <c r="Q573">
        <v>572</v>
      </c>
    </row>
    <row r="574" spans="1:17" x14ac:dyDescent="0.35">
      <c r="A574" s="4" t="s">
        <v>1427</v>
      </c>
      <c r="B574" s="4" t="s">
        <v>19</v>
      </c>
      <c r="C574" s="4" t="s">
        <v>228</v>
      </c>
      <c r="D574" s="4" t="s">
        <v>1407</v>
      </c>
      <c r="E574" s="4" t="s">
        <v>1428</v>
      </c>
      <c r="F574" s="5">
        <v>44839</v>
      </c>
      <c r="G574" s="5">
        <v>44862</v>
      </c>
      <c r="H574" s="4" t="s">
        <v>1005</v>
      </c>
      <c r="I574" s="4" t="s">
        <v>1262</v>
      </c>
      <c r="J574" s="4" t="s">
        <v>1263</v>
      </c>
      <c r="K574" s="5">
        <v>44839</v>
      </c>
      <c r="L574" s="4" t="s">
        <v>24</v>
      </c>
      <c r="M574" t="b">
        <v>0</v>
      </c>
      <c r="N574" t="b">
        <v>1</v>
      </c>
      <c r="O574" t="b">
        <v>0</v>
      </c>
      <c r="P574" t="b">
        <v>0</v>
      </c>
      <c r="Q574">
        <v>573</v>
      </c>
    </row>
    <row r="575" spans="1:17" x14ac:dyDescent="0.35">
      <c r="A575" s="4" t="s">
        <v>1429</v>
      </c>
      <c r="B575" s="4" t="s">
        <v>19</v>
      </c>
      <c r="C575" s="4" t="s">
        <v>228</v>
      </c>
      <c r="D575" s="4" t="s">
        <v>1407</v>
      </c>
      <c r="E575" s="4" t="s">
        <v>1430</v>
      </c>
      <c r="F575" s="5">
        <v>44839</v>
      </c>
      <c r="G575" s="5">
        <v>44862</v>
      </c>
      <c r="H575" s="4" t="s">
        <v>1005</v>
      </c>
      <c r="I575" s="4" t="s">
        <v>1262</v>
      </c>
      <c r="J575" s="4" t="s">
        <v>1263</v>
      </c>
      <c r="K575" s="5">
        <v>44839</v>
      </c>
      <c r="L575" s="4" t="s">
        <v>24</v>
      </c>
      <c r="M575" t="b">
        <v>0</v>
      </c>
      <c r="N575" t="b">
        <v>1</v>
      </c>
      <c r="O575" t="b">
        <v>0</v>
      </c>
      <c r="P575" t="b">
        <v>0</v>
      </c>
      <c r="Q575">
        <v>574</v>
      </c>
    </row>
    <row r="576" spans="1:17" x14ac:dyDescent="0.35">
      <c r="A576" s="4" t="s">
        <v>1431</v>
      </c>
      <c r="B576" s="4" t="s">
        <v>19</v>
      </c>
      <c r="C576" s="4" t="s">
        <v>228</v>
      </c>
      <c r="D576" s="4" t="s">
        <v>1407</v>
      </c>
      <c r="E576" s="4" t="s">
        <v>1432</v>
      </c>
      <c r="F576" s="5">
        <v>44839</v>
      </c>
      <c r="G576" s="5">
        <v>44862</v>
      </c>
      <c r="H576" s="4" t="s">
        <v>1005</v>
      </c>
      <c r="I576" s="4" t="s">
        <v>1262</v>
      </c>
      <c r="J576" s="4" t="s">
        <v>1263</v>
      </c>
      <c r="K576" s="5">
        <v>44839</v>
      </c>
      <c r="L576" s="4" t="s">
        <v>24</v>
      </c>
      <c r="M576" t="b">
        <v>0</v>
      </c>
      <c r="N576" t="b">
        <v>1</v>
      </c>
      <c r="O576" t="b">
        <v>0</v>
      </c>
      <c r="P576" t="b">
        <v>0</v>
      </c>
      <c r="Q576">
        <v>575</v>
      </c>
    </row>
    <row r="577" spans="1:17" x14ac:dyDescent="0.35">
      <c r="A577" s="4" t="s">
        <v>1433</v>
      </c>
      <c r="B577" s="4" t="s">
        <v>19</v>
      </c>
      <c r="C577" s="4" t="s">
        <v>228</v>
      </c>
      <c r="D577" s="4" t="s">
        <v>1407</v>
      </c>
      <c r="E577" s="4" t="s">
        <v>1434</v>
      </c>
      <c r="F577" s="5">
        <v>44839</v>
      </c>
      <c r="G577" s="5">
        <v>44862</v>
      </c>
      <c r="H577" s="4" t="s">
        <v>1005</v>
      </c>
      <c r="I577" s="4" t="s">
        <v>1262</v>
      </c>
      <c r="J577" s="4" t="s">
        <v>1263</v>
      </c>
      <c r="K577" s="5">
        <v>44839</v>
      </c>
      <c r="L577" s="4" t="s">
        <v>24</v>
      </c>
      <c r="M577" t="b">
        <v>0</v>
      </c>
      <c r="N577" t="b">
        <v>1</v>
      </c>
      <c r="O577" t="b">
        <v>0</v>
      </c>
      <c r="P577" t="b">
        <v>0</v>
      </c>
      <c r="Q577">
        <v>576</v>
      </c>
    </row>
    <row r="578" spans="1:17" x14ac:dyDescent="0.35">
      <c r="A578" s="4" t="s">
        <v>1435</v>
      </c>
      <c r="B578" s="4" t="s">
        <v>19</v>
      </c>
      <c r="C578" s="4" t="s">
        <v>228</v>
      </c>
      <c r="D578" s="4" t="s">
        <v>1407</v>
      </c>
      <c r="E578" s="4" t="s">
        <v>1436</v>
      </c>
      <c r="F578" s="5">
        <v>44839</v>
      </c>
      <c r="G578" s="5">
        <v>44862</v>
      </c>
      <c r="H578" s="4" t="s">
        <v>1005</v>
      </c>
      <c r="I578" s="4" t="s">
        <v>1262</v>
      </c>
      <c r="J578" s="4" t="s">
        <v>1263</v>
      </c>
      <c r="K578" s="5">
        <v>44839</v>
      </c>
      <c r="L578" s="4" t="s">
        <v>24</v>
      </c>
      <c r="M578" t="b">
        <v>0</v>
      </c>
      <c r="N578" t="b">
        <v>1</v>
      </c>
      <c r="O578" t="b">
        <v>0</v>
      </c>
      <c r="P578" t="b">
        <v>0</v>
      </c>
      <c r="Q578">
        <v>577</v>
      </c>
    </row>
    <row r="579" spans="1:17" x14ac:dyDescent="0.35">
      <c r="A579" s="4" t="s">
        <v>1437</v>
      </c>
      <c r="B579" s="4" t="s">
        <v>19</v>
      </c>
      <c r="C579" s="4" t="s">
        <v>228</v>
      </c>
      <c r="D579" s="4" t="s">
        <v>892</v>
      </c>
      <c r="E579" s="4" t="s">
        <v>1438</v>
      </c>
      <c r="F579" s="5">
        <v>44839</v>
      </c>
      <c r="G579" s="5">
        <v>44862</v>
      </c>
      <c r="H579" s="4" t="s">
        <v>1005</v>
      </c>
      <c r="I579" s="4" t="s">
        <v>1262</v>
      </c>
      <c r="J579" s="4" t="s">
        <v>1263</v>
      </c>
      <c r="K579" s="5">
        <v>44839</v>
      </c>
      <c r="L579" s="4" t="s">
        <v>24</v>
      </c>
      <c r="M579" t="b">
        <v>0</v>
      </c>
      <c r="N579" t="b">
        <v>1</v>
      </c>
      <c r="O579" t="b">
        <v>0</v>
      </c>
      <c r="P579" t="b">
        <v>0</v>
      </c>
      <c r="Q579">
        <v>578</v>
      </c>
    </row>
    <row r="580" spans="1:17" x14ac:dyDescent="0.35">
      <c r="A580" s="4" t="s">
        <v>1439</v>
      </c>
      <c r="B580" s="4" t="s">
        <v>19</v>
      </c>
      <c r="C580" s="4" t="s">
        <v>228</v>
      </c>
      <c r="D580" s="4" t="s">
        <v>892</v>
      </c>
      <c r="E580" s="4" t="s">
        <v>1440</v>
      </c>
      <c r="F580" s="5">
        <v>44839</v>
      </c>
      <c r="G580" s="5">
        <v>44862</v>
      </c>
      <c r="H580" s="4" t="s">
        <v>1005</v>
      </c>
      <c r="I580" s="4" t="s">
        <v>1262</v>
      </c>
      <c r="J580" s="4" t="s">
        <v>1263</v>
      </c>
      <c r="K580" s="5">
        <v>44839</v>
      </c>
      <c r="L580" s="4" t="s">
        <v>24</v>
      </c>
      <c r="M580" t="b">
        <v>0</v>
      </c>
      <c r="N580" t="b">
        <v>1</v>
      </c>
      <c r="O580" t="b">
        <v>0</v>
      </c>
      <c r="P580" t="b">
        <v>0</v>
      </c>
      <c r="Q580">
        <v>579</v>
      </c>
    </row>
    <row r="581" spans="1:17" x14ac:dyDescent="0.35">
      <c r="A581" s="4" t="s">
        <v>1441</v>
      </c>
      <c r="B581" s="4" t="s">
        <v>19</v>
      </c>
      <c r="C581" s="4" t="s">
        <v>228</v>
      </c>
      <c r="D581" s="4" t="s">
        <v>892</v>
      </c>
      <c r="E581" s="4" t="s">
        <v>1442</v>
      </c>
      <c r="F581" s="5">
        <v>44839</v>
      </c>
      <c r="G581" s="5">
        <v>44862</v>
      </c>
      <c r="H581" s="4" t="s">
        <v>1005</v>
      </c>
      <c r="I581" s="4" t="s">
        <v>1262</v>
      </c>
      <c r="J581" s="4" t="s">
        <v>1263</v>
      </c>
      <c r="K581" s="5">
        <v>44839</v>
      </c>
      <c r="L581" s="4" t="s">
        <v>24</v>
      </c>
      <c r="M581" t="b">
        <v>0</v>
      </c>
      <c r="N581" t="b">
        <v>1</v>
      </c>
      <c r="O581" t="b">
        <v>0</v>
      </c>
      <c r="P581" t="b">
        <v>0</v>
      </c>
      <c r="Q581">
        <v>580</v>
      </c>
    </row>
    <row r="582" spans="1:17" x14ac:dyDescent="0.35">
      <c r="A582" s="4" t="s">
        <v>1443</v>
      </c>
      <c r="B582" s="4" t="s">
        <v>19</v>
      </c>
      <c r="C582" s="4" t="s">
        <v>228</v>
      </c>
      <c r="D582" s="4" t="s">
        <v>892</v>
      </c>
      <c r="E582" s="4" t="s">
        <v>1444</v>
      </c>
      <c r="F582" s="5">
        <v>44839</v>
      </c>
      <c r="G582" s="5">
        <v>44862</v>
      </c>
      <c r="H582" s="4" t="s">
        <v>1005</v>
      </c>
      <c r="I582" s="4" t="s">
        <v>1262</v>
      </c>
      <c r="J582" s="4" t="s">
        <v>1263</v>
      </c>
      <c r="K582" s="5">
        <v>44839</v>
      </c>
      <c r="L582" s="4" t="s">
        <v>24</v>
      </c>
      <c r="M582" t="b">
        <v>0</v>
      </c>
      <c r="N582" t="b">
        <v>1</v>
      </c>
      <c r="O582" t="b">
        <v>0</v>
      </c>
      <c r="P582" t="b">
        <v>0</v>
      </c>
      <c r="Q582">
        <v>581</v>
      </c>
    </row>
    <row r="583" spans="1:17" x14ac:dyDescent="0.35">
      <c r="A583" s="4" t="s">
        <v>1445</v>
      </c>
      <c r="B583" s="4" t="s">
        <v>19</v>
      </c>
      <c r="C583" s="4" t="s">
        <v>228</v>
      </c>
      <c r="D583" s="4" t="s">
        <v>892</v>
      </c>
      <c r="E583" s="4" t="s">
        <v>1446</v>
      </c>
      <c r="F583" s="5">
        <v>44839</v>
      </c>
      <c r="G583" s="5">
        <v>44862</v>
      </c>
      <c r="H583" s="4" t="s">
        <v>1005</v>
      </c>
      <c r="I583" s="4" t="s">
        <v>1262</v>
      </c>
      <c r="J583" s="4" t="s">
        <v>1263</v>
      </c>
      <c r="K583" s="5">
        <v>44839</v>
      </c>
      <c r="L583" s="4" t="s">
        <v>24</v>
      </c>
      <c r="M583" t="b">
        <v>0</v>
      </c>
      <c r="N583" t="b">
        <v>1</v>
      </c>
      <c r="O583" t="b">
        <v>0</v>
      </c>
      <c r="P583" t="b">
        <v>0</v>
      </c>
      <c r="Q583">
        <v>582</v>
      </c>
    </row>
    <row r="584" spans="1:17" x14ac:dyDescent="0.35">
      <c r="A584" s="4" t="s">
        <v>1447</v>
      </c>
      <c r="B584" s="4" t="s">
        <v>19</v>
      </c>
      <c r="C584" s="4" t="s">
        <v>228</v>
      </c>
      <c r="D584" s="4" t="s">
        <v>892</v>
      </c>
      <c r="E584" s="4" t="s">
        <v>1448</v>
      </c>
      <c r="F584" s="5">
        <v>44839</v>
      </c>
      <c r="G584" s="5">
        <v>44862</v>
      </c>
      <c r="H584" s="4" t="s">
        <v>1005</v>
      </c>
      <c r="I584" s="4" t="s">
        <v>1262</v>
      </c>
      <c r="J584" s="4" t="s">
        <v>1263</v>
      </c>
      <c r="K584" s="5">
        <v>44839</v>
      </c>
      <c r="L584" s="4" t="s">
        <v>24</v>
      </c>
      <c r="M584" t="b">
        <v>0</v>
      </c>
      <c r="N584" t="b">
        <v>1</v>
      </c>
      <c r="O584" t="b">
        <v>0</v>
      </c>
      <c r="P584" t="b">
        <v>0</v>
      </c>
      <c r="Q584">
        <v>583</v>
      </c>
    </row>
    <row r="585" spans="1:17" x14ac:dyDescent="0.35">
      <c r="A585" s="4" t="s">
        <v>1449</v>
      </c>
      <c r="B585" s="4" t="s">
        <v>19</v>
      </c>
      <c r="C585" s="4" t="s">
        <v>228</v>
      </c>
      <c r="D585" s="4" t="s">
        <v>892</v>
      </c>
      <c r="E585" s="4" t="s">
        <v>1450</v>
      </c>
      <c r="F585" s="5">
        <v>44839</v>
      </c>
      <c r="G585" s="5">
        <v>44862</v>
      </c>
      <c r="H585" s="4" t="s">
        <v>1005</v>
      </c>
      <c r="I585" s="4" t="s">
        <v>1262</v>
      </c>
      <c r="J585" s="4" t="s">
        <v>1263</v>
      </c>
      <c r="K585" s="5">
        <v>44839</v>
      </c>
      <c r="L585" s="4" t="s">
        <v>24</v>
      </c>
      <c r="M585" t="b">
        <v>0</v>
      </c>
      <c r="N585" t="b">
        <v>1</v>
      </c>
      <c r="O585" t="b">
        <v>0</v>
      </c>
      <c r="P585" t="b">
        <v>0</v>
      </c>
      <c r="Q585">
        <v>584</v>
      </c>
    </row>
    <row r="586" spans="1:17" x14ac:dyDescent="0.35">
      <c r="A586" s="4" t="s">
        <v>1451</v>
      </c>
      <c r="B586" s="4" t="s">
        <v>19</v>
      </c>
      <c r="C586" s="4" t="s">
        <v>228</v>
      </c>
      <c r="D586" s="4" t="s">
        <v>892</v>
      </c>
      <c r="E586" s="4" t="s">
        <v>1452</v>
      </c>
      <c r="F586" s="5">
        <v>44839</v>
      </c>
      <c r="G586" s="5">
        <v>44862</v>
      </c>
      <c r="H586" s="4" t="s">
        <v>1005</v>
      </c>
      <c r="I586" s="4" t="s">
        <v>1262</v>
      </c>
      <c r="J586" s="4" t="s">
        <v>1263</v>
      </c>
      <c r="K586" s="5">
        <v>44839</v>
      </c>
      <c r="L586" s="4" t="s">
        <v>24</v>
      </c>
      <c r="M586" t="b">
        <v>0</v>
      </c>
      <c r="N586" t="b">
        <v>0</v>
      </c>
      <c r="O586" t="b">
        <v>0</v>
      </c>
      <c r="P586" t="b">
        <v>0</v>
      </c>
      <c r="Q586">
        <v>585</v>
      </c>
    </row>
    <row r="587" spans="1:17" x14ac:dyDescent="0.35">
      <c r="A587" s="4" t="s">
        <v>1453</v>
      </c>
      <c r="B587" s="4" t="s">
        <v>19</v>
      </c>
      <c r="C587" s="4" t="s">
        <v>102</v>
      </c>
      <c r="D587" s="4" t="s">
        <v>895</v>
      </c>
      <c r="E587" s="4" t="s">
        <v>1454</v>
      </c>
      <c r="F587" s="5">
        <v>44840</v>
      </c>
      <c r="G587" s="5">
        <v>44847</v>
      </c>
      <c r="H587" s="4" t="s">
        <v>1005</v>
      </c>
      <c r="I587" s="4" t="s">
        <v>34</v>
      </c>
      <c r="J587" s="4" t="s">
        <v>35</v>
      </c>
      <c r="K587" s="5">
        <v>44840</v>
      </c>
      <c r="L587" s="4" t="s">
        <v>24</v>
      </c>
      <c r="M587" t="b">
        <v>0</v>
      </c>
      <c r="N587" t="b">
        <v>1</v>
      </c>
      <c r="O587" t="b">
        <v>0</v>
      </c>
      <c r="P587" t="b">
        <v>0</v>
      </c>
      <c r="Q587">
        <v>586</v>
      </c>
    </row>
    <row r="588" spans="1:17" x14ac:dyDescent="0.35">
      <c r="A588" s="4" t="s">
        <v>1455</v>
      </c>
      <c r="B588" s="4" t="s">
        <v>19</v>
      </c>
      <c r="C588" s="4" t="s">
        <v>102</v>
      </c>
      <c r="D588" s="4" t="s">
        <v>895</v>
      </c>
      <c r="E588" s="4" t="s">
        <v>1456</v>
      </c>
      <c r="F588" s="5">
        <v>44840</v>
      </c>
      <c r="G588" s="5">
        <v>44847</v>
      </c>
      <c r="H588" s="4" t="s">
        <v>1005</v>
      </c>
      <c r="I588" s="4" t="s">
        <v>34</v>
      </c>
      <c r="J588" s="4" t="s">
        <v>35</v>
      </c>
      <c r="K588" s="5">
        <v>44840</v>
      </c>
      <c r="L588" s="4" t="s">
        <v>24</v>
      </c>
      <c r="M588" t="b">
        <v>0</v>
      </c>
      <c r="N588" t="b">
        <v>1</v>
      </c>
      <c r="O588" t="b">
        <v>0</v>
      </c>
      <c r="P588" t="b">
        <v>0</v>
      </c>
      <c r="Q588">
        <v>587</v>
      </c>
    </row>
    <row r="589" spans="1:17" x14ac:dyDescent="0.35">
      <c r="A589" s="4" t="s">
        <v>1457</v>
      </c>
      <c r="B589" s="4" t="s">
        <v>19</v>
      </c>
      <c r="C589" s="4" t="s">
        <v>102</v>
      </c>
      <c r="D589" s="4" t="s">
        <v>895</v>
      </c>
      <c r="E589" s="4" t="s">
        <v>1353</v>
      </c>
      <c r="F589" s="5">
        <v>44840</v>
      </c>
      <c r="G589" s="5">
        <v>44847</v>
      </c>
      <c r="H589" s="4" t="s">
        <v>1005</v>
      </c>
      <c r="I589" s="4" t="s">
        <v>34</v>
      </c>
      <c r="J589" s="4" t="s">
        <v>35</v>
      </c>
      <c r="K589" s="5">
        <v>44840</v>
      </c>
      <c r="L589" s="4" t="s">
        <v>24</v>
      </c>
      <c r="M589" t="b">
        <v>0</v>
      </c>
      <c r="N589" t="b">
        <v>1</v>
      </c>
      <c r="O589" t="b">
        <v>0</v>
      </c>
      <c r="P589" t="b">
        <v>0</v>
      </c>
      <c r="Q589">
        <v>588</v>
      </c>
    </row>
    <row r="590" spans="1:17" x14ac:dyDescent="0.35">
      <c r="A590" s="4" t="s">
        <v>1458</v>
      </c>
      <c r="B590" s="4" t="s">
        <v>19</v>
      </c>
      <c r="C590" s="4" t="s">
        <v>102</v>
      </c>
      <c r="D590" s="4" t="s">
        <v>895</v>
      </c>
      <c r="E590" s="4" t="s">
        <v>1459</v>
      </c>
      <c r="F590" s="5">
        <v>44840</v>
      </c>
      <c r="G590" s="5">
        <v>44847</v>
      </c>
      <c r="H590" s="4" t="s">
        <v>1005</v>
      </c>
      <c r="I590" s="4" t="s">
        <v>195</v>
      </c>
      <c r="J590" s="4" t="s">
        <v>196</v>
      </c>
      <c r="K590" s="5">
        <v>44840</v>
      </c>
      <c r="L590" s="4" t="s">
        <v>24</v>
      </c>
      <c r="M590" t="b">
        <v>0</v>
      </c>
      <c r="N590" t="b">
        <v>1</v>
      </c>
      <c r="O590" t="b">
        <v>0</v>
      </c>
      <c r="P590" t="b">
        <v>0</v>
      </c>
      <c r="Q590">
        <v>589</v>
      </c>
    </row>
    <row r="591" spans="1:17" x14ac:dyDescent="0.35">
      <c r="A591" s="4" t="s">
        <v>1460</v>
      </c>
      <c r="B591" s="4" t="s">
        <v>19</v>
      </c>
      <c r="C591" s="4" t="s">
        <v>102</v>
      </c>
      <c r="D591" s="4" t="s">
        <v>895</v>
      </c>
      <c r="E591" s="4" t="s">
        <v>1461</v>
      </c>
      <c r="F591" s="5">
        <v>44840</v>
      </c>
      <c r="G591" s="5">
        <v>44847</v>
      </c>
      <c r="H591" s="4" t="s">
        <v>1005</v>
      </c>
      <c r="I591" s="4" t="s">
        <v>34</v>
      </c>
      <c r="J591" s="4" t="s">
        <v>35</v>
      </c>
      <c r="K591" s="5">
        <v>44840</v>
      </c>
      <c r="L591" s="4" t="s">
        <v>24</v>
      </c>
      <c r="M591" t="b">
        <v>0</v>
      </c>
      <c r="N591" t="b">
        <v>1</v>
      </c>
      <c r="O591" t="b">
        <v>0</v>
      </c>
      <c r="P591" t="b">
        <v>0</v>
      </c>
      <c r="Q591">
        <v>590</v>
      </c>
    </row>
    <row r="592" spans="1:17" x14ac:dyDescent="0.35">
      <c r="A592" s="4" t="s">
        <v>1462</v>
      </c>
      <c r="B592" s="4" t="s">
        <v>19</v>
      </c>
      <c r="C592" s="4" t="s">
        <v>102</v>
      </c>
      <c r="D592" s="4" t="s">
        <v>895</v>
      </c>
      <c r="E592" s="4" t="s">
        <v>1633</v>
      </c>
      <c r="F592" s="5">
        <v>44840</v>
      </c>
      <c r="G592" s="5">
        <v>44847</v>
      </c>
      <c r="H592" s="4" t="s">
        <v>1005</v>
      </c>
      <c r="I592" s="4" t="s">
        <v>34</v>
      </c>
      <c r="J592" s="4" t="s">
        <v>35</v>
      </c>
      <c r="K592" s="5">
        <v>44840</v>
      </c>
      <c r="L592" s="4" t="s">
        <v>24</v>
      </c>
      <c r="M592" t="b">
        <v>0</v>
      </c>
      <c r="N592" t="b">
        <v>1</v>
      </c>
      <c r="O592" t="b">
        <v>0</v>
      </c>
      <c r="P592" t="b">
        <v>0</v>
      </c>
      <c r="Q592">
        <v>591</v>
      </c>
    </row>
    <row r="593" spans="1:17" x14ac:dyDescent="0.35">
      <c r="A593" s="4" t="s">
        <v>1463</v>
      </c>
      <c r="B593" s="4" t="s">
        <v>19</v>
      </c>
      <c r="C593" s="4" t="s">
        <v>102</v>
      </c>
      <c r="D593" s="4" t="s">
        <v>1464</v>
      </c>
      <c r="E593" s="4" t="s">
        <v>1465</v>
      </c>
      <c r="F593" s="5">
        <v>44840</v>
      </c>
      <c r="G593" s="5">
        <v>44847</v>
      </c>
      <c r="H593" s="4" t="s">
        <v>1005</v>
      </c>
      <c r="I593" s="4" t="s">
        <v>34</v>
      </c>
      <c r="J593" s="4" t="s">
        <v>35</v>
      </c>
      <c r="K593" s="5">
        <v>44840</v>
      </c>
      <c r="L593" s="4" t="s">
        <v>24</v>
      </c>
      <c r="M593" t="b">
        <v>0</v>
      </c>
      <c r="N593" t="b">
        <v>1</v>
      </c>
      <c r="O593" t="b">
        <v>0</v>
      </c>
      <c r="P593" t="b">
        <v>0</v>
      </c>
      <c r="Q593">
        <v>592</v>
      </c>
    </row>
    <row r="594" spans="1:17" x14ac:dyDescent="0.35">
      <c r="A594" s="4" t="s">
        <v>1466</v>
      </c>
      <c r="B594" s="4" t="s">
        <v>19</v>
      </c>
      <c r="C594" s="4" t="s">
        <v>102</v>
      </c>
      <c r="D594" s="4" t="s">
        <v>1464</v>
      </c>
      <c r="E594" s="4" t="s">
        <v>1467</v>
      </c>
      <c r="F594" s="5">
        <v>44840</v>
      </c>
      <c r="G594" s="5">
        <v>44847</v>
      </c>
      <c r="H594" s="4" t="s">
        <v>1005</v>
      </c>
      <c r="I594" s="4" t="s">
        <v>51</v>
      </c>
      <c r="J594" s="4" t="s">
        <v>52</v>
      </c>
      <c r="K594" s="5">
        <v>44840</v>
      </c>
      <c r="L594" s="4" t="s">
        <v>24</v>
      </c>
      <c r="M594" t="b">
        <v>0</v>
      </c>
      <c r="N594" t="b">
        <v>1</v>
      </c>
      <c r="O594" t="b">
        <v>0</v>
      </c>
      <c r="P594" t="b">
        <v>0</v>
      </c>
      <c r="Q594">
        <v>593</v>
      </c>
    </row>
    <row r="595" spans="1:17" x14ac:dyDescent="0.35">
      <c r="A595" s="4" t="s">
        <v>1468</v>
      </c>
      <c r="B595" s="4" t="s">
        <v>19</v>
      </c>
      <c r="C595" s="4" t="s">
        <v>102</v>
      </c>
      <c r="D595" s="4" t="s">
        <v>1469</v>
      </c>
      <c r="E595" s="4" t="s">
        <v>1461</v>
      </c>
      <c r="F595" s="5">
        <v>44840</v>
      </c>
      <c r="G595" s="5">
        <v>44847</v>
      </c>
      <c r="H595" s="4" t="s">
        <v>1005</v>
      </c>
      <c r="I595" s="4" t="s">
        <v>34</v>
      </c>
      <c r="J595" s="4" t="s">
        <v>35</v>
      </c>
      <c r="K595" s="5">
        <v>44840</v>
      </c>
      <c r="L595" s="4" t="s">
        <v>24</v>
      </c>
      <c r="M595" t="b">
        <v>0</v>
      </c>
      <c r="N595" t="b">
        <v>1</v>
      </c>
      <c r="O595" t="b">
        <v>0</v>
      </c>
      <c r="P595" t="b">
        <v>0</v>
      </c>
      <c r="Q595">
        <v>594</v>
      </c>
    </row>
    <row r="596" spans="1:17" x14ac:dyDescent="0.35">
      <c r="A596" s="4" t="s">
        <v>1470</v>
      </c>
      <c r="B596" s="4" t="s">
        <v>19</v>
      </c>
      <c r="C596" s="4" t="s">
        <v>102</v>
      </c>
      <c r="D596" s="4" t="s">
        <v>1469</v>
      </c>
      <c r="E596" s="4" t="s">
        <v>1471</v>
      </c>
      <c r="F596" s="5">
        <v>44840</v>
      </c>
      <c r="G596" s="5">
        <v>44847</v>
      </c>
      <c r="H596" s="4" t="s">
        <v>1005</v>
      </c>
      <c r="I596" s="4" t="s">
        <v>34</v>
      </c>
      <c r="J596" s="4" t="s">
        <v>35</v>
      </c>
      <c r="K596" s="5">
        <v>44840</v>
      </c>
      <c r="L596" s="4" t="s">
        <v>24</v>
      </c>
      <c r="M596" t="b">
        <v>0</v>
      </c>
      <c r="N596" t="b">
        <v>1</v>
      </c>
      <c r="O596" t="b">
        <v>0</v>
      </c>
      <c r="P596" t="b">
        <v>0</v>
      </c>
      <c r="Q596">
        <v>595</v>
      </c>
    </row>
    <row r="597" spans="1:17" x14ac:dyDescent="0.35">
      <c r="A597" s="4" t="s">
        <v>1472</v>
      </c>
      <c r="B597" s="4" t="s">
        <v>19</v>
      </c>
      <c r="C597" s="4" t="s">
        <v>102</v>
      </c>
      <c r="D597" s="4" t="s">
        <v>1469</v>
      </c>
      <c r="E597" s="4" t="s">
        <v>1459</v>
      </c>
      <c r="F597" s="5">
        <v>44840</v>
      </c>
      <c r="G597" s="5">
        <v>44847</v>
      </c>
      <c r="H597" s="4" t="s">
        <v>1005</v>
      </c>
      <c r="I597" s="4" t="s">
        <v>195</v>
      </c>
      <c r="J597" s="4" t="s">
        <v>196</v>
      </c>
      <c r="K597" s="5">
        <v>44840</v>
      </c>
      <c r="L597" s="4" t="s">
        <v>24</v>
      </c>
      <c r="M597" t="b">
        <v>0</v>
      </c>
      <c r="N597" t="b">
        <v>1</v>
      </c>
      <c r="O597" t="b">
        <v>0</v>
      </c>
      <c r="P597" t="b">
        <v>0</v>
      </c>
      <c r="Q597">
        <v>596</v>
      </c>
    </row>
    <row r="598" spans="1:17" x14ac:dyDescent="0.35">
      <c r="A598" s="4" t="s">
        <v>1473</v>
      </c>
      <c r="B598" s="4" t="s">
        <v>19</v>
      </c>
      <c r="C598" s="4" t="s">
        <v>102</v>
      </c>
      <c r="D598" s="4" t="s">
        <v>1469</v>
      </c>
      <c r="E598" s="4" t="s">
        <v>1353</v>
      </c>
      <c r="F598" s="5">
        <v>44840</v>
      </c>
      <c r="G598" s="5">
        <v>44847</v>
      </c>
      <c r="H598" s="4" t="s">
        <v>1005</v>
      </c>
      <c r="I598" s="4" t="s">
        <v>195</v>
      </c>
      <c r="J598" s="4" t="s">
        <v>196</v>
      </c>
      <c r="K598" s="5">
        <v>44840</v>
      </c>
      <c r="L598" s="4" t="s">
        <v>24</v>
      </c>
      <c r="M598" t="b">
        <v>0</v>
      </c>
      <c r="N598" t="b">
        <v>1</v>
      </c>
      <c r="O598" t="b">
        <v>0</v>
      </c>
      <c r="P598" t="b">
        <v>0</v>
      </c>
      <c r="Q598">
        <v>597</v>
      </c>
    </row>
    <row r="599" spans="1:17" x14ac:dyDescent="0.35">
      <c r="A599" s="4" t="s">
        <v>1474</v>
      </c>
      <c r="B599" s="4" t="s">
        <v>19</v>
      </c>
      <c r="C599" s="4" t="s">
        <v>102</v>
      </c>
      <c r="D599" s="4" t="s">
        <v>1469</v>
      </c>
      <c r="E599" s="4" t="s">
        <v>1475</v>
      </c>
      <c r="F599" s="5">
        <v>44840</v>
      </c>
      <c r="G599" s="5">
        <v>44847</v>
      </c>
      <c r="H599" s="4" t="s">
        <v>1005</v>
      </c>
      <c r="I599" s="4" t="s">
        <v>34</v>
      </c>
      <c r="J599" s="4" t="s">
        <v>35</v>
      </c>
      <c r="K599" s="5">
        <v>44840</v>
      </c>
      <c r="L599" s="4" t="s">
        <v>24</v>
      </c>
      <c r="M599" t="b">
        <v>0</v>
      </c>
      <c r="N599" t="b">
        <v>1</v>
      </c>
      <c r="O599" t="b">
        <v>0</v>
      </c>
      <c r="P599" t="b">
        <v>0</v>
      </c>
      <c r="Q599">
        <v>598</v>
      </c>
    </row>
    <row r="600" spans="1:17" x14ac:dyDescent="0.35">
      <c r="A600" s="4" t="s">
        <v>1476</v>
      </c>
      <c r="B600" s="4" t="s">
        <v>19</v>
      </c>
      <c r="C600" s="4" t="s">
        <v>102</v>
      </c>
      <c r="D600" s="4" t="s">
        <v>1469</v>
      </c>
      <c r="E600" s="4" t="s">
        <v>1353</v>
      </c>
      <c r="F600" s="5">
        <v>44840</v>
      </c>
      <c r="G600" s="5">
        <v>44847</v>
      </c>
      <c r="H600" s="4" t="s">
        <v>1005</v>
      </c>
      <c r="I600" s="4" t="s">
        <v>34</v>
      </c>
      <c r="J600" s="4" t="s">
        <v>35</v>
      </c>
      <c r="K600" s="5">
        <v>44840</v>
      </c>
      <c r="L600" s="4" t="s">
        <v>24</v>
      </c>
      <c r="M600" t="b">
        <v>0</v>
      </c>
      <c r="N600" t="b">
        <v>1</v>
      </c>
      <c r="O600" t="b">
        <v>0</v>
      </c>
      <c r="P600" t="b">
        <v>0</v>
      </c>
      <c r="Q600">
        <v>599</v>
      </c>
    </row>
    <row r="601" spans="1:17" x14ac:dyDescent="0.35">
      <c r="A601" s="4" t="s">
        <v>1477</v>
      </c>
      <c r="B601" s="4" t="s">
        <v>19</v>
      </c>
      <c r="C601" s="4" t="s">
        <v>102</v>
      </c>
      <c r="D601" s="4" t="s">
        <v>1478</v>
      </c>
      <c r="E601" s="4" t="s">
        <v>1454</v>
      </c>
      <c r="F601" s="5">
        <v>44840</v>
      </c>
      <c r="G601" s="5">
        <v>44847</v>
      </c>
      <c r="H601" s="4" t="s">
        <v>1005</v>
      </c>
      <c r="I601" s="4" t="s">
        <v>34</v>
      </c>
      <c r="J601" s="4" t="s">
        <v>35</v>
      </c>
      <c r="K601" s="5">
        <v>44840</v>
      </c>
      <c r="L601" s="4" t="s">
        <v>24</v>
      </c>
      <c r="M601" t="b">
        <v>0</v>
      </c>
      <c r="N601" t="b">
        <v>1</v>
      </c>
      <c r="O601" t="b">
        <v>0</v>
      </c>
      <c r="P601" t="b">
        <v>0</v>
      </c>
      <c r="Q601">
        <v>600</v>
      </c>
    </row>
    <row r="602" spans="1:17" x14ac:dyDescent="0.35">
      <c r="A602" s="4" t="s">
        <v>1479</v>
      </c>
      <c r="B602" s="4" t="s">
        <v>19</v>
      </c>
      <c r="C602" s="4" t="s">
        <v>102</v>
      </c>
      <c r="D602" s="4" t="s">
        <v>953</v>
      </c>
      <c r="E602" s="4" t="s">
        <v>1461</v>
      </c>
      <c r="F602" s="5">
        <v>44840</v>
      </c>
      <c r="G602" s="5">
        <v>44847</v>
      </c>
      <c r="H602" s="4" t="s">
        <v>1005</v>
      </c>
      <c r="I602" s="4" t="s">
        <v>34</v>
      </c>
      <c r="J602" s="4" t="s">
        <v>35</v>
      </c>
      <c r="K602" s="5">
        <v>44840</v>
      </c>
      <c r="L602" s="4" t="s">
        <v>24</v>
      </c>
      <c r="M602" t="b">
        <v>0</v>
      </c>
      <c r="N602" t="b">
        <v>1</v>
      </c>
      <c r="O602" t="b">
        <v>0</v>
      </c>
      <c r="P602" t="b">
        <v>0</v>
      </c>
      <c r="Q602">
        <v>601</v>
      </c>
    </row>
    <row r="603" spans="1:17" x14ac:dyDescent="0.35">
      <c r="A603" s="4" t="s">
        <v>1480</v>
      </c>
      <c r="B603" s="4" t="s">
        <v>19</v>
      </c>
      <c r="C603" s="4" t="s">
        <v>102</v>
      </c>
      <c r="D603" s="4" t="s">
        <v>1481</v>
      </c>
      <c r="E603" s="4" t="s">
        <v>1454</v>
      </c>
      <c r="F603" s="5">
        <v>44840</v>
      </c>
      <c r="G603" s="5">
        <v>44847</v>
      </c>
      <c r="H603" s="4" t="s">
        <v>1005</v>
      </c>
      <c r="I603" s="4" t="s">
        <v>34</v>
      </c>
      <c r="J603" s="4" t="s">
        <v>35</v>
      </c>
      <c r="K603" s="5">
        <v>44840</v>
      </c>
      <c r="L603" s="4" t="s">
        <v>24</v>
      </c>
      <c r="M603" t="b">
        <v>0</v>
      </c>
      <c r="N603" t="b">
        <v>1</v>
      </c>
      <c r="O603" t="b">
        <v>0</v>
      </c>
      <c r="P603" t="b">
        <v>0</v>
      </c>
      <c r="Q603">
        <v>602</v>
      </c>
    </row>
    <row r="604" spans="1:17" x14ac:dyDescent="0.35">
      <c r="A604" s="4" t="s">
        <v>1482</v>
      </c>
      <c r="B604" s="4" t="s">
        <v>19</v>
      </c>
      <c r="C604" s="4" t="s">
        <v>102</v>
      </c>
      <c r="D604" s="4" t="s">
        <v>1481</v>
      </c>
      <c r="E604" s="4" t="s">
        <v>1483</v>
      </c>
      <c r="F604" s="5">
        <v>44840</v>
      </c>
      <c r="G604" s="5">
        <v>44847</v>
      </c>
      <c r="H604" s="4" t="s">
        <v>1005</v>
      </c>
      <c r="I604" s="4" t="s">
        <v>51</v>
      </c>
      <c r="J604" s="4" t="s">
        <v>52</v>
      </c>
      <c r="K604" s="5">
        <v>44840</v>
      </c>
      <c r="L604" s="4" t="s">
        <v>24</v>
      </c>
      <c r="M604" t="b">
        <v>0</v>
      </c>
      <c r="N604" t="b">
        <v>1</v>
      </c>
      <c r="O604" t="b">
        <v>0</v>
      </c>
      <c r="P604" t="b">
        <v>0</v>
      </c>
      <c r="Q604">
        <v>603</v>
      </c>
    </row>
    <row r="605" spans="1:17" x14ac:dyDescent="0.35">
      <c r="A605" s="4" t="s">
        <v>1484</v>
      </c>
      <c r="B605" s="4" t="s">
        <v>19</v>
      </c>
      <c r="C605" s="4" t="s">
        <v>189</v>
      </c>
      <c r="D605" s="4" t="s">
        <v>948</v>
      </c>
      <c r="E605" s="4" t="s">
        <v>1485</v>
      </c>
      <c r="F605" s="5">
        <v>44838</v>
      </c>
      <c r="G605" s="5">
        <v>44845</v>
      </c>
      <c r="H605" s="4" t="s">
        <v>1005</v>
      </c>
      <c r="I605" s="4" t="s">
        <v>584</v>
      </c>
      <c r="J605" s="4" t="s">
        <v>585</v>
      </c>
      <c r="K605" s="5">
        <v>44838</v>
      </c>
      <c r="L605" s="4" t="s">
        <v>24</v>
      </c>
      <c r="M605" t="b">
        <v>0</v>
      </c>
      <c r="N605" t="b">
        <v>1</v>
      </c>
      <c r="O605" t="b">
        <v>0</v>
      </c>
      <c r="P605" t="b">
        <v>0</v>
      </c>
      <c r="Q605">
        <v>604</v>
      </c>
    </row>
    <row r="606" spans="1:17" x14ac:dyDescent="0.35">
      <c r="A606" s="4" t="s">
        <v>1486</v>
      </c>
      <c r="B606" s="4" t="s">
        <v>19</v>
      </c>
      <c r="C606" s="4" t="s">
        <v>189</v>
      </c>
      <c r="D606" s="4" t="s">
        <v>948</v>
      </c>
      <c r="E606" s="4" t="s">
        <v>1487</v>
      </c>
      <c r="F606" s="5">
        <v>44838</v>
      </c>
      <c r="G606" s="5">
        <v>44845</v>
      </c>
      <c r="H606" s="4" t="s">
        <v>1005</v>
      </c>
      <c r="I606" s="4" t="s">
        <v>51</v>
      </c>
      <c r="J606" s="4" t="s">
        <v>52</v>
      </c>
      <c r="K606" s="5">
        <v>44838</v>
      </c>
      <c r="L606" s="4" t="s">
        <v>24</v>
      </c>
      <c r="M606" t="b">
        <v>0</v>
      </c>
      <c r="N606" t="b">
        <v>1</v>
      </c>
      <c r="O606" t="b">
        <v>0</v>
      </c>
      <c r="P606" t="b">
        <v>0</v>
      </c>
      <c r="Q606">
        <v>605</v>
      </c>
    </row>
    <row r="607" spans="1:17" x14ac:dyDescent="0.35">
      <c r="A607" s="4" t="s">
        <v>1488</v>
      </c>
      <c r="B607" s="4" t="s">
        <v>19</v>
      </c>
      <c r="C607" s="4" t="s">
        <v>189</v>
      </c>
      <c r="D607" s="4" t="s">
        <v>1489</v>
      </c>
      <c r="E607" s="4" t="s">
        <v>1634</v>
      </c>
      <c r="F607" s="5">
        <v>44838</v>
      </c>
      <c r="G607" s="5">
        <v>44845</v>
      </c>
      <c r="H607" s="4" t="s">
        <v>1005</v>
      </c>
      <c r="I607" s="4" t="s">
        <v>28</v>
      </c>
      <c r="J607" s="4" t="s">
        <v>29</v>
      </c>
      <c r="K607" s="5">
        <v>44838</v>
      </c>
      <c r="L607" s="4" t="s">
        <v>24</v>
      </c>
      <c r="M607" t="b">
        <v>0</v>
      </c>
      <c r="N607" t="b">
        <v>1</v>
      </c>
      <c r="O607" t="b">
        <v>0</v>
      </c>
      <c r="P607" t="b">
        <v>0</v>
      </c>
      <c r="Q607">
        <v>606</v>
      </c>
    </row>
    <row r="608" spans="1:17" x14ac:dyDescent="0.35">
      <c r="A608" s="4" t="s">
        <v>1490</v>
      </c>
      <c r="B608" s="4" t="s">
        <v>19</v>
      </c>
      <c r="C608" s="4" t="s">
        <v>189</v>
      </c>
      <c r="D608" s="4" t="s">
        <v>1489</v>
      </c>
      <c r="E608" s="4" t="s">
        <v>1491</v>
      </c>
      <c r="F608" s="5">
        <v>44838</v>
      </c>
      <c r="G608" s="5">
        <v>44845</v>
      </c>
      <c r="H608" s="4" t="s">
        <v>1005</v>
      </c>
      <c r="I608" s="4" t="s">
        <v>22</v>
      </c>
      <c r="J608" s="4" t="s">
        <v>130</v>
      </c>
      <c r="K608" s="5">
        <v>44838</v>
      </c>
      <c r="L608" s="4" t="s">
        <v>24</v>
      </c>
      <c r="M608" t="b">
        <v>0</v>
      </c>
      <c r="N608" t="b">
        <v>1</v>
      </c>
      <c r="O608" t="b">
        <v>0</v>
      </c>
      <c r="P608" t="b">
        <v>0</v>
      </c>
      <c r="Q608">
        <v>607</v>
      </c>
    </row>
    <row r="609" spans="1:17" x14ac:dyDescent="0.35">
      <c r="A609" s="4" t="s">
        <v>1492</v>
      </c>
      <c r="B609" s="4" t="s">
        <v>19</v>
      </c>
      <c r="C609" s="4" t="s">
        <v>107</v>
      </c>
      <c r="D609" s="4"/>
      <c r="E609" s="4" t="s">
        <v>1493</v>
      </c>
      <c r="F609" s="5">
        <v>44839</v>
      </c>
      <c r="G609" s="5">
        <v>44846</v>
      </c>
      <c r="H609" s="4" t="s">
        <v>1005</v>
      </c>
      <c r="I609" s="4" t="s">
        <v>51</v>
      </c>
      <c r="J609" s="4" t="s">
        <v>52</v>
      </c>
      <c r="K609" s="5">
        <v>44839</v>
      </c>
      <c r="L609" s="4" t="s">
        <v>24</v>
      </c>
      <c r="M609" t="b">
        <v>0</v>
      </c>
      <c r="N609" t="b">
        <v>1</v>
      </c>
      <c r="O609" t="b">
        <v>0</v>
      </c>
      <c r="P609" t="b">
        <v>0</v>
      </c>
      <c r="Q609">
        <v>608</v>
      </c>
    </row>
    <row r="610" spans="1:17" x14ac:dyDescent="0.35">
      <c r="A610" s="4" t="s">
        <v>1494</v>
      </c>
      <c r="B610" s="4" t="s">
        <v>19</v>
      </c>
      <c r="C610" s="4" t="s">
        <v>73</v>
      </c>
      <c r="D610" s="4"/>
      <c r="E610" s="4" t="s">
        <v>1495</v>
      </c>
      <c r="F610" s="5">
        <v>44837</v>
      </c>
      <c r="G610" s="5">
        <v>44844</v>
      </c>
      <c r="H610" s="4" t="s">
        <v>1005</v>
      </c>
      <c r="I610" s="4" t="s">
        <v>51</v>
      </c>
      <c r="J610" s="4" t="s">
        <v>52</v>
      </c>
      <c r="K610" s="5">
        <v>44837</v>
      </c>
      <c r="L610" s="4" t="s">
        <v>24</v>
      </c>
      <c r="M610" t="b">
        <v>0</v>
      </c>
      <c r="N610" t="b">
        <v>1</v>
      </c>
      <c r="O610" t="b">
        <v>0</v>
      </c>
      <c r="P610" t="b">
        <v>0</v>
      </c>
      <c r="Q610">
        <v>609</v>
      </c>
    </row>
    <row r="611" spans="1:17" x14ac:dyDescent="0.35">
      <c r="A611" s="4" t="s">
        <v>1496</v>
      </c>
      <c r="B611" s="4" t="s">
        <v>19</v>
      </c>
      <c r="C611" s="4" t="s">
        <v>73</v>
      </c>
      <c r="D611" s="4"/>
      <c r="E611" s="4" t="s">
        <v>1497</v>
      </c>
      <c r="F611" s="5">
        <v>44837</v>
      </c>
      <c r="G611" s="5">
        <v>44844</v>
      </c>
      <c r="H611" s="4" t="s">
        <v>1005</v>
      </c>
      <c r="I611" s="4" t="s">
        <v>51</v>
      </c>
      <c r="J611" s="4" t="s">
        <v>52</v>
      </c>
      <c r="K611" s="5">
        <v>44837</v>
      </c>
      <c r="L611" s="4" t="s">
        <v>24</v>
      </c>
      <c r="M611" t="b">
        <v>0</v>
      </c>
      <c r="N611" t="b">
        <v>1</v>
      </c>
      <c r="O611" t="b">
        <v>0</v>
      </c>
      <c r="P611" t="b">
        <v>0</v>
      </c>
      <c r="Q611">
        <v>610</v>
      </c>
    </row>
    <row r="612" spans="1:17" x14ac:dyDescent="0.35">
      <c r="A612" s="4" t="s">
        <v>1498</v>
      </c>
      <c r="B612" s="4" t="s">
        <v>19</v>
      </c>
      <c r="C612" s="4" t="s">
        <v>73</v>
      </c>
      <c r="D612" s="4"/>
      <c r="E612" s="4" t="s">
        <v>1499</v>
      </c>
      <c r="F612" s="5">
        <v>44839</v>
      </c>
      <c r="G612" s="5">
        <v>44846</v>
      </c>
      <c r="H612" s="4" t="s">
        <v>1005</v>
      </c>
      <c r="I612" s="4" t="s">
        <v>51</v>
      </c>
      <c r="J612" s="4" t="s">
        <v>52</v>
      </c>
      <c r="K612" s="5">
        <v>44839</v>
      </c>
      <c r="L612" s="4" t="s">
        <v>24</v>
      </c>
      <c r="M612" t="b">
        <v>0</v>
      </c>
      <c r="N612" t="b">
        <v>1</v>
      </c>
      <c r="O612" t="b">
        <v>0</v>
      </c>
      <c r="P612" t="b">
        <v>0</v>
      </c>
      <c r="Q612">
        <v>611</v>
      </c>
    </row>
    <row r="613" spans="1:17" x14ac:dyDescent="0.35">
      <c r="A613" s="4" t="s">
        <v>1500</v>
      </c>
      <c r="B613" s="4" t="s">
        <v>19</v>
      </c>
      <c r="C613" s="4" t="s">
        <v>73</v>
      </c>
      <c r="D613" s="4"/>
      <c r="E613" s="4" t="s">
        <v>1501</v>
      </c>
      <c r="F613" s="5">
        <v>44837</v>
      </c>
      <c r="G613" s="5">
        <v>44844</v>
      </c>
      <c r="H613" s="4" t="s">
        <v>1005</v>
      </c>
      <c r="I613" s="4" t="s">
        <v>51</v>
      </c>
      <c r="J613" s="4" t="s">
        <v>52</v>
      </c>
      <c r="K613" s="5">
        <v>44837</v>
      </c>
      <c r="L613" s="4" t="s">
        <v>24</v>
      </c>
      <c r="M613" t="b">
        <v>0</v>
      </c>
      <c r="N613" t="b">
        <v>1</v>
      </c>
      <c r="O613" t="b">
        <v>0</v>
      </c>
      <c r="P613" t="b">
        <v>0</v>
      </c>
      <c r="Q613">
        <v>612</v>
      </c>
    </row>
    <row r="614" spans="1:17" x14ac:dyDescent="0.35">
      <c r="A614" s="4" t="s">
        <v>1502</v>
      </c>
      <c r="B614" s="4" t="s">
        <v>19</v>
      </c>
      <c r="C614" s="4" t="s">
        <v>73</v>
      </c>
      <c r="D614" s="4"/>
      <c r="E614" s="4" t="s">
        <v>1503</v>
      </c>
      <c r="F614" s="5">
        <v>44837</v>
      </c>
      <c r="G614" s="5">
        <v>44844</v>
      </c>
      <c r="H614" s="4" t="s">
        <v>1005</v>
      </c>
      <c r="I614" s="4" t="s">
        <v>51</v>
      </c>
      <c r="J614" s="4" t="s">
        <v>52</v>
      </c>
      <c r="K614" s="5">
        <v>44837</v>
      </c>
      <c r="L614" s="4" t="s">
        <v>24</v>
      </c>
      <c r="M614" t="b">
        <v>0</v>
      </c>
      <c r="N614" t="b">
        <v>1</v>
      </c>
      <c r="O614" t="b">
        <v>0</v>
      </c>
      <c r="P614" t="b">
        <v>0</v>
      </c>
      <c r="Q614">
        <v>613</v>
      </c>
    </row>
    <row r="615" spans="1:17" x14ac:dyDescent="0.35">
      <c r="A615" s="4" t="s">
        <v>1504</v>
      </c>
      <c r="B615" s="4" t="s">
        <v>19</v>
      </c>
      <c r="C615" s="4" t="s">
        <v>73</v>
      </c>
      <c r="D615" s="4"/>
      <c r="E615" s="4" t="s">
        <v>1376</v>
      </c>
      <c r="F615" s="5">
        <v>44837</v>
      </c>
      <c r="G615" s="5">
        <v>44844</v>
      </c>
      <c r="H615" s="4" t="s">
        <v>1005</v>
      </c>
      <c r="I615" s="4" t="s">
        <v>51</v>
      </c>
      <c r="J615" s="4" t="s">
        <v>52</v>
      </c>
      <c r="K615" s="5">
        <v>44837</v>
      </c>
      <c r="L615" s="4" t="s">
        <v>24</v>
      </c>
      <c r="M615" t="b">
        <v>0</v>
      </c>
      <c r="N615" t="b">
        <v>1</v>
      </c>
      <c r="O615" t="b">
        <v>0</v>
      </c>
      <c r="P615" t="b">
        <v>0</v>
      </c>
      <c r="Q615">
        <v>614</v>
      </c>
    </row>
    <row r="616" spans="1:17" x14ac:dyDescent="0.35">
      <c r="A616" s="4" t="s">
        <v>1505</v>
      </c>
      <c r="B616" s="4" t="s">
        <v>19</v>
      </c>
      <c r="C616" s="4" t="s">
        <v>73</v>
      </c>
      <c r="D616" s="4"/>
      <c r="E616" s="4" t="s">
        <v>1234</v>
      </c>
      <c r="F616" s="5">
        <v>44837</v>
      </c>
      <c r="G616" s="5">
        <v>44844</v>
      </c>
      <c r="H616" s="4" t="s">
        <v>1005</v>
      </c>
      <c r="I616" s="4" t="s">
        <v>51</v>
      </c>
      <c r="J616" s="4" t="s">
        <v>52</v>
      </c>
      <c r="K616" s="5">
        <v>44837</v>
      </c>
      <c r="L616" s="4" t="s">
        <v>24</v>
      </c>
      <c r="M616" t="b">
        <v>0</v>
      </c>
      <c r="N616" t="b">
        <v>1</v>
      </c>
      <c r="O616" t="b">
        <v>0</v>
      </c>
      <c r="P616" t="b">
        <v>0</v>
      </c>
      <c r="Q616">
        <v>615</v>
      </c>
    </row>
    <row r="617" spans="1:17" x14ac:dyDescent="0.35">
      <c r="A617" s="4" t="s">
        <v>1506</v>
      </c>
      <c r="B617" s="4" t="s">
        <v>19</v>
      </c>
      <c r="C617" s="4" t="s">
        <v>73</v>
      </c>
      <c r="D617" s="4"/>
      <c r="E617" s="4" t="s">
        <v>1376</v>
      </c>
      <c r="F617" s="5">
        <v>44837</v>
      </c>
      <c r="G617" s="5">
        <v>44844</v>
      </c>
      <c r="H617" s="4" t="s">
        <v>1005</v>
      </c>
      <c r="I617" s="4" t="s">
        <v>51</v>
      </c>
      <c r="J617" s="4" t="s">
        <v>52</v>
      </c>
      <c r="K617" s="5">
        <v>44837</v>
      </c>
      <c r="L617" s="4" t="s">
        <v>24</v>
      </c>
      <c r="M617" t="b">
        <v>0</v>
      </c>
      <c r="N617" t="b">
        <v>1</v>
      </c>
      <c r="O617" t="b">
        <v>0</v>
      </c>
      <c r="P617" t="b">
        <v>0</v>
      </c>
      <c r="Q617">
        <v>616</v>
      </c>
    </row>
    <row r="618" spans="1:17" x14ac:dyDescent="0.35">
      <c r="A618" s="4" t="s">
        <v>1507</v>
      </c>
      <c r="B618" s="4" t="s">
        <v>19</v>
      </c>
      <c r="C618" s="4" t="s">
        <v>73</v>
      </c>
      <c r="D618" s="4"/>
      <c r="E618" s="4" t="s">
        <v>1508</v>
      </c>
      <c r="F618" s="5">
        <v>44838</v>
      </c>
      <c r="G618" s="5">
        <v>44845</v>
      </c>
      <c r="H618" s="4" t="s">
        <v>1005</v>
      </c>
      <c r="I618" s="4" t="s">
        <v>51</v>
      </c>
      <c r="J618" s="4" t="s">
        <v>52</v>
      </c>
      <c r="K618" s="5">
        <v>44838</v>
      </c>
      <c r="L618" s="4" t="s">
        <v>24</v>
      </c>
      <c r="M618" t="b">
        <v>0</v>
      </c>
      <c r="N618" t="b">
        <v>1</v>
      </c>
      <c r="O618" t="b">
        <v>0</v>
      </c>
      <c r="P618" t="b">
        <v>0</v>
      </c>
      <c r="Q618">
        <v>617</v>
      </c>
    </row>
    <row r="619" spans="1:17" x14ac:dyDescent="0.35">
      <c r="A619" s="4" t="s">
        <v>1509</v>
      </c>
      <c r="B619" s="4" t="s">
        <v>19</v>
      </c>
      <c r="C619" s="4" t="s">
        <v>73</v>
      </c>
      <c r="D619" s="4"/>
      <c r="E619" s="4" t="s">
        <v>1510</v>
      </c>
      <c r="F619" s="5">
        <v>44838</v>
      </c>
      <c r="G619" s="5">
        <v>44845</v>
      </c>
      <c r="H619" s="4" t="s">
        <v>1005</v>
      </c>
      <c r="I619" s="4" t="s">
        <v>51</v>
      </c>
      <c r="J619" s="4" t="s">
        <v>52</v>
      </c>
      <c r="K619" s="5">
        <v>44838</v>
      </c>
      <c r="L619" s="4" t="s">
        <v>24</v>
      </c>
      <c r="M619" t="b">
        <v>0</v>
      </c>
      <c r="N619" t="b">
        <v>1</v>
      </c>
      <c r="O619" t="b">
        <v>0</v>
      </c>
      <c r="P619" t="b">
        <v>0</v>
      </c>
      <c r="Q619">
        <v>618</v>
      </c>
    </row>
    <row r="620" spans="1:17" x14ac:dyDescent="0.35">
      <c r="A620" s="4" t="s">
        <v>1511</v>
      </c>
      <c r="B620" s="4" t="s">
        <v>19</v>
      </c>
      <c r="C620" s="4" t="s">
        <v>73</v>
      </c>
      <c r="D620" s="4"/>
      <c r="E620" s="4" t="s">
        <v>1376</v>
      </c>
      <c r="F620" s="5">
        <v>44838</v>
      </c>
      <c r="G620" s="5">
        <v>44845</v>
      </c>
      <c r="H620" s="4" t="s">
        <v>1005</v>
      </c>
      <c r="I620" s="4" t="s">
        <v>51</v>
      </c>
      <c r="J620" s="4" t="s">
        <v>52</v>
      </c>
      <c r="K620" s="5">
        <v>44838</v>
      </c>
      <c r="L620" s="4" t="s">
        <v>24</v>
      </c>
      <c r="M620" t="b">
        <v>0</v>
      </c>
      <c r="N620" t="b">
        <v>1</v>
      </c>
      <c r="O620" t="b">
        <v>0</v>
      </c>
      <c r="P620" t="b">
        <v>0</v>
      </c>
      <c r="Q620">
        <v>619</v>
      </c>
    </row>
    <row r="621" spans="1:17" x14ac:dyDescent="0.35">
      <c r="A621" s="4" t="s">
        <v>1512</v>
      </c>
      <c r="B621" s="4" t="s">
        <v>19</v>
      </c>
      <c r="C621" s="4" t="s">
        <v>73</v>
      </c>
      <c r="D621" s="4"/>
      <c r="E621" s="4" t="s">
        <v>1513</v>
      </c>
      <c r="F621" s="5">
        <v>44838</v>
      </c>
      <c r="G621" s="5">
        <v>44845</v>
      </c>
      <c r="H621" s="4" t="s">
        <v>1005</v>
      </c>
      <c r="I621" s="4" t="s">
        <v>51</v>
      </c>
      <c r="J621" s="4" t="s">
        <v>52</v>
      </c>
      <c r="K621" s="5">
        <v>44838</v>
      </c>
      <c r="L621" s="4" t="s">
        <v>24</v>
      </c>
      <c r="M621" t="b">
        <v>0</v>
      </c>
      <c r="N621" t="b">
        <v>1</v>
      </c>
      <c r="O621" t="b">
        <v>0</v>
      </c>
      <c r="P621" t="b">
        <v>0</v>
      </c>
      <c r="Q621">
        <v>620</v>
      </c>
    </row>
    <row r="622" spans="1:17" x14ac:dyDescent="0.35">
      <c r="A622" s="4" t="s">
        <v>1514</v>
      </c>
      <c r="B622" s="4" t="s">
        <v>19</v>
      </c>
      <c r="C622" s="4" t="s">
        <v>73</v>
      </c>
      <c r="D622" s="4"/>
      <c r="E622" s="4" t="s">
        <v>1515</v>
      </c>
      <c r="F622" s="5">
        <v>44838</v>
      </c>
      <c r="G622" s="5">
        <v>44845</v>
      </c>
      <c r="H622" s="4" t="s">
        <v>1005</v>
      </c>
      <c r="I622" s="4" t="s">
        <v>51</v>
      </c>
      <c r="J622" s="4" t="s">
        <v>52</v>
      </c>
      <c r="K622" s="5">
        <v>44838</v>
      </c>
      <c r="L622" s="4" t="s">
        <v>24</v>
      </c>
      <c r="M622" t="b">
        <v>0</v>
      </c>
      <c r="N622" t="b">
        <v>1</v>
      </c>
      <c r="O622" t="b">
        <v>0</v>
      </c>
      <c r="P622" t="b">
        <v>0</v>
      </c>
      <c r="Q622">
        <v>621</v>
      </c>
    </row>
    <row r="623" spans="1:17" x14ac:dyDescent="0.35">
      <c r="A623" s="4" t="s">
        <v>1516</v>
      </c>
      <c r="B623" s="4" t="s">
        <v>19</v>
      </c>
      <c r="C623" s="4" t="s">
        <v>73</v>
      </c>
      <c r="D623" s="4"/>
      <c r="E623" s="4" t="s">
        <v>1517</v>
      </c>
      <c r="F623" s="5">
        <v>44838</v>
      </c>
      <c r="G623" s="5">
        <v>44845</v>
      </c>
      <c r="H623" s="4" t="s">
        <v>1005</v>
      </c>
      <c r="I623" s="4" t="s">
        <v>51</v>
      </c>
      <c r="J623" s="4" t="s">
        <v>52</v>
      </c>
      <c r="K623" s="5">
        <v>44838</v>
      </c>
      <c r="L623" s="4" t="s">
        <v>24</v>
      </c>
      <c r="M623" t="b">
        <v>0</v>
      </c>
      <c r="N623" t="b">
        <v>1</v>
      </c>
      <c r="O623" t="b">
        <v>0</v>
      </c>
      <c r="P623" t="b">
        <v>0</v>
      </c>
      <c r="Q623">
        <v>622</v>
      </c>
    </row>
    <row r="624" spans="1:17" x14ac:dyDescent="0.35">
      <c r="A624" s="4" t="s">
        <v>1518</v>
      </c>
      <c r="B624" s="4" t="s">
        <v>19</v>
      </c>
      <c r="C624" s="4" t="s">
        <v>73</v>
      </c>
      <c r="D624" s="4"/>
      <c r="E624" s="4" t="s">
        <v>1519</v>
      </c>
      <c r="F624" s="5">
        <v>44838</v>
      </c>
      <c r="G624" s="5">
        <v>44845</v>
      </c>
      <c r="H624" s="4" t="s">
        <v>1005</v>
      </c>
      <c r="I624" s="4" t="s">
        <v>51</v>
      </c>
      <c r="J624" s="4" t="s">
        <v>52</v>
      </c>
      <c r="K624" s="5">
        <v>44838</v>
      </c>
      <c r="L624" s="4" t="s">
        <v>24</v>
      </c>
      <c r="M624" t="b">
        <v>0</v>
      </c>
      <c r="N624" t="b">
        <v>1</v>
      </c>
      <c r="O624" t="b">
        <v>0</v>
      </c>
      <c r="P624" t="b">
        <v>0</v>
      </c>
      <c r="Q624">
        <v>623</v>
      </c>
    </row>
    <row r="625" spans="1:17" x14ac:dyDescent="0.35">
      <c r="A625" s="4" t="s">
        <v>1520</v>
      </c>
      <c r="B625" s="4" t="s">
        <v>19</v>
      </c>
      <c r="C625" s="4" t="s">
        <v>73</v>
      </c>
      <c r="D625" s="4"/>
      <c r="E625" s="4" t="s">
        <v>1521</v>
      </c>
      <c r="F625" s="5">
        <v>44838</v>
      </c>
      <c r="G625" s="5">
        <v>44845</v>
      </c>
      <c r="H625" s="4" t="s">
        <v>1005</v>
      </c>
      <c r="I625" s="4" t="s">
        <v>51</v>
      </c>
      <c r="J625" s="4" t="s">
        <v>52</v>
      </c>
      <c r="K625" s="5">
        <v>44838</v>
      </c>
      <c r="L625" s="4" t="s">
        <v>24</v>
      </c>
      <c r="M625" t="b">
        <v>0</v>
      </c>
      <c r="N625" t="b">
        <v>1</v>
      </c>
      <c r="O625" t="b">
        <v>0</v>
      </c>
      <c r="P625" t="b">
        <v>0</v>
      </c>
      <c r="Q625">
        <v>624</v>
      </c>
    </row>
    <row r="626" spans="1:17" x14ac:dyDescent="0.35">
      <c r="A626" s="4" t="s">
        <v>1035</v>
      </c>
      <c r="B626" s="4" t="s">
        <v>1007</v>
      </c>
      <c r="C626" s="4" t="s">
        <v>228</v>
      </c>
      <c r="D626" s="4"/>
      <c r="E626" s="4" t="s">
        <v>1522</v>
      </c>
      <c r="F626" s="5">
        <v>44805</v>
      </c>
      <c r="G626" s="5"/>
      <c r="H626" s="4" t="s">
        <v>1005</v>
      </c>
      <c r="I626" s="4" t="s">
        <v>44</v>
      </c>
      <c r="J626" s="4" t="s">
        <v>45</v>
      </c>
      <c r="K626" s="5">
        <v>44840</v>
      </c>
      <c r="L626" s="4" t="s">
        <v>24</v>
      </c>
      <c r="M626" t="b">
        <v>0</v>
      </c>
      <c r="N626" t="b">
        <v>1</v>
      </c>
      <c r="O626" t="b">
        <v>0</v>
      </c>
      <c r="P626" t="b">
        <v>0</v>
      </c>
      <c r="Q626">
        <v>625</v>
      </c>
    </row>
    <row r="627" spans="1:17" x14ac:dyDescent="0.35">
      <c r="A627" s="4" t="s">
        <v>1523</v>
      </c>
      <c r="B627" s="4" t="s">
        <v>1007</v>
      </c>
      <c r="C627" s="4" t="s">
        <v>228</v>
      </c>
      <c r="D627" s="4" t="s">
        <v>875</v>
      </c>
      <c r="E627" s="4" t="s">
        <v>1454</v>
      </c>
      <c r="F627" s="5">
        <v>44825</v>
      </c>
      <c r="G627" s="5"/>
      <c r="H627" s="4" t="s">
        <v>1005</v>
      </c>
      <c r="I627" s="4" t="s">
        <v>34</v>
      </c>
      <c r="J627" s="4" t="s">
        <v>35</v>
      </c>
      <c r="K627" s="5">
        <v>44838</v>
      </c>
      <c r="L627" s="4" t="s">
        <v>24</v>
      </c>
      <c r="M627" t="b">
        <v>0</v>
      </c>
      <c r="N627" t="b">
        <v>1</v>
      </c>
      <c r="O627" t="b">
        <v>0</v>
      </c>
      <c r="P627" t="b">
        <v>0</v>
      </c>
      <c r="Q627">
        <v>626</v>
      </c>
    </row>
    <row r="628" spans="1:17" x14ac:dyDescent="0.35">
      <c r="A628" s="4" t="s">
        <v>1524</v>
      </c>
      <c r="B628" s="4" t="s">
        <v>19</v>
      </c>
      <c r="C628" s="4" t="s">
        <v>107</v>
      </c>
      <c r="D628" s="4" t="s">
        <v>885</v>
      </c>
      <c r="E628" s="4" t="s">
        <v>1525</v>
      </c>
      <c r="F628" s="5">
        <v>44830</v>
      </c>
      <c r="G628" s="5">
        <v>44862</v>
      </c>
      <c r="H628" s="4" t="s">
        <v>1005</v>
      </c>
      <c r="I628" s="4" t="s">
        <v>1262</v>
      </c>
      <c r="J628" s="4" t="s">
        <v>1263</v>
      </c>
      <c r="K628" s="5">
        <v>44830</v>
      </c>
      <c r="L628" s="4" t="s">
        <v>24</v>
      </c>
      <c r="M628" t="b">
        <v>0</v>
      </c>
      <c r="N628" t="b">
        <v>1</v>
      </c>
      <c r="O628" t="b">
        <v>0</v>
      </c>
      <c r="P628" t="b">
        <v>0</v>
      </c>
      <c r="Q628">
        <v>627</v>
      </c>
    </row>
    <row r="629" spans="1:17" x14ac:dyDescent="0.35">
      <c r="A629" s="4" t="s">
        <v>1526</v>
      </c>
      <c r="B629" s="4" t="s">
        <v>19</v>
      </c>
      <c r="C629" s="4" t="s">
        <v>107</v>
      </c>
      <c r="D629" s="4" t="s">
        <v>885</v>
      </c>
      <c r="E629" s="4" t="s">
        <v>1527</v>
      </c>
      <c r="F629" s="5">
        <v>44830</v>
      </c>
      <c r="G629" s="5">
        <v>44862</v>
      </c>
      <c r="H629" s="4" t="s">
        <v>1005</v>
      </c>
      <c r="I629" s="4" t="s">
        <v>1262</v>
      </c>
      <c r="J629" s="4" t="s">
        <v>1263</v>
      </c>
      <c r="K629" s="5">
        <v>44830</v>
      </c>
      <c r="L629" s="4" t="s">
        <v>24</v>
      </c>
      <c r="M629" t="b">
        <v>0</v>
      </c>
      <c r="N629" t="b">
        <v>1</v>
      </c>
      <c r="O629" t="b">
        <v>0</v>
      </c>
      <c r="P629" t="b">
        <v>0</v>
      </c>
      <c r="Q629">
        <v>628</v>
      </c>
    </row>
    <row r="630" spans="1:17" x14ac:dyDescent="0.35">
      <c r="A630" s="4" t="s">
        <v>1528</v>
      </c>
      <c r="B630" s="4" t="s">
        <v>19</v>
      </c>
      <c r="C630" s="4" t="s">
        <v>107</v>
      </c>
      <c r="D630" s="4" t="s">
        <v>885</v>
      </c>
      <c r="E630" s="4" t="s">
        <v>1529</v>
      </c>
      <c r="F630" s="5">
        <v>44830</v>
      </c>
      <c r="G630" s="5">
        <v>44862</v>
      </c>
      <c r="H630" s="4" t="s">
        <v>1005</v>
      </c>
      <c r="I630" s="4" t="s">
        <v>1262</v>
      </c>
      <c r="J630" s="4" t="s">
        <v>1263</v>
      </c>
      <c r="K630" s="5">
        <v>44830</v>
      </c>
      <c r="L630" s="4" t="s">
        <v>24</v>
      </c>
      <c r="M630" t="b">
        <v>0</v>
      </c>
      <c r="N630" t="b">
        <v>1</v>
      </c>
      <c r="O630" t="b">
        <v>0</v>
      </c>
      <c r="P630" t="b">
        <v>0</v>
      </c>
      <c r="Q630">
        <v>629</v>
      </c>
    </row>
    <row r="631" spans="1:17" x14ac:dyDescent="0.35">
      <c r="A631" s="4" t="s">
        <v>1530</v>
      </c>
      <c r="B631" s="4" t="s">
        <v>19</v>
      </c>
      <c r="C631" s="4" t="s">
        <v>107</v>
      </c>
      <c r="D631" s="4" t="s">
        <v>885</v>
      </c>
      <c r="E631" s="4" t="s">
        <v>1531</v>
      </c>
      <c r="F631" s="5">
        <v>44830</v>
      </c>
      <c r="G631" s="5">
        <v>44862</v>
      </c>
      <c r="H631" s="4" t="s">
        <v>1005</v>
      </c>
      <c r="I631" s="4" t="s">
        <v>1262</v>
      </c>
      <c r="J631" s="4" t="s">
        <v>1263</v>
      </c>
      <c r="K631" s="5">
        <v>44830</v>
      </c>
      <c r="L631" s="4" t="s">
        <v>24</v>
      </c>
      <c r="M631" t="b">
        <v>0</v>
      </c>
      <c r="N631" t="b">
        <v>1</v>
      </c>
      <c r="O631" t="b">
        <v>0</v>
      </c>
      <c r="P631" t="b">
        <v>0</v>
      </c>
      <c r="Q631">
        <v>630</v>
      </c>
    </row>
    <row r="632" spans="1:17" x14ac:dyDescent="0.35">
      <c r="A632" s="4" t="s">
        <v>1532</v>
      </c>
      <c r="B632" s="4" t="s">
        <v>19</v>
      </c>
      <c r="C632" s="4" t="s">
        <v>107</v>
      </c>
      <c r="D632" s="4" t="s">
        <v>885</v>
      </c>
      <c r="E632" s="4" t="s">
        <v>1533</v>
      </c>
      <c r="F632" s="5">
        <v>44830</v>
      </c>
      <c r="G632" s="5">
        <v>44862</v>
      </c>
      <c r="H632" s="4" t="s">
        <v>1005</v>
      </c>
      <c r="I632" s="4" t="s">
        <v>1262</v>
      </c>
      <c r="J632" s="4" t="s">
        <v>1263</v>
      </c>
      <c r="K632" s="5">
        <v>44830</v>
      </c>
      <c r="L632" s="4" t="s">
        <v>24</v>
      </c>
      <c r="M632" t="b">
        <v>0</v>
      </c>
      <c r="N632" t="b">
        <v>1</v>
      </c>
      <c r="O632" t="b">
        <v>0</v>
      </c>
      <c r="P632" t="b">
        <v>0</v>
      </c>
      <c r="Q632">
        <v>631</v>
      </c>
    </row>
    <row r="633" spans="1:17" x14ac:dyDescent="0.35">
      <c r="A633" s="4" t="s">
        <v>1534</v>
      </c>
      <c r="B633" s="4" t="s">
        <v>19</v>
      </c>
      <c r="C633" s="4" t="s">
        <v>107</v>
      </c>
      <c r="D633" s="4" t="s">
        <v>885</v>
      </c>
      <c r="E633" s="4" t="s">
        <v>1535</v>
      </c>
      <c r="F633" s="5">
        <v>44830</v>
      </c>
      <c r="G633" s="5">
        <v>44862</v>
      </c>
      <c r="H633" s="4" t="s">
        <v>1005</v>
      </c>
      <c r="I633" s="4" t="s">
        <v>1262</v>
      </c>
      <c r="J633" s="4" t="s">
        <v>1263</v>
      </c>
      <c r="K633" s="5">
        <v>44830</v>
      </c>
      <c r="L633" s="4" t="s">
        <v>24</v>
      </c>
      <c r="M633" t="b">
        <v>0</v>
      </c>
      <c r="N633" t="b">
        <v>1</v>
      </c>
      <c r="O633" t="b">
        <v>0</v>
      </c>
      <c r="P633" t="b">
        <v>0</v>
      </c>
      <c r="Q633">
        <v>632</v>
      </c>
    </row>
    <row r="634" spans="1:17" x14ac:dyDescent="0.35">
      <c r="A634" s="4" t="s">
        <v>1536</v>
      </c>
      <c r="B634" s="4" t="s">
        <v>19</v>
      </c>
      <c r="C634" s="4" t="s">
        <v>107</v>
      </c>
      <c r="D634" s="4" t="s">
        <v>885</v>
      </c>
      <c r="E634" s="4" t="s">
        <v>1537</v>
      </c>
      <c r="F634" s="5">
        <v>44830</v>
      </c>
      <c r="G634" s="5">
        <v>44862</v>
      </c>
      <c r="H634" s="4" t="s">
        <v>1005</v>
      </c>
      <c r="I634" s="4" t="s">
        <v>1262</v>
      </c>
      <c r="J634" s="4" t="s">
        <v>1263</v>
      </c>
      <c r="K634" s="5">
        <v>44830</v>
      </c>
      <c r="L634" s="4" t="s">
        <v>24</v>
      </c>
      <c r="M634" t="b">
        <v>0</v>
      </c>
      <c r="N634" t="b">
        <v>1</v>
      </c>
      <c r="O634" t="b">
        <v>0</v>
      </c>
      <c r="P634" t="b">
        <v>0</v>
      </c>
      <c r="Q634">
        <v>633</v>
      </c>
    </row>
    <row r="635" spans="1:17" x14ac:dyDescent="0.35">
      <c r="A635" s="4" t="s">
        <v>1538</v>
      </c>
      <c r="B635" s="4" t="s">
        <v>19</v>
      </c>
      <c r="C635" s="4" t="s">
        <v>107</v>
      </c>
      <c r="D635" s="4" t="s">
        <v>885</v>
      </c>
      <c r="E635" s="4" t="s">
        <v>1539</v>
      </c>
      <c r="F635" s="5">
        <v>44830</v>
      </c>
      <c r="G635" s="5">
        <v>44862</v>
      </c>
      <c r="H635" s="4" t="s">
        <v>1005</v>
      </c>
      <c r="I635" s="4" t="s">
        <v>1262</v>
      </c>
      <c r="J635" s="4" t="s">
        <v>1263</v>
      </c>
      <c r="K635" s="5">
        <v>44830</v>
      </c>
      <c r="L635" s="4" t="s">
        <v>24</v>
      </c>
      <c r="M635" t="b">
        <v>0</v>
      </c>
      <c r="N635" t="b">
        <v>1</v>
      </c>
      <c r="O635" t="b">
        <v>0</v>
      </c>
      <c r="P635" t="b">
        <v>0</v>
      </c>
      <c r="Q635">
        <v>634</v>
      </c>
    </row>
    <row r="636" spans="1:17" x14ac:dyDescent="0.35">
      <c r="A636" s="4" t="s">
        <v>1540</v>
      </c>
      <c r="B636" s="4" t="s">
        <v>19</v>
      </c>
      <c r="C636" s="4" t="s">
        <v>107</v>
      </c>
      <c r="D636" s="4" t="s">
        <v>885</v>
      </c>
      <c r="E636" s="4" t="s">
        <v>1541</v>
      </c>
      <c r="F636" s="5">
        <v>44830</v>
      </c>
      <c r="G636" s="5">
        <v>44862</v>
      </c>
      <c r="H636" s="4" t="s">
        <v>1005</v>
      </c>
      <c r="I636" s="4" t="s">
        <v>1262</v>
      </c>
      <c r="J636" s="4" t="s">
        <v>1263</v>
      </c>
      <c r="K636" s="5">
        <v>44830</v>
      </c>
      <c r="L636" s="4" t="s">
        <v>24</v>
      </c>
      <c r="M636" t="b">
        <v>0</v>
      </c>
      <c r="N636" t="b">
        <v>1</v>
      </c>
      <c r="O636" t="b">
        <v>0</v>
      </c>
      <c r="P636" t="b">
        <v>0</v>
      </c>
      <c r="Q636">
        <v>635</v>
      </c>
    </row>
    <row r="637" spans="1:17" x14ac:dyDescent="0.35">
      <c r="A637" s="4" t="s">
        <v>1542</v>
      </c>
      <c r="B637" s="4" t="s">
        <v>19</v>
      </c>
      <c r="C637" s="4" t="s">
        <v>107</v>
      </c>
      <c r="D637" s="4" t="s">
        <v>885</v>
      </c>
      <c r="E637" s="4" t="s">
        <v>1301</v>
      </c>
      <c r="F637" s="5">
        <v>44830</v>
      </c>
      <c r="G637" s="5">
        <v>44862</v>
      </c>
      <c r="H637" s="4" t="s">
        <v>1005</v>
      </c>
      <c r="I637" s="4" t="s">
        <v>1262</v>
      </c>
      <c r="J637" s="4" t="s">
        <v>1263</v>
      </c>
      <c r="K637" s="5">
        <v>44830</v>
      </c>
      <c r="L637" s="4" t="s">
        <v>24</v>
      </c>
      <c r="M637" t="b">
        <v>0</v>
      </c>
      <c r="N637" t="b">
        <v>1</v>
      </c>
      <c r="O637" t="b">
        <v>0</v>
      </c>
      <c r="P637" t="b">
        <v>0</v>
      </c>
      <c r="Q637">
        <v>636</v>
      </c>
    </row>
    <row r="638" spans="1:17" x14ac:dyDescent="0.35">
      <c r="A638" s="4" t="s">
        <v>1543</v>
      </c>
      <c r="B638" s="4" t="s">
        <v>19</v>
      </c>
      <c r="C638" s="4" t="s">
        <v>107</v>
      </c>
      <c r="D638" s="4" t="s">
        <v>885</v>
      </c>
      <c r="E638" s="4" t="s">
        <v>1544</v>
      </c>
      <c r="F638" s="5">
        <v>44830</v>
      </c>
      <c r="G638" s="5">
        <v>44862</v>
      </c>
      <c r="H638" s="4" t="s">
        <v>1005</v>
      </c>
      <c r="I638" s="4" t="s">
        <v>1262</v>
      </c>
      <c r="J638" s="4" t="s">
        <v>1263</v>
      </c>
      <c r="K638" s="5">
        <v>44830</v>
      </c>
      <c r="L638" s="4" t="s">
        <v>24</v>
      </c>
      <c r="M638" t="b">
        <v>0</v>
      </c>
      <c r="N638" t="b">
        <v>1</v>
      </c>
      <c r="O638" t="b">
        <v>0</v>
      </c>
      <c r="P638" t="b">
        <v>0</v>
      </c>
      <c r="Q638">
        <v>637</v>
      </c>
    </row>
    <row r="639" spans="1:17" x14ac:dyDescent="0.35">
      <c r="A639" s="4" t="s">
        <v>1545</v>
      </c>
      <c r="B639" s="4" t="s">
        <v>19</v>
      </c>
      <c r="C639" s="4" t="s">
        <v>107</v>
      </c>
      <c r="D639" s="4" t="s">
        <v>885</v>
      </c>
      <c r="E639" s="4" t="s">
        <v>1301</v>
      </c>
      <c r="F639" s="5">
        <v>44830</v>
      </c>
      <c r="G639" s="5">
        <v>44862</v>
      </c>
      <c r="H639" s="4" t="s">
        <v>1005</v>
      </c>
      <c r="I639" s="4" t="s">
        <v>1262</v>
      </c>
      <c r="J639" s="4" t="s">
        <v>1263</v>
      </c>
      <c r="K639" s="5">
        <v>44830</v>
      </c>
      <c r="L639" s="4" t="s">
        <v>24</v>
      </c>
      <c r="M639" t="b">
        <v>0</v>
      </c>
      <c r="N639" t="b">
        <v>1</v>
      </c>
      <c r="O639" t="b">
        <v>0</v>
      </c>
      <c r="P639" t="b">
        <v>0</v>
      </c>
      <c r="Q639">
        <v>638</v>
      </c>
    </row>
    <row r="640" spans="1:17" x14ac:dyDescent="0.35">
      <c r="A640" s="4" t="s">
        <v>1546</v>
      </c>
      <c r="B640" s="4" t="s">
        <v>19</v>
      </c>
      <c r="C640" s="4" t="s">
        <v>107</v>
      </c>
      <c r="D640" s="4" t="s">
        <v>885</v>
      </c>
      <c r="E640" s="4" t="s">
        <v>1547</v>
      </c>
      <c r="F640" s="5">
        <v>44830</v>
      </c>
      <c r="G640" s="5">
        <v>44862</v>
      </c>
      <c r="H640" s="4" t="s">
        <v>1005</v>
      </c>
      <c r="I640" s="4" t="s">
        <v>1262</v>
      </c>
      <c r="J640" s="4" t="s">
        <v>1263</v>
      </c>
      <c r="K640" s="5">
        <v>44830</v>
      </c>
      <c r="L640" s="4" t="s">
        <v>24</v>
      </c>
      <c r="M640" t="b">
        <v>0</v>
      </c>
      <c r="N640" t="b">
        <v>1</v>
      </c>
      <c r="O640" t="b">
        <v>0</v>
      </c>
      <c r="P640" t="b">
        <v>0</v>
      </c>
      <c r="Q640">
        <v>639</v>
      </c>
    </row>
    <row r="641" spans="1:17" x14ac:dyDescent="0.35">
      <c r="A641" s="4" t="s">
        <v>1548</v>
      </c>
      <c r="B641" s="4" t="s">
        <v>19</v>
      </c>
      <c r="C641" s="4" t="s">
        <v>107</v>
      </c>
      <c r="D641" s="4" t="s">
        <v>885</v>
      </c>
      <c r="E641" s="4" t="s">
        <v>1549</v>
      </c>
      <c r="F641" s="5">
        <v>44830</v>
      </c>
      <c r="G641" s="5">
        <v>44862</v>
      </c>
      <c r="H641" s="4" t="s">
        <v>1005</v>
      </c>
      <c r="I641" s="4" t="s">
        <v>1262</v>
      </c>
      <c r="J641" s="4" t="s">
        <v>1263</v>
      </c>
      <c r="K641" s="5">
        <v>44830</v>
      </c>
      <c r="L641" s="4" t="s">
        <v>24</v>
      </c>
      <c r="M641" t="b">
        <v>0</v>
      </c>
      <c r="N641" t="b">
        <v>1</v>
      </c>
      <c r="O641" t="b">
        <v>0</v>
      </c>
      <c r="P641" t="b">
        <v>0</v>
      </c>
      <c r="Q641">
        <v>640</v>
      </c>
    </row>
    <row r="642" spans="1:17" x14ac:dyDescent="0.35">
      <c r="A642" s="4" t="s">
        <v>1550</v>
      </c>
      <c r="B642" s="4" t="s">
        <v>19</v>
      </c>
      <c r="C642" s="4" t="s">
        <v>107</v>
      </c>
      <c r="D642" s="4" t="s">
        <v>885</v>
      </c>
      <c r="E642" s="4" t="s">
        <v>1551</v>
      </c>
      <c r="F642" s="5">
        <v>44830</v>
      </c>
      <c r="G642" s="5">
        <v>44862</v>
      </c>
      <c r="H642" s="4" t="s">
        <v>1005</v>
      </c>
      <c r="I642" s="4" t="s">
        <v>1262</v>
      </c>
      <c r="J642" s="4" t="s">
        <v>1263</v>
      </c>
      <c r="K642" s="5">
        <v>44830</v>
      </c>
      <c r="L642" s="4" t="s">
        <v>24</v>
      </c>
      <c r="M642" t="b">
        <v>0</v>
      </c>
      <c r="N642" t="b">
        <v>1</v>
      </c>
      <c r="O642" t="b">
        <v>0</v>
      </c>
      <c r="P642" t="b">
        <v>0</v>
      </c>
      <c r="Q642">
        <v>641</v>
      </c>
    </row>
    <row r="643" spans="1:17" x14ac:dyDescent="0.35">
      <c r="A643" s="4" t="s">
        <v>1552</v>
      </c>
      <c r="B643" s="4" t="s">
        <v>19</v>
      </c>
      <c r="C643" s="4" t="s">
        <v>107</v>
      </c>
      <c r="D643" s="4" t="s">
        <v>885</v>
      </c>
      <c r="E643" s="4" t="s">
        <v>1553</v>
      </c>
      <c r="F643" s="5">
        <v>44830</v>
      </c>
      <c r="G643" s="5">
        <v>44862</v>
      </c>
      <c r="H643" s="4" t="s">
        <v>1005</v>
      </c>
      <c r="I643" s="4" t="s">
        <v>1262</v>
      </c>
      <c r="J643" s="4" t="s">
        <v>1263</v>
      </c>
      <c r="K643" s="5">
        <v>44830</v>
      </c>
      <c r="L643" s="4" t="s">
        <v>24</v>
      </c>
      <c r="M643" t="b">
        <v>0</v>
      </c>
      <c r="N643" t="b">
        <v>1</v>
      </c>
      <c r="O643" t="b">
        <v>0</v>
      </c>
      <c r="P643" t="b">
        <v>0</v>
      </c>
      <c r="Q643">
        <v>642</v>
      </c>
    </row>
    <row r="644" spans="1:17" x14ac:dyDescent="0.35">
      <c r="A644" s="4" t="s">
        <v>1554</v>
      </c>
      <c r="B644" s="4" t="s">
        <v>19</v>
      </c>
      <c r="C644" s="4" t="s">
        <v>107</v>
      </c>
      <c r="D644" s="4" t="s">
        <v>885</v>
      </c>
      <c r="E644" s="4" t="s">
        <v>1301</v>
      </c>
      <c r="F644" s="5">
        <v>44830</v>
      </c>
      <c r="G644" s="5">
        <v>44862</v>
      </c>
      <c r="H644" s="4" t="s">
        <v>1005</v>
      </c>
      <c r="I644" s="4" t="s">
        <v>1262</v>
      </c>
      <c r="J644" s="4" t="s">
        <v>1263</v>
      </c>
      <c r="K644" s="5">
        <v>44830</v>
      </c>
      <c r="L644" s="4" t="s">
        <v>24</v>
      </c>
      <c r="M644" t="b">
        <v>0</v>
      </c>
      <c r="N644" t="b">
        <v>1</v>
      </c>
      <c r="O644" t="b">
        <v>0</v>
      </c>
      <c r="P644" t="b">
        <v>0</v>
      </c>
      <c r="Q644">
        <v>643</v>
      </c>
    </row>
    <row r="645" spans="1:17" x14ac:dyDescent="0.35">
      <c r="A645" s="4" t="s">
        <v>1555</v>
      </c>
      <c r="B645" s="4" t="s">
        <v>19</v>
      </c>
      <c r="C645" s="4" t="s">
        <v>107</v>
      </c>
      <c r="D645" s="4" t="s">
        <v>885</v>
      </c>
      <c r="E645" s="4" t="s">
        <v>1556</v>
      </c>
      <c r="F645" s="5">
        <v>44830</v>
      </c>
      <c r="G645" s="5">
        <v>44862</v>
      </c>
      <c r="H645" s="4" t="s">
        <v>1005</v>
      </c>
      <c r="I645" s="4" t="s">
        <v>1262</v>
      </c>
      <c r="J645" s="4" t="s">
        <v>1263</v>
      </c>
      <c r="K645" s="5">
        <v>44830</v>
      </c>
      <c r="L645" s="4" t="s">
        <v>24</v>
      </c>
      <c r="M645" t="b">
        <v>0</v>
      </c>
      <c r="N645" t="b">
        <v>1</v>
      </c>
      <c r="O645" t="b">
        <v>0</v>
      </c>
      <c r="P645" t="b">
        <v>0</v>
      </c>
      <c r="Q645">
        <v>644</v>
      </c>
    </row>
    <row r="646" spans="1:17" x14ac:dyDescent="0.35">
      <c r="A646" s="4" t="s">
        <v>1557</v>
      </c>
      <c r="B646" s="4" t="s">
        <v>19</v>
      </c>
      <c r="C646" s="4" t="s">
        <v>107</v>
      </c>
      <c r="D646" s="4" t="s">
        <v>885</v>
      </c>
      <c r="E646" s="4" t="s">
        <v>1558</v>
      </c>
      <c r="F646" s="5">
        <v>44830</v>
      </c>
      <c r="G646" s="5">
        <v>44862</v>
      </c>
      <c r="H646" s="4" t="s">
        <v>1005</v>
      </c>
      <c r="I646" s="4" t="s">
        <v>1262</v>
      </c>
      <c r="J646" s="4" t="s">
        <v>1263</v>
      </c>
      <c r="K646" s="5">
        <v>44830</v>
      </c>
      <c r="L646" s="4" t="s">
        <v>24</v>
      </c>
      <c r="M646" t="b">
        <v>0</v>
      </c>
      <c r="N646" t="b">
        <v>1</v>
      </c>
      <c r="O646" t="b">
        <v>0</v>
      </c>
      <c r="P646" t="b">
        <v>0</v>
      </c>
      <c r="Q646">
        <v>645</v>
      </c>
    </row>
    <row r="647" spans="1:17" x14ac:dyDescent="0.35">
      <c r="A647" s="4" t="s">
        <v>1559</v>
      </c>
      <c r="B647" s="4" t="s">
        <v>19</v>
      </c>
      <c r="C647" s="4" t="s">
        <v>107</v>
      </c>
      <c r="D647" s="4" t="s">
        <v>885</v>
      </c>
      <c r="E647" s="4" t="s">
        <v>1560</v>
      </c>
      <c r="F647" s="5">
        <v>44830</v>
      </c>
      <c r="G647" s="5">
        <v>44862</v>
      </c>
      <c r="H647" s="4" t="s">
        <v>1005</v>
      </c>
      <c r="I647" s="4" t="s">
        <v>1262</v>
      </c>
      <c r="J647" s="4" t="s">
        <v>1263</v>
      </c>
      <c r="K647" s="5">
        <v>44830</v>
      </c>
      <c r="L647" s="4" t="s">
        <v>24</v>
      </c>
      <c r="M647" t="b">
        <v>0</v>
      </c>
      <c r="N647" t="b">
        <v>1</v>
      </c>
      <c r="O647" t="b">
        <v>0</v>
      </c>
      <c r="P647" t="b">
        <v>0</v>
      </c>
      <c r="Q647">
        <v>646</v>
      </c>
    </row>
    <row r="648" spans="1:17" x14ac:dyDescent="0.35">
      <c r="A648" s="4" t="s">
        <v>1561</v>
      </c>
      <c r="B648" s="4" t="s">
        <v>19</v>
      </c>
      <c r="C648" s="4" t="s">
        <v>107</v>
      </c>
      <c r="D648" s="4" t="s">
        <v>885</v>
      </c>
      <c r="E648" s="4" t="s">
        <v>1562</v>
      </c>
      <c r="F648" s="5">
        <v>44830</v>
      </c>
      <c r="G648" s="5">
        <v>44862</v>
      </c>
      <c r="H648" s="4" t="s">
        <v>1005</v>
      </c>
      <c r="I648" s="4" t="s">
        <v>1262</v>
      </c>
      <c r="J648" s="4" t="s">
        <v>1263</v>
      </c>
      <c r="K648" s="5">
        <v>44830</v>
      </c>
      <c r="L648" s="4" t="s">
        <v>24</v>
      </c>
      <c r="M648" t="b">
        <v>0</v>
      </c>
      <c r="N648" t="b">
        <v>1</v>
      </c>
      <c r="O648" t="b">
        <v>0</v>
      </c>
      <c r="P648" t="b">
        <v>0</v>
      </c>
      <c r="Q648">
        <v>647</v>
      </c>
    </row>
    <row r="649" spans="1:17" x14ac:dyDescent="0.35">
      <c r="A649" s="4" t="s">
        <v>1563</v>
      </c>
      <c r="B649" s="4" t="s">
        <v>19</v>
      </c>
      <c r="C649" s="4" t="s">
        <v>107</v>
      </c>
      <c r="D649" s="4" t="s">
        <v>885</v>
      </c>
      <c r="E649" s="4" t="s">
        <v>1535</v>
      </c>
      <c r="F649" s="5">
        <v>44830</v>
      </c>
      <c r="G649" s="5">
        <v>44862</v>
      </c>
      <c r="H649" s="4" t="s">
        <v>1005</v>
      </c>
      <c r="I649" s="4" t="s">
        <v>1262</v>
      </c>
      <c r="J649" s="4" t="s">
        <v>1263</v>
      </c>
      <c r="K649" s="5">
        <v>44830</v>
      </c>
      <c r="L649" s="4" t="s">
        <v>24</v>
      </c>
      <c r="M649" t="b">
        <v>0</v>
      </c>
      <c r="N649" t="b">
        <v>1</v>
      </c>
      <c r="O649" t="b">
        <v>0</v>
      </c>
      <c r="P649" t="b">
        <v>0</v>
      </c>
      <c r="Q649">
        <v>648</v>
      </c>
    </row>
    <row r="650" spans="1:17" x14ac:dyDescent="0.35">
      <c r="A650" s="4" t="s">
        <v>1564</v>
      </c>
      <c r="B650" s="4" t="s">
        <v>19</v>
      </c>
      <c r="C650" s="4" t="s">
        <v>107</v>
      </c>
      <c r="D650" s="4" t="s">
        <v>885</v>
      </c>
      <c r="E650" s="4" t="s">
        <v>1565</v>
      </c>
      <c r="F650" s="5">
        <v>44830</v>
      </c>
      <c r="G650" s="5">
        <v>44862</v>
      </c>
      <c r="H650" s="4" t="s">
        <v>1005</v>
      </c>
      <c r="I650" s="4" t="s">
        <v>1262</v>
      </c>
      <c r="J650" s="4" t="s">
        <v>1263</v>
      </c>
      <c r="K650" s="5">
        <v>44830</v>
      </c>
      <c r="L650" s="4" t="s">
        <v>24</v>
      </c>
      <c r="M650" t="b">
        <v>0</v>
      </c>
      <c r="N650" t="b">
        <v>0</v>
      </c>
      <c r="O650" t="b">
        <v>0</v>
      </c>
      <c r="P650" t="b">
        <v>0</v>
      </c>
      <c r="Q650">
        <v>649</v>
      </c>
    </row>
    <row r="651" spans="1:17" x14ac:dyDescent="0.35">
      <c r="A651" s="4" t="s">
        <v>1566</v>
      </c>
      <c r="B651" s="4" t="s">
        <v>19</v>
      </c>
      <c r="C651" s="4" t="s">
        <v>107</v>
      </c>
      <c r="D651" s="4" t="s">
        <v>885</v>
      </c>
      <c r="E651" s="4" t="s">
        <v>1535</v>
      </c>
      <c r="F651" s="5">
        <v>44830</v>
      </c>
      <c r="G651" s="5">
        <v>44862</v>
      </c>
      <c r="H651" s="4" t="s">
        <v>1005</v>
      </c>
      <c r="I651" s="4" t="s">
        <v>1262</v>
      </c>
      <c r="J651" s="4" t="s">
        <v>1263</v>
      </c>
      <c r="K651" s="5">
        <v>44830</v>
      </c>
      <c r="L651" s="4" t="s">
        <v>24</v>
      </c>
      <c r="M651" t="b">
        <v>0</v>
      </c>
      <c r="N651" t="b">
        <v>1</v>
      </c>
      <c r="O651" t="b">
        <v>0</v>
      </c>
      <c r="P651" t="b">
        <v>0</v>
      </c>
      <c r="Q651">
        <v>650</v>
      </c>
    </row>
    <row r="652" spans="1:17" x14ac:dyDescent="0.35">
      <c r="A652" s="4" t="s">
        <v>1567</v>
      </c>
      <c r="B652" s="4" t="s">
        <v>19</v>
      </c>
      <c r="C652" s="4" t="s">
        <v>107</v>
      </c>
      <c r="D652" s="4" t="s">
        <v>885</v>
      </c>
      <c r="E652" s="4" t="s">
        <v>1568</v>
      </c>
      <c r="F652" s="5">
        <v>44830</v>
      </c>
      <c r="G652" s="5">
        <v>44862</v>
      </c>
      <c r="H652" s="4" t="s">
        <v>1005</v>
      </c>
      <c r="I652" s="4" t="s">
        <v>1262</v>
      </c>
      <c r="J652" s="4" t="s">
        <v>1263</v>
      </c>
      <c r="K652" s="5">
        <v>44830</v>
      </c>
      <c r="L652" s="4" t="s">
        <v>24</v>
      </c>
      <c r="M652" t="b">
        <v>0</v>
      </c>
      <c r="N652" t="b">
        <v>1</v>
      </c>
      <c r="O652" t="b">
        <v>0</v>
      </c>
      <c r="P652" t="b">
        <v>0</v>
      </c>
      <c r="Q652">
        <v>651</v>
      </c>
    </row>
    <row r="653" spans="1:17" x14ac:dyDescent="0.35">
      <c r="A653" s="4" t="s">
        <v>1569</v>
      </c>
      <c r="B653" s="4" t="s">
        <v>19</v>
      </c>
      <c r="C653" s="4" t="s">
        <v>107</v>
      </c>
      <c r="D653" s="4" t="s">
        <v>885</v>
      </c>
      <c r="E653" s="4" t="s">
        <v>1570</v>
      </c>
      <c r="F653" s="5">
        <v>44830</v>
      </c>
      <c r="G653" s="5">
        <v>44862</v>
      </c>
      <c r="H653" s="4" t="s">
        <v>1005</v>
      </c>
      <c r="I653" s="4" t="s">
        <v>1262</v>
      </c>
      <c r="J653" s="4" t="s">
        <v>1263</v>
      </c>
      <c r="K653" s="5">
        <v>44830</v>
      </c>
      <c r="L653" s="4" t="s">
        <v>24</v>
      </c>
      <c r="M653" t="b">
        <v>0</v>
      </c>
      <c r="N653" t="b">
        <v>1</v>
      </c>
      <c r="O653" t="b">
        <v>0</v>
      </c>
      <c r="P653" t="b">
        <v>0</v>
      </c>
      <c r="Q653">
        <v>652</v>
      </c>
    </row>
    <row r="654" spans="1:17" x14ac:dyDescent="0.35">
      <c r="A654" s="4" t="s">
        <v>1571</v>
      </c>
      <c r="B654" s="4" t="s">
        <v>19</v>
      </c>
      <c r="C654" s="4" t="s">
        <v>107</v>
      </c>
      <c r="D654" s="4" t="s">
        <v>885</v>
      </c>
      <c r="E654" s="4" t="s">
        <v>1572</v>
      </c>
      <c r="F654" s="5">
        <v>44830</v>
      </c>
      <c r="G654" s="5">
        <v>44862</v>
      </c>
      <c r="H654" s="4" t="s">
        <v>1005</v>
      </c>
      <c r="I654" s="4" t="s">
        <v>1262</v>
      </c>
      <c r="J654" s="4" t="s">
        <v>1263</v>
      </c>
      <c r="K654" s="5">
        <v>44830</v>
      </c>
      <c r="L654" s="4" t="s">
        <v>24</v>
      </c>
      <c r="M654" t="b">
        <v>0</v>
      </c>
      <c r="N654" t="b">
        <v>1</v>
      </c>
      <c r="O654" t="b">
        <v>0</v>
      </c>
      <c r="P654" t="b">
        <v>0</v>
      </c>
      <c r="Q654">
        <v>653</v>
      </c>
    </row>
    <row r="655" spans="1:17" x14ac:dyDescent="0.35">
      <c r="A655" s="4" t="s">
        <v>1573</v>
      </c>
      <c r="B655" s="4" t="s">
        <v>19</v>
      </c>
      <c r="C655" s="4" t="s">
        <v>107</v>
      </c>
      <c r="D655" s="4" t="s">
        <v>885</v>
      </c>
      <c r="E655" s="4" t="s">
        <v>1574</v>
      </c>
      <c r="F655" s="5">
        <v>44830</v>
      </c>
      <c r="G655" s="5">
        <v>44862</v>
      </c>
      <c r="H655" s="4" t="s">
        <v>1005</v>
      </c>
      <c r="I655" s="4" t="s">
        <v>1262</v>
      </c>
      <c r="J655" s="4" t="s">
        <v>1263</v>
      </c>
      <c r="K655" s="5">
        <v>44830</v>
      </c>
      <c r="L655" s="4" t="s">
        <v>24</v>
      </c>
      <c r="M655" t="b">
        <v>0</v>
      </c>
      <c r="N655" t="b">
        <v>1</v>
      </c>
      <c r="O655" t="b">
        <v>0</v>
      </c>
      <c r="P655" t="b">
        <v>0</v>
      </c>
      <c r="Q655">
        <v>654</v>
      </c>
    </row>
    <row r="656" spans="1:17" x14ac:dyDescent="0.35">
      <c r="A656" s="4" t="s">
        <v>1575</v>
      </c>
      <c r="B656" s="4" t="s">
        <v>19</v>
      </c>
      <c r="C656" s="4" t="s">
        <v>107</v>
      </c>
      <c r="D656" s="4" t="s">
        <v>885</v>
      </c>
      <c r="E656" s="4" t="s">
        <v>1301</v>
      </c>
      <c r="F656" s="5">
        <v>44830</v>
      </c>
      <c r="G656" s="5">
        <v>44862</v>
      </c>
      <c r="H656" s="4" t="s">
        <v>1005</v>
      </c>
      <c r="I656" s="4" t="s">
        <v>1262</v>
      </c>
      <c r="J656" s="4" t="s">
        <v>1263</v>
      </c>
      <c r="K656" s="5">
        <v>44830</v>
      </c>
      <c r="L656" s="4" t="s">
        <v>24</v>
      </c>
      <c r="M656" t="b">
        <v>0</v>
      </c>
      <c r="N656" t="b">
        <v>1</v>
      </c>
      <c r="O656" t="b">
        <v>0</v>
      </c>
      <c r="P656" t="b">
        <v>0</v>
      </c>
      <c r="Q656">
        <v>655</v>
      </c>
    </row>
    <row r="657" spans="1:17" x14ac:dyDescent="0.35">
      <c r="A657" s="4" t="s">
        <v>1576</v>
      </c>
      <c r="B657" s="4" t="s">
        <v>19</v>
      </c>
      <c r="C657" s="4" t="s">
        <v>107</v>
      </c>
      <c r="D657" s="4" t="s">
        <v>885</v>
      </c>
      <c r="E657" s="4" t="s">
        <v>1577</v>
      </c>
      <c r="F657" s="5">
        <v>44830</v>
      </c>
      <c r="G657" s="5">
        <v>44862</v>
      </c>
      <c r="H657" s="4" t="s">
        <v>1005</v>
      </c>
      <c r="I657" s="4" t="s">
        <v>1262</v>
      </c>
      <c r="J657" s="4" t="s">
        <v>1263</v>
      </c>
      <c r="K657" s="5">
        <v>44830</v>
      </c>
      <c r="L657" s="4" t="s">
        <v>24</v>
      </c>
      <c r="M657" t="b">
        <v>0</v>
      </c>
      <c r="N657" t="b">
        <v>1</v>
      </c>
      <c r="O657" t="b">
        <v>0</v>
      </c>
      <c r="P657" t="b">
        <v>0</v>
      </c>
      <c r="Q657">
        <v>656</v>
      </c>
    </row>
    <row r="658" spans="1:17" x14ac:dyDescent="0.35">
      <c r="A658" s="4" t="s">
        <v>1578</v>
      </c>
      <c r="B658" s="4" t="s">
        <v>19</v>
      </c>
      <c r="C658" s="4" t="s">
        <v>107</v>
      </c>
      <c r="D658" s="4" t="s">
        <v>885</v>
      </c>
      <c r="E658" s="4" t="s">
        <v>1579</v>
      </c>
      <c r="F658" s="5">
        <v>44830</v>
      </c>
      <c r="G658" s="5">
        <v>44862</v>
      </c>
      <c r="H658" s="4" t="s">
        <v>1005</v>
      </c>
      <c r="I658" s="4" t="s">
        <v>1262</v>
      </c>
      <c r="J658" s="4" t="s">
        <v>1263</v>
      </c>
      <c r="K658" s="5">
        <v>44830</v>
      </c>
      <c r="L658" s="4" t="s">
        <v>24</v>
      </c>
      <c r="M658" t="b">
        <v>0</v>
      </c>
      <c r="N658" t="b">
        <v>1</v>
      </c>
      <c r="O658" t="b">
        <v>0</v>
      </c>
      <c r="P658" t="b">
        <v>0</v>
      </c>
      <c r="Q658">
        <v>657</v>
      </c>
    </row>
    <row r="659" spans="1:17" x14ac:dyDescent="0.35">
      <c r="A659" s="4" t="s">
        <v>1580</v>
      </c>
      <c r="B659" s="4" t="s">
        <v>19</v>
      </c>
      <c r="C659" s="4" t="s">
        <v>107</v>
      </c>
      <c r="D659" s="4" t="s">
        <v>885</v>
      </c>
      <c r="E659" s="4" t="s">
        <v>1581</v>
      </c>
      <c r="F659" s="5">
        <v>44830</v>
      </c>
      <c r="G659" s="5">
        <v>44862</v>
      </c>
      <c r="H659" s="4" t="s">
        <v>1005</v>
      </c>
      <c r="I659" s="4" t="s">
        <v>1262</v>
      </c>
      <c r="J659" s="4" t="s">
        <v>1263</v>
      </c>
      <c r="K659" s="5">
        <v>44830</v>
      </c>
      <c r="L659" s="4" t="s">
        <v>24</v>
      </c>
      <c r="M659" t="b">
        <v>0</v>
      </c>
      <c r="N659" t="b">
        <v>1</v>
      </c>
      <c r="O659" t="b">
        <v>0</v>
      </c>
      <c r="P659" t="b">
        <v>0</v>
      </c>
      <c r="Q659">
        <v>658</v>
      </c>
    </row>
    <row r="660" spans="1:17" x14ac:dyDescent="0.35">
      <c r="A660" s="4" t="s">
        <v>1582</v>
      </c>
      <c r="B660" s="4" t="s">
        <v>19</v>
      </c>
      <c r="C660" s="4" t="s">
        <v>107</v>
      </c>
      <c r="D660" s="4" t="s">
        <v>885</v>
      </c>
      <c r="E660" s="4" t="s">
        <v>1583</v>
      </c>
      <c r="F660" s="5">
        <v>44830</v>
      </c>
      <c r="G660" s="5">
        <v>44862</v>
      </c>
      <c r="H660" s="4" t="s">
        <v>1005</v>
      </c>
      <c r="I660" s="4" t="s">
        <v>1262</v>
      </c>
      <c r="J660" s="4" t="s">
        <v>1263</v>
      </c>
      <c r="K660" s="5">
        <v>44830</v>
      </c>
      <c r="L660" s="4" t="s">
        <v>24</v>
      </c>
      <c r="M660" t="b">
        <v>0</v>
      </c>
      <c r="N660" t="b">
        <v>1</v>
      </c>
      <c r="O660" t="b">
        <v>0</v>
      </c>
      <c r="P660" t="b">
        <v>0</v>
      </c>
      <c r="Q660">
        <v>659</v>
      </c>
    </row>
    <row r="661" spans="1:17" x14ac:dyDescent="0.35">
      <c r="A661" s="4" t="s">
        <v>1584</v>
      </c>
      <c r="B661" s="4" t="s">
        <v>19</v>
      </c>
      <c r="C661" s="4" t="s">
        <v>107</v>
      </c>
      <c r="D661" s="4" t="s">
        <v>885</v>
      </c>
      <c r="E661" s="4" t="s">
        <v>1585</v>
      </c>
      <c r="F661" s="5">
        <v>44830</v>
      </c>
      <c r="G661" s="5">
        <v>44862</v>
      </c>
      <c r="H661" s="4" t="s">
        <v>1005</v>
      </c>
      <c r="I661" s="4" t="s">
        <v>1262</v>
      </c>
      <c r="J661" s="4" t="s">
        <v>1263</v>
      </c>
      <c r="K661" s="5">
        <v>44830</v>
      </c>
      <c r="L661" s="4" t="s">
        <v>24</v>
      </c>
      <c r="M661" t="b">
        <v>0</v>
      </c>
      <c r="N661" t="b">
        <v>1</v>
      </c>
      <c r="O661" t="b">
        <v>0</v>
      </c>
      <c r="P661" t="b">
        <v>0</v>
      </c>
      <c r="Q661">
        <v>660</v>
      </c>
    </row>
    <row r="662" spans="1:17" x14ac:dyDescent="0.35">
      <c r="A662" s="4" t="s">
        <v>1586</v>
      </c>
      <c r="B662" s="4" t="s">
        <v>19</v>
      </c>
      <c r="C662" s="4" t="s">
        <v>107</v>
      </c>
      <c r="D662" s="4" t="s">
        <v>885</v>
      </c>
      <c r="E662" s="4" t="s">
        <v>1587</v>
      </c>
      <c r="F662" s="5">
        <v>44830</v>
      </c>
      <c r="G662" s="5">
        <v>44862</v>
      </c>
      <c r="H662" s="4" t="s">
        <v>1005</v>
      </c>
      <c r="I662" s="4" t="s">
        <v>1262</v>
      </c>
      <c r="J662" s="4" t="s">
        <v>1263</v>
      </c>
      <c r="K662" s="5">
        <v>44830</v>
      </c>
      <c r="L662" s="4" t="s">
        <v>24</v>
      </c>
      <c r="M662" t="b">
        <v>0</v>
      </c>
      <c r="N662" t="b">
        <v>0</v>
      </c>
      <c r="O662" t="b">
        <v>0</v>
      </c>
      <c r="P662" t="b">
        <v>0</v>
      </c>
      <c r="Q662">
        <v>661</v>
      </c>
    </row>
    <row r="663" spans="1:17" x14ac:dyDescent="0.35">
      <c r="A663" s="4" t="s">
        <v>1588</v>
      </c>
      <c r="B663" s="4" t="s">
        <v>19</v>
      </c>
      <c r="C663" s="4" t="s">
        <v>107</v>
      </c>
      <c r="D663" s="4" t="s">
        <v>885</v>
      </c>
      <c r="E663" s="4" t="s">
        <v>1589</v>
      </c>
      <c r="F663" s="5">
        <v>44830</v>
      </c>
      <c r="G663" s="5">
        <v>44862</v>
      </c>
      <c r="H663" s="4" t="s">
        <v>1005</v>
      </c>
      <c r="I663" s="4" t="s">
        <v>1262</v>
      </c>
      <c r="J663" s="4" t="s">
        <v>1263</v>
      </c>
      <c r="K663" s="5">
        <v>44830</v>
      </c>
      <c r="L663" s="4" t="s">
        <v>24</v>
      </c>
      <c r="M663" t="b">
        <v>0</v>
      </c>
      <c r="N663" t="b">
        <v>0</v>
      </c>
      <c r="O663" t="b">
        <v>0</v>
      </c>
      <c r="P663" t="b">
        <v>0</v>
      </c>
      <c r="Q663">
        <v>662</v>
      </c>
    </row>
    <row r="664" spans="1:17" x14ac:dyDescent="0.35">
      <c r="A664" s="4" t="s">
        <v>1590</v>
      </c>
      <c r="B664" s="4" t="s">
        <v>19</v>
      </c>
      <c r="C664" s="4" t="s">
        <v>107</v>
      </c>
      <c r="D664" s="4" t="s">
        <v>885</v>
      </c>
      <c r="E664" s="4" t="s">
        <v>1591</v>
      </c>
      <c r="F664" s="5">
        <v>44831</v>
      </c>
      <c r="G664" s="5">
        <v>44862</v>
      </c>
      <c r="H664" s="4" t="s">
        <v>1005</v>
      </c>
      <c r="I664" s="4" t="s">
        <v>1262</v>
      </c>
      <c r="J664" s="4" t="s">
        <v>1263</v>
      </c>
      <c r="K664" s="5">
        <v>44831</v>
      </c>
      <c r="L664" s="4" t="s">
        <v>24</v>
      </c>
      <c r="M664" t="b">
        <v>0</v>
      </c>
      <c r="N664" t="b">
        <v>1</v>
      </c>
      <c r="O664" t="b">
        <v>0</v>
      </c>
      <c r="P664" t="b">
        <v>0</v>
      </c>
      <c r="Q664">
        <v>663</v>
      </c>
    </row>
    <row r="665" spans="1:17" x14ac:dyDescent="0.35">
      <c r="A665" s="4" t="s">
        <v>1592</v>
      </c>
      <c r="B665" s="4" t="s">
        <v>19</v>
      </c>
      <c r="C665" s="4" t="s">
        <v>107</v>
      </c>
      <c r="D665" s="4" t="s">
        <v>885</v>
      </c>
      <c r="E665" s="4" t="s">
        <v>1593</v>
      </c>
      <c r="F665" s="5">
        <v>44831</v>
      </c>
      <c r="G665" s="5">
        <v>44862</v>
      </c>
      <c r="H665" s="4" t="s">
        <v>1005</v>
      </c>
      <c r="I665" s="4" t="s">
        <v>1262</v>
      </c>
      <c r="J665" s="4" t="s">
        <v>1263</v>
      </c>
      <c r="K665" s="5">
        <v>44831</v>
      </c>
      <c r="L665" s="4" t="s">
        <v>24</v>
      </c>
      <c r="M665" t="b">
        <v>0</v>
      </c>
      <c r="N665" t="b">
        <v>1</v>
      </c>
      <c r="O665" t="b">
        <v>0</v>
      </c>
      <c r="P665" t="b">
        <v>0</v>
      </c>
      <c r="Q665">
        <v>664</v>
      </c>
    </row>
    <row r="666" spans="1:17" x14ac:dyDescent="0.35">
      <c r="A666" s="4" t="s">
        <v>1594</v>
      </c>
      <c r="B666" s="4" t="s">
        <v>19</v>
      </c>
      <c r="C666" s="4" t="s">
        <v>107</v>
      </c>
      <c r="D666" s="4" t="s">
        <v>885</v>
      </c>
      <c r="E666" s="4" t="s">
        <v>1595</v>
      </c>
      <c r="F666" s="5">
        <v>44831</v>
      </c>
      <c r="G666" s="5">
        <v>44862</v>
      </c>
      <c r="H666" s="4" t="s">
        <v>1005</v>
      </c>
      <c r="I666" s="4" t="s">
        <v>1262</v>
      </c>
      <c r="J666" s="4" t="s">
        <v>1263</v>
      </c>
      <c r="K666" s="5">
        <v>44831</v>
      </c>
      <c r="L666" s="4" t="s">
        <v>24</v>
      </c>
      <c r="M666" t="b">
        <v>0</v>
      </c>
      <c r="N666" t="b">
        <v>1</v>
      </c>
      <c r="O666" t="b">
        <v>0</v>
      </c>
      <c r="P666" t="b">
        <v>0</v>
      </c>
      <c r="Q666">
        <v>665</v>
      </c>
    </row>
    <row r="667" spans="1:17" x14ac:dyDescent="0.35">
      <c r="A667" s="4" t="s">
        <v>1596</v>
      </c>
      <c r="B667" s="4" t="s">
        <v>19</v>
      </c>
      <c r="C667" s="4" t="s">
        <v>107</v>
      </c>
      <c r="D667" s="4" t="s">
        <v>885</v>
      </c>
      <c r="E667" s="4" t="s">
        <v>1301</v>
      </c>
      <c r="F667" s="5">
        <v>44831</v>
      </c>
      <c r="G667" s="5">
        <v>44862</v>
      </c>
      <c r="H667" s="4" t="s">
        <v>1005</v>
      </c>
      <c r="I667" s="4" t="s">
        <v>1262</v>
      </c>
      <c r="J667" s="4" t="s">
        <v>1263</v>
      </c>
      <c r="K667" s="5">
        <v>44831</v>
      </c>
      <c r="L667" s="4" t="s">
        <v>24</v>
      </c>
      <c r="M667" t="b">
        <v>0</v>
      </c>
      <c r="N667" t="b">
        <v>1</v>
      </c>
      <c r="O667" t="b">
        <v>0</v>
      </c>
      <c r="P667" t="b">
        <v>0</v>
      </c>
      <c r="Q667">
        <v>666</v>
      </c>
    </row>
    <row r="668" spans="1:17" x14ac:dyDescent="0.35">
      <c r="A668" s="4" t="s">
        <v>1597</v>
      </c>
      <c r="B668" s="4" t="s">
        <v>19</v>
      </c>
      <c r="C668" s="4" t="s">
        <v>107</v>
      </c>
      <c r="D668" s="4" t="s">
        <v>885</v>
      </c>
      <c r="E668" s="4" t="s">
        <v>1591</v>
      </c>
      <c r="F668" s="5">
        <v>44831</v>
      </c>
      <c r="G668" s="5">
        <v>44862</v>
      </c>
      <c r="H668" s="4" t="s">
        <v>1005</v>
      </c>
      <c r="I668" s="4" t="s">
        <v>1262</v>
      </c>
      <c r="J668" s="4" t="s">
        <v>1263</v>
      </c>
      <c r="K668" s="5">
        <v>44831</v>
      </c>
      <c r="L668" s="4" t="s">
        <v>24</v>
      </c>
      <c r="M668" t="b">
        <v>0</v>
      </c>
      <c r="N668" t="b">
        <v>0</v>
      </c>
      <c r="O668" t="b">
        <v>0</v>
      </c>
      <c r="P668" t="b">
        <v>0</v>
      </c>
      <c r="Q668">
        <v>667</v>
      </c>
    </row>
    <row r="669" spans="1:17" x14ac:dyDescent="0.35">
      <c r="A669" s="4" t="s">
        <v>1598</v>
      </c>
      <c r="B669" s="4" t="s">
        <v>19</v>
      </c>
      <c r="C669" s="4" t="s">
        <v>107</v>
      </c>
      <c r="D669" s="4" t="s">
        <v>885</v>
      </c>
      <c r="E669" s="4" t="s">
        <v>1599</v>
      </c>
      <c r="F669" s="5">
        <v>44831</v>
      </c>
      <c r="G669" s="5">
        <v>44862</v>
      </c>
      <c r="H669" s="4" t="s">
        <v>1005</v>
      </c>
      <c r="I669" s="4" t="s">
        <v>1262</v>
      </c>
      <c r="J669" s="4" t="s">
        <v>1263</v>
      </c>
      <c r="K669" s="5">
        <v>44831</v>
      </c>
      <c r="L669" s="4" t="s">
        <v>24</v>
      </c>
      <c r="M669" t="b">
        <v>0</v>
      </c>
      <c r="N669" t="b">
        <v>1</v>
      </c>
      <c r="O669" t="b">
        <v>0</v>
      </c>
      <c r="P669" t="b">
        <v>0</v>
      </c>
      <c r="Q669">
        <v>668</v>
      </c>
    </row>
    <row r="670" spans="1:17" x14ac:dyDescent="0.35">
      <c r="A670" s="4" t="s">
        <v>1600</v>
      </c>
      <c r="B670" s="4" t="s">
        <v>19</v>
      </c>
      <c r="C670" s="4" t="s">
        <v>107</v>
      </c>
      <c r="D670" s="4" t="s">
        <v>885</v>
      </c>
      <c r="E670" s="4" t="s">
        <v>1601</v>
      </c>
      <c r="F670" s="5">
        <v>44831</v>
      </c>
      <c r="G670" s="5">
        <v>44862</v>
      </c>
      <c r="H670" s="4" t="s">
        <v>1005</v>
      </c>
      <c r="I670" s="4" t="s">
        <v>1262</v>
      </c>
      <c r="J670" s="4" t="s">
        <v>1263</v>
      </c>
      <c r="K670" s="5">
        <v>44831</v>
      </c>
      <c r="L670" s="4" t="s">
        <v>24</v>
      </c>
      <c r="M670" t="b">
        <v>0</v>
      </c>
      <c r="N670" t="b">
        <v>1</v>
      </c>
      <c r="O670" t="b">
        <v>0</v>
      </c>
      <c r="P670" t="b">
        <v>0</v>
      </c>
      <c r="Q670">
        <v>669</v>
      </c>
    </row>
    <row r="671" spans="1:17" x14ac:dyDescent="0.35">
      <c r="A671" s="4" t="s">
        <v>1602</v>
      </c>
      <c r="B671" s="4" t="s">
        <v>19</v>
      </c>
      <c r="C671" s="4" t="s">
        <v>107</v>
      </c>
      <c r="D671" s="4" t="s">
        <v>885</v>
      </c>
      <c r="E671" s="4" t="s">
        <v>1603</v>
      </c>
      <c r="F671" s="5">
        <v>44830</v>
      </c>
      <c r="G671" s="5">
        <v>44862</v>
      </c>
      <c r="H671" s="4" t="s">
        <v>1005</v>
      </c>
      <c r="I671" s="4" t="s">
        <v>1262</v>
      </c>
      <c r="J671" s="4" t="s">
        <v>1263</v>
      </c>
      <c r="K671" s="5">
        <v>44830</v>
      </c>
      <c r="L671" s="4" t="s">
        <v>24</v>
      </c>
      <c r="M671" t="b">
        <v>0</v>
      </c>
      <c r="N671" t="b">
        <v>1</v>
      </c>
      <c r="O671" t="b">
        <v>0</v>
      </c>
      <c r="Q671">
        <v>670</v>
      </c>
    </row>
    <row r="672" spans="1:17" x14ac:dyDescent="0.35">
      <c r="A672" s="4" t="s">
        <v>1604</v>
      </c>
      <c r="B672" s="4" t="s">
        <v>19</v>
      </c>
      <c r="C672" s="4" t="s">
        <v>107</v>
      </c>
      <c r="D672" s="4" t="s">
        <v>885</v>
      </c>
      <c r="E672" s="4" t="s">
        <v>1301</v>
      </c>
      <c r="F672" s="5">
        <v>44830</v>
      </c>
      <c r="G672" s="5">
        <v>44862</v>
      </c>
      <c r="H672" s="4" t="s">
        <v>1005</v>
      </c>
      <c r="I672" s="4" t="s">
        <v>1262</v>
      </c>
      <c r="J672" s="4" t="s">
        <v>1263</v>
      </c>
      <c r="K672" s="5">
        <v>44830</v>
      </c>
      <c r="L672" s="4" t="s">
        <v>24</v>
      </c>
      <c r="M672" t="b">
        <v>0</v>
      </c>
      <c r="N672" t="b">
        <v>1</v>
      </c>
      <c r="O672" t="b">
        <v>0</v>
      </c>
      <c r="Q672">
        <v>671</v>
      </c>
    </row>
    <row r="673" spans="1:17" x14ac:dyDescent="0.35">
      <c r="A673" s="4" t="s">
        <v>1010</v>
      </c>
      <c r="B673" s="4" t="s">
        <v>19</v>
      </c>
      <c r="C673" s="4" t="s">
        <v>228</v>
      </c>
      <c r="D673" s="4" t="s">
        <v>1011</v>
      </c>
      <c r="E673" s="4" t="s">
        <v>1012</v>
      </c>
      <c r="F673" s="5">
        <v>44812</v>
      </c>
      <c r="G673" s="5"/>
      <c r="H673" s="4" t="s">
        <v>1005</v>
      </c>
      <c r="I673" s="4" t="s">
        <v>57</v>
      </c>
      <c r="J673" s="4" t="s">
        <v>58</v>
      </c>
      <c r="K673" s="5">
        <v>44812</v>
      </c>
      <c r="L673" s="4" t="s">
        <v>24</v>
      </c>
      <c r="M673" t="b">
        <v>0</v>
      </c>
      <c r="N673" t="b">
        <v>1</v>
      </c>
      <c r="O673" t="b">
        <v>0</v>
      </c>
      <c r="P673" t="b">
        <v>0</v>
      </c>
      <c r="Q673">
        <v>672</v>
      </c>
    </row>
    <row r="674" spans="1:17" x14ac:dyDescent="0.35">
      <c r="A674" s="4" t="s">
        <v>1029</v>
      </c>
      <c r="B674" s="4" t="s">
        <v>1007</v>
      </c>
      <c r="C674" s="4" t="s">
        <v>228</v>
      </c>
      <c r="D674" s="4" t="s">
        <v>892</v>
      </c>
      <c r="E674" s="4" t="s">
        <v>1030</v>
      </c>
      <c r="F674" s="5">
        <v>44811</v>
      </c>
      <c r="G674" s="5"/>
      <c r="H674" s="4" t="s">
        <v>1005</v>
      </c>
      <c r="I674" s="4" t="s">
        <v>34</v>
      </c>
      <c r="J674" s="4" t="s">
        <v>35</v>
      </c>
      <c r="K674" s="5">
        <v>44825</v>
      </c>
      <c r="L674" s="4" t="s">
        <v>24</v>
      </c>
      <c r="M674" t="b">
        <v>0</v>
      </c>
      <c r="N674" t="b">
        <v>1</v>
      </c>
      <c r="O674" t="b">
        <v>0</v>
      </c>
      <c r="P674" t="b">
        <v>0</v>
      </c>
      <c r="Q674">
        <v>673</v>
      </c>
    </row>
    <row r="675" spans="1:17" x14ac:dyDescent="0.35">
      <c r="A675" s="4" t="s">
        <v>1031</v>
      </c>
      <c r="B675" s="4" t="s">
        <v>1007</v>
      </c>
      <c r="C675" s="4" t="s">
        <v>228</v>
      </c>
      <c r="D675" s="4" t="s">
        <v>1011</v>
      </c>
      <c r="E675" s="4" t="s">
        <v>1032</v>
      </c>
      <c r="F675" s="5">
        <v>44811</v>
      </c>
      <c r="G675" s="5"/>
      <c r="H675" s="4" t="s">
        <v>1005</v>
      </c>
      <c r="I675" s="4" t="s">
        <v>34</v>
      </c>
      <c r="J675" s="4" t="s">
        <v>35</v>
      </c>
      <c r="K675" s="5">
        <v>44825</v>
      </c>
      <c r="L675" s="4" t="s">
        <v>24</v>
      </c>
      <c r="M675" t="b">
        <v>0</v>
      </c>
      <c r="N675" t="b">
        <v>1</v>
      </c>
      <c r="O675" t="b">
        <v>0</v>
      </c>
      <c r="P675" t="b">
        <v>0</v>
      </c>
      <c r="Q675">
        <v>674</v>
      </c>
    </row>
    <row r="676" spans="1:17" x14ac:dyDescent="0.35">
      <c r="A676" s="4" t="s">
        <v>1038</v>
      </c>
      <c r="B676" s="4" t="s">
        <v>1007</v>
      </c>
      <c r="C676" s="4" t="s">
        <v>228</v>
      </c>
      <c r="D676" s="4"/>
      <c r="E676" s="4" t="s">
        <v>1037</v>
      </c>
      <c r="F676" s="5">
        <v>44805</v>
      </c>
      <c r="G676" s="5"/>
      <c r="H676" s="4" t="s">
        <v>1005</v>
      </c>
      <c r="I676" s="4" t="s">
        <v>594</v>
      </c>
      <c r="J676" s="4" t="s">
        <v>595</v>
      </c>
      <c r="K676" s="5">
        <v>44840</v>
      </c>
      <c r="L676" s="4" t="s">
        <v>24</v>
      </c>
      <c r="M676" t="b">
        <v>0</v>
      </c>
      <c r="N676" t="b">
        <v>1</v>
      </c>
      <c r="O676" t="b">
        <v>0</v>
      </c>
      <c r="P676" t="b">
        <v>0</v>
      </c>
      <c r="Q676">
        <v>675</v>
      </c>
    </row>
    <row r="677" spans="1:17" x14ac:dyDescent="0.35">
      <c r="A677" s="4" t="s">
        <v>1036</v>
      </c>
      <c r="B677" s="4" t="s">
        <v>1007</v>
      </c>
      <c r="C677" s="4" t="s">
        <v>228</v>
      </c>
      <c r="D677" s="4"/>
      <c r="E677" s="4" t="s">
        <v>1037</v>
      </c>
      <c r="F677" s="5">
        <v>44805</v>
      </c>
      <c r="G677" s="5"/>
      <c r="H677" s="4" t="s">
        <v>1005</v>
      </c>
      <c r="I677" s="4" t="s">
        <v>594</v>
      </c>
      <c r="J677" s="4" t="s">
        <v>595</v>
      </c>
      <c r="K677" s="5">
        <v>44825</v>
      </c>
      <c r="L677" s="4" t="s">
        <v>24</v>
      </c>
      <c r="M677" t="b">
        <v>0</v>
      </c>
      <c r="N677" t="b">
        <v>1</v>
      </c>
      <c r="O677" t="b">
        <v>0</v>
      </c>
      <c r="P677" t="b">
        <v>0</v>
      </c>
      <c r="Q677">
        <v>676</v>
      </c>
    </row>
    <row r="678" spans="1:17" x14ac:dyDescent="0.35">
      <c r="A678" s="4" t="s">
        <v>1079</v>
      </c>
      <c r="B678" s="4" t="s">
        <v>19</v>
      </c>
      <c r="C678" s="4" t="s">
        <v>189</v>
      </c>
      <c r="D678" s="4" t="s">
        <v>1080</v>
      </c>
      <c r="E678" s="4" t="s">
        <v>1081</v>
      </c>
      <c r="F678" s="5">
        <v>44817</v>
      </c>
      <c r="G678" s="5"/>
      <c r="H678" s="4" t="s">
        <v>1005</v>
      </c>
      <c r="I678" s="4" t="s">
        <v>28</v>
      </c>
      <c r="J678" s="4" t="s">
        <v>29</v>
      </c>
      <c r="K678" s="5">
        <v>44817</v>
      </c>
      <c r="L678" s="4" t="s">
        <v>24</v>
      </c>
      <c r="M678" t="b">
        <v>0</v>
      </c>
      <c r="N678" t="b">
        <v>0</v>
      </c>
      <c r="O678" t="b">
        <v>0</v>
      </c>
      <c r="P678" t="b">
        <v>0</v>
      </c>
      <c r="Q678">
        <v>677</v>
      </c>
    </row>
    <row r="679" spans="1:17" x14ac:dyDescent="0.35">
      <c r="A679" s="4" t="s">
        <v>1076</v>
      </c>
      <c r="B679" s="4" t="s">
        <v>19</v>
      </c>
      <c r="C679" s="4" t="s">
        <v>189</v>
      </c>
      <c r="D679" s="4" t="s">
        <v>1077</v>
      </c>
      <c r="E679" s="4" t="s">
        <v>1078</v>
      </c>
      <c r="F679" s="5">
        <v>44817</v>
      </c>
      <c r="G679" s="5"/>
      <c r="H679" s="4" t="s">
        <v>1005</v>
      </c>
      <c r="I679" s="4" t="s">
        <v>91</v>
      </c>
      <c r="J679" s="4" t="s">
        <v>184</v>
      </c>
      <c r="K679" s="5">
        <v>44817</v>
      </c>
      <c r="L679" s="4" t="s">
        <v>24</v>
      </c>
      <c r="M679" t="b">
        <v>0</v>
      </c>
      <c r="N679" t="b">
        <v>1</v>
      </c>
      <c r="O679" t="b">
        <v>0</v>
      </c>
      <c r="P679" t="b">
        <v>0</v>
      </c>
      <c r="Q679">
        <v>678</v>
      </c>
    </row>
    <row r="680" spans="1:17" x14ac:dyDescent="0.35">
      <c r="A680" s="4" t="s">
        <v>1003</v>
      </c>
      <c r="B680" s="4" t="s">
        <v>19</v>
      </c>
      <c r="C680" s="4" t="s">
        <v>107</v>
      </c>
      <c r="D680" s="4" t="s">
        <v>937</v>
      </c>
      <c r="E680" s="4" t="s">
        <v>1004</v>
      </c>
      <c r="F680" s="5">
        <v>44812</v>
      </c>
      <c r="G680" s="5"/>
      <c r="H680" s="4" t="s">
        <v>1005</v>
      </c>
      <c r="I680" s="4" t="s">
        <v>195</v>
      </c>
      <c r="J680" s="4" t="s">
        <v>196</v>
      </c>
      <c r="K680" s="5">
        <v>44812</v>
      </c>
      <c r="L680" s="4" t="s">
        <v>24</v>
      </c>
      <c r="M680" t="b">
        <v>0</v>
      </c>
      <c r="N680" t="b">
        <v>1</v>
      </c>
      <c r="O680" t="b">
        <v>0</v>
      </c>
      <c r="P680" t="b">
        <v>0</v>
      </c>
      <c r="Q680">
        <v>679</v>
      </c>
    </row>
    <row r="681" spans="1:17" x14ac:dyDescent="0.35">
      <c r="A681" s="4" t="s">
        <v>1043</v>
      </c>
      <c r="B681" s="4" t="s">
        <v>19</v>
      </c>
      <c r="C681" s="4" t="s">
        <v>349</v>
      </c>
      <c r="D681" s="4" t="s">
        <v>918</v>
      </c>
      <c r="E681" s="4" t="s">
        <v>1044</v>
      </c>
      <c r="F681" s="5">
        <v>44805</v>
      </c>
      <c r="G681" s="5"/>
      <c r="H681" s="4" t="s">
        <v>1005</v>
      </c>
      <c r="I681" s="4" t="s">
        <v>34</v>
      </c>
      <c r="J681" s="4" t="s">
        <v>117</v>
      </c>
      <c r="K681" s="5">
        <v>44805</v>
      </c>
      <c r="L681" s="4" t="s">
        <v>24</v>
      </c>
      <c r="M681" t="b">
        <v>0</v>
      </c>
      <c r="N681" t="b">
        <v>1</v>
      </c>
      <c r="O681" t="b">
        <v>0</v>
      </c>
      <c r="P681" t="b">
        <v>0</v>
      </c>
      <c r="Q681">
        <v>680</v>
      </c>
    </row>
    <row r="682" spans="1:17" x14ac:dyDescent="0.35">
      <c r="A682" s="4" t="s">
        <v>1026</v>
      </c>
      <c r="B682" s="4" t="s">
        <v>19</v>
      </c>
      <c r="C682" s="4" t="s">
        <v>107</v>
      </c>
      <c r="D682" s="4" t="s">
        <v>880</v>
      </c>
      <c r="E682" s="4" t="s">
        <v>1027</v>
      </c>
      <c r="F682" s="5">
        <v>44812</v>
      </c>
      <c r="G682" s="5"/>
      <c r="H682" s="4" t="s">
        <v>1005</v>
      </c>
      <c r="I682" s="4" t="s">
        <v>51</v>
      </c>
      <c r="J682" s="4" t="s">
        <v>52</v>
      </c>
      <c r="K682" s="5">
        <v>44812</v>
      </c>
      <c r="L682" s="4" t="s">
        <v>24</v>
      </c>
      <c r="M682" t="b">
        <v>0</v>
      </c>
      <c r="N682" t="b">
        <v>1</v>
      </c>
      <c r="O682" t="b">
        <v>0</v>
      </c>
      <c r="P682" t="b">
        <v>0</v>
      </c>
      <c r="Q682">
        <v>681</v>
      </c>
    </row>
    <row r="683" spans="1:17" x14ac:dyDescent="0.35">
      <c r="A683" s="4" t="s">
        <v>1024</v>
      </c>
      <c r="B683" s="4" t="s">
        <v>19</v>
      </c>
      <c r="C683" s="4" t="s">
        <v>107</v>
      </c>
      <c r="D683" s="4" t="s">
        <v>880</v>
      </c>
      <c r="E683" s="4" t="s">
        <v>1025</v>
      </c>
      <c r="F683" s="5">
        <v>44812</v>
      </c>
      <c r="G683" s="5"/>
      <c r="H683" s="4" t="s">
        <v>1005</v>
      </c>
      <c r="I683" s="4" t="s">
        <v>111</v>
      </c>
      <c r="J683" s="4" t="s">
        <v>112</v>
      </c>
      <c r="K683" s="5">
        <v>44812</v>
      </c>
      <c r="L683" s="4" t="s">
        <v>24</v>
      </c>
      <c r="M683" t="b">
        <v>0</v>
      </c>
      <c r="N683" t="b">
        <v>1</v>
      </c>
      <c r="O683" t="b">
        <v>0</v>
      </c>
      <c r="P683" t="b">
        <v>0</v>
      </c>
      <c r="Q683">
        <v>682</v>
      </c>
    </row>
    <row r="684" spans="1:17" x14ac:dyDescent="0.35">
      <c r="A684" s="4" t="s">
        <v>1022</v>
      </c>
      <c r="B684" s="4" t="s">
        <v>19</v>
      </c>
      <c r="C684" s="4" t="s">
        <v>107</v>
      </c>
      <c r="D684" s="4" t="s">
        <v>880</v>
      </c>
      <c r="E684" s="4" t="s">
        <v>1023</v>
      </c>
      <c r="F684" s="5">
        <v>44812</v>
      </c>
      <c r="G684" s="5"/>
      <c r="H684" s="4" t="s">
        <v>1005</v>
      </c>
      <c r="I684" s="4" t="s">
        <v>111</v>
      </c>
      <c r="J684" s="4" t="s">
        <v>112</v>
      </c>
      <c r="K684" s="5">
        <v>44812</v>
      </c>
      <c r="L684" s="4" t="s">
        <v>24</v>
      </c>
      <c r="M684" t="b">
        <v>0</v>
      </c>
      <c r="N684" t="b">
        <v>1</v>
      </c>
      <c r="O684" t="b">
        <v>0</v>
      </c>
      <c r="P684" t="b">
        <v>0</v>
      </c>
      <c r="Q684">
        <v>683</v>
      </c>
    </row>
    <row r="685" spans="1:17" x14ac:dyDescent="0.35">
      <c r="A685" s="4" t="s">
        <v>1057</v>
      </c>
      <c r="B685" s="4" t="s">
        <v>19</v>
      </c>
      <c r="C685" s="4" t="s">
        <v>107</v>
      </c>
      <c r="D685" s="4" t="s">
        <v>964</v>
      </c>
      <c r="E685" s="4" t="s">
        <v>1058</v>
      </c>
      <c r="F685" s="5">
        <v>44818</v>
      </c>
      <c r="G685" s="5"/>
      <c r="H685" s="4" t="s">
        <v>1005</v>
      </c>
      <c r="I685" s="4" t="s">
        <v>51</v>
      </c>
      <c r="J685" s="4" t="s">
        <v>52</v>
      </c>
      <c r="K685" s="5">
        <v>44818</v>
      </c>
      <c r="L685" s="4" t="s">
        <v>24</v>
      </c>
      <c r="M685" t="b">
        <v>0</v>
      </c>
      <c r="N685" t="b">
        <v>1</v>
      </c>
      <c r="O685" t="b">
        <v>0</v>
      </c>
      <c r="P685" t="b">
        <v>0</v>
      </c>
      <c r="Q685">
        <v>684</v>
      </c>
    </row>
    <row r="686" spans="1:17" x14ac:dyDescent="0.35">
      <c r="A686" s="4" t="s">
        <v>1605</v>
      </c>
      <c r="B686" s="4" t="s">
        <v>19</v>
      </c>
      <c r="C686" s="4" t="s">
        <v>189</v>
      </c>
      <c r="D686" s="4" t="s">
        <v>1606</v>
      </c>
      <c r="E686" s="4" t="s">
        <v>1607</v>
      </c>
      <c r="F686" s="5">
        <v>44839</v>
      </c>
      <c r="G686" s="5">
        <v>44846</v>
      </c>
      <c r="H686" s="4" t="s">
        <v>1005</v>
      </c>
      <c r="I686" s="4" t="s">
        <v>28</v>
      </c>
      <c r="J686" s="4" t="s">
        <v>29</v>
      </c>
      <c r="K686" s="5">
        <v>44839</v>
      </c>
      <c r="L686" s="4" t="s">
        <v>24</v>
      </c>
      <c r="M686" t="b">
        <v>0</v>
      </c>
      <c r="N686" t="b">
        <v>1</v>
      </c>
      <c r="O686" t="b">
        <v>0</v>
      </c>
      <c r="P686" t="b">
        <v>0</v>
      </c>
      <c r="Q686">
        <v>685</v>
      </c>
    </row>
    <row r="687" spans="1:17" x14ac:dyDescent="0.35">
      <c r="A687" s="4" t="s">
        <v>1608</v>
      </c>
      <c r="B687" s="4" t="s">
        <v>19</v>
      </c>
      <c r="C687" s="4" t="s">
        <v>189</v>
      </c>
      <c r="D687" s="4" t="s">
        <v>1606</v>
      </c>
      <c r="E687" s="4" t="s">
        <v>1609</v>
      </c>
      <c r="F687" s="5">
        <v>44839</v>
      </c>
      <c r="G687" s="5">
        <v>44846</v>
      </c>
      <c r="H687" s="4" t="s">
        <v>1005</v>
      </c>
      <c r="I687" s="4" t="s">
        <v>57</v>
      </c>
      <c r="J687" s="4" t="s">
        <v>58</v>
      </c>
      <c r="K687" s="5">
        <v>44839</v>
      </c>
      <c r="L687" s="4" t="s">
        <v>24</v>
      </c>
      <c r="M687" t="b">
        <v>0</v>
      </c>
      <c r="N687" t="b">
        <v>1</v>
      </c>
      <c r="O687" t="b">
        <v>0</v>
      </c>
      <c r="P687" t="b">
        <v>0</v>
      </c>
      <c r="Q687">
        <v>686</v>
      </c>
    </row>
    <row r="688" spans="1:17" x14ac:dyDescent="0.35">
      <c r="A688" s="4" t="s">
        <v>1610</v>
      </c>
      <c r="B688" s="4" t="s">
        <v>19</v>
      </c>
      <c r="C688" s="4" t="s">
        <v>189</v>
      </c>
      <c r="D688" s="4" t="s">
        <v>1611</v>
      </c>
      <c r="E688" s="4" t="s">
        <v>1612</v>
      </c>
      <c r="F688" s="5">
        <v>44839</v>
      </c>
      <c r="G688" s="5">
        <v>44846</v>
      </c>
      <c r="H688" s="4" t="s">
        <v>1005</v>
      </c>
      <c r="I688" s="4" t="s">
        <v>28</v>
      </c>
      <c r="J688" s="4" t="s">
        <v>29</v>
      </c>
      <c r="K688" s="5">
        <v>44839</v>
      </c>
      <c r="L688" s="4" t="s">
        <v>24</v>
      </c>
      <c r="M688" t="b">
        <v>0</v>
      </c>
      <c r="N688" t="b">
        <v>1</v>
      </c>
      <c r="O688" t="b">
        <v>0</v>
      </c>
      <c r="P688" t="b">
        <v>0</v>
      </c>
      <c r="Q688">
        <v>687</v>
      </c>
    </row>
    <row r="689" spans="1:17" x14ac:dyDescent="0.35">
      <c r="A689" s="4" t="s">
        <v>1613</v>
      </c>
      <c r="B689" s="4" t="s">
        <v>19</v>
      </c>
      <c r="C689" s="4" t="s">
        <v>189</v>
      </c>
      <c r="D689" s="4" t="s">
        <v>1611</v>
      </c>
      <c r="E689" s="4" t="s">
        <v>1614</v>
      </c>
      <c r="F689" s="5">
        <v>44839</v>
      </c>
      <c r="G689" s="5">
        <v>44846</v>
      </c>
      <c r="H689" s="4" t="s">
        <v>1005</v>
      </c>
      <c r="I689" s="4" t="s">
        <v>584</v>
      </c>
      <c r="J689" s="4" t="s">
        <v>585</v>
      </c>
      <c r="K689" s="5">
        <v>44839</v>
      </c>
      <c r="L689" s="4" t="s">
        <v>24</v>
      </c>
      <c r="M689" t="b">
        <v>0</v>
      </c>
      <c r="N689" t="b">
        <v>1</v>
      </c>
      <c r="O689" t="b">
        <v>1</v>
      </c>
      <c r="P689" t="b">
        <v>0</v>
      </c>
      <c r="Q689">
        <v>688</v>
      </c>
    </row>
    <row r="690" spans="1:17" x14ac:dyDescent="0.35">
      <c r="A690" s="4" t="s">
        <v>1615</v>
      </c>
      <c r="B690" s="4" t="s">
        <v>19</v>
      </c>
      <c r="C690" s="4" t="s">
        <v>868</v>
      </c>
      <c r="D690" s="4" t="s">
        <v>869</v>
      </c>
      <c r="E690" s="4" t="s">
        <v>1616</v>
      </c>
      <c r="F690" s="5">
        <v>44826</v>
      </c>
      <c r="G690" s="5"/>
      <c r="H690" s="4" t="s">
        <v>1005</v>
      </c>
      <c r="I690" s="4" t="s">
        <v>40</v>
      </c>
      <c r="J690" s="4" t="s">
        <v>48</v>
      </c>
      <c r="K690" s="5">
        <v>44826</v>
      </c>
      <c r="L690" s="4" t="s">
        <v>24</v>
      </c>
      <c r="M690" t="b">
        <v>0</v>
      </c>
      <c r="N690" t="b">
        <v>1</v>
      </c>
      <c r="O690" t="b">
        <v>0</v>
      </c>
      <c r="P690" t="b">
        <v>0</v>
      </c>
      <c r="Q690">
        <v>689</v>
      </c>
    </row>
    <row r="691" spans="1:17" x14ac:dyDescent="0.35">
      <c r="A691" s="4" t="s">
        <v>1033</v>
      </c>
      <c r="B691" s="4" t="s">
        <v>19</v>
      </c>
      <c r="C691" s="4" t="s">
        <v>186</v>
      </c>
      <c r="D691" s="4" t="s">
        <v>1034</v>
      </c>
      <c r="E691" s="4" t="s">
        <v>1084</v>
      </c>
      <c r="F691" s="5">
        <v>44810</v>
      </c>
      <c r="G691" s="5"/>
      <c r="H691" s="4" t="s">
        <v>1005</v>
      </c>
      <c r="I691" s="4" t="s">
        <v>34</v>
      </c>
      <c r="J691" s="4" t="s">
        <v>35</v>
      </c>
      <c r="K691" s="5">
        <v>44810</v>
      </c>
      <c r="L691" s="4" t="s">
        <v>24</v>
      </c>
      <c r="M691" t="b">
        <v>0</v>
      </c>
      <c r="N691" t="b">
        <v>1</v>
      </c>
      <c r="O691" t="b">
        <v>0</v>
      </c>
      <c r="P691" t="b">
        <v>0</v>
      </c>
      <c r="Q691">
        <v>690</v>
      </c>
    </row>
    <row r="692" spans="1:17" x14ac:dyDescent="0.35">
      <c r="A692" s="4" t="s">
        <v>1617</v>
      </c>
      <c r="B692" s="4" t="s">
        <v>19</v>
      </c>
      <c r="C692" s="4" t="s">
        <v>868</v>
      </c>
      <c r="D692" s="4" t="s">
        <v>869</v>
      </c>
      <c r="E692" s="4" t="s">
        <v>1618</v>
      </c>
      <c r="F692" s="5">
        <v>44826</v>
      </c>
      <c r="G692" s="5"/>
      <c r="H692" s="4" t="s">
        <v>1005</v>
      </c>
      <c r="I692" s="4" t="s">
        <v>40</v>
      </c>
      <c r="J692" s="4" t="s">
        <v>41</v>
      </c>
      <c r="K692" s="5">
        <v>44826</v>
      </c>
      <c r="L692" s="4" t="s">
        <v>24</v>
      </c>
      <c r="M692" t="b">
        <v>0</v>
      </c>
      <c r="N692" t="b">
        <v>1</v>
      </c>
      <c r="O692" t="b">
        <v>0</v>
      </c>
      <c r="P692" t="b">
        <v>0</v>
      </c>
      <c r="Q692">
        <v>691</v>
      </c>
    </row>
    <row r="693" spans="1:17" x14ac:dyDescent="0.35">
      <c r="A693" s="4" t="s">
        <v>1619</v>
      </c>
      <c r="B693" s="4" t="s">
        <v>19</v>
      </c>
      <c r="C693" s="4" t="s">
        <v>73</v>
      </c>
      <c r="D693" s="4" t="s">
        <v>1366</v>
      </c>
      <c r="E693" s="4" t="s">
        <v>1620</v>
      </c>
      <c r="F693" s="5">
        <v>44823</v>
      </c>
      <c r="G693" s="5"/>
      <c r="H693" s="4" t="s">
        <v>1005</v>
      </c>
      <c r="I693" s="4" t="s">
        <v>51</v>
      </c>
      <c r="J693" s="4" t="s">
        <v>52</v>
      </c>
      <c r="K693" s="5">
        <v>44823</v>
      </c>
      <c r="L693" s="4" t="s">
        <v>24</v>
      </c>
      <c r="M693" t="b">
        <v>0</v>
      </c>
      <c r="N693" t="b">
        <v>1</v>
      </c>
      <c r="O693" t="b">
        <v>0</v>
      </c>
      <c r="P693" t="b">
        <v>0</v>
      </c>
      <c r="Q693">
        <v>692</v>
      </c>
    </row>
    <row r="694" spans="1:17" x14ac:dyDescent="0.35">
      <c r="A694" s="4" t="s">
        <v>1059</v>
      </c>
      <c r="B694" s="4" t="s">
        <v>19</v>
      </c>
      <c r="C694" s="4" t="s">
        <v>107</v>
      </c>
      <c r="D694" s="4" t="s">
        <v>1060</v>
      </c>
      <c r="E694" s="4" t="s">
        <v>1061</v>
      </c>
      <c r="F694" s="5">
        <v>44817</v>
      </c>
      <c r="G694" s="5"/>
      <c r="H694" s="4" t="s">
        <v>1005</v>
      </c>
      <c r="I694" s="4" t="s">
        <v>51</v>
      </c>
      <c r="J694" s="4" t="s">
        <v>52</v>
      </c>
      <c r="K694" s="5">
        <v>44817</v>
      </c>
      <c r="L694" s="4" t="s">
        <v>24</v>
      </c>
      <c r="M694" t="b">
        <v>0</v>
      </c>
      <c r="N694" t="b">
        <v>1</v>
      </c>
      <c r="O694" t="b">
        <v>0</v>
      </c>
      <c r="P694" t="b">
        <v>0</v>
      </c>
      <c r="Q694">
        <v>693</v>
      </c>
    </row>
    <row r="695" spans="1:17" x14ac:dyDescent="0.35">
      <c r="A695" s="4" t="s">
        <v>1064</v>
      </c>
      <c r="B695" s="4" t="s">
        <v>19</v>
      </c>
      <c r="C695" s="4" t="s">
        <v>704</v>
      </c>
      <c r="D695" s="4" t="s">
        <v>925</v>
      </c>
      <c r="E695" s="4" t="s">
        <v>1065</v>
      </c>
      <c r="F695" s="5">
        <v>44817</v>
      </c>
      <c r="G695" s="5"/>
      <c r="H695" s="4" t="s">
        <v>1005</v>
      </c>
      <c r="I695" s="4" t="s">
        <v>57</v>
      </c>
      <c r="J695" s="4" t="s">
        <v>58</v>
      </c>
      <c r="K695" s="5">
        <v>44817</v>
      </c>
      <c r="L695" s="4" t="s">
        <v>24</v>
      </c>
      <c r="M695" t="b">
        <v>0</v>
      </c>
      <c r="N695" t="b">
        <v>1</v>
      </c>
      <c r="O695" t="b">
        <v>0</v>
      </c>
      <c r="P695" t="b">
        <v>0</v>
      </c>
      <c r="Q695">
        <v>694</v>
      </c>
    </row>
    <row r="696" spans="1:17" x14ac:dyDescent="0.35">
      <c r="A696" s="4" t="s">
        <v>1062</v>
      </c>
      <c r="B696" s="4" t="s">
        <v>19</v>
      </c>
      <c r="C696" s="4" t="s">
        <v>704</v>
      </c>
      <c r="D696" s="4" t="s">
        <v>925</v>
      </c>
      <c r="E696" s="4" t="s">
        <v>1063</v>
      </c>
      <c r="F696" s="5">
        <v>44817</v>
      </c>
      <c r="G696" s="5"/>
      <c r="H696" s="4" t="s">
        <v>1005</v>
      </c>
      <c r="I696" s="4" t="s">
        <v>34</v>
      </c>
      <c r="J696" s="4" t="s">
        <v>35</v>
      </c>
      <c r="K696" s="5">
        <v>44817</v>
      </c>
      <c r="L696" s="4" t="s">
        <v>24</v>
      </c>
      <c r="M696" t="b">
        <v>0</v>
      </c>
      <c r="N696" t="b">
        <v>0</v>
      </c>
      <c r="O696" t="b">
        <v>0</v>
      </c>
      <c r="P696" t="b">
        <v>0</v>
      </c>
      <c r="Q696">
        <v>695</v>
      </c>
    </row>
    <row r="697" spans="1:17" x14ac:dyDescent="0.35">
      <c r="A697" s="4" t="s">
        <v>1013</v>
      </c>
      <c r="B697" s="4" t="s">
        <v>19</v>
      </c>
      <c r="C697" s="4" t="s">
        <v>228</v>
      </c>
      <c r="D697" s="4" t="s">
        <v>1014</v>
      </c>
      <c r="E697" s="4" t="s">
        <v>1015</v>
      </c>
      <c r="F697" s="5">
        <v>44812</v>
      </c>
      <c r="G697" s="5"/>
      <c r="H697" s="4" t="s">
        <v>1005</v>
      </c>
      <c r="I697" s="4" t="s">
        <v>34</v>
      </c>
      <c r="J697" s="4" t="s">
        <v>35</v>
      </c>
      <c r="K697" s="5">
        <v>44812</v>
      </c>
      <c r="L697" s="4" t="s">
        <v>24</v>
      </c>
      <c r="M697" t="b">
        <v>0</v>
      </c>
      <c r="N697" t="b">
        <v>0</v>
      </c>
      <c r="O697" t="b">
        <v>0</v>
      </c>
      <c r="P697" t="b">
        <v>0</v>
      </c>
      <c r="Q697">
        <v>696</v>
      </c>
    </row>
    <row r="698" spans="1:17" x14ac:dyDescent="0.35">
      <c r="A698" s="4" t="s">
        <v>1006</v>
      </c>
      <c r="B698" s="4" t="s">
        <v>1007</v>
      </c>
      <c r="C698" s="4" t="s">
        <v>228</v>
      </c>
      <c r="D698" s="4" t="s">
        <v>1008</v>
      </c>
      <c r="E698" s="4" t="s">
        <v>1009</v>
      </c>
      <c r="F698" s="5">
        <v>44812</v>
      </c>
      <c r="G698" s="5"/>
      <c r="H698" s="4" t="s">
        <v>1005</v>
      </c>
      <c r="I698" s="4" t="s">
        <v>34</v>
      </c>
      <c r="J698" s="4" t="s">
        <v>35</v>
      </c>
      <c r="K698" s="5">
        <v>44816</v>
      </c>
      <c r="L698" s="4" t="s">
        <v>24</v>
      </c>
      <c r="M698" t="b">
        <v>0</v>
      </c>
      <c r="N698" t="b">
        <v>1</v>
      </c>
      <c r="O698" t="b">
        <v>0</v>
      </c>
      <c r="P698" t="b">
        <v>0</v>
      </c>
      <c r="Q698">
        <v>697</v>
      </c>
    </row>
    <row r="699" spans="1:17" x14ac:dyDescent="0.35">
      <c r="A699" s="4" t="s">
        <v>1016</v>
      </c>
      <c r="B699" s="4" t="s">
        <v>1007</v>
      </c>
      <c r="C699" s="4" t="s">
        <v>228</v>
      </c>
      <c r="D699" s="4" t="s">
        <v>1017</v>
      </c>
      <c r="E699" s="4" t="s">
        <v>1018</v>
      </c>
      <c r="F699" s="5">
        <v>44812</v>
      </c>
      <c r="G699" s="5"/>
      <c r="H699" s="4" t="s">
        <v>1005</v>
      </c>
      <c r="I699" s="4" t="s">
        <v>34</v>
      </c>
      <c r="J699" s="4" t="s">
        <v>35</v>
      </c>
      <c r="K699" s="5">
        <v>44838</v>
      </c>
      <c r="L699" s="4" t="s">
        <v>24</v>
      </c>
      <c r="M699" t="b">
        <v>0</v>
      </c>
      <c r="N699" t="b">
        <v>1</v>
      </c>
      <c r="O699" t="b">
        <v>0</v>
      </c>
      <c r="P699" t="b">
        <v>0</v>
      </c>
      <c r="Q699">
        <v>698</v>
      </c>
    </row>
    <row r="700" spans="1:17" x14ac:dyDescent="0.35">
      <c r="A700" s="4" t="s">
        <v>1019</v>
      </c>
      <c r="B700" s="4" t="s">
        <v>1007</v>
      </c>
      <c r="C700" s="4" t="s">
        <v>228</v>
      </c>
      <c r="D700" s="4" t="s">
        <v>1020</v>
      </c>
      <c r="E700" s="4" t="s">
        <v>1021</v>
      </c>
      <c r="F700" s="5">
        <v>44812</v>
      </c>
      <c r="G700" s="5"/>
      <c r="H700" s="4" t="s">
        <v>1005</v>
      </c>
      <c r="I700" s="4" t="s">
        <v>34</v>
      </c>
      <c r="J700" s="4" t="s">
        <v>35</v>
      </c>
      <c r="K700" s="5">
        <v>44838</v>
      </c>
      <c r="L700" s="4" t="s">
        <v>24</v>
      </c>
      <c r="M700" t="b">
        <v>0</v>
      </c>
      <c r="N700" t="b">
        <v>1</v>
      </c>
      <c r="O700" t="b">
        <v>0</v>
      </c>
      <c r="P700" t="b">
        <v>0</v>
      </c>
      <c r="Q700">
        <v>699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5C946-11D7-4EB7-8716-3435A09F6C23}">
  <sheetPr codeName="Sheet6"/>
  <dimension ref="A1:I700"/>
  <sheetViews>
    <sheetView workbookViewId="0">
      <selection sqref="A1:I700"/>
    </sheetView>
  </sheetViews>
  <sheetFormatPr defaultRowHeight="14.5" x14ac:dyDescent="0.35"/>
  <sheetData>
    <row r="1" spans="1:9" ht="15.5" x14ac:dyDescent="0.35">
      <c r="A1" s="12" t="s">
        <v>975</v>
      </c>
      <c r="B1" s="12" t="s">
        <v>4</v>
      </c>
      <c r="C1" s="12" t="s">
        <v>980</v>
      </c>
      <c r="D1" s="12" t="s">
        <v>6</v>
      </c>
      <c r="E1" s="12" t="s">
        <v>976</v>
      </c>
      <c r="F1" s="12" t="s">
        <v>978</v>
      </c>
      <c r="G1" s="12" t="s">
        <v>977</v>
      </c>
      <c r="H1" s="12" t="s">
        <v>11</v>
      </c>
      <c r="I1" s="12" t="s">
        <v>979</v>
      </c>
    </row>
    <row r="2" spans="1:9" ht="15.5" x14ac:dyDescent="0.35">
      <c r="A2" s="13" t="s">
        <v>65</v>
      </c>
      <c r="B2" s="12" t="s" cm="1">
        <v>19</v>
      </c>
      <c r="C2" s="12" t="s" cm="1">
        <v>21</v>
      </c>
      <c r="D2" s="12" t="s">
        <v>67</v>
      </c>
      <c r="E2" s="12" t="s" cm="1">
        <v>1635</v>
      </c>
      <c r="F2" s="12" t="s">
        <v>1636</v>
      </c>
      <c r="G2" s="12" t="s">
        <v>24</v>
      </c>
      <c r="H2" s="12" t="s">
        <v>23</v>
      </c>
      <c r="I2" s="12" t="s">
        <v>22</v>
      </c>
    </row>
    <row r="3" spans="1:9" ht="15.5" x14ac:dyDescent="0.35">
      <c r="A3" s="13" t="s">
        <v>63</v>
      </c>
      <c r="B3" s="12" t="s" cm="1">
        <v>19</v>
      </c>
      <c r="C3" s="12" t="s" cm="1">
        <v>21</v>
      </c>
      <c r="D3" s="12" t="s">
        <v>64</v>
      </c>
      <c r="E3" s="12" t="s" cm="1">
        <v>1637</v>
      </c>
      <c r="F3" s="12" t="s">
        <v>1638</v>
      </c>
      <c r="G3" s="12" t="s">
        <v>874</v>
      </c>
      <c r="H3" s="12" t="s">
        <v>35</v>
      </c>
      <c r="I3" s="12" t="s">
        <v>34</v>
      </c>
    </row>
    <row r="4" spans="1:9" ht="15.5" x14ac:dyDescent="0.35">
      <c r="A4" s="13" t="s">
        <v>53</v>
      </c>
      <c r="B4" s="12" t="s" cm="1">
        <v>19</v>
      </c>
      <c r="C4" s="12" t="s" cm="1">
        <v>21</v>
      </c>
      <c r="D4" s="12" t="s">
        <v>54</v>
      </c>
      <c r="E4" s="12" t="s" cm="1">
        <v>1639</v>
      </c>
      <c r="F4" s="12" t="s">
        <v>1636</v>
      </c>
      <c r="G4" s="12" t="s">
        <v>871</v>
      </c>
      <c r="H4" s="12" t="s">
        <v>52</v>
      </c>
      <c r="I4" s="12" t="s">
        <v>51</v>
      </c>
    </row>
    <row r="5" spans="1:9" ht="15.5" x14ac:dyDescent="0.35">
      <c r="A5" s="13" t="s">
        <v>49</v>
      </c>
      <c r="B5" s="12" t="s" cm="1">
        <v>19</v>
      </c>
      <c r="C5" s="12" t="s" cm="1">
        <v>21</v>
      </c>
      <c r="D5" s="12" t="s">
        <v>50</v>
      </c>
      <c r="E5" s="12" t="s" cm="1">
        <v>1639</v>
      </c>
      <c r="F5" s="12" t="s">
        <v>1636</v>
      </c>
      <c r="G5" s="12" t="s">
        <v>870</v>
      </c>
      <c r="H5" s="12" t="s">
        <v>52</v>
      </c>
      <c r="I5" s="12" t="s">
        <v>51</v>
      </c>
    </row>
    <row r="6" spans="1:9" ht="15.5" x14ac:dyDescent="0.35">
      <c r="A6" s="13" t="s">
        <v>996</v>
      </c>
      <c r="B6" s="12" t="s" cm="1">
        <v>986</v>
      </c>
      <c r="C6" s="12" t="s" cm="1">
        <v>21</v>
      </c>
      <c r="D6" s="12" t="s">
        <v>998</v>
      </c>
      <c r="E6" s="12" t="s" cm="1">
        <v>1639</v>
      </c>
      <c r="F6" s="12" t="s">
        <v>1636</v>
      </c>
      <c r="G6" s="12" t="s">
        <v>997</v>
      </c>
      <c r="H6" s="12" t="s">
        <v>35</v>
      </c>
      <c r="I6" s="12" t="s">
        <v>34</v>
      </c>
    </row>
    <row r="7" spans="1:9" ht="15.5" x14ac:dyDescent="0.35">
      <c r="A7" s="13" t="s">
        <v>61</v>
      </c>
      <c r="B7" s="12" t="s" cm="1">
        <v>986</v>
      </c>
      <c r="C7" s="12" t="s" cm="1">
        <v>21</v>
      </c>
      <c r="D7" s="12" t="s">
        <v>1640</v>
      </c>
      <c r="E7" s="12" t="s" cm="1">
        <v>1635</v>
      </c>
      <c r="F7" s="12" t="s">
        <v>1638</v>
      </c>
      <c r="G7" s="12" t="s">
        <v>873</v>
      </c>
      <c r="H7" s="12" t="s">
        <v>35</v>
      </c>
      <c r="I7" s="12" t="s">
        <v>34</v>
      </c>
    </row>
    <row r="8" spans="1:9" ht="15.5" x14ac:dyDescent="0.35">
      <c r="A8" s="13" t="s">
        <v>18</v>
      </c>
      <c r="B8" s="12" t="s" cm="1">
        <v>19</v>
      </c>
      <c r="C8" s="12" t="s" cm="1">
        <v>21</v>
      </c>
      <c r="D8" s="12" t="s">
        <v>20</v>
      </c>
      <c r="E8" s="12" t="s" cm="1">
        <v>1635</v>
      </c>
      <c r="F8" s="12" t="s">
        <v>1641</v>
      </c>
      <c r="G8" s="12" t="s">
        <v>863</v>
      </c>
      <c r="H8" s="12" t="s">
        <v>23</v>
      </c>
      <c r="I8" s="12" t="s">
        <v>22</v>
      </c>
    </row>
    <row r="9" spans="1:9" ht="15.5" x14ac:dyDescent="0.35">
      <c r="A9" s="13" t="s">
        <v>1053</v>
      </c>
      <c r="B9" s="12" t="s" cm="1">
        <v>19</v>
      </c>
      <c r="C9" s="12" t="s" cm="1">
        <v>21</v>
      </c>
      <c r="D9" s="12" t="s">
        <v>1642</v>
      </c>
      <c r="E9" s="12" t="s" cm="1">
        <v>1635</v>
      </c>
      <c r="F9" s="12" t="s">
        <v>1643</v>
      </c>
      <c r="G9" s="12" t="s">
        <v>882</v>
      </c>
      <c r="H9" s="12" t="s">
        <v>58</v>
      </c>
      <c r="I9" s="12" t="s">
        <v>57</v>
      </c>
    </row>
    <row r="10" spans="1:9" ht="15.5" x14ac:dyDescent="0.35">
      <c r="A10" s="14" t="s">
        <v>999</v>
      </c>
      <c r="B10" s="12" t="s" cm="1">
        <v>19</v>
      </c>
      <c r="C10" s="12" t="s" cm="1">
        <v>21</v>
      </c>
      <c r="D10" s="12" t="s">
        <v>1000</v>
      </c>
      <c r="E10" s="12" t="s" cm="1">
        <v>1635</v>
      </c>
      <c r="F10" s="12" t="s">
        <v>1638</v>
      </c>
      <c r="G10" s="12" t="s">
        <v>892</v>
      </c>
      <c r="H10" s="12" t="s">
        <v>23</v>
      </c>
      <c r="I10" s="12" t="s">
        <v>22</v>
      </c>
    </row>
    <row r="11" spans="1:9" ht="15.5" x14ac:dyDescent="0.35">
      <c r="A11" s="14" t="s">
        <v>1041</v>
      </c>
      <c r="B11" s="12" t="s" cm="1">
        <v>19</v>
      </c>
      <c r="C11" s="12" t="s" cm="1">
        <v>1644</v>
      </c>
      <c r="D11" s="12" t="s">
        <v>1645</v>
      </c>
      <c r="E11" s="12" t="s" cm="1">
        <v>1635</v>
      </c>
      <c r="F11" s="12" t="s">
        <v>1641</v>
      </c>
      <c r="G11" s="12" t="s">
        <v>863</v>
      </c>
      <c r="H11" s="12" t="s">
        <v>29</v>
      </c>
      <c r="I11" s="12" t="s">
        <v>28</v>
      </c>
    </row>
    <row r="12" spans="1:9" ht="15.5" x14ac:dyDescent="0.35">
      <c r="A12" s="14" t="s">
        <v>1069</v>
      </c>
      <c r="B12" s="12" t="s" cm="1">
        <v>986</v>
      </c>
      <c r="C12" s="12" t="s" cm="1">
        <v>1644</v>
      </c>
      <c r="D12" s="12" t="s">
        <v>1646</v>
      </c>
      <c r="E12" s="12" t="s" cm="1">
        <v>1639</v>
      </c>
      <c r="F12" s="12" t="s">
        <v>1636</v>
      </c>
      <c r="G12" s="12" t="s">
        <v>871</v>
      </c>
      <c r="H12" s="12" t="s">
        <v>130</v>
      </c>
      <c r="I12" s="12" t="s">
        <v>22</v>
      </c>
    </row>
    <row r="13" spans="1:9" ht="15.5" x14ac:dyDescent="0.35">
      <c r="A13" s="14" t="s">
        <v>1073</v>
      </c>
      <c r="B13" s="12" t="s" cm="1">
        <v>986</v>
      </c>
      <c r="C13" s="12" t="s" cm="1">
        <v>1644</v>
      </c>
      <c r="D13" s="12" t="s">
        <v>1647</v>
      </c>
      <c r="E13" s="12" t="s" cm="1">
        <v>1639</v>
      </c>
      <c r="F13" s="12" t="s">
        <v>1638</v>
      </c>
      <c r="G13" s="12" t="s">
        <v>1074</v>
      </c>
      <c r="H13" s="12" t="s">
        <v>130</v>
      </c>
      <c r="I13" s="12" t="s">
        <v>22</v>
      </c>
    </row>
    <row r="14" spans="1:9" ht="15.5" x14ac:dyDescent="0.35">
      <c r="A14" s="14" t="s">
        <v>1051</v>
      </c>
      <c r="B14" s="12" t="s" cm="1">
        <v>19</v>
      </c>
      <c r="C14" s="12" t="s" cm="1">
        <v>1644</v>
      </c>
      <c r="D14" s="12" t="s">
        <v>1648</v>
      </c>
      <c r="E14" s="12" t="s" cm="1">
        <v>1639</v>
      </c>
      <c r="F14" s="12" t="s">
        <v>1649</v>
      </c>
      <c r="G14" s="12" t="s">
        <v>918</v>
      </c>
      <c r="H14" s="12" t="s">
        <v>236</v>
      </c>
      <c r="I14" s="12" t="s">
        <v>195</v>
      </c>
    </row>
    <row r="15" spans="1:9" ht="15.5" x14ac:dyDescent="0.35">
      <c r="A15" s="14" t="s">
        <v>1049</v>
      </c>
      <c r="B15" s="12" t="s" cm="1">
        <v>19</v>
      </c>
      <c r="C15" s="12" t="s" cm="1">
        <v>1644</v>
      </c>
      <c r="D15" s="12" t="s">
        <v>1650</v>
      </c>
      <c r="E15" s="12" t="s" cm="1">
        <v>1639</v>
      </c>
      <c r="F15" s="12" t="s">
        <v>1649</v>
      </c>
      <c r="G15" s="12" t="s">
        <v>908</v>
      </c>
      <c r="H15" s="12" t="s">
        <v>236</v>
      </c>
      <c r="I15" s="12" t="s">
        <v>195</v>
      </c>
    </row>
    <row r="16" spans="1:9" ht="15.5" x14ac:dyDescent="0.35">
      <c r="A16" s="14" t="s">
        <v>1047</v>
      </c>
      <c r="B16" s="12" t="s" cm="1">
        <v>19</v>
      </c>
      <c r="C16" s="12" t="s" cm="1">
        <v>1644</v>
      </c>
      <c r="D16" s="12" t="s">
        <v>1048</v>
      </c>
      <c r="E16" s="12" t="s" cm="1">
        <v>1639</v>
      </c>
      <c r="F16" s="12" t="s">
        <v>1649</v>
      </c>
      <c r="G16" s="12" t="s">
        <v>908</v>
      </c>
      <c r="H16" s="12" t="s">
        <v>236</v>
      </c>
      <c r="I16" s="12" t="s">
        <v>195</v>
      </c>
    </row>
    <row r="17" spans="1:9" ht="15.5" x14ac:dyDescent="0.35">
      <c r="A17" s="14" t="s">
        <v>1039</v>
      </c>
      <c r="B17" s="12" t="s" cm="1">
        <v>19</v>
      </c>
      <c r="C17" s="12" t="s" cm="1">
        <v>1644</v>
      </c>
      <c r="D17" s="12" t="s">
        <v>1651</v>
      </c>
      <c r="E17" s="12" t="s" cm="1">
        <v>1635</v>
      </c>
      <c r="F17" s="12" t="s">
        <v>1649</v>
      </c>
      <c r="G17" s="12" t="s">
        <v>945</v>
      </c>
      <c r="H17" s="12" t="s">
        <v>23</v>
      </c>
      <c r="I17" s="12" t="s">
        <v>22</v>
      </c>
    </row>
    <row r="18" spans="1:9" ht="15.5" x14ac:dyDescent="0.35">
      <c r="A18" s="14" t="s">
        <v>1108</v>
      </c>
      <c r="B18" s="12" t="s" cm="1">
        <v>19</v>
      </c>
      <c r="C18" s="12" t="s" cm="1">
        <v>1644</v>
      </c>
      <c r="D18" s="12" t="s">
        <v>1652</v>
      </c>
      <c r="E18" s="12" t="s" cm="1">
        <v>1653</v>
      </c>
      <c r="F18" s="12" t="s">
        <v>24</v>
      </c>
      <c r="G18" s="12" t="s">
        <v>869</v>
      </c>
      <c r="H18" s="12" t="s">
        <v>58</v>
      </c>
      <c r="I18" s="12" t="s">
        <v>57</v>
      </c>
    </row>
    <row r="19" spans="1:9" ht="15.5" x14ac:dyDescent="0.35">
      <c r="A19" s="14" t="s">
        <v>1066</v>
      </c>
      <c r="B19" s="12" t="s" cm="1">
        <v>19</v>
      </c>
      <c r="C19" s="12" t="s" cm="1">
        <v>1644</v>
      </c>
      <c r="D19" s="12" t="s">
        <v>1654</v>
      </c>
      <c r="E19" s="12" t="s" cm="1">
        <v>1637</v>
      </c>
      <c r="F19" s="12" t="s">
        <v>1636</v>
      </c>
      <c r="G19" s="12" t="s">
        <v>940</v>
      </c>
      <c r="H19" s="12" t="s">
        <v>1068</v>
      </c>
      <c r="I19" s="12" t="s">
        <v>22</v>
      </c>
    </row>
    <row r="20" spans="1:9" ht="15.5" x14ac:dyDescent="0.35">
      <c r="A20" s="14" t="s">
        <v>1045</v>
      </c>
      <c r="B20" s="12" t="s" cm="1">
        <v>19</v>
      </c>
      <c r="C20" s="12" t="s" cm="1">
        <v>1644</v>
      </c>
      <c r="D20" s="12" t="s">
        <v>1655</v>
      </c>
      <c r="E20" s="12" t="s" cm="1">
        <v>1639</v>
      </c>
      <c r="F20" s="12" t="s">
        <v>1649</v>
      </c>
      <c r="G20" s="12" t="s">
        <v>918</v>
      </c>
      <c r="H20" s="12" t="s">
        <v>52</v>
      </c>
      <c r="I20" s="12" t="s">
        <v>51</v>
      </c>
    </row>
    <row r="21" spans="1:9" ht="15.5" x14ac:dyDescent="0.35">
      <c r="A21" s="14" t="s">
        <v>708</v>
      </c>
      <c r="B21" s="12" t="s" cm="1">
        <v>19</v>
      </c>
      <c r="C21" s="12" t="s" cm="1">
        <v>1644</v>
      </c>
      <c r="D21" s="12" t="s">
        <v>1656</v>
      </c>
      <c r="E21" s="12" t="s" cm="1">
        <v>1635</v>
      </c>
      <c r="F21" s="12" t="s">
        <v>1638</v>
      </c>
      <c r="G21" s="12" t="s">
        <v>24</v>
      </c>
      <c r="H21" s="12" t="s">
        <v>45</v>
      </c>
      <c r="I21" s="12" t="s">
        <v>44</v>
      </c>
    </row>
    <row r="22" spans="1:9" ht="15.5" x14ac:dyDescent="0.35">
      <c r="A22" s="14" t="s">
        <v>706</v>
      </c>
      <c r="B22" s="12" t="s" cm="1">
        <v>19</v>
      </c>
      <c r="C22" s="12" t="s" cm="1">
        <v>1644</v>
      </c>
      <c r="D22" s="12" t="s">
        <v>1657</v>
      </c>
      <c r="E22" s="12" t="s" cm="1">
        <v>1635</v>
      </c>
      <c r="F22" s="12" t="s">
        <v>1638</v>
      </c>
      <c r="G22" s="12" t="s">
        <v>24</v>
      </c>
      <c r="H22" s="12" t="s">
        <v>45</v>
      </c>
      <c r="I22" s="12" t="s">
        <v>44</v>
      </c>
    </row>
    <row r="23" spans="1:9" ht="15.5" x14ac:dyDescent="0.35">
      <c r="A23" s="14" t="s">
        <v>701</v>
      </c>
      <c r="B23" s="12" t="s" cm="1">
        <v>19</v>
      </c>
      <c r="C23" s="12" t="s" cm="1">
        <v>1644</v>
      </c>
      <c r="D23" s="12" t="s">
        <v>1658</v>
      </c>
      <c r="E23" s="12" t="s" cm="1">
        <v>1635</v>
      </c>
      <c r="F23" s="12" t="s">
        <v>1638</v>
      </c>
      <c r="G23" s="12" t="s">
        <v>24</v>
      </c>
      <c r="H23" s="12" t="s">
        <v>45</v>
      </c>
      <c r="I23" s="12" t="s">
        <v>44</v>
      </c>
    </row>
    <row r="24" spans="1:9" ht="15.5" x14ac:dyDescent="0.35">
      <c r="A24" s="14" t="s">
        <v>699</v>
      </c>
      <c r="B24" s="12" t="s" cm="1">
        <v>19</v>
      </c>
      <c r="C24" s="12" t="s" cm="1">
        <v>1644</v>
      </c>
      <c r="D24" s="12" t="s">
        <v>1659</v>
      </c>
      <c r="E24" s="12" t="s" cm="1">
        <v>1635</v>
      </c>
      <c r="F24" s="12" t="s">
        <v>1638</v>
      </c>
      <c r="G24" s="12" t="s">
        <v>24</v>
      </c>
      <c r="H24" s="12" t="s">
        <v>45</v>
      </c>
      <c r="I24" s="12" t="s">
        <v>44</v>
      </c>
    </row>
    <row r="25" spans="1:9" ht="15.5" x14ac:dyDescent="0.35">
      <c r="A25" s="14" t="s">
        <v>642</v>
      </c>
      <c r="B25" s="12" t="s" cm="1">
        <v>19</v>
      </c>
      <c r="C25" s="12" t="s" cm="1">
        <v>1644</v>
      </c>
      <c r="D25" s="12" t="s">
        <v>1660</v>
      </c>
      <c r="E25" s="12" t="s" cm="1">
        <v>1635</v>
      </c>
      <c r="F25" s="12" t="s">
        <v>1638</v>
      </c>
      <c r="G25" s="12" t="s">
        <v>24</v>
      </c>
      <c r="H25" s="12" t="s">
        <v>45</v>
      </c>
      <c r="I25" s="12" t="s">
        <v>44</v>
      </c>
    </row>
    <row r="26" spans="1:9" ht="15.5" x14ac:dyDescent="0.35">
      <c r="A26" s="14" t="s">
        <v>592</v>
      </c>
      <c r="B26" s="12" t="s" cm="1">
        <v>19</v>
      </c>
      <c r="C26" s="12" t="s" cm="1">
        <v>1644</v>
      </c>
      <c r="D26" s="12" t="s">
        <v>1661</v>
      </c>
      <c r="E26" s="12" t="s" cm="1">
        <v>1635</v>
      </c>
      <c r="F26" s="12" t="s">
        <v>1638</v>
      </c>
      <c r="G26" s="12" t="s">
        <v>24</v>
      </c>
      <c r="H26" s="12" t="s">
        <v>595</v>
      </c>
      <c r="I26" s="12" t="s">
        <v>594</v>
      </c>
    </row>
    <row r="27" spans="1:9" ht="15.5" x14ac:dyDescent="0.35">
      <c r="A27" s="14" t="s">
        <v>487</v>
      </c>
      <c r="B27" s="12" t="s" cm="1">
        <v>19</v>
      </c>
      <c r="C27" s="12" t="s" cm="1">
        <v>1644</v>
      </c>
      <c r="D27" s="12" t="s">
        <v>1662</v>
      </c>
      <c r="E27" s="12" t="s" cm="1">
        <v>1635</v>
      </c>
      <c r="F27" s="12" t="s">
        <v>1638</v>
      </c>
      <c r="G27" s="12" t="s">
        <v>24</v>
      </c>
      <c r="H27" s="12" t="s">
        <v>184</v>
      </c>
      <c r="I27" s="12" t="s">
        <v>91</v>
      </c>
    </row>
    <row r="28" spans="1:9" ht="15.5" x14ac:dyDescent="0.35">
      <c r="A28" s="14" t="s">
        <v>710</v>
      </c>
      <c r="B28" s="12" t="s" cm="1">
        <v>19</v>
      </c>
      <c r="C28" s="12" t="s" cm="1">
        <v>1644</v>
      </c>
      <c r="D28" s="12" t="s">
        <v>1663</v>
      </c>
      <c r="E28" s="12" t="s" cm="1">
        <v>1635</v>
      </c>
      <c r="F28" s="12" t="s">
        <v>1664</v>
      </c>
      <c r="G28" s="12" t="s">
        <v>24</v>
      </c>
      <c r="H28" s="12" t="s">
        <v>599</v>
      </c>
      <c r="I28" s="12" t="s">
        <v>598</v>
      </c>
    </row>
    <row r="29" spans="1:9" ht="15.5" x14ac:dyDescent="0.35">
      <c r="A29" s="14" t="s">
        <v>697</v>
      </c>
      <c r="B29" s="12" t="s" cm="1">
        <v>19</v>
      </c>
      <c r="C29" s="12" t="s" cm="1">
        <v>1644</v>
      </c>
      <c r="D29" s="12" t="s">
        <v>1665</v>
      </c>
      <c r="E29" s="12" t="s" cm="1">
        <v>1635</v>
      </c>
      <c r="F29" s="12" t="s">
        <v>1664</v>
      </c>
      <c r="G29" s="12" t="s">
        <v>24</v>
      </c>
      <c r="H29" s="12" t="s">
        <v>595</v>
      </c>
      <c r="I29" s="12" t="s">
        <v>594</v>
      </c>
    </row>
    <row r="30" spans="1:9" ht="15.5" x14ac:dyDescent="0.35">
      <c r="A30" s="14" t="s">
        <v>658</v>
      </c>
      <c r="B30" s="12" t="s" cm="1">
        <v>19</v>
      </c>
      <c r="C30" s="12" t="s" cm="1">
        <v>1644</v>
      </c>
      <c r="D30" s="12" t="s">
        <v>1666</v>
      </c>
      <c r="E30" s="12" t="s" cm="1">
        <v>1635</v>
      </c>
      <c r="F30" s="12" t="s">
        <v>1664</v>
      </c>
      <c r="G30" s="12" t="s">
        <v>24</v>
      </c>
      <c r="H30" s="12" t="s">
        <v>595</v>
      </c>
      <c r="I30" s="12" t="s">
        <v>594</v>
      </c>
    </row>
    <row r="31" spans="1:9" ht="15.5" x14ac:dyDescent="0.35">
      <c r="A31" s="14" t="s">
        <v>656</v>
      </c>
      <c r="B31" s="12" t="s" cm="1">
        <v>19</v>
      </c>
      <c r="C31" s="12" t="s" cm="1">
        <v>1644</v>
      </c>
      <c r="D31" s="12" t="s">
        <v>1667</v>
      </c>
      <c r="E31" s="12" t="s" cm="1">
        <v>1635</v>
      </c>
      <c r="F31" s="12" t="s">
        <v>1664</v>
      </c>
      <c r="G31" s="12" t="s">
        <v>24</v>
      </c>
      <c r="H31" s="12" t="s">
        <v>595</v>
      </c>
      <c r="I31" s="12" t="s">
        <v>594</v>
      </c>
    </row>
    <row r="32" spans="1:9" ht="15.5" x14ac:dyDescent="0.35">
      <c r="A32" s="14" t="s">
        <v>654</v>
      </c>
      <c r="B32" s="12" t="s" cm="1">
        <v>19</v>
      </c>
      <c r="C32" s="12" t="s" cm="1">
        <v>1644</v>
      </c>
      <c r="D32" s="12" t="s">
        <v>1668</v>
      </c>
      <c r="E32" s="12" t="s" cm="1">
        <v>1635</v>
      </c>
      <c r="F32" s="12" t="s">
        <v>1664</v>
      </c>
      <c r="G32" s="12" t="s">
        <v>24</v>
      </c>
      <c r="H32" s="12" t="s">
        <v>599</v>
      </c>
      <c r="I32" s="12" t="s">
        <v>598</v>
      </c>
    </row>
    <row r="33" spans="1:9" ht="15.5" x14ac:dyDescent="0.35">
      <c r="A33" s="14" t="s">
        <v>666</v>
      </c>
      <c r="B33" s="12" t="s" cm="1">
        <v>19</v>
      </c>
      <c r="C33" s="12" t="s" cm="1">
        <v>1644</v>
      </c>
      <c r="D33" s="12" t="s">
        <v>1669</v>
      </c>
      <c r="E33" s="12" t="s" cm="1">
        <v>1635</v>
      </c>
      <c r="F33" s="12" t="s">
        <v>1664</v>
      </c>
      <c r="G33" s="12" t="s">
        <v>24</v>
      </c>
      <c r="H33" s="12" t="s">
        <v>595</v>
      </c>
      <c r="I33" s="12" t="s">
        <v>594</v>
      </c>
    </row>
    <row r="34" spans="1:9" ht="15.5" x14ac:dyDescent="0.35">
      <c r="A34" s="14" t="s">
        <v>692</v>
      </c>
      <c r="B34" s="12" t="s" cm="1">
        <v>19</v>
      </c>
      <c r="C34" s="12" t="s" cm="1">
        <v>1644</v>
      </c>
      <c r="D34" s="12" t="s">
        <v>1670</v>
      </c>
      <c r="E34" s="12" t="s" cm="1">
        <v>1635</v>
      </c>
      <c r="F34" s="12" t="s">
        <v>1664</v>
      </c>
      <c r="G34" s="12" t="s">
        <v>24</v>
      </c>
      <c r="H34" s="12" t="s">
        <v>45</v>
      </c>
      <c r="I34" s="12" t="s">
        <v>44</v>
      </c>
    </row>
    <row r="35" spans="1:9" ht="15.5" x14ac:dyDescent="0.35">
      <c r="A35" s="14" t="s">
        <v>646</v>
      </c>
      <c r="B35" s="12" t="s" cm="1">
        <v>19</v>
      </c>
      <c r="C35" s="12" t="s" cm="1">
        <v>1644</v>
      </c>
      <c r="D35" s="12" t="s">
        <v>1671</v>
      </c>
      <c r="E35" s="12" t="s" cm="1">
        <v>1635</v>
      </c>
      <c r="F35" s="12" t="s">
        <v>1664</v>
      </c>
      <c r="G35" s="12" t="s">
        <v>24</v>
      </c>
      <c r="H35" s="12" t="s">
        <v>599</v>
      </c>
      <c r="I35" s="12" t="s">
        <v>598</v>
      </c>
    </row>
    <row r="36" spans="1:9" ht="15.5" x14ac:dyDescent="0.35">
      <c r="A36" s="14" t="s">
        <v>662</v>
      </c>
      <c r="B36" s="12" t="s" cm="1">
        <v>19</v>
      </c>
      <c r="C36" s="12" t="s" cm="1">
        <v>1644</v>
      </c>
      <c r="D36" s="12" t="s">
        <v>1672</v>
      </c>
      <c r="E36" s="12" t="s" cm="1">
        <v>1635</v>
      </c>
      <c r="F36" s="12" t="s">
        <v>1664</v>
      </c>
      <c r="G36" s="12" t="s">
        <v>24</v>
      </c>
      <c r="H36" s="12" t="s">
        <v>599</v>
      </c>
      <c r="I36" s="12" t="s">
        <v>598</v>
      </c>
    </row>
    <row r="37" spans="1:9" ht="15.5" x14ac:dyDescent="0.35">
      <c r="A37" s="14" t="s">
        <v>614</v>
      </c>
      <c r="B37" s="15" t="s" cm="1">
        <v>19</v>
      </c>
      <c r="C37" s="15" t="s" cm="1">
        <v>1644</v>
      </c>
      <c r="D37" s="15" t="s">
        <v>1673</v>
      </c>
      <c r="E37" s="15" t="s" cm="1">
        <v>1635</v>
      </c>
      <c r="F37" s="12" t="s">
        <v>1664</v>
      </c>
      <c r="G37" s="12" t="s">
        <v>24</v>
      </c>
      <c r="H37" s="12" t="s">
        <v>595</v>
      </c>
      <c r="I37" s="12" t="s">
        <v>594</v>
      </c>
    </row>
    <row r="38" spans="1:9" ht="15.5" x14ac:dyDescent="0.35">
      <c r="A38" s="14" t="s">
        <v>612</v>
      </c>
      <c r="B38" s="15" t="s" cm="1">
        <v>19</v>
      </c>
      <c r="C38" s="15" t="s" cm="1">
        <v>1644</v>
      </c>
      <c r="D38" s="15" t="s">
        <v>1674</v>
      </c>
      <c r="E38" s="15" t="s" cm="1">
        <v>1635</v>
      </c>
      <c r="F38" s="12" t="s">
        <v>1664</v>
      </c>
      <c r="G38" s="12" t="s">
        <v>24</v>
      </c>
      <c r="H38" s="12" t="s">
        <v>35</v>
      </c>
      <c r="I38" s="12" t="s">
        <v>34</v>
      </c>
    </row>
    <row r="39" spans="1:9" ht="15.5" x14ac:dyDescent="0.35">
      <c r="A39" s="14" t="s">
        <v>634</v>
      </c>
      <c r="B39" s="15" t="s" cm="1">
        <v>19</v>
      </c>
      <c r="C39" s="15" t="s" cm="1">
        <v>1644</v>
      </c>
      <c r="D39" s="15" t="s">
        <v>1675</v>
      </c>
      <c r="E39" s="15" t="s" cm="1">
        <v>1635</v>
      </c>
      <c r="F39" s="12" t="s">
        <v>1664</v>
      </c>
      <c r="G39" s="12" t="s">
        <v>24</v>
      </c>
      <c r="H39" s="12" t="s">
        <v>599</v>
      </c>
      <c r="I39" s="12" t="s">
        <v>598</v>
      </c>
    </row>
    <row r="40" spans="1:9" ht="15.5" x14ac:dyDescent="0.35">
      <c r="A40" s="14" t="s">
        <v>632</v>
      </c>
      <c r="B40" s="15" t="s" cm="1">
        <v>19</v>
      </c>
      <c r="C40" s="15" t="s" cm="1">
        <v>1644</v>
      </c>
      <c r="D40" s="15" t="s">
        <v>1676</v>
      </c>
      <c r="E40" s="15" t="s" cm="1">
        <v>1635</v>
      </c>
      <c r="F40" s="12" t="s">
        <v>1664</v>
      </c>
      <c r="G40" s="12" t="s">
        <v>24</v>
      </c>
      <c r="H40" s="12" t="s">
        <v>45</v>
      </c>
      <c r="I40" s="12" t="s">
        <v>44</v>
      </c>
    </row>
    <row r="41" spans="1:9" ht="15.5" x14ac:dyDescent="0.35">
      <c r="A41" s="14" t="s">
        <v>604</v>
      </c>
      <c r="B41" s="15" t="s" cm="1">
        <v>19</v>
      </c>
      <c r="C41" s="15" t="s" cm="1">
        <v>1644</v>
      </c>
      <c r="D41" s="15" t="s">
        <v>1677</v>
      </c>
      <c r="E41" s="15" t="s" cm="1">
        <v>1635</v>
      </c>
      <c r="F41" s="12" t="s">
        <v>1664</v>
      </c>
      <c r="G41" s="12" t="s">
        <v>24</v>
      </c>
      <c r="H41" s="12" t="s">
        <v>599</v>
      </c>
      <c r="I41" s="12" t="s">
        <v>598</v>
      </c>
    </row>
    <row r="42" spans="1:9" ht="15.5" x14ac:dyDescent="0.35">
      <c r="A42" s="14" t="s">
        <v>610</v>
      </c>
      <c r="B42" s="15" t="s" cm="1">
        <v>19</v>
      </c>
      <c r="C42" s="15" t="s" cm="1">
        <v>1644</v>
      </c>
      <c r="D42" s="15" t="s">
        <v>1678</v>
      </c>
      <c r="E42" s="15" t="s" cm="1">
        <v>1635</v>
      </c>
      <c r="F42" s="12" t="s">
        <v>1636</v>
      </c>
      <c r="G42" s="12" t="s">
        <v>24</v>
      </c>
      <c r="H42" s="12" t="s">
        <v>45</v>
      </c>
      <c r="I42" s="12" t="s">
        <v>44</v>
      </c>
    </row>
    <row r="43" spans="1:9" ht="15.5" x14ac:dyDescent="0.35">
      <c r="A43" s="14" t="s">
        <v>638</v>
      </c>
      <c r="B43" s="15" t="s" cm="1">
        <v>19</v>
      </c>
      <c r="C43" s="15" t="s" cm="1">
        <v>1644</v>
      </c>
      <c r="D43" s="15" t="s">
        <v>1679</v>
      </c>
      <c r="E43" s="15" t="s" cm="1">
        <v>1635</v>
      </c>
      <c r="F43" s="12" t="s">
        <v>1636</v>
      </c>
      <c r="G43" s="12" t="s">
        <v>24</v>
      </c>
      <c r="H43" s="12" t="s">
        <v>45</v>
      </c>
      <c r="I43" s="12" t="s">
        <v>44</v>
      </c>
    </row>
    <row r="44" spans="1:9" ht="15.5" x14ac:dyDescent="0.35">
      <c r="A44" s="14" t="s">
        <v>636</v>
      </c>
      <c r="B44" s="15" t="s" cm="1">
        <v>19</v>
      </c>
      <c r="C44" s="15" t="s" cm="1">
        <v>1644</v>
      </c>
      <c r="D44" s="15" t="s">
        <v>1680</v>
      </c>
      <c r="E44" s="15" t="s" cm="1">
        <v>1635</v>
      </c>
      <c r="F44" s="12" t="s">
        <v>1636</v>
      </c>
      <c r="G44" s="12" t="s">
        <v>24</v>
      </c>
      <c r="H44" s="12" t="s">
        <v>599</v>
      </c>
      <c r="I44" s="12" t="s">
        <v>598</v>
      </c>
    </row>
    <row r="45" spans="1:9" ht="15.5" x14ac:dyDescent="0.35">
      <c r="A45" s="14" t="s">
        <v>624</v>
      </c>
      <c r="B45" s="15" t="s" cm="1">
        <v>19</v>
      </c>
      <c r="C45" s="15" t="s" cm="1">
        <v>1644</v>
      </c>
      <c r="D45" s="15" t="s">
        <v>1681</v>
      </c>
      <c r="E45" s="15" t="s" cm="1">
        <v>1635</v>
      </c>
      <c r="F45" s="12" t="s">
        <v>1636</v>
      </c>
      <c r="G45" s="12" t="s">
        <v>24</v>
      </c>
      <c r="H45" s="12" t="s">
        <v>595</v>
      </c>
      <c r="I45" s="12" t="s">
        <v>594</v>
      </c>
    </row>
    <row r="46" spans="1:9" ht="15.5" x14ac:dyDescent="0.35">
      <c r="A46" s="14" t="s">
        <v>622</v>
      </c>
      <c r="B46" s="15" t="s" cm="1">
        <v>19</v>
      </c>
      <c r="C46" s="15" t="s" cm="1">
        <v>1644</v>
      </c>
      <c r="D46" s="15" t="s">
        <v>1682</v>
      </c>
      <c r="E46" s="15" t="s" cm="1">
        <v>1635</v>
      </c>
      <c r="F46" s="12" t="s">
        <v>1636</v>
      </c>
      <c r="G46" s="12" t="s">
        <v>24</v>
      </c>
      <c r="H46" s="12" t="s">
        <v>595</v>
      </c>
      <c r="I46" s="12" t="s">
        <v>594</v>
      </c>
    </row>
    <row r="47" spans="1:9" ht="15.5" x14ac:dyDescent="0.35">
      <c r="A47" s="14" t="s">
        <v>620</v>
      </c>
      <c r="B47" s="15" t="s" cm="1">
        <v>19</v>
      </c>
      <c r="C47" s="15" t="s" cm="1">
        <v>1644</v>
      </c>
      <c r="D47" s="15" t="s">
        <v>1683</v>
      </c>
      <c r="E47" s="15" t="s" cm="1">
        <v>1635</v>
      </c>
      <c r="F47" s="12" t="s">
        <v>1636</v>
      </c>
      <c r="G47" s="12" t="s">
        <v>24</v>
      </c>
      <c r="H47" s="12" t="s">
        <v>595</v>
      </c>
      <c r="I47" s="12" t="s">
        <v>594</v>
      </c>
    </row>
    <row r="48" spans="1:9" ht="15.5" x14ac:dyDescent="0.35">
      <c r="A48" s="14" t="s">
        <v>618</v>
      </c>
      <c r="B48" s="15" t="s" cm="1">
        <v>19</v>
      </c>
      <c r="C48" s="15" t="s" cm="1">
        <v>1644</v>
      </c>
      <c r="D48" s="15" t="s">
        <v>1684</v>
      </c>
      <c r="E48" s="15" t="s" cm="1">
        <v>1635</v>
      </c>
      <c r="F48" s="12" t="s">
        <v>1636</v>
      </c>
      <c r="G48" s="12" t="s">
        <v>24</v>
      </c>
      <c r="H48" s="12" t="s">
        <v>595</v>
      </c>
      <c r="I48" s="12" t="s">
        <v>594</v>
      </c>
    </row>
    <row r="49" spans="1:9" ht="15.5" x14ac:dyDescent="0.35">
      <c r="A49" s="14" t="s">
        <v>616</v>
      </c>
      <c r="B49" s="15" t="s" cm="1">
        <v>19</v>
      </c>
      <c r="C49" s="15" t="s" cm="1">
        <v>1644</v>
      </c>
      <c r="D49" s="15" t="s">
        <v>1685</v>
      </c>
      <c r="E49" s="15" t="s" cm="1">
        <v>1635</v>
      </c>
      <c r="F49" s="12" t="s">
        <v>1636</v>
      </c>
      <c r="G49" s="12" t="s">
        <v>24</v>
      </c>
      <c r="H49" s="12" t="s">
        <v>595</v>
      </c>
      <c r="I49" s="12" t="s">
        <v>594</v>
      </c>
    </row>
    <row r="50" spans="1:9" ht="15.5" x14ac:dyDescent="0.35">
      <c r="A50" s="14" t="s">
        <v>644</v>
      </c>
      <c r="B50" s="15" t="s" cm="1">
        <v>19</v>
      </c>
      <c r="C50" s="15" t="s" cm="1">
        <v>1644</v>
      </c>
      <c r="D50" s="15" t="s">
        <v>1686</v>
      </c>
      <c r="E50" s="15" t="s" cm="1">
        <v>1635</v>
      </c>
      <c r="F50" s="12" t="s">
        <v>1636</v>
      </c>
      <c r="G50" s="12" t="s">
        <v>24</v>
      </c>
      <c r="H50" s="12" t="s">
        <v>45</v>
      </c>
      <c r="I50" s="12" t="s">
        <v>44</v>
      </c>
    </row>
    <row r="51" spans="1:9" ht="15.5" x14ac:dyDescent="0.35">
      <c r="A51" s="14" t="s">
        <v>185</v>
      </c>
      <c r="B51" s="15" t="s" cm="1">
        <v>19</v>
      </c>
      <c r="C51" s="15" t="s" cm="1">
        <v>1644</v>
      </c>
      <c r="D51" s="15" t="s">
        <v>1687</v>
      </c>
      <c r="E51" s="15" t="s" cm="1">
        <v>1635</v>
      </c>
      <c r="F51" s="12" t="s">
        <v>1664</v>
      </c>
      <c r="G51" s="12" t="s">
        <v>24</v>
      </c>
      <c r="H51" s="12" t="s">
        <v>184</v>
      </c>
      <c r="I51" s="12" t="s">
        <v>91</v>
      </c>
    </row>
    <row r="52" spans="1:9" ht="15.5" x14ac:dyDescent="0.35">
      <c r="A52" s="14" t="s">
        <v>182</v>
      </c>
      <c r="B52" s="15" t="s" cm="1">
        <v>19</v>
      </c>
      <c r="C52" s="15" t="s" cm="1">
        <v>1644</v>
      </c>
      <c r="D52" s="15" t="s">
        <v>1688</v>
      </c>
      <c r="E52" s="15" t="s" cm="1">
        <v>1635</v>
      </c>
      <c r="F52" s="12" t="s">
        <v>1643</v>
      </c>
      <c r="G52" s="12" t="s">
        <v>24</v>
      </c>
      <c r="H52" s="12" t="s">
        <v>184</v>
      </c>
      <c r="I52" s="12" t="s">
        <v>91</v>
      </c>
    </row>
    <row r="53" spans="1:9" ht="15.5" x14ac:dyDescent="0.35">
      <c r="A53" s="14" t="s">
        <v>602</v>
      </c>
      <c r="B53" s="15" t="s" cm="1">
        <v>19</v>
      </c>
      <c r="C53" s="15" t="s" cm="1">
        <v>1644</v>
      </c>
      <c r="D53" s="15" t="s">
        <v>1689</v>
      </c>
      <c r="E53" s="15" t="s" cm="1">
        <v>1635</v>
      </c>
      <c r="F53" s="12" t="s">
        <v>1643</v>
      </c>
      <c r="G53" s="12" t="s">
        <v>24</v>
      </c>
      <c r="H53" s="12" t="s">
        <v>599</v>
      </c>
      <c r="I53" s="12" t="s">
        <v>598</v>
      </c>
    </row>
    <row r="54" spans="1:9" ht="15.5" x14ac:dyDescent="0.35">
      <c r="A54" s="14" t="s">
        <v>686</v>
      </c>
      <c r="B54" s="15" t="s" cm="1">
        <v>19</v>
      </c>
      <c r="C54" s="15" t="s" cm="1">
        <v>1644</v>
      </c>
      <c r="D54" s="15" t="s">
        <v>1690</v>
      </c>
      <c r="E54" s="15" t="s" cm="1">
        <v>1635</v>
      </c>
      <c r="F54" s="12" t="s">
        <v>1643</v>
      </c>
      <c r="G54" s="12" t="s">
        <v>24</v>
      </c>
      <c r="H54" s="12" t="s">
        <v>29</v>
      </c>
      <c r="I54" s="12" t="s">
        <v>28</v>
      </c>
    </row>
    <row r="55" spans="1:9" ht="15.5" x14ac:dyDescent="0.35">
      <c r="A55" s="14" t="s">
        <v>703</v>
      </c>
      <c r="B55" s="15" t="s" cm="1">
        <v>19</v>
      </c>
      <c r="C55" s="15" t="s" cm="1">
        <v>1644</v>
      </c>
      <c r="D55" s="15" t="s">
        <v>1691</v>
      </c>
      <c r="E55" s="15" t="s" cm="1">
        <v>1635</v>
      </c>
      <c r="F55" s="12" t="s">
        <v>1641</v>
      </c>
      <c r="G55" s="12" t="s">
        <v>24</v>
      </c>
      <c r="H55" s="12" t="s">
        <v>35</v>
      </c>
      <c r="I55" s="12" t="s">
        <v>34</v>
      </c>
    </row>
    <row r="56" spans="1:9" ht="15.5" x14ac:dyDescent="0.35">
      <c r="A56" s="14" t="s">
        <v>695</v>
      </c>
      <c r="B56" s="15" t="s" cm="1">
        <v>19</v>
      </c>
      <c r="C56" s="15" t="s" cm="1">
        <v>1644</v>
      </c>
      <c r="D56" s="15" t="s">
        <v>1692</v>
      </c>
      <c r="E56" s="15" t="s" cm="1">
        <v>1635</v>
      </c>
      <c r="F56" s="12" t="s">
        <v>1693</v>
      </c>
      <c r="G56" s="12" t="s">
        <v>24</v>
      </c>
      <c r="H56" s="12" t="s">
        <v>45</v>
      </c>
      <c r="I56" s="12" t="s">
        <v>44</v>
      </c>
    </row>
    <row r="57" spans="1:9" ht="15.5" x14ac:dyDescent="0.35">
      <c r="A57" s="14" t="s">
        <v>485</v>
      </c>
      <c r="B57" s="15" t="s" cm="1">
        <v>19</v>
      </c>
      <c r="C57" s="15" t="s" cm="1">
        <v>1644</v>
      </c>
      <c r="D57" s="15" t="s">
        <v>1694</v>
      </c>
      <c r="E57" s="15" t="s" cm="1">
        <v>1695</v>
      </c>
      <c r="F57" s="12" t="s">
        <v>24</v>
      </c>
      <c r="G57" s="12" t="s">
        <v>24</v>
      </c>
      <c r="H57" s="12" t="s">
        <v>184</v>
      </c>
      <c r="I57" s="12" t="s">
        <v>91</v>
      </c>
    </row>
    <row r="58" spans="1:9" ht="15.5" x14ac:dyDescent="0.35">
      <c r="A58" s="14" t="s">
        <v>483</v>
      </c>
      <c r="B58" s="15" t="s" cm="1">
        <v>19</v>
      </c>
      <c r="C58" s="15" t="s" cm="1">
        <v>1644</v>
      </c>
      <c r="D58" s="15" t="s">
        <v>1696</v>
      </c>
      <c r="E58" s="15" t="s" cm="1">
        <v>1695</v>
      </c>
      <c r="F58" s="12" t="s">
        <v>24</v>
      </c>
      <c r="G58" s="12" t="s">
        <v>24</v>
      </c>
      <c r="H58" s="12" t="s">
        <v>92</v>
      </c>
      <c r="I58" s="12" t="s">
        <v>91</v>
      </c>
    </row>
    <row r="59" spans="1:9" ht="15.5" x14ac:dyDescent="0.35">
      <c r="A59" s="14" t="s">
        <v>481</v>
      </c>
      <c r="B59" s="15" t="s" cm="1">
        <v>19</v>
      </c>
      <c r="C59" s="15" t="s" cm="1">
        <v>1644</v>
      </c>
      <c r="D59" s="15" t="s">
        <v>1697</v>
      </c>
      <c r="E59" s="15" t="s" cm="1">
        <v>1695</v>
      </c>
      <c r="F59" s="12" t="s">
        <v>24</v>
      </c>
      <c r="G59" s="12" t="s">
        <v>24</v>
      </c>
      <c r="H59" s="12" t="s">
        <v>184</v>
      </c>
      <c r="I59" s="12" t="s">
        <v>91</v>
      </c>
    </row>
    <row r="60" spans="1:9" ht="15.5" x14ac:dyDescent="0.35">
      <c r="A60" s="14" t="s">
        <v>489</v>
      </c>
      <c r="B60" s="15" t="s" cm="1">
        <v>19</v>
      </c>
      <c r="C60" s="15" t="s" cm="1">
        <v>1644</v>
      </c>
      <c r="D60" s="15" t="s">
        <v>1698</v>
      </c>
      <c r="E60" s="15" t="s" cm="1">
        <v>1695</v>
      </c>
      <c r="F60" s="12" t="s">
        <v>24</v>
      </c>
      <c r="G60" s="12" t="s">
        <v>24</v>
      </c>
      <c r="H60" s="12" t="s">
        <v>184</v>
      </c>
      <c r="I60" s="12" t="s">
        <v>91</v>
      </c>
    </row>
    <row r="61" spans="1:9" ht="15.5" x14ac:dyDescent="0.35">
      <c r="A61" s="14" t="s">
        <v>201</v>
      </c>
      <c r="B61" s="15" t="s" cm="1">
        <v>19</v>
      </c>
      <c r="C61" s="15" t="s" cm="1">
        <v>1644</v>
      </c>
      <c r="D61" s="15" t="s">
        <v>1699</v>
      </c>
      <c r="E61" s="15" t="s" cm="1">
        <v>1639</v>
      </c>
      <c r="F61" s="12" t="s">
        <v>1636</v>
      </c>
      <c r="G61" s="12" t="s">
        <v>24</v>
      </c>
      <c r="H61" s="12" t="s">
        <v>52</v>
      </c>
      <c r="I61" s="12" t="s">
        <v>51</v>
      </c>
    </row>
    <row r="62" spans="1:9" ht="15.5" x14ac:dyDescent="0.35">
      <c r="A62" s="14" t="s">
        <v>491</v>
      </c>
      <c r="B62" s="15" t="s" cm="1">
        <v>19</v>
      </c>
      <c r="C62" s="15" t="s" cm="1">
        <v>1644</v>
      </c>
      <c r="D62" s="15" t="s">
        <v>1700</v>
      </c>
      <c r="E62" s="15" t="s" cm="1">
        <v>1639</v>
      </c>
      <c r="F62" s="12" t="s">
        <v>1636</v>
      </c>
      <c r="G62" s="12" t="s">
        <v>24</v>
      </c>
      <c r="H62" s="12" t="s">
        <v>184</v>
      </c>
      <c r="I62" s="12" t="s">
        <v>91</v>
      </c>
    </row>
    <row r="63" spans="1:9" ht="15.5" x14ac:dyDescent="0.35">
      <c r="A63" s="14" t="s">
        <v>525</v>
      </c>
      <c r="B63" s="15" t="s" cm="1">
        <v>19</v>
      </c>
      <c r="C63" s="15" t="s" cm="1">
        <v>1644</v>
      </c>
      <c r="D63" s="15" t="s">
        <v>1701</v>
      </c>
      <c r="E63" s="15" t="s" cm="1">
        <v>1639</v>
      </c>
      <c r="F63" s="12" t="s">
        <v>1636</v>
      </c>
      <c r="G63" s="12" t="s">
        <v>24</v>
      </c>
      <c r="H63" s="12" t="s">
        <v>184</v>
      </c>
      <c r="I63" s="12" t="s">
        <v>91</v>
      </c>
    </row>
    <row r="64" spans="1:9" ht="15.5" x14ac:dyDescent="0.35">
      <c r="A64" s="14" t="s">
        <v>582</v>
      </c>
      <c r="B64" s="15" t="s" cm="1">
        <v>19</v>
      </c>
      <c r="C64" s="15" t="s" cm="1">
        <v>1644</v>
      </c>
      <c r="D64" s="15" t="s">
        <v>1702</v>
      </c>
      <c r="E64" s="15" t="s" cm="1">
        <v>1639</v>
      </c>
      <c r="F64" s="12" t="s">
        <v>1636</v>
      </c>
      <c r="G64" s="12" t="s">
        <v>24</v>
      </c>
      <c r="H64" s="12" t="s">
        <v>585</v>
      </c>
      <c r="I64" s="12" t="s">
        <v>584</v>
      </c>
    </row>
    <row r="65" spans="1:9" ht="15.5" x14ac:dyDescent="0.35">
      <c r="A65" s="14" t="s">
        <v>664</v>
      </c>
      <c r="B65" s="15" t="s" cm="1">
        <v>19</v>
      </c>
      <c r="C65" s="15" t="s" cm="1">
        <v>1644</v>
      </c>
      <c r="D65" s="15" t="s">
        <v>1703</v>
      </c>
      <c r="E65" s="15" t="s" cm="1">
        <v>1639</v>
      </c>
      <c r="F65" s="12" t="s">
        <v>1636</v>
      </c>
      <c r="G65" s="12" t="s">
        <v>24</v>
      </c>
      <c r="H65" s="12" t="s">
        <v>45</v>
      </c>
      <c r="I65" s="12" t="s">
        <v>44</v>
      </c>
    </row>
    <row r="66" spans="1:9" ht="15.5" x14ac:dyDescent="0.35">
      <c r="A66" s="14" t="s">
        <v>652</v>
      </c>
      <c r="B66" s="15" t="s" cm="1">
        <v>19</v>
      </c>
      <c r="C66" s="15" t="s" cm="1">
        <v>1644</v>
      </c>
      <c r="D66" s="15" t="s">
        <v>1704</v>
      </c>
      <c r="E66" s="15" t="s" cm="1">
        <v>1639</v>
      </c>
      <c r="F66" s="12" t="s">
        <v>1636</v>
      </c>
      <c r="G66" s="12" t="s">
        <v>24</v>
      </c>
      <c r="H66" s="12" t="s">
        <v>45</v>
      </c>
      <c r="I66" s="12" t="s">
        <v>44</v>
      </c>
    </row>
    <row r="67" spans="1:9" ht="15.5" x14ac:dyDescent="0.35">
      <c r="A67" s="14" t="s">
        <v>648</v>
      </c>
      <c r="B67" s="15" t="s" cm="1">
        <v>19</v>
      </c>
      <c r="C67" s="15" t="s" cm="1">
        <v>1644</v>
      </c>
      <c r="D67" s="15" t="s">
        <v>1705</v>
      </c>
      <c r="E67" s="15" t="s" cm="1">
        <v>1639</v>
      </c>
      <c r="F67" s="12" t="s">
        <v>1636</v>
      </c>
      <c r="G67" s="12" t="s">
        <v>24</v>
      </c>
      <c r="H67" s="12" t="s">
        <v>35</v>
      </c>
      <c r="I67" s="12" t="s">
        <v>34</v>
      </c>
    </row>
    <row r="68" spans="1:9" ht="15.5" x14ac:dyDescent="0.35">
      <c r="A68" s="14" t="s">
        <v>640</v>
      </c>
      <c r="B68" s="15" t="s" cm="1">
        <v>19</v>
      </c>
      <c r="C68" s="15" t="s" cm="1">
        <v>1644</v>
      </c>
      <c r="D68" s="15" t="s">
        <v>1706</v>
      </c>
      <c r="E68" s="15" t="s" cm="1">
        <v>1639</v>
      </c>
      <c r="F68" s="12" t="s">
        <v>1636</v>
      </c>
      <c r="G68" s="12" t="s">
        <v>24</v>
      </c>
      <c r="H68" s="12" t="s">
        <v>45</v>
      </c>
      <c r="I68" s="12" t="s">
        <v>44</v>
      </c>
    </row>
    <row r="69" spans="1:9" ht="15.5" x14ac:dyDescent="0.35">
      <c r="A69" s="14" t="s">
        <v>527</v>
      </c>
      <c r="B69" s="15" t="s" cm="1">
        <v>19</v>
      </c>
      <c r="C69" s="15" t="s" cm="1">
        <v>1644</v>
      </c>
      <c r="D69" s="15" t="s">
        <v>1707</v>
      </c>
      <c r="E69" s="15" t="s" cm="1">
        <v>1635</v>
      </c>
      <c r="F69" s="12" t="s">
        <v>1638</v>
      </c>
      <c r="G69" s="12" t="s">
        <v>24</v>
      </c>
      <c r="H69" s="12" t="s">
        <v>184</v>
      </c>
      <c r="I69" s="12" t="s">
        <v>91</v>
      </c>
    </row>
    <row r="70" spans="1:9" ht="15.5" x14ac:dyDescent="0.35">
      <c r="A70" s="14" t="s">
        <v>720</v>
      </c>
      <c r="B70" s="15" t="s" cm="1">
        <v>19</v>
      </c>
      <c r="C70" s="15" t="s" cm="1">
        <v>1644</v>
      </c>
      <c r="D70" s="15" t="s">
        <v>1708</v>
      </c>
      <c r="E70" s="15" t="s" cm="1">
        <v>1635</v>
      </c>
      <c r="F70" s="12" t="s">
        <v>1638</v>
      </c>
      <c r="G70" s="12" t="s">
        <v>24</v>
      </c>
      <c r="H70" s="12" t="s">
        <v>45</v>
      </c>
      <c r="I70" s="12" t="s">
        <v>44</v>
      </c>
    </row>
    <row r="71" spans="1:9" ht="15.5" x14ac:dyDescent="0.35">
      <c r="A71" s="14" t="s">
        <v>718</v>
      </c>
      <c r="B71" s="15" t="s" cm="1">
        <v>19</v>
      </c>
      <c r="C71" s="15" t="s" cm="1">
        <v>1644</v>
      </c>
      <c r="D71" s="15" t="s">
        <v>1709</v>
      </c>
      <c r="E71" s="15" t="s" cm="1">
        <v>1635</v>
      </c>
      <c r="F71" s="12" t="s">
        <v>1638</v>
      </c>
      <c r="G71" s="12" t="s">
        <v>24</v>
      </c>
      <c r="H71" s="12" t="s">
        <v>599</v>
      </c>
      <c r="I71" s="12" t="s">
        <v>598</v>
      </c>
    </row>
    <row r="72" spans="1:9" ht="15.5" x14ac:dyDescent="0.35">
      <c r="A72" s="14" t="s">
        <v>716</v>
      </c>
      <c r="B72" s="15" t="s" cm="1">
        <v>19</v>
      </c>
      <c r="C72" s="15" t="s" cm="1">
        <v>1644</v>
      </c>
      <c r="D72" s="15" t="s">
        <v>1710</v>
      </c>
      <c r="E72" s="15" t="s" cm="1">
        <v>1635</v>
      </c>
      <c r="F72" s="12" t="s">
        <v>1638</v>
      </c>
      <c r="G72" s="12" t="s">
        <v>24</v>
      </c>
      <c r="H72" s="12" t="s">
        <v>595</v>
      </c>
      <c r="I72" s="12" t="s">
        <v>594</v>
      </c>
    </row>
    <row r="73" spans="1:9" ht="15.5" x14ac:dyDescent="0.35">
      <c r="A73" s="14" t="s">
        <v>650</v>
      </c>
      <c r="B73" s="15" t="s" cm="1">
        <v>19</v>
      </c>
      <c r="C73" s="15" t="s" cm="1">
        <v>1644</v>
      </c>
      <c r="D73" s="15" t="s">
        <v>1711</v>
      </c>
      <c r="E73" s="15" t="s" cm="1">
        <v>1635</v>
      </c>
      <c r="F73" s="12" t="s">
        <v>1638</v>
      </c>
      <c r="G73" s="12" t="s">
        <v>24</v>
      </c>
      <c r="H73" s="12" t="s">
        <v>45</v>
      </c>
      <c r="I73" s="12" t="s">
        <v>44</v>
      </c>
    </row>
    <row r="74" spans="1:9" ht="15.5" x14ac:dyDescent="0.35">
      <c r="A74" s="14" t="s">
        <v>600</v>
      </c>
      <c r="B74" s="15" t="s" cm="1">
        <v>19</v>
      </c>
      <c r="C74" s="15" t="s" cm="1">
        <v>1644</v>
      </c>
      <c r="D74" s="15" t="s">
        <v>1712</v>
      </c>
      <c r="E74" s="15" t="s" cm="1">
        <v>1635</v>
      </c>
      <c r="F74" s="12" t="s">
        <v>1638</v>
      </c>
      <c r="G74" s="12" t="s">
        <v>24</v>
      </c>
      <c r="H74" s="12" t="s">
        <v>599</v>
      </c>
      <c r="I74" s="12" t="s">
        <v>598</v>
      </c>
    </row>
    <row r="75" spans="1:9" ht="15.5" x14ac:dyDescent="0.35">
      <c r="A75" s="14" t="s">
        <v>596</v>
      </c>
      <c r="B75" s="15" t="s" cm="1">
        <v>19</v>
      </c>
      <c r="C75" s="15" t="s" cm="1">
        <v>1644</v>
      </c>
      <c r="D75" s="15" t="s">
        <v>1713</v>
      </c>
      <c r="E75" s="15" t="s" cm="1">
        <v>1635</v>
      </c>
      <c r="F75" s="12" t="s">
        <v>1638</v>
      </c>
      <c r="G75" s="12" t="s">
        <v>24</v>
      </c>
      <c r="H75" s="12" t="s">
        <v>599</v>
      </c>
      <c r="I75" s="12" t="s">
        <v>598</v>
      </c>
    </row>
    <row r="76" spans="1:9" ht="15.5" x14ac:dyDescent="0.35">
      <c r="A76" s="14" t="s">
        <v>493</v>
      </c>
      <c r="B76" s="15" t="s" cm="1">
        <v>19</v>
      </c>
      <c r="C76" s="15" t="s" cm="1">
        <v>1644</v>
      </c>
      <c r="D76" s="15" t="s">
        <v>1714</v>
      </c>
      <c r="E76" s="15" t="s" cm="1">
        <v>1639</v>
      </c>
      <c r="F76" s="12" t="s">
        <v>1638</v>
      </c>
      <c r="G76" s="12" t="s">
        <v>24</v>
      </c>
      <c r="H76" s="12" t="s">
        <v>92</v>
      </c>
      <c r="I76" s="12" t="s">
        <v>91</v>
      </c>
    </row>
    <row r="77" spans="1:9" ht="15.5" x14ac:dyDescent="0.35">
      <c r="A77" s="14" t="s">
        <v>462</v>
      </c>
      <c r="B77" s="15" t="s" cm="1">
        <v>19</v>
      </c>
      <c r="C77" s="15" t="s" cm="1">
        <v>1644</v>
      </c>
      <c r="D77" s="15" t="s">
        <v>1715</v>
      </c>
      <c r="E77" s="15" t="s" cm="1">
        <v>1639</v>
      </c>
      <c r="F77" s="12" t="s">
        <v>1638</v>
      </c>
      <c r="G77" s="12" t="s">
        <v>24</v>
      </c>
      <c r="H77" s="12" t="s">
        <v>184</v>
      </c>
      <c r="I77" s="12" t="s">
        <v>91</v>
      </c>
    </row>
    <row r="78" spans="1:9" ht="15.5" x14ac:dyDescent="0.35">
      <c r="A78" s="14" t="s">
        <v>626</v>
      </c>
      <c r="B78" s="15" t="s" cm="1">
        <v>19</v>
      </c>
      <c r="C78" s="15" t="s" cm="1">
        <v>1644</v>
      </c>
      <c r="D78" s="15" t="s">
        <v>1716</v>
      </c>
      <c r="E78" s="15" t="s" cm="1">
        <v>1635</v>
      </c>
      <c r="F78" s="12" t="s">
        <v>1649</v>
      </c>
      <c r="G78" s="12" t="s">
        <v>24</v>
      </c>
      <c r="H78" s="12" t="s">
        <v>595</v>
      </c>
      <c r="I78" s="12" t="s">
        <v>594</v>
      </c>
    </row>
    <row r="79" spans="1:9" ht="15.5" x14ac:dyDescent="0.35">
      <c r="A79" s="14" t="s">
        <v>507</v>
      </c>
      <c r="B79" s="15" t="s" cm="1">
        <v>19</v>
      </c>
      <c r="C79" s="15" t="s" cm="1">
        <v>1644</v>
      </c>
      <c r="D79" s="15" t="s">
        <v>1717</v>
      </c>
      <c r="E79" s="15" t="s" cm="1">
        <v>1639</v>
      </c>
      <c r="F79" s="12" t="s">
        <v>1638</v>
      </c>
      <c r="G79" s="12" t="s">
        <v>24</v>
      </c>
      <c r="H79" s="12" t="s">
        <v>184</v>
      </c>
      <c r="I79" s="12" t="s">
        <v>91</v>
      </c>
    </row>
    <row r="80" spans="1:9" ht="15.5" x14ac:dyDescent="0.35">
      <c r="A80" s="14" t="s">
        <v>191</v>
      </c>
      <c r="B80" s="15" t="s" cm="1">
        <v>19</v>
      </c>
      <c r="C80" s="15" t="s" cm="1">
        <v>1644</v>
      </c>
      <c r="D80" s="15" t="s">
        <v>1718</v>
      </c>
      <c r="E80" s="15" t="s" cm="1">
        <v>1639</v>
      </c>
      <c r="F80" s="12" t="s">
        <v>1638</v>
      </c>
      <c r="G80" s="12" t="s">
        <v>24</v>
      </c>
      <c r="H80" s="12" t="s">
        <v>184</v>
      </c>
      <c r="I80" s="12" t="s">
        <v>91</v>
      </c>
    </row>
    <row r="81" spans="1:9" ht="15.5" x14ac:dyDescent="0.35">
      <c r="A81" s="14" t="s">
        <v>188</v>
      </c>
      <c r="B81" s="15" t="s" cm="1">
        <v>19</v>
      </c>
      <c r="C81" s="15" t="s" cm="1">
        <v>1644</v>
      </c>
      <c r="D81" s="15" t="s">
        <v>1719</v>
      </c>
      <c r="E81" s="15" t="s" cm="1">
        <v>1639</v>
      </c>
      <c r="F81" s="12" t="s">
        <v>1638</v>
      </c>
      <c r="G81" s="12" t="s">
        <v>24</v>
      </c>
      <c r="H81" s="12" t="s">
        <v>184</v>
      </c>
      <c r="I81" s="12" t="s">
        <v>91</v>
      </c>
    </row>
    <row r="82" spans="1:9" ht="15.5" x14ac:dyDescent="0.35">
      <c r="A82" s="14" t="s">
        <v>590</v>
      </c>
      <c r="B82" s="15" t="s" cm="1">
        <v>19</v>
      </c>
      <c r="C82" s="15" t="s" cm="1">
        <v>1644</v>
      </c>
      <c r="D82" s="15" t="s">
        <v>1720</v>
      </c>
      <c r="E82" s="15" t="s" cm="1">
        <v>1639</v>
      </c>
      <c r="F82" s="12" t="s">
        <v>1636</v>
      </c>
      <c r="G82" s="12" t="s">
        <v>24</v>
      </c>
      <c r="H82" s="12" t="s">
        <v>35</v>
      </c>
      <c r="I82" s="12" t="s">
        <v>34</v>
      </c>
    </row>
    <row r="83" spans="1:9" ht="15.5" x14ac:dyDescent="0.35">
      <c r="A83" s="14" t="s">
        <v>588</v>
      </c>
      <c r="B83" s="15" t="s" cm="1">
        <v>19</v>
      </c>
      <c r="C83" s="15" t="s" cm="1">
        <v>1644</v>
      </c>
      <c r="D83" s="15" t="s">
        <v>1721</v>
      </c>
      <c r="E83" s="15" t="s" cm="1">
        <v>1639</v>
      </c>
      <c r="F83" s="12" t="s">
        <v>1636</v>
      </c>
      <c r="G83" s="12" t="s">
        <v>24</v>
      </c>
      <c r="H83" s="12" t="s">
        <v>45</v>
      </c>
      <c r="I83" s="12" t="s">
        <v>44</v>
      </c>
    </row>
    <row r="84" spans="1:9" ht="15.5" x14ac:dyDescent="0.35">
      <c r="A84" s="14" t="s">
        <v>724</v>
      </c>
      <c r="B84" s="15" t="s" cm="1">
        <v>19</v>
      </c>
      <c r="C84" s="15" t="s" cm="1">
        <v>1644</v>
      </c>
      <c r="D84" s="15" t="s">
        <v>1722</v>
      </c>
      <c r="E84" s="15" t="s" cm="1">
        <v>1635</v>
      </c>
      <c r="F84" s="12" t="s">
        <v>1693</v>
      </c>
      <c r="G84" s="12" t="s">
        <v>24</v>
      </c>
      <c r="H84" s="12" t="s">
        <v>45</v>
      </c>
      <c r="I84" s="12" t="s">
        <v>44</v>
      </c>
    </row>
    <row r="85" spans="1:9" ht="15.5" x14ac:dyDescent="0.35">
      <c r="A85" s="14" t="s">
        <v>446</v>
      </c>
      <c r="B85" s="15" t="s" cm="1">
        <v>19</v>
      </c>
      <c r="C85" s="15" t="s" cm="1">
        <v>1644</v>
      </c>
      <c r="D85" s="15" t="s">
        <v>1723</v>
      </c>
      <c r="E85" s="15" t="s" cm="1">
        <v>1639</v>
      </c>
      <c r="F85" s="12" t="s">
        <v>1638</v>
      </c>
      <c r="G85" s="12" t="s">
        <v>24</v>
      </c>
      <c r="H85" s="12" t="s">
        <v>184</v>
      </c>
      <c r="I85" s="12" t="s">
        <v>91</v>
      </c>
    </row>
    <row r="86" spans="1:9" ht="15.5" x14ac:dyDescent="0.35">
      <c r="A86" s="14" t="s">
        <v>740</v>
      </c>
      <c r="B86" s="15" t="s" cm="1">
        <v>19</v>
      </c>
      <c r="C86" s="15" t="s" cm="1">
        <v>1644</v>
      </c>
      <c r="D86" s="15" t="s">
        <v>1724</v>
      </c>
      <c r="E86" s="15" t="s" cm="1">
        <v>1635</v>
      </c>
      <c r="F86" s="12" t="s">
        <v>1664</v>
      </c>
      <c r="G86" s="12" t="s">
        <v>879</v>
      </c>
      <c r="H86" s="12" t="s">
        <v>599</v>
      </c>
      <c r="I86" s="12" t="s">
        <v>598</v>
      </c>
    </row>
    <row r="87" spans="1:9" ht="15.5" x14ac:dyDescent="0.35">
      <c r="A87" s="14" t="s">
        <v>714</v>
      </c>
      <c r="B87" s="15" t="s" cm="1">
        <v>19</v>
      </c>
      <c r="C87" s="15" t="s" cm="1">
        <v>1644</v>
      </c>
      <c r="D87" s="15" t="s">
        <v>1725</v>
      </c>
      <c r="E87" s="15" t="s" cm="1">
        <v>1635</v>
      </c>
      <c r="F87" s="12" t="s">
        <v>1664</v>
      </c>
      <c r="G87" s="12" t="s">
        <v>24</v>
      </c>
      <c r="H87" s="12" t="s">
        <v>599</v>
      </c>
      <c r="I87" s="12" t="s">
        <v>598</v>
      </c>
    </row>
    <row r="88" spans="1:9" ht="15.5" x14ac:dyDescent="0.35">
      <c r="A88" s="14" t="s">
        <v>501</v>
      </c>
      <c r="B88" s="15" t="s" cm="1">
        <v>89</v>
      </c>
      <c r="C88" s="15" t="s" cm="1">
        <v>1644</v>
      </c>
      <c r="D88" s="15" t="s">
        <v>1726</v>
      </c>
      <c r="E88" s="15" t="s" cm="1">
        <v>1635</v>
      </c>
      <c r="F88" s="12" t="s">
        <v>1638</v>
      </c>
      <c r="G88" s="12" t="s">
        <v>24</v>
      </c>
      <c r="H88" s="12" t="s">
        <v>92</v>
      </c>
      <c r="I88" s="12" t="s">
        <v>91</v>
      </c>
    </row>
    <row r="89" spans="1:9" ht="15.5" x14ac:dyDescent="0.35">
      <c r="A89" s="14" t="s">
        <v>630</v>
      </c>
      <c r="B89" s="15" t="s" cm="1">
        <v>89</v>
      </c>
      <c r="C89" s="15" t="s" cm="1">
        <v>1644</v>
      </c>
      <c r="D89" s="15" t="s">
        <v>1727</v>
      </c>
      <c r="E89" s="15" t="s" cm="1">
        <v>1639</v>
      </c>
      <c r="F89" s="12" t="s">
        <v>1636</v>
      </c>
      <c r="G89" s="12" t="s">
        <v>24</v>
      </c>
      <c r="H89" s="12" t="s">
        <v>45</v>
      </c>
      <c r="I89" s="12" t="s">
        <v>44</v>
      </c>
    </row>
    <row r="90" spans="1:9" ht="15.5" x14ac:dyDescent="0.35">
      <c r="A90" s="14" t="s">
        <v>628</v>
      </c>
      <c r="B90" s="15" t="s" cm="1">
        <v>89</v>
      </c>
      <c r="C90" s="15" t="s" cm="1">
        <v>1644</v>
      </c>
      <c r="D90" s="15" t="s">
        <v>1728</v>
      </c>
      <c r="E90" s="15" t="s" cm="1">
        <v>1639</v>
      </c>
      <c r="F90" s="12" t="s">
        <v>1636</v>
      </c>
      <c r="G90" s="12" t="s">
        <v>24</v>
      </c>
      <c r="H90" s="12" t="s">
        <v>45</v>
      </c>
      <c r="I90" s="12" t="s">
        <v>44</v>
      </c>
    </row>
    <row r="91" spans="1:9" ht="15.5" x14ac:dyDescent="0.35">
      <c r="A91" s="14" t="s">
        <v>541</v>
      </c>
      <c r="B91" s="15" t="s" cm="1">
        <v>89</v>
      </c>
      <c r="C91" s="15" t="s" cm="1">
        <v>1644</v>
      </c>
      <c r="D91" s="15" t="s">
        <v>1729</v>
      </c>
      <c r="E91" s="15" t="s" cm="1">
        <v>1639</v>
      </c>
      <c r="F91" s="12" t="s">
        <v>1636</v>
      </c>
      <c r="G91" s="12" t="s">
        <v>24</v>
      </c>
      <c r="H91" s="12" t="s">
        <v>58</v>
      </c>
      <c r="I91" s="12" t="s">
        <v>57</v>
      </c>
    </row>
    <row r="92" spans="1:9" ht="15.5" x14ac:dyDescent="0.35">
      <c r="A92" s="14" t="s">
        <v>539</v>
      </c>
      <c r="B92" s="15" t="s" cm="1">
        <v>986</v>
      </c>
      <c r="C92" s="15" t="s" cm="1">
        <v>1644</v>
      </c>
      <c r="D92" s="15" t="s">
        <v>1730</v>
      </c>
      <c r="E92" s="15" t="s" cm="1">
        <v>1639</v>
      </c>
      <c r="F92" s="12" t="s">
        <v>1636</v>
      </c>
      <c r="G92" s="12" t="s">
        <v>24</v>
      </c>
      <c r="H92" s="12" t="s">
        <v>58</v>
      </c>
      <c r="I92" s="12" t="s">
        <v>57</v>
      </c>
    </row>
    <row r="93" spans="1:9" ht="15.5" x14ac:dyDescent="0.35">
      <c r="A93" s="14" t="s">
        <v>537</v>
      </c>
      <c r="B93" s="15" t="s" cm="1">
        <v>986</v>
      </c>
      <c r="C93" s="15" t="s" cm="1">
        <v>1644</v>
      </c>
      <c r="D93" s="15" t="s">
        <v>1731</v>
      </c>
      <c r="E93" s="15" t="s" cm="1">
        <v>1639</v>
      </c>
      <c r="F93" s="12" t="s">
        <v>1636</v>
      </c>
      <c r="G93" s="12" t="s">
        <v>24</v>
      </c>
      <c r="H93" s="12" t="s">
        <v>58</v>
      </c>
      <c r="I93" s="12" t="s">
        <v>57</v>
      </c>
    </row>
    <row r="94" spans="1:9" ht="15.5" x14ac:dyDescent="0.35">
      <c r="A94" s="14" t="s">
        <v>497</v>
      </c>
      <c r="B94" s="15" t="s" cm="1">
        <v>89</v>
      </c>
      <c r="C94" s="15" t="s" cm="1">
        <v>1644</v>
      </c>
      <c r="D94" s="15" t="s">
        <v>1732</v>
      </c>
      <c r="E94" s="15" t="s" cm="1">
        <v>1639</v>
      </c>
      <c r="F94" s="12" t="s">
        <v>1638</v>
      </c>
      <c r="G94" s="12" t="s">
        <v>24</v>
      </c>
      <c r="H94" s="12" t="s">
        <v>92</v>
      </c>
      <c r="I94" s="12" t="s">
        <v>91</v>
      </c>
    </row>
    <row r="95" spans="1:9" ht="15.5" x14ac:dyDescent="0.35">
      <c r="A95" s="14" t="s">
        <v>499</v>
      </c>
      <c r="B95" s="15" t="s" cm="1">
        <v>89</v>
      </c>
      <c r="C95" s="15" t="s" cm="1">
        <v>1644</v>
      </c>
      <c r="D95" s="15" t="s">
        <v>1733</v>
      </c>
      <c r="E95" s="15" t="s" cm="1">
        <v>1639</v>
      </c>
      <c r="F95" s="12" t="s">
        <v>1638</v>
      </c>
      <c r="G95" s="12" t="s">
        <v>24</v>
      </c>
      <c r="H95" s="12" t="s">
        <v>92</v>
      </c>
      <c r="I95" s="12" t="s">
        <v>91</v>
      </c>
    </row>
    <row r="96" spans="1:9" ht="15.5" x14ac:dyDescent="0.35">
      <c r="A96" s="14" t="s">
        <v>559</v>
      </c>
      <c r="B96" s="15" t="s" cm="1">
        <v>89</v>
      </c>
      <c r="C96" s="15" t="s" cm="1">
        <v>1644</v>
      </c>
      <c r="D96" s="15" t="s">
        <v>1734</v>
      </c>
      <c r="E96" s="15" t="s" cm="1">
        <v>1639</v>
      </c>
      <c r="F96" s="12" t="s">
        <v>1638</v>
      </c>
      <c r="G96" s="12" t="s">
        <v>24</v>
      </c>
      <c r="H96" s="12" t="s">
        <v>58</v>
      </c>
      <c r="I96" s="12" t="s">
        <v>57</v>
      </c>
    </row>
    <row r="97" spans="1:9" ht="15.5" x14ac:dyDescent="0.35">
      <c r="A97" s="14" t="s">
        <v>543</v>
      </c>
      <c r="B97" s="15" t="s" cm="1">
        <v>89</v>
      </c>
      <c r="C97" s="15" t="s" cm="1">
        <v>1644</v>
      </c>
      <c r="D97" s="15" t="s">
        <v>1735</v>
      </c>
      <c r="E97" s="15" t="s" cm="1">
        <v>1639</v>
      </c>
      <c r="F97" s="12" t="s">
        <v>1638</v>
      </c>
      <c r="G97" s="12" t="s">
        <v>24</v>
      </c>
      <c r="H97" s="12" t="s">
        <v>58</v>
      </c>
      <c r="I97" s="12" t="s">
        <v>57</v>
      </c>
    </row>
    <row r="98" spans="1:9" ht="15.5" x14ac:dyDescent="0.35">
      <c r="A98" s="14" t="s">
        <v>505</v>
      </c>
      <c r="B98" s="15" t="s" cm="1">
        <v>89</v>
      </c>
      <c r="C98" s="15" t="s" cm="1">
        <v>1644</v>
      </c>
      <c r="D98" s="15" t="s">
        <v>1736</v>
      </c>
      <c r="E98" s="15" t="s" cm="1">
        <v>1639</v>
      </c>
      <c r="F98" s="12" t="s">
        <v>1638</v>
      </c>
      <c r="G98" s="12" t="s">
        <v>24</v>
      </c>
      <c r="H98" s="12" t="s">
        <v>92</v>
      </c>
      <c r="I98" s="12" t="s">
        <v>91</v>
      </c>
    </row>
    <row r="99" spans="1:9" ht="15.5" x14ac:dyDescent="0.35">
      <c r="A99" s="14" t="s">
        <v>495</v>
      </c>
      <c r="B99" s="15" t="s" cm="1">
        <v>89</v>
      </c>
      <c r="C99" s="15" t="s" cm="1">
        <v>1644</v>
      </c>
      <c r="D99" s="15" t="s">
        <v>1737</v>
      </c>
      <c r="E99" s="15" t="s" cm="1">
        <v>1635</v>
      </c>
      <c r="F99" s="12" t="s">
        <v>1638</v>
      </c>
      <c r="G99" s="12" t="s">
        <v>24</v>
      </c>
      <c r="H99" s="12" t="s">
        <v>92</v>
      </c>
      <c r="I99" s="12" t="s">
        <v>91</v>
      </c>
    </row>
    <row r="100" spans="1:9" ht="15.5" x14ac:dyDescent="0.35">
      <c r="A100" s="14" t="s">
        <v>555</v>
      </c>
      <c r="B100" s="15" t="s" cm="1">
        <v>986</v>
      </c>
      <c r="C100" s="15" t="s" cm="1">
        <v>1644</v>
      </c>
      <c r="D100" s="15" t="s">
        <v>1738</v>
      </c>
      <c r="E100" s="15" t="s" cm="1">
        <v>1639</v>
      </c>
      <c r="F100" s="12" t="s">
        <v>1638</v>
      </c>
      <c r="G100" s="12" t="s">
        <v>948</v>
      </c>
      <c r="H100" s="12" t="s">
        <v>58</v>
      </c>
      <c r="I100" s="12" t="s">
        <v>57</v>
      </c>
    </row>
    <row r="101" spans="1:9" ht="15.5" x14ac:dyDescent="0.35">
      <c r="A101" s="14" t="s">
        <v>668</v>
      </c>
      <c r="B101" s="15" t="s" cm="1">
        <v>986</v>
      </c>
      <c r="C101" s="15" t="s" cm="1">
        <v>1644</v>
      </c>
      <c r="D101" s="15" t="s">
        <v>1739</v>
      </c>
      <c r="E101" s="15" t="s" cm="1">
        <v>1635</v>
      </c>
      <c r="F101" s="12" t="s">
        <v>1636</v>
      </c>
      <c r="G101" s="12" t="s">
        <v>24</v>
      </c>
      <c r="H101" s="12" t="s">
        <v>45</v>
      </c>
      <c r="I101" s="12" t="s">
        <v>44</v>
      </c>
    </row>
    <row r="102" spans="1:9" ht="15.5" x14ac:dyDescent="0.35">
      <c r="A102" s="14" t="s">
        <v>660</v>
      </c>
      <c r="B102" s="15" t="s" cm="1">
        <v>986</v>
      </c>
      <c r="C102" s="15" t="s" cm="1">
        <v>1644</v>
      </c>
      <c r="D102" s="15" t="s">
        <v>1740</v>
      </c>
      <c r="E102" s="15" t="s" cm="1">
        <v>1635</v>
      </c>
      <c r="F102" s="12" t="s">
        <v>1636</v>
      </c>
      <c r="G102" s="12" t="s">
        <v>24</v>
      </c>
      <c r="H102" s="12" t="s">
        <v>45</v>
      </c>
      <c r="I102" s="12" t="s">
        <v>44</v>
      </c>
    </row>
    <row r="103" spans="1:9" ht="15.5" x14ac:dyDescent="0.35">
      <c r="A103" s="14" t="s">
        <v>535</v>
      </c>
      <c r="B103" s="15" t="s" cm="1">
        <v>986</v>
      </c>
      <c r="C103" s="15" t="s" cm="1">
        <v>1644</v>
      </c>
      <c r="D103" s="15" t="s">
        <v>1741</v>
      </c>
      <c r="E103" s="15" t="s" cm="1">
        <v>1635</v>
      </c>
      <c r="F103" s="12" t="s">
        <v>1664</v>
      </c>
      <c r="G103" s="12" t="s">
        <v>24</v>
      </c>
      <c r="H103" s="12" t="s">
        <v>58</v>
      </c>
      <c r="I103" s="12" t="s">
        <v>57</v>
      </c>
    </row>
    <row r="104" spans="1:9" ht="15.5" x14ac:dyDescent="0.35">
      <c r="A104" s="14" t="s">
        <v>744</v>
      </c>
      <c r="B104" s="15" t="s" cm="1">
        <v>986</v>
      </c>
      <c r="C104" s="15" t="s" cm="1">
        <v>1644</v>
      </c>
      <c r="D104" s="15" t="s">
        <v>1742</v>
      </c>
      <c r="E104" s="15" t="s" cm="1">
        <v>1635</v>
      </c>
      <c r="F104" s="12" t="s">
        <v>1643</v>
      </c>
      <c r="G104" s="12" t="s">
        <v>24</v>
      </c>
      <c r="H104" s="12" t="s">
        <v>58</v>
      </c>
      <c r="I104" s="12" t="s">
        <v>57</v>
      </c>
    </row>
    <row r="105" spans="1:9" ht="15.5" x14ac:dyDescent="0.35">
      <c r="A105" s="14" t="s">
        <v>557</v>
      </c>
      <c r="B105" s="15" t="s" cm="1">
        <v>986</v>
      </c>
      <c r="C105" s="15" t="s" cm="1">
        <v>1644</v>
      </c>
      <c r="D105" s="15" t="s">
        <v>1743</v>
      </c>
      <c r="E105" s="15" t="s" cm="1">
        <v>1639</v>
      </c>
      <c r="F105" s="12" t="s">
        <v>1638</v>
      </c>
      <c r="G105" s="12" t="s">
        <v>24</v>
      </c>
      <c r="H105" s="12" t="s">
        <v>58</v>
      </c>
      <c r="I105" s="12" t="s">
        <v>57</v>
      </c>
    </row>
    <row r="106" spans="1:9" ht="15.5" x14ac:dyDescent="0.35">
      <c r="A106" s="14" t="s">
        <v>547</v>
      </c>
      <c r="B106" s="15" t="s" cm="1">
        <v>986</v>
      </c>
      <c r="C106" s="15" t="s" cm="1">
        <v>1644</v>
      </c>
      <c r="D106" s="15" t="s">
        <v>1744</v>
      </c>
      <c r="E106" s="15" t="s" cm="1">
        <v>1639</v>
      </c>
      <c r="F106" s="12" t="s">
        <v>1638</v>
      </c>
      <c r="G106" s="12" t="s">
        <v>24</v>
      </c>
      <c r="H106" s="12" t="s">
        <v>58</v>
      </c>
      <c r="I106" s="12" t="s">
        <v>57</v>
      </c>
    </row>
    <row r="107" spans="1:9" ht="15.5" x14ac:dyDescent="0.35">
      <c r="A107" s="14" t="s">
        <v>545</v>
      </c>
      <c r="B107" s="15" t="s" cm="1">
        <v>986</v>
      </c>
      <c r="C107" s="15" t="s" cm="1">
        <v>1644</v>
      </c>
      <c r="D107" s="15" t="s">
        <v>1745</v>
      </c>
      <c r="E107" s="15" t="s" cm="1">
        <v>1639</v>
      </c>
      <c r="F107" s="12" t="s">
        <v>1638</v>
      </c>
      <c r="G107" s="12" t="s">
        <v>24</v>
      </c>
      <c r="H107" s="12" t="s">
        <v>58</v>
      </c>
      <c r="I107" s="12" t="s">
        <v>57</v>
      </c>
    </row>
    <row r="108" spans="1:9" ht="15.5" x14ac:dyDescent="0.35">
      <c r="A108" s="14" t="s">
        <v>549</v>
      </c>
      <c r="B108" s="15" t="s" cm="1">
        <v>986</v>
      </c>
      <c r="C108" s="15" t="s" cm="1">
        <v>1644</v>
      </c>
      <c r="D108" s="15" t="s">
        <v>1746</v>
      </c>
      <c r="E108" s="15" t="s" cm="1">
        <v>1639</v>
      </c>
      <c r="F108" s="12" t="s">
        <v>1638</v>
      </c>
      <c r="G108" s="12" t="s">
        <v>24</v>
      </c>
      <c r="H108" s="12" t="s">
        <v>58</v>
      </c>
      <c r="I108" s="12" t="s">
        <v>57</v>
      </c>
    </row>
    <row r="109" spans="1:9" ht="15.5" x14ac:dyDescent="0.35">
      <c r="A109" s="14" t="s">
        <v>551</v>
      </c>
      <c r="B109" s="15" t="s" cm="1">
        <v>986</v>
      </c>
      <c r="C109" s="15" t="s" cm="1">
        <v>1644</v>
      </c>
      <c r="D109" s="15" t="s">
        <v>1747</v>
      </c>
      <c r="E109" s="15" t="s" cm="1">
        <v>1639</v>
      </c>
      <c r="F109" s="12" t="s">
        <v>1638</v>
      </c>
      <c r="G109" s="12" t="s">
        <v>24</v>
      </c>
      <c r="H109" s="12" t="s">
        <v>58</v>
      </c>
      <c r="I109" s="12" t="s">
        <v>57</v>
      </c>
    </row>
    <row r="110" spans="1:9" ht="15.5" x14ac:dyDescent="0.35">
      <c r="A110" s="14" t="s">
        <v>553</v>
      </c>
      <c r="B110" s="15" t="s" cm="1">
        <v>986</v>
      </c>
      <c r="C110" s="15" t="s" cm="1">
        <v>1644</v>
      </c>
      <c r="D110" s="15" t="s">
        <v>1748</v>
      </c>
      <c r="E110" s="15" t="s" cm="1">
        <v>1639</v>
      </c>
      <c r="F110" s="12" t="s">
        <v>1638</v>
      </c>
      <c r="G110" s="12" t="s">
        <v>24</v>
      </c>
      <c r="H110" s="12" t="s">
        <v>58</v>
      </c>
      <c r="I110" s="12" t="s">
        <v>57</v>
      </c>
    </row>
    <row r="111" spans="1:9" ht="15.5" x14ac:dyDescent="0.35">
      <c r="A111" s="14" t="s">
        <v>754</v>
      </c>
      <c r="B111" s="15" t="s" cm="1">
        <v>986</v>
      </c>
      <c r="C111" s="15" t="s" cm="1">
        <v>1644</v>
      </c>
      <c r="D111" s="15" t="s">
        <v>1742</v>
      </c>
      <c r="E111" s="15" t="s" cm="1">
        <v>1639</v>
      </c>
      <c r="F111" s="12" t="s">
        <v>1638</v>
      </c>
      <c r="G111" s="12" t="s">
        <v>24</v>
      </c>
      <c r="H111" s="12" t="s">
        <v>58</v>
      </c>
      <c r="I111" s="12" t="s">
        <v>57</v>
      </c>
    </row>
    <row r="112" spans="1:9" ht="15.5" x14ac:dyDescent="0.35">
      <c r="A112" s="14" t="s">
        <v>586</v>
      </c>
      <c r="B112" s="15" t="s" cm="1">
        <v>986</v>
      </c>
      <c r="C112" s="15" t="s" cm="1">
        <v>1644</v>
      </c>
      <c r="D112" s="15" t="s">
        <v>1749</v>
      </c>
      <c r="E112" s="15" t="s" cm="1">
        <v>1639</v>
      </c>
      <c r="F112" s="12" t="s">
        <v>1636</v>
      </c>
      <c r="G112" s="12" t="s">
        <v>24</v>
      </c>
      <c r="H112" s="12" t="s">
        <v>35</v>
      </c>
      <c r="I112" s="12" t="s">
        <v>34</v>
      </c>
    </row>
    <row r="113" spans="1:9" ht="15.5" x14ac:dyDescent="0.35">
      <c r="A113" s="14" t="s">
        <v>760</v>
      </c>
      <c r="B113" s="15" t="s" cm="1">
        <v>986</v>
      </c>
      <c r="C113" s="15" t="s" cm="1">
        <v>1644</v>
      </c>
      <c r="D113" s="15" t="s">
        <v>1750</v>
      </c>
      <c r="E113" s="15" t="s" cm="1">
        <v>1639</v>
      </c>
      <c r="F113" s="12" t="s">
        <v>1638</v>
      </c>
      <c r="G113" s="12" t="s">
        <v>24</v>
      </c>
      <c r="H113" s="12" t="s">
        <v>58</v>
      </c>
      <c r="I113" s="12" t="s">
        <v>57</v>
      </c>
    </row>
    <row r="114" spans="1:9" ht="15.5" x14ac:dyDescent="0.35">
      <c r="A114" s="14" t="s">
        <v>42</v>
      </c>
      <c r="B114" s="15" t="s" cm="1">
        <v>986</v>
      </c>
      <c r="C114" s="15" t="s" cm="1">
        <v>1644</v>
      </c>
      <c r="D114" s="15" t="s">
        <v>1751</v>
      </c>
      <c r="E114" s="15" t="s" cm="1">
        <v>1653</v>
      </c>
      <c r="F114" s="12" t="s">
        <v>24</v>
      </c>
      <c r="G114" s="12" t="s">
        <v>869</v>
      </c>
      <c r="H114" s="12" t="s">
        <v>45</v>
      </c>
      <c r="I114" s="12" t="s">
        <v>44</v>
      </c>
    </row>
    <row r="115" spans="1:9" ht="15.5" x14ac:dyDescent="0.35">
      <c r="A115" s="14" t="s">
        <v>758</v>
      </c>
      <c r="B115" s="15" t="s" cm="1">
        <v>986</v>
      </c>
      <c r="C115" s="15" t="s" cm="1">
        <v>1644</v>
      </c>
      <c r="D115" s="15" t="s">
        <v>1752</v>
      </c>
      <c r="E115" s="15" t="s" cm="1">
        <v>1639</v>
      </c>
      <c r="F115" s="12" t="s">
        <v>1638</v>
      </c>
      <c r="G115" s="12" t="s">
        <v>24</v>
      </c>
      <c r="H115" s="12" t="s">
        <v>58</v>
      </c>
      <c r="I115" s="12" t="s">
        <v>57</v>
      </c>
    </row>
    <row r="116" spans="1:9" ht="15.5" x14ac:dyDescent="0.35">
      <c r="A116" s="14" t="s">
        <v>756</v>
      </c>
      <c r="B116" s="15" t="s" cm="1">
        <v>986</v>
      </c>
      <c r="C116" s="15" t="s" cm="1">
        <v>1644</v>
      </c>
      <c r="D116" s="15" t="s">
        <v>1742</v>
      </c>
      <c r="E116" s="15" t="s" cm="1">
        <v>1639</v>
      </c>
      <c r="F116" s="12" t="s">
        <v>1638</v>
      </c>
      <c r="G116" s="12" t="s">
        <v>24</v>
      </c>
      <c r="H116" s="12" t="s">
        <v>58</v>
      </c>
      <c r="I116" s="12" t="s">
        <v>57</v>
      </c>
    </row>
    <row r="117" spans="1:9" ht="15.5" x14ac:dyDescent="0.35">
      <c r="A117" s="14" t="s">
        <v>746</v>
      </c>
      <c r="B117" s="15" t="s" cm="1">
        <v>986</v>
      </c>
      <c r="C117" s="15" t="s" cm="1">
        <v>1644</v>
      </c>
      <c r="D117" s="15" t="s">
        <v>1742</v>
      </c>
      <c r="E117" s="15" t="s" cm="1">
        <v>1635</v>
      </c>
      <c r="F117" s="12" t="s">
        <v>1643</v>
      </c>
      <c r="G117" s="12" t="s">
        <v>24</v>
      </c>
      <c r="H117" s="12" t="s">
        <v>58</v>
      </c>
      <c r="I117" s="12" t="s">
        <v>57</v>
      </c>
    </row>
    <row r="118" spans="1:9" ht="15.5" x14ac:dyDescent="0.35">
      <c r="A118" s="14" t="s">
        <v>60</v>
      </c>
      <c r="B118" s="15" t="s" cm="1">
        <v>986</v>
      </c>
      <c r="C118" s="15" t="s" cm="1">
        <v>1644</v>
      </c>
      <c r="D118" s="15" t="s">
        <v>1753</v>
      </c>
      <c r="E118" s="15" t="s" cm="1">
        <v>1639</v>
      </c>
      <c r="F118" s="12" t="s">
        <v>1636</v>
      </c>
      <c r="G118" s="12" t="s">
        <v>872</v>
      </c>
      <c r="H118" s="12" t="s">
        <v>58</v>
      </c>
      <c r="I118" s="12" t="s">
        <v>57</v>
      </c>
    </row>
    <row r="119" spans="1:9" ht="15.5" x14ac:dyDescent="0.35">
      <c r="A119" s="14" t="s">
        <v>59</v>
      </c>
      <c r="B119" s="15" t="s" cm="1">
        <v>986</v>
      </c>
      <c r="C119" s="15" t="s" cm="1">
        <v>1644</v>
      </c>
      <c r="D119" s="15" t="s">
        <v>1753</v>
      </c>
      <c r="E119" s="15" t="s" cm="1">
        <v>1639</v>
      </c>
      <c r="F119" s="12" t="s">
        <v>1636</v>
      </c>
      <c r="G119" s="12" t="s">
        <v>872</v>
      </c>
      <c r="H119" s="12" t="s">
        <v>58</v>
      </c>
      <c r="I119" s="12" t="s">
        <v>57</v>
      </c>
    </row>
    <row r="120" spans="1:9" ht="15.5" x14ac:dyDescent="0.35">
      <c r="A120" s="14" t="s">
        <v>55</v>
      </c>
      <c r="B120" s="15" t="s" cm="1">
        <v>986</v>
      </c>
      <c r="C120" s="15" t="s" cm="1">
        <v>1644</v>
      </c>
      <c r="D120" s="15" t="s">
        <v>1753</v>
      </c>
      <c r="E120" s="15" t="s" cm="1">
        <v>1639</v>
      </c>
      <c r="F120" s="12" t="s">
        <v>1636</v>
      </c>
      <c r="G120" s="12" t="s">
        <v>872</v>
      </c>
      <c r="H120" s="12" t="s">
        <v>58</v>
      </c>
      <c r="I120" s="12" t="s">
        <v>57</v>
      </c>
    </row>
    <row r="121" spans="1:9" ht="15.5" x14ac:dyDescent="0.35">
      <c r="A121" s="14" t="s">
        <v>752</v>
      </c>
      <c r="B121" s="15" t="s" cm="1">
        <v>986</v>
      </c>
      <c r="C121" s="15" t="s" cm="1">
        <v>1644</v>
      </c>
      <c r="D121" s="15" t="s">
        <v>1742</v>
      </c>
      <c r="E121" s="15" t="s" cm="1">
        <v>1639</v>
      </c>
      <c r="F121" s="12" t="s">
        <v>1636</v>
      </c>
      <c r="G121" s="12" t="s">
        <v>24</v>
      </c>
      <c r="H121" s="12" t="s">
        <v>58</v>
      </c>
      <c r="I121" s="12" t="s">
        <v>57</v>
      </c>
    </row>
    <row r="122" spans="1:9" ht="15.5" x14ac:dyDescent="0.35">
      <c r="A122" s="14" t="s">
        <v>750</v>
      </c>
      <c r="B122" s="15" t="s" cm="1">
        <v>986</v>
      </c>
      <c r="C122" s="15" t="s" cm="1">
        <v>1644</v>
      </c>
      <c r="D122" s="15" t="s">
        <v>1742</v>
      </c>
      <c r="E122" s="15" t="s" cm="1">
        <v>1639</v>
      </c>
      <c r="F122" s="12" t="s">
        <v>1636</v>
      </c>
      <c r="G122" s="12" t="s">
        <v>24</v>
      </c>
      <c r="H122" s="12" t="s">
        <v>58</v>
      </c>
      <c r="I122" s="12" t="s">
        <v>57</v>
      </c>
    </row>
    <row r="123" spans="1:9" ht="15.5" x14ac:dyDescent="0.35">
      <c r="A123" s="14" t="s">
        <v>503</v>
      </c>
      <c r="B123" s="15" t="s" cm="1">
        <v>89</v>
      </c>
      <c r="C123" s="15" t="s" cm="1">
        <v>1644</v>
      </c>
      <c r="D123" s="15" t="s">
        <v>1754</v>
      </c>
      <c r="E123" s="15" t="s" cm="1">
        <v>1639</v>
      </c>
      <c r="F123" s="12" t="s">
        <v>1638</v>
      </c>
      <c r="G123" s="12" t="s">
        <v>24</v>
      </c>
      <c r="H123" s="12" t="s">
        <v>184</v>
      </c>
      <c r="I123" s="12" t="s">
        <v>91</v>
      </c>
    </row>
    <row r="124" spans="1:9" ht="15.5" x14ac:dyDescent="0.35">
      <c r="A124" s="14" t="s">
        <v>25</v>
      </c>
      <c r="B124" s="15" t="s" cm="1">
        <v>19</v>
      </c>
      <c r="C124" s="15" t="s" cm="1">
        <v>1644</v>
      </c>
      <c r="D124" s="15" t="s">
        <v>1755</v>
      </c>
      <c r="E124" s="15" t="s" cm="1">
        <v>1635</v>
      </c>
      <c r="F124" s="12" t="s">
        <v>1693</v>
      </c>
      <c r="G124" s="12" t="s">
        <v>864</v>
      </c>
      <c r="H124" s="12" t="s">
        <v>29</v>
      </c>
      <c r="I124" s="12" t="s">
        <v>28</v>
      </c>
    </row>
    <row r="125" spans="1:9" ht="15.5" x14ac:dyDescent="0.35">
      <c r="A125" s="14" t="s">
        <v>529</v>
      </c>
      <c r="B125" s="15" t="s" cm="1">
        <v>986</v>
      </c>
      <c r="C125" s="15" t="s" cm="1">
        <v>1644</v>
      </c>
      <c r="D125" s="15" t="s">
        <v>1756</v>
      </c>
      <c r="E125" s="15" t="s" cm="1">
        <v>1639</v>
      </c>
      <c r="F125" s="12" t="s">
        <v>1636</v>
      </c>
      <c r="G125" s="12" t="s">
        <v>24</v>
      </c>
      <c r="H125" s="12" t="s">
        <v>92</v>
      </c>
      <c r="I125" s="12" t="s">
        <v>91</v>
      </c>
    </row>
    <row r="126" spans="1:9" ht="15.5" x14ac:dyDescent="0.35">
      <c r="A126" s="14" t="s">
        <v>748</v>
      </c>
      <c r="B126" s="15" t="s" cm="1">
        <v>986</v>
      </c>
      <c r="C126" s="15" t="s" cm="1">
        <v>1644</v>
      </c>
      <c r="D126" s="15" t="s">
        <v>1742</v>
      </c>
      <c r="E126" s="15" t="s" cm="1">
        <v>1635</v>
      </c>
      <c r="F126" s="12" t="s">
        <v>1638</v>
      </c>
      <c r="G126" s="12" t="s">
        <v>24</v>
      </c>
      <c r="H126" s="12" t="s">
        <v>58</v>
      </c>
      <c r="I126" s="12" t="s">
        <v>57</v>
      </c>
    </row>
    <row r="127" spans="1:9" ht="15.5" x14ac:dyDescent="0.35">
      <c r="A127" s="14" t="s">
        <v>712</v>
      </c>
      <c r="B127" s="15" t="s" cm="1">
        <v>19</v>
      </c>
      <c r="C127" s="15" t="s" cm="1">
        <v>1644</v>
      </c>
      <c r="D127" s="15" t="s">
        <v>1757</v>
      </c>
      <c r="E127" s="15" t="s" cm="1">
        <v>1635</v>
      </c>
      <c r="F127" s="12" t="s">
        <v>1664</v>
      </c>
      <c r="G127" s="12" t="s">
        <v>24</v>
      </c>
      <c r="H127" s="12" t="s">
        <v>595</v>
      </c>
      <c r="I127" s="12" t="s">
        <v>594</v>
      </c>
    </row>
    <row r="128" spans="1:9" ht="15.5" x14ac:dyDescent="0.35">
      <c r="A128" s="14" t="s">
        <v>690</v>
      </c>
      <c r="B128" s="15" t="s" cm="1">
        <v>986</v>
      </c>
      <c r="C128" s="15" t="s" cm="1">
        <v>1644</v>
      </c>
      <c r="D128" s="15" t="s">
        <v>1758</v>
      </c>
      <c r="E128" s="15" t="s" cm="1">
        <v>1639</v>
      </c>
      <c r="F128" s="12" t="s">
        <v>1636</v>
      </c>
      <c r="G128" s="12" t="s">
        <v>24</v>
      </c>
      <c r="H128" s="12" t="s">
        <v>58</v>
      </c>
      <c r="I128" s="12" t="s">
        <v>57</v>
      </c>
    </row>
    <row r="129" spans="1:9" ht="15.5" x14ac:dyDescent="0.35">
      <c r="A129" s="14" t="s">
        <v>434</v>
      </c>
      <c r="B129" s="15" t="s" cm="1">
        <v>89</v>
      </c>
      <c r="C129" s="15" t="s" cm="1">
        <v>1644</v>
      </c>
      <c r="D129" s="15" t="s">
        <v>1759</v>
      </c>
      <c r="E129" s="15" t="s" cm="1">
        <v>1635</v>
      </c>
      <c r="F129" s="12" t="s">
        <v>1638</v>
      </c>
      <c r="G129" s="12" t="s">
        <v>24</v>
      </c>
      <c r="H129" s="12" t="s">
        <v>92</v>
      </c>
      <c r="I129" s="12" t="s">
        <v>91</v>
      </c>
    </row>
    <row r="130" spans="1:9" ht="15.5" x14ac:dyDescent="0.35">
      <c r="A130" s="14" t="s">
        <v>432</v>
      </c>
      <c r="B130" s="15" t="s" cm="1">
        <v>89</v>
      </c>
      <c r="C130" s="15" t="s" cm="1">
        <v>1644</v>
      </c>
      <c r="D130" s="15" t="s">
        <v>1760</v>
      </c>
      <c r="E130" s="15" t="s" cm="1">
        <v>1635</v>
      </c>
      <c r="F130" s="12" t="s">
        <v>1638</v>
      </c>
      <c r="G130" s="12" t="s">
        <v>24</v>
      </c>
      <c r="H130" s="12" t="s">
        <v>92</v>
      </c>
      <c r="I130" s="12" t="s">
        <v>91</v>
      </c>
    </row>
    <row r="131" spans="1:9" ht="15.5" x14ac:dyDescent="0.35">
      <c r="A131" s="14" t="s">
        <v>464</v>
      </c>
      <c r="B131" s="15" t="s" cm="1">
        <v>89</v>
      </c>
      <c r="C131" s="15" t="s" cm="1">
        <v>1644</v>
      </c>
      <c r="D131" s="15" t="s">
        <v>1761</v>
      </c>
      <c r="E131" s="15" t="s" cm="1">
        <v>1639</v>
      </c>
      <c r="F131" s="12" t="s">
        <v>1638</v>
      </c>
      <c r="G131" s="12" t="s">
        <v>24</v>
      </c>
      <c r="H131" s="12" t="s">
        <v>92</v>
      </c>
      <c r="I131" s="12" t="s">
        <v>91</v>
      </c>
    </row>
    <row r="132" spans="1:9" ht="15.5" x14ac:dyDescent="0.35">
      <c r="A132" s="14" t="s">
        <v>450</v>
      </c>
      <c r="B132" s="15" t="s" cm="1">
        <v>89</v>
      </c>
      <c r="C132" s="15" t="s" cm="1">
        <v>1644</v>
      </c>
      <c r="D132" s="15" t="s">
        <v>1762</v>
      </c>
      <c r="E132" s="15" t="s" cm="1">
        <v>1639</v>
      </c>
      <c r="F132" s="12" t="s">
        <v>1638</v>
      </c>
      <c r="G132" s="12" t="s">
        <v>24</v>
      </c>
      <c r="H132" s="12" t="s">
        <v>92</v>
      </c>
      <c r="I132" s="12" t="s">
        <v>91</v>
      </c>
    </row>
    <row r="133" spans="1:9" ht="15.5" x14ac:dyDescent="0.35">
      <c r="A133" s="14" t="s">
        <v>430</v>
      </c>
      <c r="B133" s="15" t="s" cm="1">
        <v>89</v>
      </c>
      <c r="C133" s="15" t="s" cm="1">
        <v>1644</v>
      </c>
      <c r="D133" s="15" t="s">
        <v>1763</v>
      </c>
      <c r="E133" s="15" t="s" cm="1">
        <v>1639</v>
      </c>
      <c r="F133" s="12" t="s">
        <v>1638</v>
      </c>
      <c r="G133" s="12" t="s">
        <v>24</v>
      </c>
      <c r="H133" s="12" t="s">
        <v>92</v>
      </c>
      <c r="I133" s="12" t="s">
        <v>91</v>
      </c>
    </row>
    <row r="134" spans="1:9" ht="15.5" x14ac:dyDescent="0.35">
      <c r="A134" s="14" t="s">
        <v>438</v>
      </c>
      <c r="B134" s="15" t="s" cm="1">
        <v>89</v>
      </c>
      <c r="C134" s="15" t="s" cm="1">
        <v>1644</v>
      </c>
      <c r="D134" s="15" t="s">
        <v>1764</v>
      </c>
      <c r="E134" s="15" t="s" cm="1">
        <v>1639</v>
      </c>
      <c r="F134" s="12" t="s">
        <v>1638</v>
      </c>
      <c r="G134" s="12" t="s">
        <v>24</v>
      </c>
      <c r="H134" s="12" t="s">
        <v>58</v>
      </c>
      <c r="I134" s="12" t="s">
        <v>57</v>
      </c>
    </row>
    <row r="135" spans="1:9" ht="15.5" x14ac:dyDescent="0.35">
      <c r="A135" s="14" t="s">
        <v>440</v>
      </c>
      <c r="B135" s="15" t="s" cm="1">
        <v>89</v>
      </c>
      <c r="C135" s="15" t="s" cm="1">
        <v>1644</v>
      </c>
      <c r="D135" s="15" t="s">
        <v>1765</v>
      </c>
      <c r="E135" s="15" t="s" cm="1">
        <v>1639</v>
      </c>
      <c r="F135" s="12" t="s">
        <v>1638</v>
      </c>
      <c r="G135" s="12" t="s">
        <v>24</v>
      </c>
      <c r="H135" s="12" t="s">
        <v>58</v>
      </c>
      <c r="I135" s="12" t="s">
        <v>57</v>
      </c>
    </row>
    <row r="136" spans="1:9" ht="15.5" x14ac:dyDescent="0.35">
      <c r="A136" s="14" t="s">
        <v>46</v>
      </c>
      <c r="B136" s="15" t="s" cm="1">
        <v>19</v>
      </c>
      <c r="C136" s="15" t="s" cm="1">
        <v>1644</v>
      </c>
      <c r="D136" s="15" t="s">
        <v>1766</v>
      </c>
      <c r="E136" s="15" t="s" cm="1">
        <v>1653</v>
      </c>
      <c r="F136" s="12" t="s">
        <v>24</v>
      </c>
      <c r="G136" s="12" t="s">
        <v>869</v>
      </c>
      <c r="H136" s="12" t="s">
        <v>48</v>
      </c>
      <c r="I136" s="12" t="s">
        <v>40</v>
      </c>
    </row>
    <row r="137" spans="1:9" ht="15.5" x14ac:dyDescent="0.35">
      <c r="A137" s="14" t="s">
        <v>38</v>
      </c>
      <c r="B137" s="15" t="s" cm="1">
        <v>19</v>
      </c>
      <c r="C137" s="15" t="s" cm="1">
        <v>1644</v>
      </c>
      <c r="D137" s="15" t="s">
        <v>1767</v>
      </c>
      <c r="E137" s="15" t="s" cm="1">
        <v>1653</v>
      </c>
      <c r="F137" s="12" t="s">
        <v>24</v>
      </c>
      <c r="G137" s="12" t="s">
        <v>869</v>
      </c>
      <c r="H137" s="12" t="s">
        <v>41</v>
      </c>
      <c r="I137" s="12" t="s">
        <v>40</v>
      </c>
    </row>
    <row r="138" spans="1:9" ht="15.5" x14ac:dyDescent="0.35">
      <c r="A138" s="14" t="s">
        <v>30</v>
      </c>
      <c r="B138" s="15" t="s" cm="1">
        <v>19</v>
      </c>
      <c r="C138" s="15" t="s" cm="1">
        <v>1644</v>
      </c>
      <c r="D138" s="15" t="s">
        <v>1768</v>
      </c>
      <c r="E138" s="15" t="s" cm="1">
        <v>1635</v>
      </c>
      <c r="F138" s="12" t="s">
        <v>1664</v>
      </c>
      <c r="G138" s="12" t="s">
        <v>865</v>
      </c>
      <c r="H138" s="12" t="s">
        <v>23</v>
      </c>
      <c r="I138" s="12" t="s">
        <v>22</v>
      </c>
    </row>
    <row r="139" spans="1:9" ht="15.5" x14ac:dyDescent="0.35">
      <c r="A139" s="14" t="s">
        <v>444</v>
      </c>
      <c r="B139" s="15" t="s" cm="1">
        <v>19</v>
      </c>
      <c r="C139" s="15" t="s" cm="1">
        <v>1644</v>
      </c>
      <c r="D139" s="15" t="s">
        <v>1769</v>
      </c>
      <c r="E139" s="15" t="s" cm="1">
        <v>1639</v>
      </c>
      <c r="F139" s="12" t="s">
        <v>1638</v>
      </c>
      <c r="G139" s="12" t="s">
        <v>24</v>
      </c>
      <c r="H139" s="12" t="s">
        <v>184</v>
      </c>
      <c r="I139" s="12" t="s">
        <v>91</v>
      </c>
    </row>
    <row r="140" spans="1:9" ht="15.5" x14ac:dyDescent="0.35">
      <c r="A140" s="14" t="s">
        <v>442</v>
      </c>
      <c r="B140" s="15" t="s" cm="1">
        <v>19</v>
      </c>
      <c r="C140" s="15" t="s" cm="1">
        <v>1644</v>
      </c>
      <c r="D140" s="15" t="s">
        <v>1770</v>
      </c>
      <c r="E140" s="15" t="s" cm="1">
        <v>1639</v>
      </c>
      <c r="F140" s="12" t="s">
        <v>1638</v>
      </c>
      <c r="G140" s="12" t="s">
        <v>24</v>
      </c>
      <c r="H140" s="12" t="s">
        <v>184</v>
      </c>
      <c r="I140" s="12" t="s">
        <v>91</v>
      </c>
    </row>
    <row r="141" spans="1:9" ht="15.5" x14ac:dyDescent="0.35">
      <c r="A141" s="14" t="s">
        <v>436</v>
      </c>
      <c r="B141" s="15" t="s" cm="1">
        <v>19</v>
      </c>
      <c r="C141" s="15" t="s" cm="1">
        <v>1644</v>
      </c>
      <c r="D141" s="15" t="s">
        <v>1771</v>
      </c>
      <c r="E141" s="15" t="s" cm="1">
        <v>1639</v>
      </c>
      <c r="F141" s="12" t="s">
        <v>1638</v>
      </c>
      <c r="G141" s="12" t="s">
        <v>24</v>
      </c>
      <c r="H141" s="12" t="s">
        <v>184</v>
      </c>
      <c r="I141" s="12" t="s">
        <v>91</v>
      </c>
    </row>
    <row r="142" spans="1:9" ht="15.5" x14ac:dyDescent="0.35">
      <c r="A142" s="14" t="s">
        <v>428</v>
      </c>
      <c r="B142" s="15" t="s" cm="1">
        <v>19</v>
      </c>
      <c r="C142" s="15" t="s" cm="1">
        <v>1644</v>
      </c>
      <c r="D142" s="15" t="s">
        <v>1772</v>
      </c>
      <c r="E142" s="15" t="s" cm="1">
        <v>1639</v>
      </c>
      <c r="F142" s="12" t="s">
        <v>1638</v>
      </c>
      <c r="G142" s="12" t="s">
        <v>24</v>
      </c>
      <c r="H142" s="12" t="s">
        <v>184</v>
      </c>
      <c r="I142" s="12" t="s">
        <v>91</v>
      </c>
    </row>
    <row r="143" spans="1:9" ht="15.5" x14ac:dyDescent="0.35">
      <c r="A143" s="14" t="s">
        <v>688</v>
      </c>
      <c r="B143" s="15" t="s" cm="1">
        <v>19</v>
      </c>
      <c r="C143" s="15" t="s" cm="1">
        <v>1644</v>
      </c>
      <c r="D143" s="15" t="s">
        <v>1773</v>
      </c>
      <c r="E143" s="15" t="s" cm="1">
        <v>1639</v>
      </c>
      <c r="F143" s="12" t="s">
        <v>1638</v>
      </c>
      <c r="G143" s="12" t="s">
        <v>24</v>
      </c>
      <c r="H143" s="12" t="s">
        <v>29</v>
      </c>
      <c r="I143" s="12" t="s">
        <v>28</v>
      </c>
    </row>
    <row r="144" spans="1:9" ht="15.5" x14ac:dyDescent="0.35">
      <c r="A144" s="14" t="s">
        <v>460</v>
      </c>
      <c r="B144" s="15" t="s" cm="1">
        <v>19</v>
      </c>
      <c r="C144" s="15" t="s" cm="1">
        <v>1644</v>
      </c>
      <c r="D144" s="15" t="s">
        <v>1774</v>
      </c>
      <c r="E144" s="15" t="s" cm="1">
        <v>1639</v>
      </c>
      <c r="F144" s="12" t="s">
        <v>1638</v>
      </c>
      <c r="G144" s="12" t="s">
        <v>24</v>
      </c>
      <c r="H144" s="12" t="s">
        <v>184</v>
      </c>
      <c r="I144" s="12" t="s">
        <v>91</v>
      </c>
    </row>
    <row r="145" spans="1:9" ht="15.5" x14ac:dyDescent="0.35">
      <c r="A145" s="14" t="s">
        <v>458</v>
      </c>
      <c r="B145" s="15" t="s" cm="1">
        <v>19</v>
      </c>
      <c r="C145" s="15" t="s" cm="1">
        <v>1644</v>
      </c>
      <c r="D145" s="15" t="s">
        <v>1775</v>
      </c>
      <c r="E145" s="15" t="s" cm="1">
        <v>1639</v>
      </c>
      <c r="F145" s="12" t="s">
        <v>1638</v>
      </c>
      <c r="G145" s="12" t="s">
        <v>24</v>
      </c>
      <c r="H145" s="12" t="s">
        <v>184</v>
      </c>
      <c r="I145" s="12" t="s">
        <v>91</v>
      </c>
    </row>
    <row r="146" spans="1:9" ht="15.5" x14ac:dyDescent="0.35">
      <c r="A146" s="14" t="s">
        <v>456</v>
      </c>
      <c r="B146" s="15" t="s" cm="1">
        <v>19</v>
      </c>
      <c r="C146" s="15" t="s" cm="1">
        <v>1644</v>
      </c>
      <c r="D146" s="15" t="s">
        <v>1776</v>
      </c>
      <c r="E146" s="15" t="s" cm="1">
        <v>1639</v>
      </c>
      <c r="F146" s="12" t="s">
        <v>1638</v>
      </c>
      <c r="G146" s="12" t="s">
        <v>24</v>
      </c>
      <c r="H146" s="12" t="s">
        <v>184</v>
      </c>
      <c r="I146" s="12" t="s">
        <v>91</v>
      </c>
    </row>
    <row r="147" spans="1:9" ht="15.5" x14ac:dyDescent="0.35">
      <c r="A147" s="14" t="s">
        <v>454</v>
      </c>
      <c r="B147" s="15" t="s" cm="1">
        <v>19</v>
      </c>
      <c r="C147" s="15" t="s" cm="1">
        <v>1644</v>
      </c>
      <c r="D147" s="15" t="s">
        <v>1777</v>
      </c>
      <c r="E147" s="15" t="s" cm="1">
        <v>1639</v>
      </c>
      <c r="F147" s="12" t="s">
        <v>1638</v>
      </c>
      <c r="G147" s="12" t="s">
        <v>24</v>
      </c>
      <c r="H147" s="12" t="s">
        <v>92</v>
      </c>
      <c r="I147" s="12" t="s">
        <v>91</v>
      </c>
    </row>
    <row r="148" spans="1:9" ht="15.5" x14ac:dyDescent="0.35">
      <c r="A148" s="14" t="s">
        <v>452</v>
      </c>
      <c r="B148" s="15" t="s" cm="1">
        <v>19</v>
      </c>
      <c r="C148" s="15" t="s" cm="1">
        <v>1644</v>
      </c>
      <c r="D148" s="15" t="s">
        <v>1778</v>
      </c>
      <c r="E148" s="15" t="s" cm="1">
        <v>1639</v>
      </c>
      <c r="F148" s="12" t="s">
        <v>1638</v>
      </c>
      <c r="G148" s="12" t="s">
        <v>24</v>
      </c>
      <c r="H148" s="12" t="s">
        <v>184</v>
      </c>
      <c r="I148" s="12" t="s">
        <v>91</v>
      </c>
    </row>
    <row r="149" spans="1:9" ht="15.5" x14ac:dyDescent="0.35">
      <c r="A149" s="14" t="s">
        <v>448</v>
      </c>
      <c r="B149" s="15" t="s" cm="1">
        <v>19</v>
      </c>
      <c r="C149" s="15" t="s" cm="1">
        <v>1644</v>
      </c>
      <c r="D149" s="15" t="s">
        <v>1779</v>
      </c>
      <c r="E149" s="15" t="s" cm="1">
        <v>1639</v>
      </c>
      <c r="F149" s="12" t="s">
        <v>1638</v>
      </c>
      <c r="G149" s="12" t="s">
        <v>24</v>
      </c>
      <c r="H149" s="12" t="s">
        <v>184</v>
      </c>
      <c r="I149" s="12" t="s">
        <v>91</v>
      </c>
    </row>
    <row r="150" spans="1:9" ht="15.5" x14ac:dyDescent="0.35">
      <c r="A150" s="14" t="s">
        <v>694</v>
      </c>
      <c r="B150" s="15" t="s" cm="1">
        <v>19</v>
      </c>
      <c r="C150" s="15" t="s" cm="1">
        <v>1644</v>
      </c>
      <c r="D150" s="15" t="s">
        <v>1670</v>
      </c>
      <c r="E150" s="15" t="s" cm="1">
        <v>1635</v>
      </c>
      <c r="F150" s="12" t="s">
        <v>1693</v>
      </c>
      <c r="G150" s="12" t="s">
        <v>24</v>
      </c>
      <c r="H150" s="12" t="s">
        <v>595</v>
      </c>
      <c r="I150" s="12" t="s">
        <v>594</v>
      </c>
    </row>
    <row r="151" spans="1:9" ht="15.5" x14ac:dyDescent="0.35">
      <c r="A151" s="14" t="s">
        <v>722</v>
      </c>
      <c r="B151" s="15" t="s" cm="1">
        <v>19</v>
      </c>
      <c r="C151" s="15" t="s" cm="1">
        <v>1644</v>
      </c>
      <c r="D151" s="15" t="s">
        <v>1780</v>
      </c>
      <c r="E151" s="15" t="s" cm="1">
        <v>1635</v>
      </c>
      <c r="F151" s="12" t="s">
        <v>1638</v>
      </c>
      <c r="G151" s="12" t="s">
        <v>24</v>
      </c>
      <c r="H151" s="12" t="s">
        <v>595</v>
      </c>
      <c r="I151" s="12" t="s">
        <v>594</v>
      </c>
    </row>
    <row r="152" spans="1:9" ht="15.5" x14ac:dyDescent="0.35">
      <c r="A152" s="14" t="s">
        <v>425</v>
      </c>
      <c r="B152" s="15" t="s" cm="1">
        <v>19</v>
      </c>
      <c r="C152" s="15" t="s" cm="1">
        <v>1644</v>
      </c>
      <c r="D152" s="15" t="s">
        <v>1781</v>
      </c>
      <c r="E152" s="15" t="s" cm="1">
        <v>1635</v>
      </c>
      <c r="F152" s="12" t="s">
        <v>1638</v>
      </c>
      <c r="G152" s="12" t="s">
        <v>24</v>
      </c>
      <c r="H152" s="12" t="s">
        <v>184</v>
      </c>
      <c r="I152" s="12" t="s">
        <v>91</v>
      </c>
    </row>
    <row r="153" spans="1:9" ht="15.5" x14ac:dyDescent="0.35">
      <c r="A153" s="14" t="s">
        <v>738</v>
      </c>
      <c r="B153" s="15" t="s" cm="1">
        <v>19</v>
      </c>
      <c r="C153" s="15" t="s" cm="1">
        <v>1644</v>
      </c>
      <c r="D153" s="15" t="s">
        <v>1782</v>
      </c>
      <c r="E153" s="15" t="s" cm="1">
        <v>1635</v>
      </c>
      <c r="F153" s="12" t="s">
        <v>1638</v>
      </c>
      <c r="G153" s="12" t="s">
        <v>24</v>
      </c>
      <c r="H153" s="12" t="s">
        <v>45</v>
      </c>
      <c r="I153" s="12" t="s">
        <v>44</v>
      </c>
    </row>
    <row r="154" spans="1:9" ht="15.5" x14ac:dyDescent="0.35">
      <c r="A154" s="14" t="s">
        <v>736</v>
      </c>
      <c r="B154" s="15" t="s" cm="1">
        <v>19</v>
      </c>
      <c r="C154" s="15" t="s" cm="1">
        <v>1644</v>
      </c>
      <c r="D154" s="15" t="s">
        <v>1783</v>
      </c>
      <c r="E154" s="15" t="s" cm="1">
        <v>1635</v>
      </c>
      <c r="F154" s="12" t="s">
        <v>1638</v>
      </c>
      <c r="G154" s="12" t="s">
        <v>24</v>
      </c>
      <c r="H154" s="12" t="s">
        <v>45</v>
      </c>
      <c r="I154" s="12" t="s">
        <v>44</v>
      </c>
    </row>
    <row r="155" spans="1:9" ht="15.5" x14ac:dyDescent="0.35">
      <c r="A155" s="14" t="s">
        <v>734</v>
      </c>
      <c r="B155" s="15" t="s" cm="1">
        <v>19</v>
      </c>
      <c r="C155" s="15" t="s" cm="1">
        <v>1644</v>
      </c>
      <c r="D155" s="15" t="s">
        <v>1784</v>
      </c>
      <c r="E155" s="15" t="s" cm="1">
        <v>1635</v>
      </c>
      <c r="F155" s="12" t="s">
        <v>1638</v>
      </c>
      <c r="G155" s="12" t="s">
        <v>24</v>
      </c>
      <c r="H155" s="12" t="s">
        <v>595</v>
      </c>
      <c r="I155" s="12" t="s">
        <v>594</v>
      </c>
    </row>
    <row r="156" spans="1:9" ht="15.5" x14ac:dyDescent="0.35">
      <c r="A156" s="14" t="s">
        <v>732</v>
      </c>
      <c r="B156" s="15" t="s" cm="1">
        <v>19</v>
      </c>
      <c r="C156" s="15" t="s" cm="1">
        <v>1644</v>
      </c>
      <c r="D156" s="15" t="s">
        <v>1785</v>
      </c>
      <c r="E156" s="15" t="s" cm="1">
        <v>1635</v>
      </c>
      <c r="F156" s="12" t="s">
        <v>1638</v>
      </c>
      <c r="G156" s="12" t="s">
        <v>24</v>
      </c>
      <c r="H156" s="12" t="s">
        <v>595</v>
      </c>
      <c r="I156" s="12" t="s">
        <v>594</v>
      </c>
    </row>
    <row r="157" spans="1:9" ht="15.5" x14ac:dyDescent="0.35">
      <c r="A157" s="14" t="s">
        <v>730</v>
      </c>
      <c r="B157" s="15" t="s" cm="1">
        <v>19</v>
      </c>
      <c r="C157" s="15" t="s" cm="1">
        <v>1644</v>
      </c>
      <c r="D157" s="15" t="s">
        <v>1786</v>
      </c>
      <c r="E157" s="15" t="s" cm="1">
        <v>1635</v>
      </c>
      <c r="F157" s="12" t="s">
        <v>1638</v>
      </c>
      <c r="G157" s="12" t="s">
        <v>24</v>
      </c>
      <c r="H157" s="12" t="s">
        <v>595</v>
      </c>
      <c r="I157" s="12" t="s">
        <v>594</v>
      </c>
    </row>
    <row r="158" spans="1:9" ht="15.5" x14ac:dyDescent="0.35">
      <c r="A158" s="14" t="s">
        <v>728</v>
      </c>
      <c r="B158" s="15" t="s" cm="1">
        <v>19</v>
      </c>
      <c r="C158" s="15" t="s" cm="1">
        <v>1644</v>
      </c>
      <c r="D158" s="15" t="s">
        <v>1787</v>
      </c>
      <c r="E158" s="15" t="s" cm="1">
        <v>1635</v>
      </c>
      <c r="F158" s="12" t="s">
        <v>1638</v>
      </c>
      <c r="G158" s="12" t="s">
        <v>24</v>
      </c>
      <c r="H158" s="12" t="s">
        <v>599</v>
      </c>
      <c r="I158" s="12" t="s">
        <v>598</v>
      </c>
    </row>
    <row r="159" spans="1:9" ht="15.5" x14ac:dyDescent="0.35">
      <c r="A159" s="14" t="s">
        <v>726</v>
      </c>
      <c r="B159" s="15" t="s" cm="1">
        <v>19</v>
      </c>
      <c r="C159" s="15" t="s" cm="1">
        <v>1644</v>
      </c>
      <c r="D159" s="15" t="s">
        <v>1788</v>
      </c>
      <c r="E159" s="15" t="s" cm="1">
        <v>1635</v>
      </c>
      <c r="F159" s="12" t="s">
        <v>1638</v>
      </c>
      <c r="G159" s="12" t="s">
        <v>24</v>
      </c>
      <c r="H159" s="12" t="s">
        <v>45</v>
      </c>
      <c r="I159" s="12" t="s">
        <v>44</v>
      </c>
    </row>
    <row r="160" spans="1:9" ht="15.5" x14ac:dyDescent="0.35">
      <c r="A160" s="14" t="s">
        <v>36</v>
      </c>
      <c r="B160" s="15" t="s" cm="1">
        <v>986</v>
      </c>
      <c r="C160" s="15" t="s" cm="1">
        <v>1644</v>
      </c>
      <c r="D160" s="15" t="s">
        <v>1789</v>
      </c>
      <c r="E160" s="15" t="s" cm="1">
        <v>1639</v>
      </c>
      <c r="F160" s="12" t="s">
        <v>1636</v>
      </c>
      <c r="G160" s="12" t="s">
        <v>867</v>
      </c>
      <c r="H160" s="12" t="s">
        <v>29</v>
      </c>
      <c r="I160" s="12" t="s">
        <v>28</v>
      </c>
    </row>
    <row r="161" spans="1:9" ht="15.5" x14ac:dyDescent="0.35">
      <c r="A161" s="14" t="s">
        <v>742</v>
      </c>
      <c r="B161" s="15" t="s" cm="1">
        <v>986</v>
      </c>
      <c r="C161" s="15" t="s" cm="1">
        <v>1644</v>
      </c>
      <c r="D161" s="15" t="s">
        <v>1790</v>
      </c>
      <c r="E161" s="15" t="s" cm="1">
        <v>1635</v>
      </c>
      <c r="F161" s="12" t="s">
        <v>1636</v>
      </c>
      <c r="G161" s="12" t="s">
        <v>24</v>
      </c>
      <c r="H161" s="12" t="s">
        <v>45</v>
      </c>
      <c r="I161" s="12" t="s">
        <v>44</v>
      </c>
    </row>
    <row r="162" spans="1:9" ht="15.5" x14ac:dyDescent="0.35">
      <c r="A162" s="14" t="s">
        <v>32</v>
      </c>
      <c r="B162" s="15" t="s" cm="1">
        <v>986</v>
      </c>
      <c r="C162" s="15" t="s" cm="1">
        <v>1644</v>
      </c>
      <c r="D162" s="15" t="s">
        <v>1791</v>
      </c>
      <c r="E162" s="15" t="s" cm="1">
        <v>1639</v>
      </c>
      <c r="F162" s="12" t="s">
        <v>1636</v>
      </c>
      <c r="G162" s="12" t="s">
        <v>866</v>
      </c>
      <c r="H162" s="12" t="s">
        <v>35</v>
      </c>
      <c r="I162" s="12" t="s">
        <v>34</v>
      </c>
    </row>
    <row r="163" spans="1:9" ht="15.5" x14ac:dyDescent="0.35">
      <c r="A163" s="14" t="s">
        <v>165</v>
      </c>
      <c r="B163" s="15" t="s" cm="1">
        <v>986</v>
      </c>
      <c r="C163" s="15" t="s" cm="1">
        <v>1644</v>
      </c>
      <c r="D163" s="15" t="s">
        <v>1792</v>
      </c>
      <c r="E163" s="15" t="s" cm="1">
        <v>1639</v>
      </c>
      <c r="F163" s="12" t="s">
        <v>1636</v>
      </c>
      <c r="G163" s="12" t="s">
        <v>24</v>
      </c>
      <c r="H163" s="12" t="s">
        <v>45</v>
      </c>
      <c r="I163" s="12" t="s">
        <v>44</v>
      </c>
    </row>
    <row r="164" spans="1:9" ht="15.5" x14ac:dyDescent="0.35">
      <c r="A164" s="14" t="s">
        <v>1071</v>
      </c>
      <c r="B164" s="15" t="s" cm="1">
        <v>19</v>
      </c>
      <c r="C164" s="15" t="s" cm="1">
        <v>1644</v>
      </c>
      <c r="D164" s="15" t="s">
        <v>1793</v>
      </c>
      <c r="E164" s="15" t="s" cm="1">
        <v>1639</v>
      </c>
      <c r="F164" s="12" t="s">
        <v>1638</v>
      </c>
      <c r="G164" s="12" t="s">
        <v>899</v>
      </c>
      <c r="H164" s="12" t="s">
        <v>130</v>
      </c>
      <c r="I164" s="12" t="s">
        <v>22</v>
      </c>
    </row>
    <row r="165" spans="1:9" ht="15.5" x14ac:dyDescent="0.35">
      <c r="A165" s="14" t="s">
        <v>332</v>
      </c>
      <c r="B165" s="15" t="s" cm="1">
        <v>986</v>
      </c>
      <c r="C165" s="15" t="s" cm="1">
        <v>21</v>
      </c>
      <c r="D165" s="15" t="s">
        <v>1794</v>
      </c>
      <c r="E165" s="15" t="s" cm="1">
        <v>1635</v>
      </c>
      <c r="F165" s="12" t="s">
        <v>1643</v>
      </c>
      <c r="G165" s="12" t="s">
        <v>934</v>
      </c>
      <c r="H165" s="12" t="s">
        <v>58</v>
      </c>
      <c r="I165" s="12" t="s">
        <v>57</v>
      </c>
    </row>
    <row r="166" spans="1:9" ht="15.5" x14ac:dyDescent="0.35">
      <c r="A166" s="14" t="s">
        <v>334</v>
      </c>
      <c r="B166" s="15" t="s" cm="1">
        <v>986</v>
      </c>
      <c r="C166" s="15" t="s" cm="1">
        <v>21</v>
      </c>
      <c r="D166" s="15" t="s">
        <v>335</v>
      </c>
      <c r="E166" s="15" t="s" cm="1">
        <v>1635</v>
      </c>
      <c r="F166" s="12" t="s">
        <v>1643</v>
      </c>
      <c r="G166" s="12" t="s">
        <v>935</v>
      </c>
      <c r="H166" s="12" t="s">
        <v>58</v>
      </c>
      <c r="I166" s="12" t="s">
        <v>57</v>
      </c>
    </row>
    <row r="167" spans="1:9" ht="15.5" x14ac:dyDescent="0.35">
      <c r="A167" s="14" t="s">
        <v>323</v>
      </c>
      <c r="B167" s="15" t="s" cm="1">
        <v>986</v>
      </c>
      <c r="C167" s="15" t="s" cm="1">
        <v>21</v>
      </c>
      <c r="D167" s="15" t="s">
        <v>324</v>
      </c>
      <c r="E167" s="15" t="s" cm="1">
        <v>1635</v>
      </c>
      <c r="F167" s="12" t="s">
        <v>1643</v>
      </c>
      <c r="G167" s="12" t="s">
        <v>930</v>
      </c>
      <c r="H167" s="12" t="s">
        <v>29</v>
      </c>
      <c r="I167" s="12" t="s">
        <v>28</v>
      </c>
    </row>
    <row r="168" spans="1:9" ht="15.5" x14ac:dyDescent="0.35">
      <c r="A168" s="14" t="s">
        <v>403</v>
      </c>
      <c r="B168" s="15" t="s" cm="1">
        <v>986</v>
      </c>
      <c r="C168" s="15" t="s" cm="1">
        <v>21</v>
      </c>
      <c r="D168" s="15" t="s">
        <v>404</v>
      </c>
      <c r="E168" s="15" t="s" cm="1">
        <v>1635</v>
      </c>
      <c r="F168" s="12" t="s">
        <v>1664</v>
      </c>
      <c r="G168" s="12" t="s">
        <v>950</v>
      </c>
      <c r="H168" s="12" t="s">
        <v>23</v>
      </c>
      <c r="I168" s="12" t="s">
        <v>22</v>
      </c>
    </row>
    <row r="169" spans="1:9" ht="15.5" x14ac:dyDescent="0.35">
      <c r="A169" s="14" t="s">
        <v>336</v>
      </c>
      <c r="B169" s="15" t="s" cm="1">
        <v>986</v>
      </c>
      <c r="C169" s="15" t="s" cm="1">
        <v>21</v>
      </c>
      <c r="D169" s="15" t="s">
        <v>1795</v>
      </c>
      <c r="E169" s="15" t="s" cm="1">
        <v>1637</v>
      </c>
      <c r="F169" s="12" t="s">
        <v>1636</v>
      </c>
      <c r="G169" s="12" t="s">
        <v>936</v>
      </c>
      <c r="H169" s="12" t="s">
        <v>58</v>
      </c>
      <c r="I169" s="12" t="s">
        <v>57</v>
      </c>
    </row>
    <row r="170" spans="1:9" ht="15.5" x14ac:dyDescent="0.35">
      <c r="A170" s="14" t="s">
        <v>468</v>
      </c>
      <c r="B170" s="15" t="s" cm="1">
        <v>986</v>
      </c>
      <c r="C170" s="15" t="s" cm="1">
        <v>21</v>
      </c>
      <c r="D170" s="15" t="s">
        <v>1795</v>
      </c>
      <c r="E170" s="15" t="s" cm="1">
        <v>1637</v>
      </c>
      <c r="F170" s="12" t="s">
        <v>1636</v>
      </c>
      <c r="G170" s="12" t="s">
        <v>951</v>
      </c>
      <c r="H170" s="12" t="s">
        <v>58</v>
      </c>
      <c r="I170" s="12" t="s">
        <v>57</v>
      </c>
    </row>
    <row r="171" spans="1:9" ht="15.5" x14ac:dyDescent="0.35">
      <c r="A171" s="14" t="s">
        <v>171</v>
      </c>
      <c r="B171" s="15" t="s" cm="1">
        <v>19</v>
      </c>
      <c r="C171" s="15" t="s" cm="1">
        <v>21</v>
      </c>
      <c r="D171" s="15" t="s">
        <v>1796</v>
      </c>
      <c r="E171" s="15" t="s" cm="1">
        <v>1653</v>
      </c>
      <c r="F171" s="12" t="s">
        <v>24</v>
      </c>
      <c r="G171" s="12" t="s">
        <v>869</v>
      </c>
      <c r="H171" s="12" t="s">
        <v>1056</v>
      </c>
      <c r="I171" s="12" t="s">
        <v>22</v>
      </c>
    </row>
    <row r="172" spans="1:9" ht="15.5" x14ac:dyDescent="0.35">
      <c r="A172" s="14" t="s">
        <v>181</v>
      </c>
      <c r="B172" s="15" t="s" cm="1">
        <v>986</v>
      </c>
      <c r="C172" s="15" t="s" cm="1">
        <v>21</v>
      </c>
      <c r="D172" s="15" t="s">
        <v>180</v>
      </c>
      <c r="E172" s="15" t="s" cm="1">
        <v>1635</v>
      </c>
      <c r="F172" s="12" t="s">
        <v>1664</v>
      </c>
      <c r="G172" s="12" t="s">
        <v>898</v>
      </c>
      <c r="H172" s="12" t="s">
        <v>35</v>
      </c>
      <c r="I172" s="12" t="s">
        <v>34</v>
      </c>
    </row>
    <row r="173" spans="1:9" ht="15.5" x14ac:dyDescent="0.35">
      <c r="A173" s="14" t="s">
        <v>179</v>
      </c>
      <c r="B173" s="15" t="s" cm="1">
        <v>986</v>
      </c>
      <c r="C173" s="15" t="s" cm="1">
        <v>21</v>
      </c>
      <c r="D173" s="15" t="s">
        <v>180</v>
      </c>
      <c r="E173" s="15" t="s" cm="1">
        <v>1635</v>
      </c>
      <c r="F173" s="12" t="s">
        <v>1664</v>
      </c>
      <c r="G173" s="12" t="s">
        <v>897</v>
      </c>
      <c r="H173" s="12" t="s">
        <v>35</v>
      </c>
      <c r="I173" s="12" t="s">
        <v>34</v>
      </c>
    </row>
    <row r="174" spans="1:9" ht="15.5" x14ac:dyDescent="0.35">
      <c r="A174" s="14" t="s">
        <v>330</v>
      </c>
      <c r="B174" s="15" t="s" cm="1">
        <v>986</v>
      </c>
      <c r="C174" s="15" t="s" cm="1">
        <v>21</v>
      </c>
      <c r="D174" s="15" t="s">
        <v>331</v>
      </c>
      <c r="E174" s="15" t="s" cm="1">
        <v>1639</v>
      </c>
      <c r="F174" s="12" t="s">
        <v>1636</v>
      </c>
      <c r="G174" s="12" t="s">
        <v>866</v>
      </c>
      <c r="H174" s="12" t="s">
        <v>52</v>
      </c>
      <c r="I174" s="12" t="s">
        <v>51</v>
      </c>
    </row>
    <row r="175" spans="1:9" ht="15.5" x14ac:dyDescent="0.35">
      <c r="A175" s="14" t="s">
        <v>177</v>
      </c>
      <c r="B175" s="15" t="s" cm="1">
        <v>89</v>
      </c>
      <c r="C175" s="15" t="s" cm="1">
        <v>21</v>
      </c>
      <c r="D175" s="15" t="s">
        <v>178</v>
      </c>
      <c r="E175" s="15" t="s" cm="1">
        <v>1635</v>
      </c>
      <c r="F175" s="12" t="s">
        <v>1643</v>
      </c>
      <c r="G175" s="12" t="s">
        <v>896</v>
      </c>
      <c r="H175" s="12" t="s">
        <v>35</v>
      </c>
      <c r="I175" s="12" t="s">
        <v>34</v>
      </c>
    </row>
    <row r="176" spans="1:9" ht="15.5" x14ac:dyDescent="0.35">
      <c r="A176" s="14" t="s">
        <v>136</v>
      </c>
      <c r="B176" s="15" t="s" cm="1">
        <v>986</v>
      </c>
      <c r="C176" s="15" t="s" cm="1">
        <v>21</v>
      </c>
      <c r="D176" s="15" t="s">
        <v>137</v>
      </c>
      <c r="E176" s="15" t="s" cm="1">
        <v>1639</v>
      </c>
      <c r="F176" s="12" t="s">
        <v>1636</v>
      </c>
      <c r="G176" s="12" t="s">
        <v>24</v>
      </c>
      <c r="H176" s="12" t="s">
        <v>52</v>
      </c>
      <c r="I176" s="12" t="s">
        <v>51</v>
      </c>
    </row>
    <row r="177" spans="1:9" ht="15.5" x14ac:dyDescent="0.35">
      <c r="A177" s="14" t="s">
        <v>175</v>
      </c>
      <c r="B177" s="15" t="s" cm="1">
        <v>986</v>
      </c>
      <c r="C177" s="15" t="s" cm="1">
        <v>21</v>
      </c>
      <c r="D177" s="15" t="s">
        <v>176</v>
      </c>
      <c r="E177" s="15" t="s" cm="1">
        <v>1635</v>
      </c>
      <c r="F177" s="12" t="s">
        <v>1643</v>
      </c>
      <c r="G177" s="12" t="s">
        <v>895</v>
      </c>
      <c r="H177" s="12" t="s">
        <v>162</v>
      </c>
      <c r="I177" s="12" t="s">
        <v>161</v>
      </c>
    </row>
    <row r="178" spans="1:9" ht="15.5" x14ac:dyDescent="0.35">
      <c r="A178" s="14" t="s">
        <v>211</v>
      </c>
      <c r="B178" s="15" t="s" cm="1">
        <v>89</v>
      </c>
      <c r="C178" s="15" t="s" cm="1">
        <v>21</v>
      </c>
      <c r="D178" s="15" t="s">
        <v>1797</v>
      </c>
      <c r="E178" s="15" t="s" cm="1">
        <v>1635</v>
      </c>
      <c r="F178" s="12" t="s">
        <v>1664</v>
      </c>
      <c r="G178" s="12" t="s">
        <v>905</v>
      </c>
      <c r="H178" s="12" t="s">
        <v>29</v>
      </c>
      <c r="I178" s="12" t="s">
        <v>28</v>
      </c>
    </row>
    <row r="179" spans="1:9" ht="15.5" x14ac:dyDescent="0.35">
      <c r="A179" s="14" t="s">
        <v>128</v>
      </c>
      <c r="B179" s="15" t="s" cm="1">
        <v>986</v>
      </c>
      <c r="C179" s="15" t="s" cm="1">
        <v>21</v>
      </c>
      <c r="D179" s="15" t="s">
        <v>1798</v>
      </c>
      <c r="E179" s="15" t="s" cm="1">
        <v>1639</v>
      </c>
      <c r="F179" s="12" t="s">
        <v>1636</v>
      </c>
      <c r="G179" s="12" t="s">
        <v>24</v>
      </c>
      <c r="H179" s="12" t="s">
        <v>1056</v>
      </c>
      <c r="I179" s="12" t="s">
        <v>22</v>
      </c>
    </row>
    <row r="180" spans="1:9" ht="15.5" x14ac:dyDescent="0.35">
      <c r="A180" s="14" t="s">
        <v>106</v>
      </c>
      <c r="B180" s="15" t="s" cm="1">
        <v>986</v>
      </c>
      <c r="C180" s="15" t="s" cm="1">
        <v>21</v>
      </c>
      <c r="D180" s="15" t="s">
        <v>108</v>
      </c>
      <c r="E180" s="15" t="s" cm="1">
        <v>1639</v>
      </c>
      <c r="F180" s="12" t="s">
        <v>1636</v>
      </c>
      <c r="G180" s="12" t="s">
        <v>24</v>
      </c>
      <c r="H180" s="12" t="s">
        <v>58</v>
      </c>
      <c r="I180" s="12" t="s">
        <v>57</v>
      </c>
    </row>
    <row r="181" spans="1:9" ht="15.5" x14ac:dyDescent="0.35">
      <c r="A181" s="14" t="s">
        <v>150</v>
      </c>
      <c r="B181" s="15" t="s" cm="1">
        <v>986</v>
      </c>
      <c r="C181" s="15" t="s" cm="1">
        <v>21</v>
      </c>
      <c r="D181" s="15" t="s">
        <v>1799</v>
      </c>
      <c r="E181" s="15" t="s" cm="1">
        <v>1635</v>
      </c>
      <c r="F181" s="12" t="s">
        <v>1638</v>
      </c>
      <c r="G181" s="12" t="s">
        <v>892</v>
      </c>
      <c r="H181" s="12" t="s">
        <v>112</v>
      </c>
      <c r="I181" s="12" t="s">
        <v>111</v>
      </c>
    </row>
    <row r="182" spans="1:9" ht="15.5" x14ac:dyDescent="0.35">
      <c r="A182" s="14" t="s">
        <v>257</v>
      </c>
      <c r="B182" s="15" t="s" cm="1">
        <v>986</v>
      </c>
      <c r="C182" s="15" t="s" cm="1">
        <v>21</v>
      </c>
      <c r="D182" s="15" t="s">
        <v>258</v>
      </c>
      <c r="E182" s="15" t="s" cm="1">
        <v>1639</v>
      </c>
      <c r="F182" s="12" t="s">
        <v>1636</v>
      </c>
      <c r="G182" s="12" t="s">
        <v>24</v>
      </c>
      <c r="H182" s="12" t="s">
        <v>130</v>
      </c>
      <c r="I182" s="12" t="s">
        <v>22</v>
      </c>
    </row>
    <row r="183" spans="1:9" ht="15.5" x14ac:dyDescent="0.35">
      <c r="A183" s="14" t="s">
        <v>255</v>
      </c>
      <c r="B183" s="15" t="s" cm="1">
        <v>986</v>
      </c>
      <c r="C183" s="15" t="s" cm="1">
        <v>21</v>
      </c>
      <c r="D183" s="15" t="s">
        <v>1800</v>
      </c>
      <c r="E183" s="15" t="s" cm="1">
        <v>1653</v>
      </c>
      <c r="F183" s="12" t="s">
        <v>24</v>
      </c>
      <c r="G183" s="12" t="s">
        <v>995</v>
      </c>
      <c r="H183" s="12" t="s">
        <v>45</v>
      </c>
      <c r="I183" s="12" t="s">
        <v>44</v>
      </c>
    </row>
    <row r="184" spans="1:9" ht="15.5" x14ac:dyDescent="0.35">
      <c r="A184" s="14" t="s">
        <v>328</v>
      </c>
      <c r="B184" s="15" t="s" cm="1">
        <v>19</v>
      </c>
      <c r="C184" s="15" t="s" cm="1">
        <v>21</v>
      </c>
      <c r="D184" s="15" t="s">
        <v>329</v>
      </c>
      <c r="E184" s="15" t="s" cm="1">
        <v>1639</v>
      </c>
      <c r="F184" s="12" t="s">
        <v>1638</v>
      </c>
      <c r="G184" s="12" t="s">
        <v>933</v>
      </c>
      <c r="H184" s="12" t="s">
        <v>112</v>
      </c>
      <c r="I184" s="12" t="s">
        <v>111</v>
      </c>
    </row>
    <row r="185" spans="1:9" ht="15.5" x14ac:dyDescent="0.35">
      <c r="A185" s="14" t="s">
        <v>163</v>
      </c>
      <c r="B185" s="15" t="s" cm="1">
        <v>986</v>
      </c>
      <c r="C185" s="15" t="s" cm="1">
        <v>21</v>
      </c>
      <c r="D185" s="15" t="s">
        <v>1801</v>
      </c>
      <c r="E185" s="15" t="s" cm="1">
        <v>1639</v>
      </c>
      <c r="F185" s="12" t="s">
        <v>1636</v>
      </c>
      <c r="G185" s="12" t="s">
        <v>24</v>
      </c>
      <c r="H185" s="12" t="s">
        <v>130</v>
      </c>
      <c r="I185" s="12" t="s">
        <v>22</v>
      </c>
    </row>
    <row r="186" spans="1:9" ht="15.5" x14ac:dyDescent="0.35">
      <c r="A186" s="14" t="s">
        <v>167</v>
      </c>
      <c r="B186" s="15" t="s" cm="1">
        <v>19</v>
      </c>
      <c r="C186" s="15" t="s" cm="1">
        <v>21</v>
      </c>
      <c r="D186" s="15" t="s">
        <v>168</v>
      </c>
      <c r="E186" s="15" t="s" cm="1">
        <v>1635</v>
      </c>
      <c r="F186" s="12" t="s">
        <v>1638</v>
      </c>
      <c r="G186" s="12" t="s">
        <v>884</v>
      </c>
      <c r="H186" s="12" t="s">
        <v>52</v>
      </c>
      <c r="I186" s="12" t="s">
        <v>51</v>
      </c>
    </row>
    <row r="187" spans="1:9" ht="15.5" x14ac:dyDescent="0.35">
      <c r="A187" s="14" t="s">
        <v>75</v>
      </c>
      <c r="B187" s="15" t="s" cm="1">
        <v>986</v>
      </c>
      <c r="C187" s="15" t="s" cm="1">
        <v>21</v>
      </c>
      <c r="D187" s="15" t="s">
        <v>1802</v>
      </c>
      <c r="E187" s="15" t="s" cm="1">
        <v>1635</v>
      </c>
      <c r="F187" s="12" t="s">
        <v>1693</v>
      </c>
      <c r="G187" s="12" t="s">
        <v>876</v>
      </c>
      <c r="H187" s="12" t="s">
        <v>23</v>
      </c>
      <c r="I187" s="12" t="s">
        <v>22</v>
      </c>
    </row>
    <row r="188" spans="1:9" ht="15.5" x14ac:dyDescent="0.35">
      <c r="A188" s="14" t="s">
        <v>355</v>
      </c>
      <c r="B188" s="15" t="s" cm="1">
        <v>986</v>
      </c>
      <c r="C188" s="15" t="s" cm="1">
        <v>21</v>
      </c>
      <c r="D188" s="15" t="s">
        <v>1803</v>
      </c>
      <c r="E188" s="15" t="s" cm="1">
        <v>1637</v>
      </c>
      <c r="F188" s="12" t="s">
        <v>1636</v>
      </c>
      <c r="G188" s="12" t="s">
        <v>940</v>
      </c>
      <c r="H188" s="12" t="s">
        <v>35</v>
      </c>
      <c r="I188" s="12" t="s">
        <v>34</v>
      </c>
    </row>
    <row r="189" spans="1:9" ht="15.5" x14ac:dyDescent="0.35">
      <c r="A189" s="14" t="s">
        <v>104</v>
      </c>
      <c r="B189" s="15" t="s" cm="1">
        <v>986</v>
      </c>
      <c r="C189" s="15" t="s" cm="1">
        <v>21</v>
      </c>
      <c r="D189" s="15" t="s">
        <v>1804</v>
      </c>
      <c r="E189" s="15" t="s" cm="1">
        <v>1635</v>
      </c>
      <c r="F189" s="12" t="s">
        <v>1664</v>
      </c>
      <c r="G189" s="12" t="s">
        <v>879</v>
      </c>
      <c r="H189" s="12" t="s">
        <v>35</v>
      </c>
      <c r="I189" s="12" t="s">
        <v>34</v>
      </c>
    </row>
    <row r="190" spans="1:9" ht="15.5" x14ac:dyDescent="0.35">
      <c r="A190" s="14" t="s">
        <v>146</v>
      </c>
      <c r="B190" s="15" t="s" cm="1">
        <v>986</v>
      </c>
      <c r="C190" s="15" t="s" cm="1">
        <v>21</v>
      </c>
      <c r="D190" s="15" t="s">
        <v>1805</v>
      </c>
      <c r="E190" s="15" t="s" cm="1">
        <v>1635</v>
      </c>
      <c r="F190" s="12" t="s">
        <v>1664</v>
      </c>
      <c r="G190" s="12" t="s">
        <v>890</v>
      </c>
      <c r="H190" s="12" t="s">
        <v>23</v>
      </c>
      <c r="I190" s="12" t="s">
        <v>22</v>
      </c>
    </row>
    <row r="191" spans="1:9" ht="15.5" x14ac:dyDescent="0.35">
      <c r="A191" s="14" t="s">
        <v>392</v>
      </c>
      <c r="B191" s="15" t="s" cm="1">
        <v>986</v>
      </c>
      <c r="C191" s="15" t="s" cm="1">
        <v>21</v>
      </c>
      <c r="D191" s="15" t="s">
        <v>393</v>
      </c>
      <c r="E191" s="15" t="s" cm="1">
        <v>1639</v>
      </c>
      <c r="F191" s="12" t="s">
        <v>1638</v>
      </c>
      <c r="G191" s="12" t="s">
        <v>948</v>
      </c>
      <c r="H191" s="12" t="s">
        <v>130</v>
      </c>
      <c r="I191" s="12" t="s">
        <v>22</v>
      </c>
    </row>
    <row r="192" spans="1:9" ht="15.5" x14ac:dyDescent="0.35">
      <c r="A192" s="14" t="s">
        <v>115</v>
      </c>
      <c r="B192" s="15" t="s" cm="1">
        <v>986</v>
      </c>
      <c r="C192" s="15" t="s" cm="1">
        <v>21</v>
      </c>
      <c r="D192" s="15" t="s">
        <v>116</v>
      </c>
      <c r="E192" s="15" t="s" cm="1">
        <v>1639</v>
      </c>
      <c r="F192" s="12" t="s">
        <v>1638</v>
      </c>
      <c r="G192" s="12" t="s">
        <v>881</v>
      </c>
      <c r="H192" s="12" t="s">
        <v>117</v>
      </c>
      <c r="I192" s="12" t="s">
        <v>34</v>
      </c>
    </row>
    <row r="193" spans="1:9" ht="15.5" x14ac:dyDescent="0.35">
      <c r="A193" s="14" t="s">
        <v>221</v>
      </c>
      <c r="B193" s="15" t="s" cm="1">
        <v>986</v>
      </c>
      <c r="C193" s="15" t="s" cm="1">
        <v>21</v>
      </c>
      <c r="D193" s="15" t="s">
        <v>1806</v>
      </c>
      <c r="E193" s="15" t="s" cm="1">
        <v>1639</v>
      </c>
      <c r="F193" s="12" t="s">
        <v>1638</v>
      </c>
      <c r="G193" s="12" t="s">
        <v>881</v>
      </c>
      <c r="H193" s="12" t="s">
        <v>52</v>
      </c>
      <c r="I193" s="12" t="s">
        <v>51</v>
      </c>
    </row>
    <row r="194" spans="1:9" ht="15.5" x14ac:dyDescent="0.35">
      <c r="A194" s="14" t="s">
        <v>142</v>
      </c>
      <c r="B194" s="15" t="s" cm="1">
        <v>986</v>
      </c>
      <c r="C194" s="15" t="s" cm="1">
        <v>21</v>
      </c>
      <c r="D194" s="15" t="s">
        <v>1807</v>
      </c>
      <c r="E194" s="15" t="s" cm="1">
        <v>1635</v>
      </c>
      <c r="F194" s="12" t="s">
        <v>1693</v>
      </c>
      <c r="G194" s="12" t="s">
        <v>888</v>
      </c>
      <c r="H194" s="12" t="s">
        <v>29</v>
      </c>
      <c r="I194" s="12" t="s">
        <v>28</v>
      </c>
    </row>
    <row r="195" spans="1:9" ht="15.5" x14ac:dyDescent="0.35">
      <c r="A195" s="14" t="s">
        <v>217</v>
      </c>
      <c r="B195" s="15" t="s" cm="1">
        <v>986</v>
      </c>
      <c r="C195" s="15" t="s" cm="1">
        <v>21</v>
      </c>
      <c r="D195" s="15" t="s">
        <v>218</v>
      </c>
      <c r="E195" s="15" t="s" cm="1">
        <v>1635</v>
      </c>
      <c r="F195" s="12" t="s">
        <v>1641</v>
      </c>
      <c r="G195" s="12" t="s">
        <v>889</v>
      </c>
      <c r="H195" s="12" t="s">
        <v>52</v>
      </c>
      <c r="I195" s="12" t="s">
        <v>51</v>
      </c>
    </row>
    <row r="196" spans="1:9" ht="15.5" x14ac:dyDescent="0.35">
      <c r="A196" s="14" t="s">
        <v>305</v>
      </c>
      <c r="B196" s="15" t="s" cm="1">
        <v>986</v>
      </c>
      <c r="C196" s="15" t="s" cm="1">
        <v>21</v>
      </c>
      <c r="D196" s="15" t="s">
        <v>1808</v>
      </c>
      <c r="E196" s="15" t="s" cm="1">
        <v>1635</v>
      </c>
      <c r="F196" s="12" t="s">
        <v>1641</v>
      </c>
      <c r="G196" s="12" t="s">
        <v>926</v>
      </c>
      <c r="H196" s="12" t="s">
        <v>29</v>
      </c>
      <c r="I196" s="12" t="s">
        <v>28</v>
      </c>
    </row>
    <row r="197" spans="1:9" ht="15.5" x14ac:dyDescent="0.35">
      <c r="A197" s="14" t="s">
        <v>215</v>
      </c>
      <c r="B197" s="15" t="s" cm="1">
        <v>986</v>
      </c>
      <c r="C197" s="15" t="s" cm="1">
        <v>21</v>
      </c>
      <c r="D197" s="15" t="s">
        <v>1809</v>
      </c>
      <c r="E197" s="15" t="s" cm="1">
        <v>1635</v>
      </c>
      <c r="F197" s="12" t="s">
        <v>1641</v>
      </c>
      <c r="G197" s="12" t="s">
        <v>889</v>
      </c>
      <c r="H197" s="12" t="s">
        <v>52</v>
      </c>
      <c r="I197" s="12" t="s">
        <v>51</v>
      </c>
    </row>
    <row r="198" spans="1:9" ht="15.5" x14ac:dyDescent="0.35">
      <c r="A198" s="14" t="s">
        <v>303</v>
      </c>
      <c r="B198" s="15" t="s" cm="1">
        <v>986</v>
      </c>
      <c r="C198" s="15" t="s" cm="1">
        <v>21</v>
      </c>
      <c r="D198" s="15" t="s">
        <v>1810</v>
      </c>
      <c r="E198" s="15" t="s" cm="1">
        <v>1635</v>
      </c>
      <c r="F198" s="12" t="s">
        <v>1641</v>
      </c>
      <c r="G198" s="12" t="s">
        <v>925</v>
      </c>
      <c r="H198" s="12" t="s">
        <v>45</v>
      </c>
      <c r="I198" s="12" t="s">
        <v>44</v>
      </c>
    </row>
    <row r="199" spans="1:9" ht="15.5" x14ac:dyDescent="0.35">
      <c r="A199" s="14" t="s">
        <v>243</v>
      </c>
      <c r="B199" s="15" t="s" cm="1">
        <v>986</v>
      </c>
      <c r="C199" s="15" t="s" cm="1">
        <v>21</v>
      </c>
      <c r="D199" s="15" t="s">
        <v>244</v>
      </c>
      <c r="E199" s="15" t="s" cm="1">
        <v>1635</v>
      </c>
      <c r="F199" s="12" t="s">
        <v>1643</v>
      </c>
      <c r="G199" s="12" t="s">
        <v>909</v>
      </c>
      <c r="H199" s="12" t="s">
        <v>117</v>
      </c>
      <c r="I199" s="12" t="s">
        <v>34</v>
      </c>
    </row>
    <row r="200" spans="1:9" ht="15.5" x14ac:dyDescent="0.35">
      <c r="A200" s="14" t="s">
        <v>124</v>
      </c>
      <c r="B200" s="15" t="s" cm="1">
        <v>986</v>
      </c>
      <c r="C200" s="15" t="s" cm="1">
        <v>21</v>
      </c>
      <c r="D200" s="15" t="s">
        <v>1811</v>
      </c>
      <c r="E200" s="15" t="s" cm="1">
        <v>1637</v>
      </c>
      <c r="F200" s="12" t="s">
        <v>1643</v>
      </c>
      <c r="G200" s="12" t="s">
        <v>883</v>
      </c>
      <c r="H200" s="12" t="s">
        <v>23</v>
      </c>
      <c r="I200" s="12" t="s">
        <v>22</v>
      </c>
    </row>
    <row r="201" spans="1:9" ht="15.5" x14ac:dyDescent="0.35">
      <c r="A201" s="14" t="s">
        <v>299</v>
      </c>
      <c r="B201" s="15" t="s" cm="1">
        <v>986</v>
      </c>
      <c r="C201" s="15" t="s" cm="1">
        <v>21</v>
      </c>
      <c r="D201" s="15" t="s">
        <v>1812</v>
      </c>
      <c r="E201" s="15" t="s" cm="1">
        <v>1635</v>
      </c>
      <c r="F201" s="12" t="s">
        <v>1643</v>
      </c>
      <c r="G201" s="12" t="s">
        <v>923</v>
      </c>
      <c r="H201" s="12" t="s">
        <v>45</v>
      </c>
      <c r="I201" s="12" t="s">
        <v>44</v>
      </c>
    </row>
    <row r="202" spans="1:9" ht="15.5" x14ac:dyDescent="0.35">
      <c r="A202" s="14" t="s">
        <v>378</v>
      </c>
      <c r="B202" s="15" t="s" cm="1">
        <v>986</v>
      </c>
      <c r="C202" s="15" t="s" cm="1">
        <v>21</v>
      </c>
      <c r="D202" s="15" t="s">
        <v>1813</v>
      </c>
      <c r="E202" s="15" t="s" cm="1">
        <v>1635</v>
      </c>
      <c r="F202" s="12" t="s">
        <v>1636</v>
      </c>
      <c r="G202" s="12" t="s">
        <v>944</v>
      </c>
      <c r="H202" s="12" t="s">
        <v>45</v>
      </c>
      <c r="I202" s="12" t="s">
        <v>44</v>
      </c>
    </row>
    <row r="203" spans="1:9" ht="15.5" x14ac:dyDescent="0.35">
      <c r="A203" s="14" t="s">
        <v>307</v>
      </c>
      <c r="B203" s="15" t="s" cm="1">
        <v>986</v>
      </c>
      <c r="C203" s="15" t="s" cm="1">
        <v>21</v>
      </c>
      <c r="D203" s="15" t="s">
        <v>1814</v>
      </c>
      <c r="E203" s="15" t="s" cm="1">
        <v>1635</v>
      </c>
      <c r="F203" s="12" t="s">
        <v>1638</v>
      </c>
      <c r="G203" s="12" t="s">
        <v>878</v>
      </c>
      <c r="H203" s="12" t="s">
        <v>23</v>
      </c>
      <c r="I203" s="12" t="s">
        <v>22</v>
      </c>
    </row>
    <row r="204" spans="1:9" ht="15.5" x14ac:dyDescent="0.35">
      <c r="A204" s="14" t="s">
        <v>131</v>
      </c>
      <c r="B204" s="15" t="s" cm="1">
        <v>986</v>
      </c>
      <c r="C204" s="15" t="s" cm="1">
        <v>21</v>
      </c>
      <c r="D204" s="15" t="s">
        <v>132</v>
      </c>
      <c r="E204" s="15" t="s" cm="1">
        <v>1635</v>
      </c>
      <c r="F204" s="12" t="s">
        <v>1638</v>
      </c>
      <c r="G204" s="12" t="s">
        <v>884</v>
      </c>
      <c r="H204" s="12" t="s">
        <v>35</v>
      </c>
      <c r="I204" s="12" t="s">
        <v>34</v>
      </c>
    </row>
    <row r="205" spans="1:9" ht="15.5" x14ac:dyDescent="0.35">
      <c r="A205" s="14" t="s">
        <v>71</v>
      </c>
      <c r="B205" s="15" t="s" cm="1">
        <v>986</v>
      </c>
      <c r="C205" s="15" t="s" cm="1">
        <v>21</v>
      </c>
      <c r="D205" s="15" t="s">
        <v>1640</v>
      </c>
      <c r="E205" s="15" t="s" cm="1">
        <v>1635</v>
      </c>
      <c r="F205" s="12" t="s">
        <v>1638</v>
      </c>
      <c r="G205" s="12" t="s">
        <v>875</v>
      </c>
      <c r="H205" s="12" t="s">
        <v>35</v>
      </c>
      <c r="I205" s="12" t="s">
        <v>34</v>
      </c>
    </row>
    <row r="206" spans="1:9" ht="15.5" x14ac:dyDescent="0.35">
      <c r="A206" s="14" t="s">
        <v>353</v>
      </c>
      <c r="B206" s="15" t="s" cm="1">
        <v>986</v>
      </c>
      <c r="C206" s="15" t="s" cm="1">
        <v>21</v>
      </c>
      <c r="D206" s="15" t="s">
        <v>354</v>
      </c>
      <c r="E206" s="15" t="s" cm="1">
        <v>1637</v>
      </c>
      <c r="F206" s="12" t="s">
        <v>1636</v>
      </c>
      <c r="G206" s="12" t="s">
        <v>939</v>
      </c>
      <c r="H206" s="12" t="s">
        <v>196</v>
      </c>
      <c r="I206" s="12" t="s">
        <v>195</v>
      </c>
    </row>
    <row r="207" spans="1:9" ht="15.5" x14ac:dyDescent="0.35">
      <c r="A207" s="14" t="s">
        <v>138</v>
      </c>
      <c r="B207" s="15" t="s" cm="1">
        <v>986</v>
      </c>
      <c r="C207" s="15" t="s" cm="1">
        <v>21</v>
      </c>
      <c r="D207" s="15" t="s">
        <v>139</v>
      </c>
      <c r="E207" s="15" t="s" cm="1">
        <v>1635</v>
      </c>
      <c r="F207" s="12" t="s">
        <v>1636</v>
      </c>
      <c r="G207" s="12" t="s">
        <v>886</v>
      </c>
      <c r="H207" s="12" t="s">
        <v>29</v>
      </c>
      <c r="I207" s="12" t="s">
        <v>28</v>
      </c>
    </row>
    <row r="208" spans="1:9" ht="15.5" x14ac:dyDescent="0.35">
      <c r="A208" s="14" t="s">
        <v>301</v>
      </c>
      <c r="B208" s="15" t="s" cm="1">
        <v>986</v>
      </c>
      <c r="C208" s="15" t="s" cm="1">
        <v>21</v>
      </c>
      <c r="D208" s="15" t="s">
        <v>1815</v>
      </c>
      <c r="E208" s="15" t="s" cm="1">
        <v>1635</v>
      </c>
      <c r="F208" s="12" t="s">
        <v>1664</v>
      </c>
      <c r="G208" s="12" t="s">
        <v>924</v>
      </c>
      <c r="H208" s="12" t="s">
        <v>45</v>
      </c>
      <c r="I208" s="12" t="s">
        <v>44</v>
      </c>
    </row>
    <row r="209" spans="1:9" ht="15.5" x14ac:dyDescent="0.35">
      <c r="A209" s="14" t="s">
        <v>319</v>
      </c>
      <c r="B209" s="15" t="s" cm="1">
        <v>986</v>
      </c>
      <c r="C209" s="15" t="s" cm="1">
        <v>21</v>
      </c>
      <c r="D209" s="15" t="s">
        <v>1816</v>
      </c>
      <c r="E209" s="15" t="s" cm="1">
        <v>1637</v>
      </c>
      <c r="F209" s="12" t="s">
        <v>1638</v>
      </c>
      <c r="G209" s="12" t="s">
        <v>929</v>
      </c>
      <c r="H209" s="12" t="s">
        <v>35</v>
      </c>
      <c r="I209" s="12" t="s">
        <v>34</v>
      </c>
    </row>
    <row r="210" spans="1:9" ht="15.5" x14ac:dyDescent="0.35">
      <c r="A210" s="14" t="s">
        <v>283</v>
      </c>
      <c r="B210" s="15" t="s" cm="1">
        <v>986</v>
      </c>
      <c r="C210" s="15" t="s" cm="1">
        <v>21</v>
      </c>
      <c r="D210" s="15" t="s">
        <v>284</v>
      </c>
      <c r="E210" s="15" t="s" cm="1">
        <v>1637</v>
      </c>
      <c r="F210" s="12" t="s">
        <v>1636</v>
      </c>
      <c r="G210" s="12" t="s">
        <v>921</v>
      </c>
      <c r="H210" s="12" t="s">
        <v>52</v>
      </c>
      <c r="I210" s="12" t="s">
        <v>51</v>
      </c>
    </row>
    <row r="211" spans="1:9" ht="15.5" x14ac:dyDescent="0.35">
      <c r="A211" s="14" t="s">
        <v>368</v>
      </c>
      <c r="B211" s="15" t="s" cm="1">
        <v>986</v>
      </c>
      <c r="C211" s="15" t="s" cm="1">
        <v>21</v>
      </c>
      <c r="D211" s="15" t="s">
        <v>1817</v>
      </c>
      <c r="E211" s="15" t="s" cm="1">
        <v>1637</v>
      </c>
      <c r="F211" s="12" t="s">
        <v>1636</v>
      </c>
      <c r="G211" s="12" t="s">
        <v>940</v>
      </c>
      <c r="H211" s="12" t="s">
        <v>196</v>
      </c>
      <c r="I211" s="12" t="s">
        <v>195</v>
      </c>
    </row>
    <row r="212" spans="1:9" ht="15.5" x14ac:dyDescent="0.35">
      <c r="A212" s="14" t="s">
        <v>321</v>
      </c>
      <c r="B212" s="15" t="s" cm="1">
        <v>986</v>
      </c>
      <c r="C212" s="15" t="s" cm="1">
        <v>21</v>
      </c>
      <c r="D212" s="15" t="s">
        <v>1818</v>
      </c>
      <c r="E212" s="15" t="s" cm="1">
        <v>1635</v>
      </c>
      <c r="F212" s="12" t="s">
        <v>1638</v>
      </c>
      <c r="G212" s="12" t="s">
        <v>928</v>
      </c>
      <c r="H212" s="12" t="s">
        <v>35</v>
      </c>
      <c r="I212" s="12" t="s">
        <v>34</v>
      </c>
    </row>
    <row r="213" spans="1:9" ht="15.5" x14ac:dyDescent="0.35">
      <c r="A213" s="14" t="s">
        <v>466</v>
      </c>
      <c r="B213" s="15" t="s" cm="1">
        <v>986</v>
      </c>
      <c r="C213" s="15" t="s" cm="1">
        <v>21</v>
      </c>
      <c r="D213" s="15" t="s">
        <v>1819</v>
      </c>
      <c r="E213" s="15" t="s" cm="1">
        <v>1637</v>
      </c>
      <c r="F213" s="12" t="s">
        <v>1636</v>
      </c>
      <c r="G213" s="12" t="s">
        <v>939</v>
      </c>
      <c r="H213" s="12" t="s">
        <v>58</v>
      </c>
      <c r="I213" s="12" t="s">
        <v>57</v>
      </c>
    </row>
    <row r="214" spans="1:9" ht="15.5" x14ac:dyDescent="0.35">
      <c r="A214" s="14" t="s">
        <v>265</v>
      </c>
      <c r="B214" s="15" t="s" cm="1">
        <v>986</v>
      </c>
      <c r="C214" s="15" t="s" cm="1">
        <v>21</v>
      </c>
      <c r="D214" s="15" t="s">
        <v>266</v>
      </c>
      <c r="E214" s="15" t="s" cm="1">
        <v>1637</v>
      </c>
      <c r="F214" s="12" t="s">
        <v>1638</v>
      </c>
      <c r="G214" s="12" t="s">
        <v>915</v>
      </c>
      <c r="H214" s="12" t="s">
        <v>35</v>
      </c>
      <c r="I214" s="12" t="s">
        <v>34</v>
      </c>
    </row>
    <row r="215" spans="1:9" ht="15.5" x14ac:dyDescent="0.35">
      <c r="A215" s="14" t="s">
        <v>263</v>
      </c>
      <c r="B215" s="15" t="s" cm="1">
        <v>986</v>
      </c>
      <c r="C215" s="15" t="s" cm="1">
        <v>21</v>
      </c>
      <c r="D215" s="15" t="s">
        <v>1820</v>
      </c>
      <c r="E215" s="15" t="s" cm="1">
        <v>1639</v>
      </c>
      <c r="F215" s="12" t="s">
        <v>1638</v>
      </c>
      <c r="G215" s="12" t="s">
        <v>914</v>
      </c>
      <c r="H215" s="12" t="s">
        <v>130</v>
      </c>
      <c r="I215" s="12" t="s">
        <v>22</v>
      </c>
    </row>
    <row r="216" spans="1:9" ht="15.5" x14ac:dyDescent="0.35">
      <c r="A216" s="14" t="s">
        <v>317</v>
      </c>
      <c r="B216" s="15" t="s" cm="1">
        <v>986</v>
      </c>
      <c r="C216" s="15" t="s" cm="1">
        <v>21</v>
      </c>
      <c r="D216" s="15" t="s">
        <v>318</v>
      </c>
      <c r="E216" s="15" t="s" cm="1">
        <v>1635</v>
      </c>
      <c r="F216" s="12" t="s">
        <v>1638</v>
      </c>
      <c r="G216" s="12" t="s">
        <v>928</v>
      </c>
      <c r="H216" s="12" t="s">
        <v>29</v>
      </c>
      <c r="I216" s="12" t="s">
        <v>28</v>
      </c>
    </row>
    <row r="217" spans="1:9" ht="15.5" x14ac:dyDescent="0.35">
      <c r="A217" s="14" t="s">
        <v>390</v>
      </c>
      <c r="B217" s="15" t="s" cm="1">
        <v>986</v>
      </c>
      <c r="C217" s="15" t="s" cm="1">
        <v>21</v>
      </c>
      <c r="D217" s="15" t="s">
        <v>1821</v>
      </c>
      <c r="E217" s="15" t="s" cm="1">
        <v>1635</v>
      </c>
      <c r="F217" s="12" t="s">
        <v>1638</v>
      </c>
      <c r="G217" s="12" t="s">
        <v>947</v>
      </c>
      <c r="H217" s="12" t="s">
        <v>35</v>
      </c>
      <c r="I217" s="12" t="s">
        <v>34</v>
      </c>
    </row>
    <row r="218" spans="1:9" ht="15.5" x14ac:dyDescent="0.35">
      <c r="A218" s="14" t="s">
        <v>394</v>
      </c>
      <c r="B218" s="15" t="s" cm="1">
        <v>986</v>
      </c>
      <c r="C218" s="15" t="s" cm="1">
        <v>21</v>
      </c>
      <c r="D218" s="15" t="s">
        <v>1822</v>
      </c>
      <c r="E218" s="15" t="s" cm="1">
        <v>1637</v>
      </c>
      <c r="F218" s="12" t="s">
        <v>1636</v>
      </c>
      <c r="G218" s="12" t="s">
        <v>940</v>
      </c>
      <c r="H218" s="12" t="s">
        <v>196</v>
      </c>
      <c r="I218" s="12" t="s">
        <v>195</v>
      </c>
    </row>
    <row r="219" spans="1:9" ht="15.5" x14ac:dyDescent="0.35">
      <c r="A219" s="14" t="s">
        <v>372</v>
      </c>
      <c r="B219" s="15" t="s" cm="1">
        <v>986</v>
      </c>
      <c r="C219" s="15" t="s" cm="1">
        <v>21</v>
      </c>
      <c r="D219" s="15" t="s">
        <v>1823</v>
      </c>
      <c r="E219" s="15" t="s" cm="1">
        <v>1637</v>
      </c>
      <c r="F219" s="12" t="s">
        <v>1636</v>
      </c>
      <c r="G219" s="12" t="s">
        <v>940</v>
      </c>
      <c r="H219" s="12" t="s">
        <v>58</v>
      </c>
      <c r="I219" s="12" t="s">
        <v>57</v>
      </c>
    </row>
    <row r="220" spans="1:9" ht="15.5" x14ac:dyDescent="0.35">
      <c r="A220" s="14" t="s">
        <v>223</v>
      </c>
      <c r="B220" s="15" t="s" cm="1">
        <v>986</v>
      </c>
      <c r="C220" s="15" t="s" cm="1">
        <v>21</v>
      </c>
      <c r="D220" s="15" t="s">
        <v>224</v>
      </c>
      <c r="E220" s="15" t="s" cm="1">
        <v>1635</v>
      </c>
      <c r="F220" s="12" t="s">
        <v>1641</v>
      </c>
      <c r="G220" s="12" t="s">
        <v>906</v>
      </c>
      <c r="H220" s="12" t="s">
        <v>58</v>
      </c>
      <c r="I220" s="12" t="s">
        <v>57</v>
      </c>
    </row>
    <row r="221" spans="1:9" ht="15.5" x14ac:dyDescent="0.35">
      <c r="A221" s="14" t="s">
        <v>399</v>
      </c>
      <c r="B221" s="15" t="s" cm="1">
        <v>986</v>
      </c>
      <c r="C221" s="15" t="s" cm="1">
        <v>21</v>
      </c>
      <c r="D221" s="15" t="s">
        <v>1824</v>
      </c>
      <c r="E221" s="15" t="s" cm="1">
        <v>1635</v>
      </c>
      <c r="F221" s="12" t="s">
        <v>1643</v>
      </c>
      <c r="G221" s="12" t="s">
        <v>24</v>
      </c>
      <c r="H221" s="12" t="s">
        <v>23</v>
      </c>
      <c r="I221" s="12" t="s">
        <v>22</v>
      </c>
    </row>
    <row r="222" spans="1:9" ht="15.5" x14ac:dyDescent="0.35">
      <c r="A222" s="14" t="s">
        <v>360</v>
      </c>
      <c r="B222" s="15" t="s" cm="1">
        <v>986</v>
      </c>
      <c r="C222" s="15" t="s" cm="1">
        <v>21</v>
      </c>
      <c r="D222" s="15" t="s">
        <v>361</v>
      </c>
      <c r="E222" s="15" t="s" cm="1">
        <v>1635</v>
      </c>
      <c r="F222" s="12" t="s">
        <v>1693</v>
      </c>
      <c r="G222" s="12" t="s">
        <v>24</v>
      </c>
      <c r="H222" s="12" t="s">
        <v>112</v>
      </c>
      <c r="I222" s="12" t="s">
        <v>111</v>
      </c>
    </row>
    <row r="223" spans="1:9" ht="15.5" x14ac:dyDescent="0.35">
      <c r="A223" s="14" t="s">
        <v>370</v>
      </c>
      <c r="B223" s="15" t="s" cm="1">
        <v>986</v>
      </c>
      <c r="C223" s="15" t="s" cm="1">
        <v>21</v>
      </c>
      <c r="D223" s="15" t="s">
        <v>1825</v>
      </c>
      <c r="E223" s="15" t="s" cm="1">
        <v>1637</v>
      </c>
      <c r="F223" s="12" t="s">
        <v>1636</v>
      </c>
      <c r="G223" s="12" t="s">
        <v>940</v>
      </c>
      <c r="H223" s="12" t="s">
        <v>184</v>
      </c>
      <c r="I223" s="12" t="s">
        <v>91</v>
      </c>
    </row>
    <row r="224" spans="1:9" ht="15.5" x14ac:dyDescent="0.35">
      <c r="A224" s="14" t="s">
        <v>366</v>
      </c>
      <c r="B224" s="15" t="s" cm="1">
        <v>986</v>
      </c>
      <c r="C224" s="15" t="s" cm="1">
        <v>21</v>
      </c>
      <c r="D224" s="15" t="s">
        <v>1826</v>
      </c>
      <c r="E224" s="15" t="s" cm="1">
        <v>1637</v>
      </c>
      <c r="F224" s="12" t="s">
        <v>1636</v>
      </c>
      <c r="G224" s="12" t="s">
        <v>940</v>
      </c>
      <c r="H224" s="12" t="s">
        <v>92</v>
      </c>
      <c r="I224" s="12" t="s">
        <v>91</v>
      </c>
    </row>
    <row r="225" spans="1:9" ht="15.5" x14ac:dyDescent="0.35">
      <c r="A225" s="14" t="s">
        <v>472</v>
      </c>
      <c r="B225" s="15" t="s" cm="1">
        <v>986</v>
      </c>
      <c r="C225" s="15" t="s" cm="1">
        <v>21</v>
      </c>
      <c r="D225" s="15" t="s">
        <v>1827</v>
      </c>
      <c r="E225" s="15" t="s" cm="1">
        <v>1695</v>
      </c>
      <c r="F225" s="12" t="s">
        <v>24</v>
      </c>
      <c r="G225" s="12" t="s">
        <v>24</v>
      </c>
      <c r="H225" s="12" t="s">
        <v>58</v>
      </c>
      <c r="I225" s="12" t="s">
        <v>57</v>
      </c>
    </row>
    <row r="226" spans="1:9" ht="15.5" x14ac:dyDescent="0.35">
      <c r="A226" s="14" t="s">
        <v>207</v>
      </c>
      <c r="B226" s="15" t="s" cm="1">
        <v>986</v>
      </c>
      <c r="C226" s="15" t="s" cm="1">
        <v>21</v>
      </c>
      <c r="D226" s="15" t="s">
        <v>1828</v>
      </c>
      <c r="E226" s="15" t="s" cm="1">
        <v>1639</v>
      </c>
      <c r="F226" s="12" t="s">
        <v>1636</v>
      </c>
      <c r="G226" s="12" t="s">
        <v>24</v>
      </c>
      <c r="H226" s="12" t="s">
        <v>58</v>
      </c>
      <c r="I226" s="12" t="s">
        <v>57</v>
      </c>
    </row>
    <row r="227" spans="1:9" ht="15.5" x14ac:dyDescent="0.35">
      <c r="A227" s="14" t="s">
        <v>421</v>
      </c>
      <c r="B227" s="15" t="s" cm="1">
        <v>986</v>
      </c>
      <c r="C227" s="15" t="s" cm="1">
        <v>21</v>
      </c>
      <c r="D227" s="15" t="s">
        <v>422</v>
      </c>
      <c r="E227" s="15" t="s" cm="1">
        <v>1637</v>
      </c>
      <c r="F227" s="12" t="s">
        <v>1638</v>
      </c>
      <c r="G227" s="12" t="s">
        <v>941</v>
      </c>
      <c r="H227" s="12" t="s">
        <v>58</v>
      </c>
      <c r="I227" s="12" t="s">
        <v>57</v>
      </c>
    </row>
    <row r="228" spans="1:9" ht="15.5" x14ac:dyDescent="0.35">
      <c r="A228" s="14" t="s">
        <v>109</v>
      </c>
      <c r="B228" s="15" t="s" cm="1">
        <v>986</v>
      </c>
      <c r="C228" s="15" t="s" cm="1">
        <v>21</v>
      </c>
      <c r="D228" s="15" t="s">
        <v>1829</v>
      </c>
      <c r="E228" s="15" t="s" cm="1">
        <v>1639</v>
      </c>
      <c r="F228" s="12" t="s">
        <v>1636</v>
      </c>
      <c r="G228" s="12" t="s">
        <v>880</v>
      </c>
      <c r="H228" s="12" t="s">
        <v>112</v>
      </c>
      <c r="I228" s="12" t="s">
        <v>111</v>
      </c>
    </row>
    <row r="229" spans="1:9" ht="15.5" x14ac:dyDescent="0.35">
      <c r="A229" s="14" t="s">
        <v>413</v>
      </c>
      <c r="B229" s="15" t="s" cm="1">
        <v>986</v>
      </c>
      <c r="C229" s="15" t="s" cm="1">
        <v>21</v>
      </c>
      <c r="D229" s="15" t="s">
        <v>1830</v>
      </c>
      <c r="E229" s="15" t="s" cm="1">
        <v>1637</v>
      </c>
      <c r="F229" s="12" t="s">
        <v>1638</v>
      </c>
      <c r="G229" s="12" t="s">
        <v>941</v>
      </c>
      <c r="H229" s="12" t="s">
        <v>92</v>
      </c>
      <c r="I229" s="12" t="s">
        <v>91</v>
      </c>
    </row>
    <row r="230" spans="1:9" ht="15.5" x14ac:dyDescent="0.35">
      <c r="A230" s="14" t="s">
        <v>122</v>
      </c>
      <c r="B230" s="15" t="s" cm="1">
        <v>986</v>
      </c>
      <c r="C230" s="15" t="s" cm="1">
        <v>21</v>
      </c>
      <c r="D230" s="15" t="s">
        <v>1831</v>
      </c>
      <c r="E230" s="15" t="s" cm="1">
        <v>1639</v>
      </c>
      <c r="F230" s="12" t="s">
        <v>1636</v>
      </c>
      <c r="G230" s="12" t="s">
        <v>880</v>
      </c>
      <c r="H230" s="12" t="s">
        <v>112</v>
      </c>
      <c r="I230" s="12" t="s">
        <v>111</v>
      </c>
    </row>
    <row r="231" spans="1:9" ht="15.5" x14ac:dyDescent="0.35">
      <c r="A231" s="14" t="s">
        <v>273</v>
      </c>
      <c r="B231" s="15" t="s" cm="1">
        <v>986</v>
      </c>
      <c r="C231" s="15" t="s" cm="1">
        <v>21</v>
      </c>
      <c r="D231" s="15" t="s">
        <v>274</v>
      </c>
      <c r="E231" s="15" t="s" cm="1">
        <v>1639</v>
      </c>
      <c r="F231" s="12" t="s">
        <v>1636</v>
      </c>
      <c r="G231" s="12" t="s">
        <v>912</v>
      </c>
      <c r="H231" s="12" t="s">
        <v>35</v>
      </c>
      <c r="I231" s="12" t="s">
        <v>34</v>
      </c>
    </row>
    <row r="232" spans="1:9" ht="15.5" x14ac:dyDescent="0.35">
      <c r="A232" s="14" t="s">
        <v>251</v>
      </c>
      <c r="B232" s="15" t="s" cm="1">
        <v>986</v>
      </c>
      <c r="C232" s="15" t="s" cm="1">
        <v>21</v>
      </c>
      <c r="D232" s="15" t="s">
        <v>1832</v>
      </c>
      <c r="E232" s="15" t="s" cm="1">
        <v>1639</v>
      </c>
      <c r="F232" s="12" t="s">
        <v>1636</v>
      </c>
      <c r="G232" s="12" t="s">
        <v>912</v>
      </c>
      <c r="H232" s="12" t="s">
        <v>35</v>
      </c>
      <c r="I232" s="12" t="s">
        <v>34</v>
      </c>
    </row>
    <row r="233" spans="1:9" ht="15.5" x14ac:dyDescent="0.35">
      <c r="A233" s="14" t="s">
        <v>279</v>
      </c>
      <c r="B233" s="15" t="s" cm="1">
        <v>986</v>
      </c>
      <c r="C233" s="15" t="s" cm="1">
        <v>21</v>
      </c>
      <c r="D233" s="15" t="s">
        <v>280</v>
      </c>
      <c r="E233" s="15" t="s" cm="1">
        <v>1639</v>
      </c>
      <c r="F233" s="12" t="s">
        <v>1636</v>
      </c>
      <c r="G233" s="12" t="s">
        <v>919</v>
      </c>
      <c r="H233" s="12" t="s">
        <v>162</v>
      </c>
      <c r="I233" s="12" t="s">
        <v>161</v>
      </c>
    </row>
    <row r="234" spans="1:9" ht="15.5" x14ac:dyDescent="0.35">
      <c r="A234" s="14" t="s">
        <v>133</v>
      </c>
      <c r="B234" s="15" t="s" cm="1">
        <v>986</v>
      </c>
      <c r="C234" s="15" t="s" cm="1">
        <v>21</v>
      </c>
      <c r="D234" s="15" t="s">
        <v>135</v>
      </c>
      <c r="E234" s="15" t="s" cm="1">
        <v>1639</v>
      </c>
      <c r="F234" s="12" t="s">
        <v>1636</v>
      </c>
      <c r="G234" s="12" t="s">
        <v>885</v>
      </c>
      <c r="H234" s="12" t="s">
        <v>130</v>
      </c>
      <c r="I234" s="12" t="s">
        <v>22</v>
      </c>
    </row>
    <row r="235" spans="1:9" ht="15.5" x14ac:dyDescent="0.35">
      <c r="A235" s="14" t="s">
        <v>275</v>
      </c>
      <c r="B235" s="15" t="s" cm="1">
        <v>986</v>
      </c>
      <c r="C235" s="15" t="s" cm="1">
        <v>21</v>
      </c>
      <c r="D235" s="15" t="s">
        <v>276</v>
      </c>
      <c r="E235" s="15" t="s" cm="1">
        <v>1639</v>
      </c>
      <c r="F235" s="12" t="s">
        <v>1636</v>
      </c>
      <c r="G235" s="12" t="s">
        <v>917</v>
      </c>
      <c r="H235" s="12" t="s">
        <v>130</v>
      </c>
      <c r="I235" s="12" t="s">
        <v>22</v>
      </c>
    </row>
    <row r="236" spans="1:9" ht="15.5" x14ac:dyDescent="0.35">
      <c r="A236" s="14" t="s">
        <v>351</v>
      </c>
      <c r="B236" s="15" t="s" cm="1">
        <v>986</v>
      </c>
      <c r="C236" s="15" t="s" cm="1">
        <v>21</v>
      </c>
      <c r="D236" s="15" t="s">
        <v>1833</v>
      </c>
      <c r="E236" s="15" t="s" cm="1">
        <v>1639</v>
      </c>
      <c r="F236" s="12" t="s">
        <v>1636</v>
      </c>
      <c r="G236" s="12" t="s">
        <v>893</v>
      </c>
      <c r="H236" s="12" t="s">
        <v>52</v>
      </c>
      <c r="I236" s="12" t="s">
        <v>51</v>
      </c>
    </row>
    <row r="237" spans="1:9" ht="15.5" x14ac:dyDescent="0.35">
      <c r="A237" s="14" t="s">
        <v>407</v>
      </c>
      <c r="B237" s="15" t="s" cm="1">
        <v>986</v>
      </c>
      <c r="C237" s="15" t="s" cm="1">
        <v>21</v>
      </c>
      <c r="D237" s="15" t="s">
        <v>1834</v>
      </c>
      <c r="E237" s="15" t="s" cm="1">
        <v>1639</v>
      </c>
      <c r="F237" s="12" t="s">
        <v>1636</v>
      </c>
      <c r="G237" s="12" t="s">
        <v>949</v>
      </c>
      <c r="H237" s="12" t="s">
        <v>130</v>
      </c>
      <c r="I237" s="12" t="s">
        <v>22</v>
      </c>
    </row>
    <row r="238" spans="1:9" ht="15.5" x14ac:dyDescent="0.35">
      <c r="A238" s="14" t="s">
        <v>230</v>
      </c>
      <c r="B238" s="15" t="s" cm="1">
        <v>986</v>
      </c>
      <c r="C238" s="15" t="s" cm="1">
        <v>21</v>
      </c>
      <c r="D238" s="15" t="s">
        <v>231</v>
      </c>
      <c r="E238" s="15" t="s" cm="1">
        <v>1635</v>
      </c>
      <c r="F238" s="12" t="s">
        <v>1638</v>
      </c>
      <c r="G238" s="12" t="s">
        <v>907</v>
      </c>
      <c r="H238" s="12" t="s">
        <v>184</v>
      </c>
      <c r="I238" s="12" t="s">
        <v>91</v>
      </c>
    </row>
    <row r="239" spans="1:9" ht="15.5" x14ac:dyDescent="0.35">
      <c r="A239" s="14" t="s">
        <v>253</v>
      </c>
      <c r="B239" s="15" t="s" cm="1">
        <v>986</v>
      </c>
      <c r="C239" s="15" t="s" cm="1">
        <v>21</v>
      </c>
      <c r="D239" s="15" t="s">
        <v>1835</v>
      </c>
      <c r="E239" s="15" t="s" cm="1">
        <v>1639</v>
      </c>
      <c r="F239" s="12" t="s">
        <v>1636</v>
      </c>
      <c r="G239" s="12" t="s">
        <v>24</v>
      </c>
      <c r="H239" s="12" t="s">
        <v>117</v>
      </c>
      <c r="I239" s="12" t="s">
        <v>34</v>
      </c>
    </row>
    <row r="240" spans="1:9" ht="15.5" x14ac:dyDescent="0.35">
      <c r="A240" s="14" t="s">
        <v>315</v>
      </c>
      <c r="B240" s="15" t="s" cm="1">
        <v>986</v>
      </c>
      <c r="C240" s="15" t="s" cm="1">
        <v>21</v>
      </c>
      <c r="D240" s="15" t="s">
        <v>316</v>
      </c>
      <c r="E240" s="15" t="s" cm="1">
        <v>1639</v>
      </c>
      <c r="F240" s="12" t="s">
        <v>1636</v>
      </c>
      <c r="G240" s="12" t="s">
        <v>24</v>
      </c>
      <c r="H240" s="12" t="s">
        <v>29</v>
      </c>
      <c r="I240" s="12" t="s">
        <v>28</v>
      </c>
    </row>
    <row r="241" spans="1:9" ht="15.5" x14ac:dyDescent="0.35">
      <c r="A241" s="14" t="s">
        <v>295</v>
      </c>
      <c r="B241" s="15" t="s" cm="1">
        <v>986</v>
      </c>
      <c r="C241" s="15" t="s" cm="1">
        <v>21</v>
      </c>
      <c r="D241" s="15" t="s">
        <v>296</v>
      </c>
      <c r="E241" s="15" t="s" cm="1">
        <v>1639</v>
      </c>
      <c r="F241" s="12" t="s">
        <v>1636</v>
      </c>
      <c r="G241" s="12" t="s">
        <v>24</v>
      </c>
      <c r="H241" s="12" t="s">
        <v>130</v>
      </c>
      <c r="I241" s="12" t="s">
        <v>22</v>
      </c>
    </row>
    <row r="242" spans="1:9" ht="15.5" x14ac:dyDescent="0.35">
      <c r="A242" s="14" t="s">
        <v>386</v>
      </c>
      <c r="B242" s="15" t="s" cm="1">
        <v>986</v>
      </c>
      <c r="C242" s="15" t="s" cm="1">
        <v>21</v>
      </c>
      <c r="D242" s="15" t="s">
        <v>387</v>
      </c>
      <c r="E242" s="15" t="s" cm="1">
        <v>1635</v>
      </c>
      <c r="F242" s="12" t="s">
        <v>1636</v>
      </c>
      <c r="G242" s="12" t="s">
        <v>24</v>
      </c>
      <c r="H242" s="12" t="s">
        <v>45</v>
      </c>
      <c r="I242" s="12" t="s">
        <v>44</v>
      </c>
    </row>
    <row r="243" spans="1:9" ht="15.5" x14ac:dyDescent="0.35">
      <c r="A243" s="14" t="s">
        <v>227</v>
      </c>
      <c r="B243" s="15" t="s" cm="1">
        <v>986</v>
      </c>
      <c r="C243" s="15" t="s" cm="1">
        <v>21</v>
      </c>
      <c r="D243" s="15" t="s">
        <v>1836</v>
      </c>
      <c r="E243" s="15" t="s" cm="1">
        <v>1635</v>
      </c>
      <c r="F243" s="12" t="s">
        <v>1638</v>
      </c>
      <c r="G243" s="12" t="s">
        <v>24</v>
      </c>
      <c r="H243" s="12" t="s">
        <v>45</v>
      </c>
      <c r="I243" s="12" t="s">
        <v>44</v>
      </c>
    </row>
    <row r="244" spans="1:9" ht="15.5" x14ac:dyDescent="0.35">
      <c r="A244" s="14" t="s">
        <v>225</v>
      </c>
      <c r="B244" s="15" t="s" cm="1">
        <v>986</v>
      </c>
      <c r="C244" s="15" t="s" cm="1">
        <v>21</v>
      </c>
      <c r="D244" s="15" t="s">
        <v>1837</v>
      </c>
      <c r="E244" s="15" t="s" cm="1">
        <v>1635</v>
      </c>
      <c r="F244" s="12" t="s">
        <v>1636</v>
      </c>
      <c r="G244" s="12" t="s">
        <v>24</v>
      </c>
      <c r="H244" s="12" t="s">
        <v>45</v>
      </c>
      <c r="I244" s="12" t="s">
        <v>44</v>
      </c>
    </row>
    <row r="245" spans="1:9" ht="15.5" x14ac:dyDescent="0.35">
      <c r="A245" s="14" t="s">
        <v>293</v>
      </c>
      <c r="B245" s="15" t="s" cm="1">
        <v>986</v>
      </c>
      <c r="C245" s="15" t="s" cm="1">
        <v>21</v>
      </c>
      <c r="D245" s="15" t="s">
        <v>1838</v>
      </c>
      <c r="E245" s="15" t="s" cm="1">
        <v>1635</v>
      </c>
      <c r="F245" s="12" t="s">
        <v>1636</v>
      </c>
      <c r="G245" s="12" t="s">
        <v>24</v>
      </c>
      <c r="H245" s="12" t="s">
        <v>29</v>
      </c>
      <c r="I245" s="12" t="s">
        <v>28</v>
      </c>
    </row>
    <row r="246" spans="1:9" ht="15.5" x14ac:dyDescent="0.35">
      <c r="A246" s="14" t="s">
        <v>405</v>
      </c>
      <c r="B246" s="15" t="s" cm="1">
        <v>986</v>
      </c>
      <c r="C246" s="15" t="s" cm="1">
        <v>21</v>
      </c>
      <c r="D246" s="15" t="s">
        <v>1839</v>
      </c>
      <c r="E246" s="15" t="s" cm="1">
        <v>1635</v>
      </c>
      <c r="F246" s="12" t="s">
        <v>1638</v>
      </c>
      <c r="G246" s="12" t="s">
        <v>24</v>
      </c>
      <c r="H246" s="12" t="s">
        <v>196</v>
      </c>
      <c r="I246" s="12" t="s">
        <v>195</v>
      </c>
    </row>
    <row r="247" spans="1:9" ht="15.5" x14ac:dyDescent="0.35">
      <c r="A247" s="14" t="s">
        <v>237</v>
      </c>
      <c r="B247" s="15" t="s" cm="1">
        <v>986</v>
      </c>
      <c r="C247" s="15" t="s" cm="1">
        <v>21</v>
      </c>
      <c r="D247" s="15" t="s">
        <v>238</v>
      </c>
      <c r="E247" s="15" t="s" cm="1">
        <v>1639</v>
      </c>
      <c r="F247" s="12" t="s">
        <v>1636</v>
      </c>
      <c r="G247" s="12" t="s">
        <v>885</v>
      </c>
      <c r="H247" s="12" t="s">
        <v>35</v>
      </c>
      <c r="I247" s="12" t="s">
        <v>34</v>
      </c>
    </row>
    <row r="248" spans="1:9" ht="15.5" x14ac:dyDescent="0.35">
      <c r="A248" s="14" t="s">
        <v>209</v>
      </c>
      <c r="B248" s="15" t="s" cm="1">
        <v>986</v>
      </c>
      <c r="C248" s="15" t="s" cm="1">
        <v>21</v>
      </c>
      <c r="D248" s="15" t="s">
        <v>1840</v>
      </c>
      <c r="E248" s="15" t="s" cm="1">
        <v>1639</v>
      </c>
      <c r="F248" s="12" t="s">
        <v>1636</v>
      </c>
      <c r="G248" s="12" t="s">
        <v>904</v>
      </c>
      <c r="H248" s="12" t="s">
        <v>117</v>
      </c>
      <c r="I248" s="12" t="s">
        <v>34</v>
      </c>
    </row>
    <row r="249" spans="1:9" ht="15.5" x14ac:dyDescent="0.35">
      <c r="A249" s="14" t="s">
        <v>326</v>
      </c>
      <c r="B249" s="15" t="s" cm="1">
        <v>986</v>
      </c>
      <c r="C249" s="15" t="s" cm="1">
        <v>21</v>
      </c>
      <c r="D249" s="15" t="s">
        <v>1841</v>
      </c>
      <c r="E249" s="15" t="s" cm="1">
        <v>1639</v>
      </c>
      <c r="F249" s="12" t="s">
        <v>1636</v>
      </c>
      <c r="G249" s="12" t="s">
        <v>932</v>
      </c>
      <c r="H249" s="12" t="s">
        <v>112</v>
      </c>
      <c r="I249" s="12" t="s">
        <v>111</v>
      </c>
    </row>
    <row r="250" spans="1:9" ht="15.5" x14ac:dyDescent="0.35">
      <c r="A250" s="14" t="s">
        <v>411</v>
      </c>
      <c r="B250" s="15" t="s" cm="1">
        <v>986</v>
      </c>
      <c r="C250" s="15" t="s" cm="1">
        <v>21</v>
      </c>
      <c r="D250" s="15" t="s">
        <v>1842</v>
      </c>
      <c r="E250" s="15" t="s" cm="1">
        <v>1639</v>
      </c>
      <c r="F250" s="12" t="s">
        <v>1636</v>
      </c>
      <c r="G250" s="12" t="s">
        <v>932</v>
      </c>
      <c r="H250" s="12" t="s">
        <v>130</v>
      </c>
      <c r="I250" s="12" t="s">
        <v>22</v>
      </c>
    </row>
    <row r="251" spans="1:9" ht="15.5" x14ac:dyDescent="0.35">
      <c r="A251" s="14" t="s">
        <v>199</v>
      </c>
      <c r="B251" s="15" t="s" cm="1">
        <v>986</v>
      </c>
      <c r="C251" s="15" t="s" cm="1">
        <v>21</v>
      </c>
      <c r="D251" s="15" t="s">
        <v>1843</v>
      </c>
      <c r="E251" s="15" t="s" cm="1">
        <v>1639</v>
      </c>
      <c r="F251" s="12" t="s">
        <v>1636</v>
      </c>
      <c r="G251" s="12" t="s">
        <v>901</v>
      </c>
      <c r="H251" s="12" t="s">
        <v>58</v>
      </c>
      <c r="I251" s="12" t="s">
        <v>57</v>
      </c>
    </row>
    <row r="252" spans="1:9" ht="15.5" x14ac:dyDescent="0.35">
      <c r="A252" s="14" t="s">
        <v>203</v>
      </c>
      <c r="B252" s="15" t="s" cm="1">
        <v>986</v>
      </c>
      <c r="C252" s="15" t="s" cm="1">
        <v>21</v>
      </c>
      <c r="D252" s="15" t="s">
        <v>204</v>
      </c>
      <c r="E252" s="15" t="s" cm="1">
        <v>1639</v>
      </c>
      <c r="F252" s="12" t="s">
        <v>1636</v>
      </c>
      <c r="G252" s="12" t="s">
        <v>902</v>
      </c>
      <c r="H252" s="12" t="s">
        <v>52</v>
      </c>
      <c r="I252" s="12" t="s">
        <v>51</v>
      </c>
    </row>
    <row r="253" spans="1:9" ht="15.5" x14ac:dyDescent="0.35">
      <c r="A253" s="14" t="s">
        <v>269</v>
      </c>
      <c r="B253" s="15" t="s" cm="1">
        <v>986</v>
      </c>
      <c r="C253" s="15" t="s" cm="1">
        <v>21</v>
      </c>
      <c r="D253" s="15" t="s">
        <v>270</v>
      </c>
      <c r="E253" s="15" t="s" cm="1">
        <v>1639</v>
      </c>
      <c r="F253" s="12" t="s">
        <v>1636</v>
      </c>
      <c r="G253" s="12" t="s">
        <v>916</v>
      </c>
      <c r="H253" s="12" t="s">
        <v>112</v>
      </c>
      <c r="I253" s="12" t="s">
        <v>111</v>
      </c>
    </row>
    <row r="254" spans="1:9" ht="15.5" x14ac:dyDescent="0.35">
      <c r="A254" s="14" t="s">
        <v>169</v>
      </c>
      <c r="B254" s="15" t="s" cm="1">
        <v>986</v>
      </c>
      <c r="C254" s="15" t="s" cm="1">
        <v>21</v>
      </c>
      <c r="D254" s="15" t="s">
        <v>170</v>
      </c>
      <c r="E254" s="15" t="s" cm="1">
        <v>1639</v>
      </c>
      <c r="F254" s="12" t="s">
        <v>1636</v>
      </c>
      <c r="G254" s="12" t="s">
        <v>894</v>
      </c>
      <c r="H254" s="12" t="s">
        <v>117</v>
      </c>
      <c r="I254" s="12" t="s">
        <v>34</v>
      </c>
    </row>
    <row r="255" spans="1:9" ht="15.5" x14ac:dyDescent="0.35">
      <c r="A255" s="14" t="s">
        <v>287</v>
      </c>
      <c r="B255" s="15" t="s" cm="1">
        <v>986</v>
      </c>
      <c r="C255" s="15" t="s" cm="1">
        <v>21</v>
      </c>
      <c r="D255" s="15" t="s">
        <v>288</v>
      </c>
      <c r="E255" s="15" t="s" cm="1">
        <v>1639</v>
      </c>
      <c r="F255" s="12" t="s">
        <v>1636</v>
      </c>
      <c r="G255" s="12" t="s">
        <v>922</v>
      </c>
      <c r="H255" s="12" t="s">
        <v>29</v>
      </c>
      <c r="I255" s="12" t="s">
        <v>28</v>
      </c>
    </row>
    <row r="256" spans="1:9" ht="15.5" x14ac:dyDescent="0.35">
      <c r="A256" s="14" t="s">
        <v>259</v>
      </c>
      <c r="B256" s="15" t="s" cm="1">
        <v>986</v>
      </c>
      <c r="C256" s="15" t="s" cm="1">
        <v>21</v>
      </c>
      <c r="D256" s="15" t="s">
        <v>1844</v>
      </c>
      <c r="E256" s="15" t="s" cm="1">
        <v>1639</v>
      </c>
      <c r="F256" s="12" t="s">
        <v>1636</v>
      </c>
      <c r="G256" s="12" t="s">
        <v>913</v>
      </c>
      <c r="H256" s="12" t="s">
        <v>29</v>
      </c>
      <c r="I256" s="12" t="s">
        <v>28</v>
      </c>
    </row>
    <row r="257" spans="1:9" ht="15.5" x14ac:dyDescent="0.35">
      <c r="A257" s="14" t="s">
        <v>388</v>
      </c>
      <c r="B257" s="15" t="s" cm="1">
        <v>986</v>
      </c>
      <c r="C257" s="15" t="s" cm="1">
        <v>21</v>
      </c>
      <c r="D257" s="15" t="s">
        <v>389</v>
      </c>
      <c r="E257" s="15" t="s" cm="1">
        <v>1639</v>
      </c>
      <c r="F257" s="12" t="s">
        <v>1636</v>
      </c>
      <c r="G257" s="12" t="s">
        <v>912</v>
      </c>
      <c r="H257" s="12" t="s">
        <v>29</v>
      </c>
      <c r="I257" s="12" t="s">
        <v>28</v>
      </c>
    </row>
    <row r="258" spans="1:9" ht="15.5" x14ac:dyDescent="0.35">
      <c r="A258" s="14" t="s">
        <v>401</v>
      </c>
      <c r="B258" s="15" t="s" cm="1">
        <v>986</v>
      </c>
      <c r="C258" s="15" t="s" cm="1">
        <v>21</v>
      </c>
      <c r="D258" s="15" t="s">
        <v>402</v>
      </c>
      <c r="E258" s="15" t="s" cm="1">
        <v>1639</v>
      </c>
      <c r="F258" s="12" t="s">
        <v>1636</v>
      </c>
      <c r="G258" s="12" t="s">
        <v>911</v>
      </c>
      <c r="H258" s="12" t="s">
        <v>130</v>
      </c>
      <c r="I258" s="12" t="s">
        <v>22</v>
      </c>
    </row>
    <row r="259" spans="1:9" ht="15.5" x14ac:dyDescent="0.35">
      <c r="A259" s="14" t="s">
        <v>338</v>
      </c>
      <c r="B259" s="15" t="s" cm="1">
        <v>986</v>
      </c>
      <c r="C259" s="15" t="s" cm="1">
        <v>21</v>
      </c>
      <c r="D259" s="15" t="s">
        <v>1845</v>
      </c>
      <c r="E259" s="15" t="s" cm="1">
        <v>1639</v>
      </c>
      <c r="F259" s="12" t="s">
        <v>1636</v>
      </c>
      <c r="G259" s="12" t="s">
        <v>937</v>
      </c>
      <c r="H259" s="12" t="s">
        <v>117</v>
      </c>
      <c r="I259" s="12" t="s">
        <v>34</v>
      </c>
    </row>
    <row r="260" spans="1:9" ht="15.5" x14ac:dyDescent="0.35">
      <c r="A260" s="14" t="s">
        <v>245</v>
      </c>
      <c r="B260" s="15" t="s" cm="1">
        <v>986</v>
      </c>
      <c r="C260" s="15" t="s" cm="1">
        <v>21</v>
      </c>
      <c r="D260" s="15" t="s">
        <v>246</v>
      </c>
      <c r="E260" s="15" t="s" cm="1">
        <v>1639</v>
      </c>
      <c r="F260" s="12" t="s">
        <v>1636</v>
      </c>
      <c r="G260" s="12" t="s">
        <v>904</v>
      </c>
      <c r="H260" s="12" t="s">
        <v>29</v>
      </c>
      <c r="I260" s="12" t="s">
        <v>28</v>
      </c>
    </row>
    <row r="261" spans="1:9" ht="15.5" x14ac:dyDescent="0.35">
      <c r="A261" s="14" t="s">
        <v>249</v>
      </c>
      <c r="B261" s="15" t="s" cm="1">
        <v>986</v>
      </c>
      <c r="C261" s="15" t="s" cm="1">
        <v>21</v>
      </c>
      <c r="D261" s="15" t="s">
        <v>250</v>
      </c>
      <c r="E261" s="15" t="s" cm="1">
        <v>1639</v>
      </c>
      <c r="F261" s="12" t="s">
        <v>1636</v>
      </c>
      <c r="G261" s="12" t="s">
        <v>911</v>
      </c>
      <c r="H261" s="12" t="s">
        <v>117</v>
      </c>
      <c r="I261" s="12" t="s">
        <v>34</v>
      </c>
    </row>
    <row r="262" spans="1:9" ht="15.5" x14ac:dyDescent="0.35">
      <c r="A262" s="14" t="s">
        <v>313</v>
      </c>
      <c r="B262" s="15" t="s" cm="1">
        <v>986</v>
      </c>
      <c r="C262" s="15" t="s" cm="1">
        <v>21</v>
      </c>
      <c r="D262" s="15" t="s">
        <v>314</v>
      </c>
      <c r="E262" s="15" t="s" cm="1">
        <v>1639</v>
      </c>
      <c r="F262" s="12" t="s">
        <v>1636</v>
      </c>
      <c r="G262" s="12" t="s">
        <v>927</v>
      </c>
      <c r="H262" s="12" t="s">
        <v>196</v>
      </c>
      <c r="I262" s="12" t="s">
        <v>195</v>
      </c>
    </row>
    <row r="263" spans="1:9" ht="15.5" x14ac:dyDescent="0.35">
      <c r="A263" s="14" t="s">
        <v>232</v>
      </c>
      <c r="B263" s="15" t="s" cm="1">
        <v>89</v>
      </c>
      <c r="C263" s="15" t="s" cm="1">
        <v>21</v>
      </c>
      <c r="D263" s="15" t="s">
        <v>233</v>
      </c>
      <c r="E263" s="15" t="s" cm="1">
        <v>1639</v>
      </c>
      <c r="F263" s="12" t="s">
        <v>1636</v>
      </c>
      <c r="G263" s="12" t="s">
        <v>24</v>
      </c>
      <c r="H263" s="12" t="s">
        <v>130</v>
      </c>
      <c r="I263" s="12" t="s">
        <v>22</v>
      </c>
    </row>
    <row r="264" spans="1:9" ht="15.5" x14ac:dyDescent="0.35">
      <c r="A264" s="14" t="s">
        <v>281</v>
      </c>
      <c r="B264" s="15" t="s" cm="1">
        <v>89</v>
      </c>
      <c r="C264" s="15" t="s" cm="1">
        <v>21</v>
      </c>
      <c r="D264" s="15" t="s">
        <v>282</v>
      </c>
      <c r="E264" s="15" t="s" cm="1">
        <v>1639</v>
      </c>
      <c r="F264" s="12" t="s">
        <v>1638</v>
      </c>
      <c r="G264" s="12" t="s">
        <v>920</v>
      </c>
      <c r="H264" s="12" t="s">
        <v>35</v>
      </c>
      <c r="I264" s="12" t="s">
        <v>34</v>
      </c>
    </row>
    <row r="265" spans="1:9" ht="15.5" x14ac:dyDescent="0.35">
      <c r="A265" s="14" t="s">
        <v>297</v>
      </c>
      <c r="B265" s="15" t="s" cm="1">
        <v>89</v>
      </c>
      <c r="C265" s="15" t="s" cm="1">
        <v>21</v>
      </c>
      <c r="D265" s="15" t="s">
        <v>1846</v>
      </c>
      <c r="E265" s="15" t="s" cm="1">
        <v>1639</v>
      </c>
      <c r="F265" s="12" t="s">
        <v>1636</v>
      </c>
      <c r="G265" s="12" t="s">
        <v>894</v>
      </c>
      <c r="H265" s="12" t="s">
        <v>112</v>
      </c>
      <c r="I265" s="12" t="s">
        <v>111</v>
      </c>
    </row>
    <row r="266" spans="1:9" ht="15.5" x14ac:dyDescent="0.35">
      <c r="A266" s="14" t="s">
        <v>309</v>
      </c>
      <c r="B266" s="15" t="s" cm="1">
        <v>986</v>
      </c>
      <c r="C266" s="15" t="s" cm="1">
        <v>21</v>
      </c>
      <c r="D266" s="15" t="s">
        <v>1847</v>
      </c>
      <c r="E266" s="15" t="s" cm="1">
        <v>1639</v>
      </c>
      <c r="F266" s="12" t="s">
        <v>1636</v>
      </c>
      <c r="G266" s="12" t="s">
        <v>904</v>
      </c>
      <c r="H266" s="12" t="s">
        <v>29</v>
      </c>
      <c r="I266" s="12" t="s">
        <v>28</v>
      </c>
    </row>
    <row r="267" spans="1:9" ht="15.5" x14ac:dyDescent="0.35">
      <c r="A267" s="14" t="s">
        <v>285</v>
      </c>
      <c r="B267" s="15" t="s" cm="1">
        <v>986</v>
      </c>
      <c r="C267" s="15" t="s" cm="1">
        <v>21</v>
      </c>
      <c r="D267" s="15" t="s">
        <v>286</v>
      </c>
      <c r="E267" s="15" t="s" cm="1">
        <v>1639</v>
      </c>
      <c r="F267" s="12" t="s">
        <v>1636</v>
      </c>
      <c r="G267" s="12" t="s">
        <v>922</v>
      </c>
      <c r="H267" s="12" t="s">
        <v>112</v>
      </c>
      <c r="I267" s="12" t="s">
        <v>111</v>
      </c>
    </row>
    <row r="268" spans="1:9" ht="15.5" x14ac:dyDescent="0.35">
      <c r="A268" s="14" t="s">
        <v>271</v>
      </c>
      <c r="B268" s="15" t="s" cm="1">
        <v>986</v>
      </c>
      <c r="C268" s="15" t="s" cm="1">
        <v>21</v>
      </c>
      <c r="D268" s="15" t="s">
        <v>272</v>
      </c>
      <c r="E268" s="15" t="s" cm="1">
        <v>1639</v>
      </c>
      <c r="F268" s="12" t="s">
        <v>1636</v>
      </c>
      <c r="G268" s="12" t="s">
        <v>904</v>
      </c>
      <c r="H268" s="12" t="s">
        <v>112</v>
      </c>
      <c r="I268" s="12" t="s">
        <v>111</v>
      </c>
    </row>
    <row r="269" spans="1:9" ht="15.5" x14ac:dyDescent="0.35">
      <c r="A269" s="14" t="s">
        <v>325</v>
      </c>
      <c r="B269" s="15" t="s" cm="1">
        <v>986</v>
      </c>
      <c r="C269" s="15" t="s" cm="1">
        <v>21</v>
      </c>
      <c r="D269" s="15" t="s">
        <v>204</v>
      </c>
      <c r="E269" s="15" t="s" cm="1">
        <v>1639</v>
      </c>
      <c r="F269" s="12" t="s">
        <v>1636</v>
      </c>
      <c r="G269" s="12" t="s">
        <v>931</v>
      </c>
      <c r="H269" s="12" t="s">
        <v>52</v>
      </c>
      <c r="I269" s="12" t="s">
        <v>51</v>
      </c>
    </row>
    <row r="270" spans="1:9" ht="15.5" x14ac:dyDescent="0.35">
      <c r="A270" s="14" t="s">
        <v>213</v>
      </c>
      <c r="B270" s="15" t="s" cm="1">
        <v>986</v>
      </c>
      <c r="C270" s="15" t="s" cm="1">
        <v>21</v>
      </c>
      <c r="D270" s="15" t="s">
        <v>214</v>
      </c>
      <c r="E270" s="15" t="s" cm="1">
        <v>1639</v>
      </c>
      <c r="F270" s="12" t="s">
        <v>1636</v>
      </c>
      <c r="G270" s="12" t="s">
        <v>866</v>
      </c>
      <c r="H270" s="12" t="s">
        <v>29</v>
      </c>
      <c r="I270" s="12" t="s">
        <v>28</v>
      </c>
    </row>
    <row r="271" spans="1:9" ht="15.5" x14ac:dyDescent="0.35">
      <c r="A271" s="14" t="s">
        <v>126</v>
      </c>
      <c r="B271" s="15" t="s" cm="1">
        <v>986</v>
      </c>
      <c r="C271" s="15" t="s" cm="1">
        <v>21</v>
      </c>
      <c r="D271" s="15" t="s">
        <v>1848</v>
      </c>
      <c r="E271" s="15" t="s" cm="1">
        <v>1639</v>
      </c>
      <c r="F271" s="12" t="s">
        <v>1636</v>
      </c>
      <c r="G271" s="12" t="s">
        <v>871</v>
      </c>
      <c r="H271" s="12" t="s">
        <v>117</v>
      </c>
      <c r="I271" s="12" t="s">
        <v>34</v>
      </c>
    </row>
    <row r="272" spans="1:9" ht="15.5" x14ac:dyDescent="0.35">
      <c r="A272" s="14" t="s">
        <v>423</v>
      </c>
      <c r="B272" s="15" t="s" cm="1">
        <v>986</v>
      </c>
      <c r="C272" s="15" t="s" cm="1">
        <v>21</v>
      </c>
      <c r="D272" s="15" t="s">
        <v>1849</v>
      </c>
      <c r="E272" s="15" t="s" cm="1">
        <v>1637</v>
      </c>
      <c r="F272" s="12" t="s">
        <v>1638</v>
      </c>
      <c r="G272" s="12" t="s">
        <v>941</v>
      </c>
      <c r="H272" s="12" t="s">
        <v>35</v>
      </c>
      <c r="I272" s="12" t="s">
        <v>34</v>
      </c>
    </row>
    <row r="273" spans="1:9" ht="15.5" x14ac:dyDescent="0.35">
      <c r="A273" s="14" t="s">
        <v>376</v>
      </c>
      <c r="B273" s="15" t="s" cm="1">
        <v>986</v>
      </c>
      <c r="C273" s="15" t="s" cm="1">
        <v>21</v>
      </c>
      <c r="D273" s="15" t="s">
        <v>1850</v>
      </c>
      <c r="E273" s="15" t="s" cm="1">
        <v>1635</v>
      </c>
      <c r="F273" s="12" t="s">
        <v>1638</v>
      </c>
      <c r="G273" s="12" t="s">
        <v>943</v>
      </c>
      <c r="H273" s="12" t="s">
        <v>45</v>
      </c>
      <c r="I273" s="12" t="s">
        <v>44</v>
      </c>
    </row>
    <row r="274" spans="1:9" ht="15.5" x14ac:dyDescent="0.35">
      <c r="A274" s="14" t="s">
        <v>415</v>
      </c>
      <c r="B274" s="15" t="s" cm="1">
        <v>986</v>
      </c>
      <c r="C274" s="15" t="s" cm="1">
        <v>21</v>
      </c>
      <c r="D274" s="15" t="s">
        <v>416</v>
      </c>
      <c r="E274" s="15" t="s" cm="1">
        <v>1637</v>
      </c>
      <c r="F274" s="12" t="s">
        <v>1638</v>
      </c>
      <c r="G274" s="12" t="s">
        <v>941</v>
      </c>
      <c r="H274" s="12" t="s">
        <v>58</v>
      </c>
      <c r="I274" s="12" t="s">
        <v>57</v>
      </c>
    </row>
    <row r="275" spans="1:9" ht="15.5" x14ac:dyDescent="0.35">
      <c r="A275" s="14" t="s">
        <v>234</v>
      </c>
      <c r="B275" s="15" t="s" cm="1">
        <v>986</v>
      </c>
      <c r="C275" s="15" t="s" cm="1">
        <v>21</v>
      </c>
      <c r="D275" s="15" t="s">
        <v>1851</v>
      </c>
      <c r="E275" s="15" t="s" cm="1">
        <v>1639</v>
      </c>
      <c r="F275" s="12" t="s">
        <v>1649</v>
      </c>
      <c r="G275" s="12" t="s">
        <v>908</v>
      </c>
      <c r="H275" s="12" t="s">
        <v>236</v>
      </c>
      <c r="I275" s="12" t="s">
        <v>195</v>
      </c>
    </row>
    <row r="276" spans="1:9" ht="15.5" x14ac:dyDescent="0.35">
      <c r="A276" s="14" t="s">
        <v>417</v>
      </c>
      <c r="B276" s="15" t="s" cm="1">
        <v>986</v>
      </c>
      <c r="C276" s="15" t="s" cm="1">
        <v>21</v>
      </c>
      <c r="D276" s="15" t="s">
        <v>1852</v>
      </c>
      <c r="E276" s="15" t="s" cm="1">
        <v>1637</v>
      </c>
      <c r="F276" s="12" t="s">
        <v>1638</v>
      </c>
      <c r="G276" s="12" t="s">
        <v>941</v>
      </c>
      <c r="H276" s="12" t="s">
        <v>196</v>
      </c>
      <c r="I276" s="12" t="s">
        <v>195</v>
      </c>
    </row>
    <row r="277" spans="1:9" ht="15.5" x14ac:dyDescent="0.35">
      <c r="A277" s="14" t="s">
        <v>140</v>
      </c>
      <c r="B277" s="15" t="s" cm="1">
        <v>986</v>
      </c>
      <c r="C277" s="15" t="s" cm="1">
        <v>21</v>
      </c>
      <c r="D277" s="15" t="s">
        <v>141</v>
      </c>
      <c r="E277" s="15" t="s" cm="1">
        <v>1639</v>
      </c>
      <c r="F277" s="12" t="s">
        <v>1636</v>
      </c>
      <c r="G277" s="12" t="s">
        <v>887</v>
      </c>
      <c r="H277" s="12" t="s">
        <v>29</v>
      </c>
      <c r="I277" s="12" t="s">
        <v>28</v>
      </c>
    </row>
    <row r="278" spans="1:9" ht="15.5" x14ac:dyDescent="0.35">
      <c r="A278" s="14" t="s">
        <v>397</v>
      </c>
      <c r="B278" s="15" t="s" cm="1">
        <v>986</v>
      </c>
      <c r="C278" s="15" t="s" cm="1">
        <v>21</v>
      </c>
      <c r="D278" s="15" t="s">
        <v>1853</v>
      </c>
      <c r="E278" s="15" t="s" cm="1">
        <v>1639</v>
      </c>
      <c r="F278" s="12" t="s">
        <v>1636</v>
      </c>
      <c r="G278" s="12" t="s">
        <v>949</v>
      </c>
      <c r="H278" s="12" t="s">
        <v>35</v>
      </c>
      <c r="I278" s="12" t="s">
        <v>34</v>
      </c>
    </row>
    <row r="279" spans="1:9" ht="15.5" x14ac:dyDescent="0.35">
      <c r="A279" s="14" t="s">
        <v>247</v>
      </c>
      <c r="B279" s="15" t="s" cm="1">
        <v>986</v>
      </c>
      <c r="C279" s="15" t="s" cm="1">
        <v>21</v>
      </c>
      <c r="D279" s="15" t="s">
        <v>248</v>
      </c>
      <c r="E279" s="15" t="s" cm="1">
        <v>1639</v>
      </c>
      <c r="F279" s="12" t="s">
        <v>1636</v>
      </c>
      <c r="G279" s="12" t="s">
        <v>910</v>
      </c>
      <c r="H279" s="12" t="s">
        <v>52</v>
      </c>
      <c r="I279" s="12" t="s">
        <v>51</v>
      </c>
    </row>
    <row r="280" spans="1:9" ht="15.5" x14ac:dyDescent="0.35">
      <c r="A280" s="14" t="s">
        <v>419</v>
      </c>
      <c r="B280" s="15" t="s" cm="1">
        <v>986</v>
      </c>
      <c r="C280" s="15" t="s" cm="1">
        <v>21</v>
      </c>
      <c r="D280" s="15" t="s">
        <v>1854</v>
      </c>
      <c r="E280" s="15" t="s" cm="1">
        <v>1637</v>
      </c>
      <c r="F280" s="12" t="s">
        <v>1638</v>
      </c>
      <c r="G280" s="12" t="s">
        <v>941</v>
      </c>
      <c r="H280" s="12" t="s">
        <v>35</v>
      </c>
      <c r="I280" s="12" t="s">
        <v>34</v>
      </c>
    </row>
    <row r="281" spans="1:9" ht="15.5" x14ac:dyDescent="0.35">
      <c r="A281" s="14" t="s">
        <v>289</v>
      </c>
      <c r="B281" s="15" t="s" cm="1">
        <v>986</v>
      </c>
      <c r="C281" s="15" t="s" cm="1">
        <v>21</v>
      </c>
      <c r="D281" s="15" t="s">
        <v>290</v>
      </c>
      <c r="E281" s="15" t="s" cm="1">
        <v>1639</v>
      </c>
      <c r="F281" s="12" t="s">
        <v>1636</v>
      </c>
      <c r="G281" s="12" t="s">
        <v>885</v>
      </c>
      <c r="H281" s="12" t="s">
        <v>117</v>
      </c>
      <c r="I281" s="12" t="s">
        <v>34</v>
      </c>
    </row>
    <row r="282" spans="1:9" ht="15.5" x14ac:dyDescent="0.35">
      <c r="A282" s="14" t="s">
        <v>409</v>
      </c>
      <c r="B282" s="15" t="s" cm="1">
        <v>986</v>
      </c>
      <c r="C282" s="15" t="s" cm="1">
        <v>21</v>
      </c>
      <c r="D282" s="15" t="s">
        <v>1855</v>
      </c>
      <c r="E282" s="15" t="s" cm="1">
        <v>1639</v>
      </c>
      <c r="F282" s="12" t="s">
        <v>1636</v>
      </c>
      <c r="G282" s="12" t="s">
        <v>912</v>
      </c>
      <c r="H282" s="12" t="s">
        <v>130</v>
      </c>
      <c r="I282" s="12" t="s">
        <v>22</v>
      </c>
    </row>
    <row r="283" spans="1:9" ht="15.5" x14ac:dyDescent="0.35">
      <c r="A283" s="14" t="s">
        <v>340</v>
      </c>
      <c r="B283" s="15" t="s" cm="1">
        <v>986</v>
      </c>
      <c r="C283" s="15" t="s" cm="1">
        <v>21</v>
      </c>
      <c r="D283" s="15" t="s">
        <v>1856</v>
      </c>
      <c r="E283" s="15" t="s" cm="1">
        <v>1639</v>
      </c>
      <c r="F283" s="12" t="s">
        <v>1636</v>
      </c>
      <c r="G283" s="12" t="s">
        <v>894</v>
      </c>
      <c r="H283" s="12" t="s">
        <v>35</v>
      </c>
      <c r="I283" s="12" t="s">
        <v>34</v>
      </c>
    </row>
    <row r="284" spans="1:9" ht="15.5" x14ac:dyDescent="0.35">
      <c r="A284" s="14" t="s">
        <v>311</v>
      </c>
      <c r="B284" s="15" t="s" cm="1">
        <v>986</v>
      </c>
      <c r="C284" s="15" t="s" cm="1">
        <v>21</v>
      </c>
      <c r="D284" s="15" t="s">
        <v>312</v>
      </c>
      <c r="E284" s="15" t="s" cm="1">
        <v>1639</v>
      </c>
      <c r="F284" s="12" t="s">
        <v>1636</v>
      </c>
      <c r="G284" s="12" t="s">
        <v>927</v>
      </c>
      <c r="H284" s="12" t="s">
        <v>35</v>
      </c>
      <c r="I284" s="12" t="s">
        <v>34</v>
      </c>
    </row>
    <row r="285" spans="1:9" ht="15.5" x14ac:dyDescent="0.35">
      <c r="A285" s="14" t="s">
        <v>357</v>
      </c>
      <c r="B285" s="15" t="s" cm="1">
        <v>986</v>
      </c>
      <c r="C285" s="15" t="s" cm="1">
        <v>21</v>
      </c>
      <c r="D285" s="15" t="s">
        <v>1857</v>
      </c>
      <c r="E285" s="15" t="s" cm="1">
        <v>1637</v>
      </c>
      <c r="F285" s="12" t="s">
        <v>1638</v>
      </c>
      <c r="G285" s="12" t="s">
        <v>941</v>
      </c>
      <c r="H285" s="12" t="s">
        <v>58</v>
      </c>
      <c r="I285" s="12" t="s">
        <v>57</v>
      </c>
    </row>
    <row r="286" spans="1:9" ht="15.5" x14ac:dyDescent="0.35">
      <c r="A286" s="14" t="s">
        <v>359</v>
      </c>
      <c r="B286" s="15" t="s" cm="1">
        <v>986</v>
      </c>
      <c r="C286" s="15" t="s" cm="1">
        <v>21</v>
      </c>
      <c r="D286" s="15" t="s">
        <v>1857</v>
      </c>
      <c r="E286" s="15" t="s" cm="1">
        <v>1637</v>
      </c>
      <c r="F286" s="12" t="s">
        <v>1638</v>
      </c>
      <c r="G286" s="12" t="s">
        <v>941</v>
      </c>
      <c r="H286" s="12" t="s">
        <v>58</v>
      </c>
      <c r="I286" s="12" t="s">
        <v>57</v>
      </c>
    </row>
    <row r="287" spans="1:9" ht="15.5" x14ac:dyDescent="0.35">
      <c r="A287" s="14" t="s">
        <v>374</v>
      </c>
      <c r="B287" s="15" t="s" cm="1">
        <v>986</v>
      </c>
      <c r="C287" s="15" t="s" cm="1">
        <v>21</v>
      </c>
      <c r="D287" s="15" t="s">
        <v>1858</v>
      </c>
      <c r="E287" s="15" t="s" cm="1">
        <v>1637</v>
      </c>
      <c r="F287" s="12" t="s">
        <v>1636</v>
      </c>
      <c r="G287" s="12" t="s">
        <v>936</v>
      </c>
      <c r="H287" s="12" t="s">
        <v>58</v>
      </c>
      <c r="I287" s="12" t="s">
        <v>57</v>
      </c>
    </row>
    <row r="288" spans="1:9" ht="15.5" x14ac:dyDescent="0.35">
      <c r="A288" s="14" t="s">
        <v>68</v>
      </c>
      <c r="B288" s="15" t="s" cm="1">
        <v>19</v>
      </c>
      <c r="C288" s="15" t="s" cm="1">
        <v>21</v>
      </c>
      <c r="D288" s="15" t="s">
        <v>69</v>
      </c>
      <c r="E288" s="15" t="s" cm="1">
        <v>1653</v>
      </c>
      <c r="F288" s="12" t="s">
        <v>24</v>
      </c>
      <c r="G288" s="12" t="s">
        <v>995</v>
      </c>
      <c r="H288" s="12" t="s">
        <v>52</v>
      </c>
      <c r="I288" s="12" t="s">
        <v>51</v>
      </c>
    </row>
    <row r="289" spans="1:9" ht="15.5" x14ac:dyDescent="0.35">
      <c r="A289" s="14" t="s">
        <v>197</v>
      </c>
      <c r="B289" s="15" t="s" cm="1">
        <v>19</v>
      </c>
      <c r="C289" s="15" t="s" cm="1">
        <v>21</v>
      </c>
      <c r="D289" s="15" t="s">
        <v>1859</v>
      </c>
      <c r="E289" s="15" t="s" cm="1">
        <v>1635</v>
      </c>
      <c r="F289" s="12" t="s">
        <v>1643</v>
      </c>
      <c r="G289" s="12" t="s">
        <v>900</v>
      </c>
      <c r="H289" s="12" t="s">
        <v>23</v>
      </c>
      <c r="I289" s="12" t="s">
        <v>22</v>
      </c>
    </row>
    <row r="290" spans="1:9" ht="15.5" x14ac:dyDescent="0.35">
      <c r="A290" s="14" t="s">
        <v>382</v>
      </c>
      <c r="B290" s="15" t="s" cm="1">
        <v>89</v>
      </c>
      <c r="C290" s="15" t="s" cm="1">
        <v>21</v>
      </c>
      <c r="D290" s="15" t="s">
        <v>383</v>
      </c>
      <c r="E290" s="15" t="s" cm="1">
        <v>1635</v>
      </c>
      <c r="F290" s="12" t="s">
        <v>1649</v>
      </c>
      <c r="G290" s="12" t="s">
        <v>945</v>
      </c>
      <c r="H290" s="12" t="s">
        <v>236</v>
      </c>
      <c r="I290" s="12" t="s">
        <v>195</v>
      </c>
    </row>
    <row r="291" spans="1:9" ht="15.5" x14ac:dyDescent="0.35">
      <c r="A291" s="14" t="s">
        <v>154</v>
      </c>
      <c r="B291" s="15" t="s" cm="1">
        <v>89</v>
      </c>
      <c r="C291" s="15" t="s" cm="1">
        <v>21</v>
      </c>
      <c r="D291" s="15" t="s">
        <v>1860</v>
      </c>
      <c r="E291" s="15" t="s" cm="1">
        <v>1639</v>
      </c>
      <c r="F291" s="12" t="s">
        <v>1636</v>
      </c>
      <c r="G291" s="12" t="s">
        <v>893</v>
      </c>
      <c r="H291" s="12" t="s">
        <v>35</v>
      </c>
      <c r="I291" s="12" t="s">
        <v>34</v>
      </c>
    </row>
    <row r="292" spans="1:9" ht="15.5" x14ac:dyDescent="0.35">
      <c r="A292" s="14" t="s">
        <v>364</v>
      </c>
      <c r="B292" s="15" t="s" cm="1">
        <v>19</v>
      </c>
      <c r="C292" s="15" t="s" cm="1">
        <v>21</v>
      </c>
      <c r="D292" s="15" t="s">
        <v>1861</v>
      </c>
      <c r="E292" s="15" t="s" cm="1">
        <v>1635</v>
      </c>
      <c r="F292" s="12" t="s">
        <v>1664</v>
      </c>
      <c r="G292" s="12" t="s">
        <v>942</v>
      </c>
      <c r="H292" s="12" t="s">
        <v>92</v>
      </c>
      <c r="I292" s="12" t="s">
        <v>91</v>
      </c>
    </row>
    <row r="293" spans="1:9" ht="15.5" x14ac:dyDescent="0.35">
      <c r="A293" s="14" t="s">
        <v>72</v>
      </c>
      <c r="B293" s="15" t="s" cm="1">
        <v>19</v>
      </c>
      <c r="C293" s="15" t="s" cm="1">
        <v>21</v>
      </c>
      <c r="D293" s="15" t="s">
        <v>74</v>
      </c>
      <c r="E293" s="15" t="s" cm="1">
        <v>1635</v>
      </c>
      <c r="F293" s="12" t="s">
        <v>1693</v>
      </c>
      <c r="G293" s="12" t="s">
        <v>24</v>
      </c>
      <c r="H293" s="12" t="s">
        <v>52</v>
      </c>
      <c r="I293" s="12" t="s">
        <v>51</v>
      </c>
    </row>
    <row r="294" spans="1:9" ht="15.5" x14ac:dyDescent="0.35">
      <c r="A294" s="14" t="s">
        <v>77</v>
      </c>
      <c r="B294" s="15" t="s" cm="1">
        <v>19</v>
      </c>
      <c r="C294" s="15" t="s" cm="1">
        <v>21</v>
      </c>
      <c r="D294" s="15" t="s">
        <v>78</v>
      </c>
      <c r="E294" s="15" t="s" cm="1">
        <v>1635</v>
      </c>
      <c r="F294" s="12" t="s">
        <v>1693</v>
      </c>
      <c r="G294" s="12" t="s">
        <v>24</v>
      </c>
      <c r="H294" s="12" t="s">
        <v>58</v>
      </c>
      <c r="I294" s="12" t="s">
        <v>57</v>
      </c>
    </row>
    <row r="295" spans="1:9" ht="15.5" x14ac:dyDescent="0.35">
      <c r="A295" s="14" t="s">
        <v>113</v>
      </c>
      <c r="B295" s="15" t="s" cm="1">
        <v>19</v>
      </c>
      <c r="C295" s="15" t="s" cm="1">
        <v>21</v>
      </c>
      <c r="D295" s="15" t="s">
        <v>1862</v>
      </c>
      <c r="E295" s="15" t="s" cm="1">
        <v>1639</v>
      </c>
      <c r="F295" s="12" t="s">
        <v>1636</v>
      </c>
      <c r="G295" s="12" t="s">
        <v>24</v>
      </c>
      <c r="H295" s="12" t="s">
        <v>58</v>
      </c>
      <c r="I295" s="12" t="s">
        <v>57</v>
      </c>
    </row>
    <row r="296" spans="1:9" ht="15.5" x14ac:dyDescent="0.35">
      <c r="A296" s="14" t="s">
        <v>396</v>
      </c>
      <c r="B296" s="15" t="s" cm="1">
        <v>19</v>
      </c>
      <c r="C296" s="15" t="s" cm="1">
        <v>21</v>
      </c>
      <c r="D296" s="15" t="s">
        <v>1628</v>
      </c>
      <c r="E296" s="15" t="s" cm="1">
        <v>1635</v>
      </c>
      <c r="F296" s="12" t="s">
        <v>1649</v>
      </c>
      <c r="G296" s="12" t="s">
        <v>946</v>
      </c>
      <c r="H296" s="12" t="s">
        <v>52</v>
      </c>
      <c r="I296" s="12" t="s">
        <v>51</v>
      </c>
    </row>
    <row r="297" spans="1:9" ht="15.5" x14ac:dyDescent="0.35">
      <c r="A297" s="14" t="s">
        <v>241</v>
      </c>
      <c r="B297" s="15" t="s" cm="1">
        <v>19</v>
      </c>
      <c r="C297" s="15" t="s" cm="1">
        <v>21</v>
      </c>
      <c r="D297" s="15" t="s">
        <v>1863</v>
      </c>
      <c r="E297" s="15" t="s" cm="1">
        <v>1635</v>
      </c>
      <c r="F297" s="12" t="s">
        <v>1641</v>
      </c>
      <c r="G297" s="12" t="s">
        <v>889</v>
      </c>
      <c r="H297" s="12" t="s">
        <v>117</v>
      </c>
      <c r="I297" s="12" t="s">
        <v>34</v>
      </c>
    </row>
    <row r="298" spans="1:9" ht="15.5" x14ac:dyDescent="0.35">
      <c r="A298" s="14" t="s">
        <v>239</v>
      </c>
      <c r="B298" s="15" t="s" cm="1">
        <v>19</v>
      </c>
      <c r="C298" s="15" t="s" cm="1">
        <v>21</v>
      </c>
      <c r="D298" s="15" t="s">
        <v>240</v>
      </c>
      <c r="E298" s="15" t="s" cm="1">
        <v>1635</v>
      </c>
      <c r="F298" s="12" t="s">
        <v>1638</v>
      </c>
      <c r="G298" s="12" t="s">
        <v>878</v>
      </c>
      <c r="H298" s="12" t="s">
        <v>35</v>
      </c>
      <c r="I298" s="12" t="s">
        <v>34</v>
      </c>
    </row>
    <row r="299" spans="1:9" ht="15.5" x14ac:dyDescent="0.35">
      <c r="A299" s="14" t="s">
        <v>219</v>
      </c>
      <c r="B299" s="15" t="s" cm="1">
        <v>19</v>
      </c>
      <c r="C299" s="15" t="s" cm="1">
        <v>21</v>
      </c>
      <c r="D299" s="15" t="s">
        <v>1864</v>
      </c>
      <c r="E299" s="15" t="s" cm="1">
        <v>1639</v>
      </c>
      <c r="F299" s="12" t="s">
        <v>1638</v>
      </c>
      <c r="G299" s="12" t="s">
        <v>881</v>
      </c>
      <c r="H299" s="12" t="s">
        <v>52</v>
      </c>
      <c r="I299" s="12" t="s">
        <v>51</v>
      </c>
    </row>
    <row r="300" spans="1:9" ht="15.5" x14ac:dyDescent="0.35">
      <c r="A300" s="14" t="s">
        <v>173</v>
      </c>
      <c r="B300" s="15" t="s" cm="1">
        <v>19</v>
      </c>
      <c r="C300" s="15" t="s" cm="1">
        <v>21</v>
      </c>
      <c r="D300" s="15" t="s">
        <v>174</v>
      </c>
      <c r="E300" s="15" t="s" cm="1">
        <v>1635</v>
      </c>
      <c r="F300" s="12" t="s">
        <v>1643</v>
      </c>
      <c r="G300" s="12" t="s">
        <v>882</v>
      </c>
      <c r="H300" s="12" t="s">
        <v>29</v>
      </c>
      <c r="I300" s="12" t="s">
        <v>28</v>
      </c>
    </row>
    <row r="301" spans="1:9" ht="15.5" x14ac:dyDescent="0.35">
      <c r="A301" s="14" t="s">
        <v>384</v>
      </c>
      <c r="B301" s="15" t="s" cm="1">
        <v>19</v>
      </c>
      <c r="C301" s="15" t="s" cm="1">
        <v>21</v>
      </c>
      <c r="D301" s="15" t="s">
        <v>1865</v>
      </c>
      <c r="E301" s="15" t="s" cm="1">
        <v>1635</v>
      </c>
      <c r="F301" s="12" t="s">
        <v>1649</v>
      </c>
      <c r="G301" s="12" t="s">
        <v>946</v>
      </c>
      <c r="H301" s="12" t="s">
        <v>236</v>
      </c>
      <c r="I301" s="12" t="s">
        <v>195</v>
      </c>
    </row>
    <row r="302" spans="1:9" ht="15.5" x14ac:dyDescent="0.35">
      <c r="A302" s="14" t="s">
        <v>148</v>
      </c>
      <c r="B302" s="15" t="s" cm="1">
        <v>19</v>
      </c>
      <c r="C302" s="15" t="s" cm="1">
        <v>21</v>
      </c>
      <c r="D302" s="15" t="s">
        <v>1866</v>
      </c>
      <c r="E302" s="15" t="s" cm="1">
        <v>1635</v>
      </c>
      <c r="F302" s="12" t="s">
        <v>1638</v>
      </c>
      <c r="G302" s="12" t="s">
        <v>891</v>
      </c>
      <c r="H302" s="12" t="s">
        <v>29</v>
      </c>
      <c r="I302" s="12" t="s">
        <v>28</v>
      </c>
    </row>
    <row r="303" spans="1:9" ht="15.5" x14ac:dyDescent="0.35">
      <c r="A303" s="14" t="s">
        <v>144</v>
      </c>
      <c r="B303" s="15" t="s" cm="1">
        <v>19</v>
      </c>
      <c r="C303" s="15" t="s" cm="1">
        <v>21</v>
      </c>
      <c r="D303" s="15" t="s">
        <v>1867</v>
      </c>
      <c r="E303" s="15" t="s" cm="1">
        <v>1635</v>
      </c>
      <c r="F303" s="12" t="s">
        <v>1641</v>
      </c>
      <c r="G303" s="12" t="s">
        <v>889</v>
      </c>
      <c r="H303" s="12" t="s">
        <v>58</v>
      </c>
      <c r="I303" s="12" t="s">
        <v>57</v>
      </c>
    </row>
    <row r="304" spans="1:9" ht="15.5" x14ac:dyDescent="0.35">
      <c r="A304" s="14" t="s">
        <v>120</v>
      </c>
      <c r="B304" s="15" t="s" cm="1">
        <v>19</v>
      </c>
      <c r="C304" s="15" t="s" cm="1">
        <v>21</v>
      </c>
      <c r="D304" s="15" t="s">
        <v>121</v>
      </c>
      <c r="E304" s="15" t="s" cm="1">
        <v>1635</v>
      </c>
      <c r="F304" s="12" t="s">
        <v>1643</v>
      </c>
      <c r="G304" s="12" t="s">
        <v>882</v>
      </c>
      <c r="H304" s="12" t="s">
        <v>52</v>
      </c>
      <c r="I304" s="12" t="s">
        <v>51</v>
      </c>
    </row>
    <row r="305" spans="1:9" ht="15.5" x14ac:dyDescent="0.35">
      <c r="A305" s="14" t="s">
        <v>118</v>
      </c>
      <c r="B305" s="15" t="s" cm="1">
        <v>19</v>
      </c>
      <c r="C305" s="15" t="s" cm="1">
        <v>21</v>
      </c>
      <c r="D305" s="15" t="s">
        <v>119</v>
      </c>
      <c r="E305" s="15" t="s" cm="1">
        <v>1635</v>
      </c>
      <c r="F305" s="12" t="s">
        <v>1664</v>
      </c>
      <c r="G305" s="12" t="s">
        <v>1055</v>
      </c>
      <c r="H305" s="12" t="s">
        <v>29</v>
      </c>
      <c r="I305" s="12" t="s">
        <v>28</v>
      </c>
    </row>
    <row r="306" spans="1:9" ht="15.5" x14ac:dyDescent="0.35">
      <c r="A306" s="14" t="s">
        <v>101</v>
      </c>
      <c r="B306" s="15" t="s" cm="1">
        <v>19</v>
      </c>
      <c r="C306" s="15" t="s" cm="1">
        <v>21</v>
      </c>
      <c r="D306" s="15" t="s">
        <v>1868</v>
      </c>
      <c r="E306" s="15" t="s" cm="1">
        <v>1635</v>
      </c>
      <c r="F306" s="12" t="s">
        <v>1643</v>
      </c>
      <c r="G306" s="12" t="s">
        <v>896</v>
      </c>
      <c r="H306" s="12" t="s">
        <v>52</v>
      </c>
      <c r="I306" s="12" t="s">
        <v>51</v>
      </c>
    </row>
    <row r="307" spans="1:9" ht="15.5" x14ac:dyDescent="0.35">
      <c r="A307" s="14" t="s">
        <v>99</v>
      </c>
      <c r="B307" s="15" t="s" cm="1">
        <v>19</v>
      </c>
      <c r="C307" s="15" t="s" cm="1">
        <v>21</v>
      </c>
      <c r="D307" s="15" t="s">
        <v>1869</v>
      </c>
      <c r="E307" s="15" t="s" cm="1">
        <v>1635</v>
      </c>
      <c r="F307" s="12" t="s">
        <v>1638</v>
      </c>
      <c r="G307" s="12" t="s">
        <v>878</v>
      </c>
      <c r="H307" s="12" t="s">
        <v>35</v>
      </c>
      <c r="I307" s="12" t="s">
        <v>34</v>
      </c>
    </row>
    <row r="308" spans="1:9" ht="15.5" x14ac:dyDescent="0.35">
      <c r="A308" s="14" t="s">
        <v>277</v>
      </c>
      <c r="B308" s="15" t="s" cm="1">
        <v>19</v>
      </c>
      <c r="C308" s="15" t="s" cm="1">
        <v>21</v>
      </c>
      <c r="D308" s="15" t="s">
        <v>1870</v>
      </c>
      <c r="E308" s="15" t="s" cm="1">
        <v>1639</v>
      </c>
      <c r="F308" s="12" t="s">
        <v>1649</v>
      </c>
      <c r="G308" s="12" t="s">
        <v>918</v>
      </c>
      <c r="H308" s="12" t="s">
        <v>35</v>
      </c>
      <c r="I308" s="12" t="s">
        <v>34</v>
      </c>
    </row>
    <row r="309" spans="1:9" ht="15.5" x14ac:dyDescent="0.35">
      <c r="A309" s="14" t="s">
        <v>261</v>
      </c>
      <c r="B309" s="15" t="s" cm="1">
        <v>19</v>
      </c>
      <c r="C309" s="15" t="s" cm="1">
        <v>21</v>
      </c>
      <c r="D309" s="15" t="s">
        <v>1871</v>
      </c>
      <c r="E309" s="15" t="s" cm="1">
        <v>1639</v>
      </c>
      <c r="F309" s="12" t="s">
        <v>1636</v>
      </c>
      <c r="G309" s="12" t="s">
        <v>913</v>
      </c>
      <c r="H309" s="12" t="s">
        <v>29</v>
      </c>
      <c r="I309" s="12" t="s">
        <v>28</v>
      </c>
    </row>
    <row r="310" spans="1:9" ht="15.5" x14ac:dyDescent="0.35">
      <c r="A310" s="14" t="s">
        <v>205</v>
      </c>
      <c r="B310" s="15" t="s" cm="1">
        <v>19</v>
      </c>
      <c r="C310" s="15" t="s" cm="1">
        <v>21</v>
      </c>
      <c r="D310" s="15" t="s">
        <v>206</v>
      </c>
      <c r="E310" s="15" t="s" cm="1">
        <v>1639</v>
      </c>
      <c r="F310" s="12" t="s">
        <v>1636</v>
      </c>
      <c r="G310" s="12" t="s">
        <v>903</v>
      </c>
      <c r="H310" s="12" t="s">
        <v>52</v>
      </c>
      <c r="I310" s="12" t="s">
        <v>51</v>
      </c>
    </row>
    <row r="311" spans="1:9" ht="15.5" x14ac:dyDescent="0.35">
      <c r="A311" s="14" t="s">
        <v>156</v>
      </c>
      <c r="B311" s="15" t="s" cm="1">
        <v>19</v>
      </c>
      <c r="C311" s="15" t="s" cm="1">
        <v>21</v>
      </c>
      <c r="D311" s="15" t="s">
        <v>1872</v>
      </c>
      <c r="E311" s="15" t="s" cm="1">
        <v>1635</v>
      </c>
      <c r="F311" s="12" t="s">
        <v>1649</v>
      </c>
      <c r="G311" s="12" t="s">
        <v>24</v>
      </c>
      <c r="H311" s="12" t="s">
        <v>45</v>
      </c>
      <c r="I311" s="12" t="s">
        <v>44</v>
      </c>
    </row>
    <row r="312" spans="1:9" ht="15.5" x14ac:dyDescent="0.35">
      <c r="A312" s="14" t="s">
        <v>152</v>
      </c>
      <c r="B312" s="15" t="s" cm="1">
        <v>19</v>
      </c>
      <c r="C312" s="15" t="s" cm="1">
        <v>21</v>
      </c>
      <c r="D312" s="15" t="s">
        <v>1873</v>
      </c>
      <c r="E312" s="15" t="s" cm="1">
        <v>1639</v>
      </c>
      <c r="F312" s="12" t="s">
        <v>1636</v>
      </c>
      <c r="G312" s="12" t="s">
        <v>880</v>
      </c>
      <c r="H312" s="12" t="s">
        <v>58</v>
      </c>
      <c r="I312" s="12" t="s">
        <v>57</v>
      </c>
    </row>
    <row r="313" spans="1:9" ht="15.5" x14ac:dyDescent="0.35">
      <c r="A313" s="14" t="s">
        <v>380</v>
      </c>
      <c r="B313" s="15" t="s" cm="1">
        <v>19</v>
      </c>
      <c r="C313" s="15" t="s" cm="1">
        <v>21</v>
      </c>
      <c r="D313" s="15" t="s">
        <v>1874</v>
      </c>
      <c r="E313" s="15" t="s" cm="1">
        <v>1639</v>
      </c>
      <c r="F313" s="12" t="s">
        <v>1649</v>
      </c>
      <c r="G313" s="12" t="s">
        <v>908</v>
      </c>
      <c r="H313" s="12" t="s">
        <v>130</v>
      </c>
      <c r="I313" s="12" t="s">
        <v>22</v>
      </c>
    </row>
    <row r="314" spans="1:9" ht="15.5" x14ac:dyDescent="0.35">
      <c r="A314" s="14" t="s">
        <v>362</v>
      </c>
      <c r="B314" s="15" t="s" cm="1">
        <v>19</v>
      </c>
      <c r="C314" s="15" t="s" cm="1">
        <v>21</v>
      </c>
      <c r="D314" s="15" t="s">
        <v>363</v>
      </c>
      <c r="E314" s="15" t="s" cm="1">
        <v>1639</v>
      </c>
      <c r="F314" s="12" t="s">
        <v>1649</v>
      </c>
      <c r="G314" s="12" t="s">
        <v>908</v>
      </c>
      <c r="H314" s="12" t="s">
        <v>130</v>
      </c>
      <c r="I314" s="12" t="s">
        <v>22</v>
      </c>
    </row>
    <row r="315" spans="1:9" ht="15.5" x14ac:dyDescent="0.35">
      <c r="A315" s="14" t="s">
        <v>348</v>
      </c>
      <c r="B315" s="15" t="s" cm="1">
        <v>19</v>
      </c>
      <c r="C315" s="15" t="s" cm="1">
        <v>21</v>
      </c>
      <c r="D315" s="15" t="s">
        <v>1875</v>
      </c>
      <c r="E315" s="15" t="s" cm="1">
        <v>1639</v>
      </c>
      <c r="F315" s="12" t="s">
        <v>1649</v>
      </c>
      <c r="G315" s="12" t="s">
        <v>24</v>
      </c>
      <c r="H315" s="12" t="s">
        <v>236</v>
      </c>
      <c r="I315" s="12" t="s">
        <v>195</v>
      </c>
    </row>
    <row r="316" spans="1:9" ht="15.5" x14ac:dyDescent="0.35">
      <c r="A316" s="14" t="s">
        <v>346</v>
      </c>
      <c r="B316" s="15" t="s" cm="1">
        <v>19</v>
      </c>
      <c r="C316" s="15" t="s" cm="1">
        <v>21</v>
      </c>
      <c r="D316" s="15" t="s">
        <v>347</v>
      </c>
      <c r="E316" s="15" t="s" cm="1">
        <v>1639</v>
      </c>
      <c r="F316" s="12" t="s">
        <v>1649</v>
      </c>
      <c r="G316" s="12" t="s">
        <v>938</v>
      </c>
      <c r="H316" s="12" t="s">
        <v>130</v>
      </c>
      <c r="I316" s="12" t="s">
        <v>22</v>
      </c>
    </row>
    <row r="317" spans="1:9" ht="15.5" x14ac:dyDescent="0.35">
      <c r="A317" s="14" t="s">
        <v>344</v>
      </c>
      <c r="B317" s="15" t="s" cm="1">
        <v>19</v>
      </c>
      <c r="C317" s="15" t="s" cm="1">
        <v>21</v>
      </c>
      <c r="D317" s="15" t="s">
        <v>345</v>
      </c>
      <c r="E317" s="15" t="s" cm="1">
        <v>1639</v>
      </c>
      <c r="F317" s="12" t="s">
        <v>1649</v>
      </c>
      <c r="G317" s="12" t="s">
        <v>938</v>
      </c>
      <c r="H317" s="12" t="s">
        <v>130</v>
      </c>
      <c r="I317" s="12" t="s">
        <v>22</v>
      </c>
    </row>
    <row r="318" spans="1:9" ht="15.5" x14ac:dyDescent="0.35">
      <c r="A318" s="14" t="s">
        <v>342</v>
      </c>
      <c r="B318" s="15" t="s" cm="1">
        <v>19</v>
      </c>
      <c r="C318" s="15" t="s" cm="1">
        <v>21</v>
      </c>
      <c r="D318" s="15" t="s">
        <v>343</v>
      </c>
      <c r="E318" s="15" t="s" cm="1">
        <v>1639</v>
      </c>
      <c r="F318" s="12" t="s">
        <v>1649</v>
      </c>
      <c r="G318" s="12" t="s">
        <v>938</v>
      </c>
      <c r="H318" s="12" t="s">
        <v>236</v>
      </c>
      <c r="I318" s="12" t="s">
        <v>195</v>
      </c>
    </row>
    <row r="319" spans="1:9" ht="15.5" x14ac:dyDescent="0.35">
      <c r="A319" s="14" t="s">
        <v>291</v>
      </c>
      <c r="B319" s="15" t="s" cm="1">
        <v>19</v>
      </c>
      <c r="C319" s="15" t="s" cm="1">
        <v>21</v>
      </c>
      <c r="D319" s="15" t="s">
        <v>292</v>
      </c>
      <c r="E319" s="15" t="s" cm="1">
        <v>1639</v>
      </c>
      <c r="F319" s="12" t="s">
        <v>1636</v>
      </c>
      <c r="G319" s="12" t="s">
        <v>893</v>
      </c>
      <c r="H319" s="12" t="s">
        <v>130</v>
      </c>
      <c r="I319" s="12" t="s">
        <v>22</v>
      </c>
    </row>
    <row r="320" spans="1:9" ht="15.5" x14ac:dyDescent="0.35">
      <c r="A320" s="14" t="s">
        <v>193</v>
      </c>
      <c r="B320" s="15" t="s" cm="1">
        <v>19</v>
      </c>
      <c r="C320" s="15" t="s" cm="1">
        <v>21</v>
      </c>
      <c r="D320" s="15" t="s">
        <v>1876</v>
      </c>
      <c r="E320" s="15" t="s" cm="1">
        <v>1639</v>
      </c>
      <c r="F320" s="12" t="s">
        <v>1638</v>
      </c>
      <c r="G320" s="12" t="s">
        <v>899</v>
      </c>
      <c r="H320" s="12" t="s">
        <v>196</v>
      </c>
      <c r="I320" s="12" t="s">
        <v>195</v>
      </c>
    </row>
    <row r="321" spans="1:9" ht="15.5" x14ac:dyDescent="0.35">
      <c r="A321" s="14" t="s">
        <v>267</v>
      </c>
      <c r="B321" s="15" t="s" cm="1">
        <v>19</v>
      </c>
      <c r="C321" s="15" t="s" cm="1">
        <v>21</v>
      </c>
      <c r="D321" s="15" t="s">
        <v>268</v>
      </c>
      <c r="E321" s="15" t="s" cm="1">
        <v>1639</v>
      </c>
      <c r="F321" s="12" t="s">
        <v>1636</v>
      </c>
      <c r="G321" s="12" t="s">
        <v>24</v>
      </c>
      <c r="H321" s="12" t="s">
        <v>130</v>
      </c>
      <c r="I321" s="12" t="s">
        <v>22</v>
      </c>
    </row>
    <row r="322" spans="1:9" ht="15.5" x14ac:dyDescent="0.35">
      <c r="A322" s="14" t="s">
        <v>159</v>
      </c>
      <c r="B322" s="15" t="s" cm="1">
        <v>19</v>
      </c>
      <c r="C322" s="15" t="s" cm="1">
        <v>21</v>
      </c>
      <c r="D322" s="15" t="s">
        <v>1877</v>
      </c>
      <c r="E322" s="15" t="s" cm="1">
        <v>1639</v>
      </c>
      <c r="F322" s="12" t="s">
        <v>1636</v>
      </c>
      <c r="G322" s="12" t="s">
        <v>24</v>
      </c>
      <c r="H322" s="12" t="s">
        <v>162</v>
      </c>
      <c r="I322" s="12" t="s">
        <v>161</v>
      </c>
    </row>
    <row r="323" spans="1:9" ht="15.5" x14ac:dyDescent="0.35">
      <c r="A323" s="14" t="s">
        <v>470</v>
      </c>
      <c r="B323" s="15" t="s" cm="1">
        <v>19</v>
      </c>
      <c r="C323" s="15" t="s" cm="1">
        <v>21</v>
      </c>
      <c r="D323" s="15" t="s">
        <v>1878</v>
      </c>
      <c r="E323" s="15" t="s" cm="1">
        <v>1639</v>
      </c>
      <c r="F323" s="12" t="s">
        <v>1638</v>
      </c>
      <c r="G323" s="12" t="s">
        <v>952</v>
      </c>
      <c r="H323" s="12" t="s">
        <v>92</v>
      </c>
      <c r="I323" s="12" t="s">
        <v>91</v>
      </c>
    </row>
    <row r="324" spans="1:9" ht="15.5" x14ac:dyDescent="0.35">
      <c r="A324" s="14" t="s">
        <v>533</v>
      </c>
      <c r="B324" s="15" t="s" cm="1">
        <v>19</v>
      </c>
      <c r="C324" s="15" t="s" cm="1">
        <v>21</v>
      </c>
      <c r="D324" s="15" t="s">
        <v>534</v>
      </c>
      <c r="E324" s="15" t="s" cm="1">
        <v>1639</v>
      </c>
      <c r="F324" s="12" t="s">
        <v>1638</v>
      </c>
      <c r="G324" s="12" t="s">
        <v>920</v>
      </c>
      <c r="H324" s="12" t="s">
        <v>58</v>
      </c>
      <c r="I324" s="12" t="s">
        <v>57</v>
      </c>
    </row>
    <row r="325" spans="1:9" ht="15.5" x14ac:dyDescent="0.35">
      <c r="A325" s="14" t="s">
        <v>767</v>
      </c>
      <c r="B325" s="15" t="s" cm="1">
        <v>19</v>
      </c>
      <c r="C325" s="15" t="s" cm="1">
        <v>21</v>
      </c>
      <c r="D325" s="15" t="s">
        <v>1879</v>
      </c>
      <c r="E325" s="15" t="s" cm="1">
        <v>1635</v>
      </c>
      <c r="F325" s="12" t="s">
        <v>1693</v>
      </c>
      <c r="G325" s="12" t="s">
        <v>24</v>
      </c>
      <c r="H325" s="12" t="s">
        <v>23</v>
      </c>
      <c r="I325" s="12" t="s">
        <v>22</v>
      </c>
    </row>
    <row r="326" spans="1:9" ht="15.5" x14ac:dyDescent="0.35">
      <c r="A326" s="14" t="s">
        <v>477</v>
      </c>
      <c r="B326" s="15" t="s" cm="1">
        <v>19</v>
      </c>
      <c r="C326" s="15" t="s" cm="1">
        <v>21</v>
      </c>
      <c r="D326" s="15" t="s">
        <v>1880</v>
      </c>
      <c r="E326" s="15" t="s" cm="1">
        <v>1635</v>
      </c>
      <c r="F326" s="12" t="s">
        <v>1643</v>
      </c>
      <c r="G326" s="12" t="s">
        <v>953</v>
      </c>
      <c r="H326" s="12" t="s">
        <v>196</v>
      </c>
      <c r="I326" s="12" t="s">
        <v>195</v>
      </c>
    </row>
    <row r="327" spans="1:9" ht="15.5" x14ac:dyDescent="0.35">
      <c r="A327" s="14" t="s">
        <v>777</v>
      </c>
      <c r="B327" s="15" t="s" cm="1">
        <v>19</v>
      </c>
      <c r="C327" s="15" t="s" cm="1">
        <v>21</v>
      </c>
      <c r="D327" s="15" t="s">
        <v>778</v>
      </c>
      <c r="E327" s="15" t="s" cm="1">
        <v>1635</v>
      </c>
      <c r="F327" s="12" t="s">
        <v>1641</v>
      </c>
      <c r="G327" s="12" t="s">
        <v>926</v>
      </c>
      <c r="H327" s="12" t="s">
        <v>92</v>
      </c>
      <c r="I327" s="12" t="s">
        <v>91</v>
      </c>
    </row>
    <row r="328" spans="1:9" ht="15.5" x14ac:dyDescent="0.35">
      <c r="A328" s="14" t="s">
        <v>475</v>
      </c>
      <c r="B328" s="15" t="s" cm="1">
        <v>89</v>
      </c>
      <c r="C328" s="15" t="s" cm="1">
        <v>21</v>
      </c>
      <c r="D328" s="15" t="s">
        <v>1881</v>
      </c>
      <c r="E328" s="15" t="s" cm="1">
        <v>1639</v>
      </c>
      <c r="F328" s="12" t="s">
        <v>1638</v>
      </c>
      <c r="G328" s="12" t="s">
        <v>899</v>
      </c>
      <c r="H328" s="12" t="s">
        <v>196</v>
      </c>
      <c r="I328" s="12" t="s">
        <v>195</v>
      </c>
    </row>
    <row r="329" spans="1:9" ht="15.5" x14ac:dyDescent="0.35">
      <c r="A329" s="14" t="s">
        <v>569</v>
      </c>
      <c r="B329" s="15" t="s" cm="1">
        <v>19</v>
      </c>
      <c r="C329" s="15" t="s" cm="1">
        <v>21</v>
      </c>
      <c r="D329" s="15" t="s">
        <v>1882</v>
      </c>
      <c r="E329" s="15" t="s" cm="1">
        <v>1635</v>
      </c>
      <c r="F329" s="12" t="s">
        <v>1693</v>
      </c>
      <c r="G329" s="12" t="s">
        <v>962</v>
      </c>
      <c r="H329" s="12" t="s">
        <v>196</v>
      </c>
      <c r="I329" s="12" t="s">
        <v>195</v>
      </c>
    </row>
    <row r="330" spans="1:9" ht="15.5" x14ac:dyDescent="0.35">
      <c r="A330" s="14" t="s">
        <v>95</v>
      </c>
      <c r="B330" s="15" t="s" cm="1">
        <v>19</v>
      </c>
      <c r="C330" s="15" t="s" cm="1">
        <v>21</v>
      </c>
      <c r="D330" s="15" t="s">
        <v>96</v>
      </c>
      <c r="E330" s="15" t="s" cm="1">
        <v>1635</v>
      </c>
      <c r="F330" s="12" t="s">
        <v>1693</v>
      </c>
      <c r="G330" s="12" t="s">
        <v>877</v>
      </c>
      <c r="H330" s="12" t="s">
        <v>52</v>
      </c>
      <c r="I330" s="12" t="s">
        <v>51</v>
      </c>
    </row>
    <row r="331" spans="1:9" ht="15.5" x14ac:dyDescent="0.35">
      <c r="A331" s="14" t="s">
        <v>762</v>
      </c>
      <c r="B331" s="15" t="s" cm="1">
        <v>986</v>
      </c>
      <c r="C331" s="15" t="s" cm="1">
        <v>21</v>
      </c>
      <c r="D331" s="15" t="s">
        <v>763</v>
      </c>
      <c r="E331" s="15" t="s" cm="1">
        <v>1639</v>
      </c>
      <c r="F331" s="12" t="s">
        <v>1636</v>
      </c>
      <c r="G331" s="12" t="s">
        <v>24</v>
      </c>
      <c r="H331" s="12" t="s">
        <v>58</v>
      </c>
      <c r="I331" s="12" t="s">
        <v>57</v>
      </c>
    </row>
    <row r="332" spans="1:9" ht="15.5" x14ac:dyDescent="0.35">
      <c r="A332" s="14" t="s">
        <v>840</v>
      </c>
      <c r="B332" s="15" t="s" cm="1">
        <v>986</v>
      </c>
      <c r="C332" s="15" t="s" cm="1">
        <v>21</v>
      </c>
      <c r="D332" s="15" t="s">
        <v>1883</v>
      </c>
      <c r="E332" s="15" t="s" cm="1">
        <v>1639</v>
      </c>
      <c r="F332" s="12" t="s">
        <v>1636</v>
      </c>
      <c r="G332" s="12" t="s">
        <v>872</v>
      </c>
      <c r="H332" s="12" t="s">
        <v>58</v>
      </c>
      <c r="I332" s="12" t="s">
        <v>57</v>
      </c>
    </row>
    <row r="333" spans="1:9" ht="15.5" x14ac:dyDescent="0.35">
      <c r="A333" s="14" t="s">
        <v>835</v>
      </c>
      <c r="B333" s="15" t="s" cm="1">
        <v>986</v>
      </c>
      <c r="C333" s="15" t="s" cm="1">
        <v>21</v>
      </c>
      <c r="D333" s="15" t="s">
        <v>836</v>
      </c>
      <c r="E333" s="15" t="s" cm="1">
        <v>1639</v>
      </c>
      <c r="F333" s="12" t="s">
        <v>1636</v>
      </c>
      <c r="G333" s="12" t="s">
        <v>974</v>
      </c>
      <c r="H333" s="12" t="s">
        <v>58</v>
      </c>
      <c r="I333" s="12" t="s">
        <v>57</v>
      </c>
    </row>
    <row r="334" spans="1:9" ht="15.5" x14ac:dyDescent="0.35">
      <c r="A334" s="14" t="s">
        <v>837</v>
      </c>
      <c r="B334" s="15" t="s" cm="1">
        <v>986</v>
      </c>
      <c r="C334" s="15" t="s" cm="1">
        <v>21</v>
      </c>
      <c r="D334" s="15" t="s">
        <v>836</v>
      </c>
      <c r="E334" s="15" t="s" cm="1">
        <v>1639</v>
      </c>
      <c r="F334" s="12" t="s">
        <v>1636</v>
      </c>
      <c r="G334" s="12" t="s">
        <v>872</v>
      </c>
      <c r="H334" s="12" t="s">
        <v>58</v>
      </c>
      <c r="I334" s="12" t="s">
        <v>57</v>
      </c>
    </row>
    <row r="335" spans="1:9" ht="15.5" x14ac:dyDescent="0.35">
      <c r="A335" s="14" t="s">
        <v>833</v>
      </c>
      <c r="B335" s="15" t="s" cm="1">
        <v>986</v>
      </c>
      <c r="C335" s="15" t="s" cm="1">
        <v>21</v>
      </c>
      <c r="D335" s="15" t="s">
        <v>1884</v>
      </c>
      <c r="E335" s="15" t="s" cm="1">
        <v>1639</v>
      </c>
      <c r="F335" s="12" t="s">
        <v>1636</v>
      </c>
      <c r="G335" s="12" t="s">
        <v>974</v>
      </c>
      <c r="H335" s="12" t="s">
        <v>58</v>
      </c>
      <c r="I335" s="12" t="s">
        <v>57</v>
      </c>
    </row>
    <row r="336" spans="1:9" ht="15.5" x14ac:dyDescent="0.35">
      <c r="A336" s="14" t="s">
        <v>838</v>
      </c>
      <c r="B336" s="15" t="s" cm="1">
        <v>986</v>
      </c>
      <c r="C336" s="15" t="s" cm="1">
        <v>21</v>
      </c>
      <c r="D336" s="15" t="s">
        <v>1885</v>
      </c>
      <c r="E336" s="15" t="s" cm="1">
        <v>1639</v>
      </c>
      <c r="F336" s="12" t="s">
        <v>1636</v>
      </c>
      <c r="G336" s="12" t="s">
        <v>974</v>
      </c>
      <c r="H336" s="12" t="s">
        <v>184</v>
      </c>
      <c r="I336" s="12" t="s">
        <v>91</v>
      </c>
    </row>
    <row r="337" spans="1:9" ht="15.5" x14ac:dyDescent="0.35">
      <c r="A337" s="14" t="s">
        <v>831</v>
      </c>
      <c r="B337" s="15" t="s" cm="1">
        <v>986</v>
      </c>
      <c r="C337" s="15" t="s" cm="1">
        <v>21</v>
      </c>
      <c r="D337" s="15" t="s">
        <v>832</v>
      </c>
      <c r="E337" s="15" t="s" cm="1">
        <v>1639</v>
      </c>
      <c r="F337" s="12" t="s">
        <v>1636</v>
      </c>
      <c r="G337" s="12" t="s">
        <v>974</v>
      </c>
      <c r="H337" s="12" t="s">
        <v>58</v>
      </c>
      <c r="I337" s="12" t="s">
        <v>57</v>
      </c>
    </row>
    <row r="338" spans="1:9" ht="15.5" x14ac:dyDescent="0.35">
      <c r="A338" s="14" t="s">
        <v>855</v>
      </c>
      <c r="B338" s="15" t="s" cm="1">
        <v>986</v>
      </c>
      <c r="C338" s="15" t="s" cm="1">
        <v>21</v>
      </c>
      <c r="D338" s="15" t="s">
        <v>852</v>
      </c>
      <c r="E338" s="15" t="s" cm="1">
        <v>1639</v>
      </c>
      <c r="F338" s="12" t="s">
        <v>1636</v>
      </c>
      <c r="G338" s="12" t="s">
        <v>872</v>
      </c>
      <c r="H338" s="12" t="s">
        <v>58</v>
      </c>
      <c r="I338" s="12" t="s">
        <v>57</v>
      </c>
    </row>
    <row r="339" spans="1:9" ht="15.5" x14ac:dyDescent="0.35">
      <c r="A339" s="14" t="s">
        <v>809</v>
      </c>
      <c r="B339" s="15" t="s" cm="1">
        <v>986</v>
      </c>
      <c r="C339" s="15" t="s" cm="1">
        <v>21</v>
      </c>
      <c r="D339" s="15" t="s">
        <v>810</v>
      </c>
      <c r="E339" s="15" t="s" cm="1">
        <v>1639</v>
      </c>
      <c r="F339" s="12" t="s">
        <v>1636</v>
      </c>
      <c r="G339" s="12" t="s">
        <v>960</v>
      </c>
      <c r="H339" s="12" t="s">
        <v>58</v>
      </c>
      <c r="I339" s="12" t="s">
        <v>57</v>
      </c>
    </row>
    <row r="340" spans="1:9" ht="15.5" x14ac:dyDescent="0.35">
      <c r="A340" s="14" t="s">
        <v>519</v>
      </c>
      <c r="B340" s="15" t="s" cm="1">
        <v>986</v>
      </c>
      <c r="C340" s="15" t="s" cm="1">
        <v>21</v>
      </c>
      <c r="D340" s="15" t="s">
        <v>520</v>
      </c>
      <c r="E340" s="15" t="s" cm="1">
        <v>1635</v>
      </c>
      <c r="F340" s="12" t="s">
        <v>1638</v>
      </c>
      <c r="G340" s="12" t="s">
        <v>959</v>
      </c>
      <c r="H340" s="12" t="s">
        <v>196</v>
      </c>
      <c r="I340" s="12" t="s">
        <v>195</v>
      </c>
    </row>
    <row r="341" spans="1:9" ht="15.5" x14ac:dyDescent="0.35">
      <c r="A341" s="14" t="s">
        <v>513</v>
      </c>
      <c r="B341" s="15" t="s" cm="1">
        <v>986</v>
      </c>
      <c r="C341" s="15" t="s" cm="1">
        <v>21</v>
      </c>
      <c r="D341" s="15" t="s">
        <v>1886</v>
      </c>
      <c r="E341" s="15" t="s" cm="1">
        <v>1635</v>
      </c>
      <c r="F341" s="12" t="s">
        <v>1638</v>
      </c>
      <c r="G341" s="12" t="s">
        <v>956</v>
      </c>
      <c r="H341" s="12" t="s">
        <v>58</v>
      </c>
      <c r="I341" s="12" t="s">
        <v>57</v>
      </c>
    </row>
    <row r="342" spans="1:9" ht="15.5" x14ac:dyDescent="0.35">
      <c r="A342" s="14" t="s">
        <v>515</v>
      </c>
      <c r="B342" s="15" t="s" cm="1">
        <v>986</v>
      </c>
      <c r="C342" s="15" t="s" cm="1">
        <v>21</v>
      </c>
      <c r="D342" s="15" t="s">
        <v>1887</v>
      </c>
      <c r="E342" s="15" t="s" cm="1">
        <v>1635</v>
      </c>
      <c r="F342" s="12" t="s">
        <v>1638</v>
      </c>
      <c r="G342" s="12" t="s">
        <v>957</v>
      </c>
      <c r="H342" s="12" t="s">
        <v>58</v>
      </c>
      <c r="I342" s="12" t="s">
        <v>57</v>
      </c>
    </row>
    <row r="343" spans="1:9" ht="15.5" x14ac:dyDescent="0.35">
      <c r="A343" s="14" t="s">
        <v>771</v>
      </c>
      <c r="B343" s="15" t="s" cm="1">
        <v>986</v>
      </c>
      <c r="C343" s="15" t="s" cm="1">
        <v>21</v>
      </c>
      <c r="D343" s="15" t="s">
        <v>772</v>
      </c>
      <c r="E343" s="15" t="s" cm="1">
        <v>1635</v>
      </c>
      <c r="F343" s="12" t="s">
        <v>1641</v>
      </c>
      <c r="G343" s="12" t="s">
        <v>863</v>
      </c>
      <c r="H343" s="12" t="s">
        <v>196</v>
      </c>
      <c r="I343" s="12" t="s">
        <v>195</v>
      </c>
    </row>
    <row r="344" spans="1:9" ht="15.5" x14ac:dyDescent="0.35">
      <c r="A344" s="14" t="s">
        <v>790</v>
      </c>
      <c r="B344" s="15" t="s" cm="1">
        <v>986</v>
      </c>
      <c r="C344" s="15" t="s" cm="1">
        <v>21</v>
      </c>
      <c r="D344" s="15" t="s">
        <v>772</v>
      </c>
      <c r="E344" s="15" t="s" cm="1">
        <v>1635</v>
      </c>
      <c r="F344" s="12" t="s">
        <v>1641</v>
      </c>
      <c r="G344" s="12" t="s">
        <v>965</v>
      </c>
      <c r="H344" s="12" t="s">
        <v>196</v>
      </c>
      <c r="I344" s="12" t="s">
        <v>195</v>
      </c>
    </row>
    <row r="345" spans="1:9" ht="15.5" x14ac:dyDescent="0.35">
      <c r="A345" s="14" t="s">
        <v>784</v>
      </c>
      <c r="B345" s="15" t="s" cm="1">
        <v>986</v>
      </c>
      <c r="C345" s="15" t="s" cm="1">
        <v>21</v>
      </c>
      <c r="D345" s="15" t="s">
        <v>1888</v>
      </c>
      <c r="E345" s="15" t="s" cm="1">
        <v>1635</v>
      </c>
      <c r="F345" s="12" t="s">
        <v>1641</v>
      </c>
      <c r="G345" s="12" t="s">
        <v>926</v>
      </c>
      <c r="H345" s="12" t="s">
        <v>196</v>
      </c>
      <c r="I345" s="12" t="s">
        <v>195</v>
      </c>
    </row>
    <row r="346" spans="1:9" ht="15.5" x14ac:dyDescent="0.35">
      <c r="A346" s="14" t="s">
        <v>775</v>
      </c>
      <c r="B346" s="15" t="s" cm="1">
        <v>986</v>
      </c>
      <c r="C346" s="15" t="s" cm="1">
        <v>21</v>
      </c>
      <c r="D346" s="15" t="s">
        <v>1889</v>
      </c>
      <c r="E346" s="15" t="s" cm="1">
        <v>1635</v>
      </c>
      <c r="F346" s="12" t="s">
        <v>1641</v>
      </c>
      <c r="G346" s="12" t="s">
        <v>926</v>
      </c>
      <c r="H346" s="12" t="s">
        <v>92</v>
      </c>
      <c r="I346" s="12" t="s">
        <v>91</v>
      </c>
    </row>
    <row r="347" spans="1:9" ht="15.5" x14ac:dyDescent="0.35">
      <c r="A347" s="14" t="s">
        <v>805</v>
      </c>
      <c r="B347" s="15" t="s" cm="1">
        <v>986</v>
      </c>
      <c r="C347" s="15" t="s" cm="1">
        <v>21</v>
      </c>
      <c r="D347" s="15" t="s">
        <v>1890</v>
      </c>
      <c r="E347" s="15" t="s" cm="1">
        <v>1639</v>
      </c>
      <c r="F347" s="12" t="s">
        <v>1636</v>
      </c>
      <c r="G347" s="12" t="s">
        <v>970</v>
      </c>
      <c r="H347" s="12" t="s">
        <v>92</v>
      </c>
      <c r="I347" s="12" t="s">
        <v>91</v>
      </c>
    </row>
    <row r="348" spans="1:9" ht="15.5" x14ac:dyDescent="0.35">
      <c r="A348" s="14" t="s">
        <v>817</v>
      </c>
      <c r="B348" s="15" t="s" cm="1">
        <v>986</v>
      </c>
      <c r="C348" s="15" t="s" cm="1">
        <v>21</v>
      </c>
      <c r="D348" s="15" t="s">
        <v>1891</v>
      </c>
      <c r="E348" s="15" t="s" cm="1">
        <v>1639</v>
      </c>
      <c r="F348" s="12" t="s">
        <v>1636</v>
      </c>
      <c r="G348" s="12" t="s">
        <v>971</v>
      </c>
      <c r="H348" s="12" t="s">
        <v>58</v>
      </c>
      <c r="I348" s="12" t="s">
        <v>57</v>
      </c>
    </row>
    <row r="349" spans="1:9" ht="15.5" x14ac:dyDescent="0.35">
      <c r="A349" s="14" t="s">
        <v>811</v>
      </c>
      <c r="B349" s="15" t="s" cm="1">
        <v>986</v>
      </c>
      <c r="C349" s="15" t="s" cm="1">
        <v>21</v>
      </c>
      <c r="D349" s="15" t="s">
        <v>812</v>
      </c>
      <c r="E349" s="15" t="s" cm="1">
        <v>1639</v>
      </c>
      <c r="F349" s="12" t="s">
        <v>1636</v>
      </c>
      <c r="G349" s="12" t="s">
        <v>960</v>
      </c>
      <c r="H349" s="12" t="s">
        <v>58</v>
      </c>
      <c r="I349" s="12" t="s">
        <v>57</v>
      </c>
    </row>
    <row r="350" spans="1:9" ht="15.5" x14ac:dyDescent="0.35">
      <c r="A350" s="14" t="s">
        <v>813</v>
      </c>
      <c r="B350" s="15" t="s" cm="1">
        <v>986</v>
      </c>
      <c r="C350" s="15" t="s" cm="1">
        <v>21</v>
      </c>
      <c r="D350" s="15" t="s">
        <v>763</v>
      </c>
      <c r="E350" s="15" t="s" cm="1">
        <v>1639</v>
      </c>
      <c r="F350" s="12" t="s">
        <v>1636</v>
      </c>
      <c r="G350" s="12" t="s">
        <v>960</v>
      </c>
      <c r="H350" s="12" t="s">
        <v>58</v>
      </c>
      <c r="I350" s="12" t="s">
        <v>57</v>
      </c>
    </row>
    <row r="351" spans="1:9" ht="15.5" x14ac:dyDescent="0.35">
      <c r="A351" s="14" t="s">
        <v>523</v>
      </c>
      <c r="B351" s="15" t="s" cm="1">
        <v>986</v>
      </c>
      <c r="C351" s="15" t="s" cm="1">
        <v>21</v>
      </c>
      <c r="D351" s="15" t="s">
        <v>524</v>
      </c>
      <c r="E351" s="15" t="s" cm="1">
        <v>1639</v>
      </c>
      <c r="F351" s="12" t="s">
        <v>1636</v>
      </c>
      <c r="G351" s="12" t="s">
        <v>960</v>
      </c>
      <c r="H351" s="12" t="s">
        <v>92</v>
      </c>
      <c r="I351" s="12" t="s">
        <v>91</v>
      </c>
    </row>
    <row r="352" spans="1:9" ht="15.5" x14ac:dyDescent="0.35">
      <c r="A352" s="14" t="s">
        <v>608</v>
      </c>
      <c r="B352" s="15" t="s" cm="1">
        <v>986</v>
      </c>
      <c r="C352" s="15" t="s" cm="1">
        <v>21</v>
      </c>
      <c r="D352" s="15" t="s">
        <v>1892</v>
      </c>
      <c r="E352" s="15" t="s" cm="1">
        <v>1639</v>
      </c>
      <c r="F352" s="12" t="s">
        <v>1638</v>
      </c>
      <c r="G352" s="12" t="s">
        <v>24</v>
      </c>
      <c r="H352" s="12" t="s">
        <v>35</v>
      </c>
      <c r="I352" s="12" t="s">
        <v>34</v>
      </c>
    </row>
    <row r="353" spans="1:9" ht="15.5" x14ac:dyDescent="0.35">
      <c r="A353" s="14" t="s">
        <v>793</v>
      </c>
      <c r="B353" s="15" t="s" cm="1">
        <v>986</v>
      </c>
      <c r="C353" s="15" t="s" cm="1">
        <v>21</v>
      </c>
      <c r="D353" s="15" t="s">
        <v>794</v>
      </c>
      <c r="E353" s="15" t="s" cm="1">
        <v>1639</v>
      </c>
      <c r="F353" s="12" t="s">
        <v>1636</v>
      </c>
      <c r="G353" s="12" t="s">
        <v>966</v>
      </c>
      <c r="H353" s="12" t="s">
        <v>58</v>
      </c>
      <c r="I353" s="12" t="s">
        <v>57</v>
      </c>
    </row>
    <row r="354" spans="1:9" ht="15.5" x14ac:dyDescent="0.35">
      <c r="A354" s="14" t="s">
        <v>803</v>
      </c>
      <c r="B354" s="15" t="s" cm="1">
        <v>986</v>
      </c>
      <c r="C354" s="15" t="s" cm="1">
        <v>21</v>
      </c>
      <c r="D354" s="15" t="s">
        <v>1893</v>
      </c>
      <c r="E354" s="15" t="s" cm="1">
        <v>1639</v>
      </c>
      <c r="F354" s="12" t="s">
        <v>1636</v>
      </c>
      <c r="G354" s="12" t="s">
        <v>969</v>
      </c>
      <c r="H354" s="12" t="s">
        <v>58</v>
      </c>
      <c r="I354" s="12" t="s">
        <v>57</v>
      </c>
    </row>
    <row r="355" spans="1:9" ht="15.5" x14ac:dyDescent="0.35">
      <c r="A355" s="14" t="s">
        <v>580</v>
      </c>
      <c r="B355" s="15" t="s" cm="1">
        <v>986</v>
      </c>
      <c r="C355" s="15" t="s" cm="1">
        <v>21</v>
      </c>
      <c r="D355" s="15" t="s">
        <v>1894</v>
      </c>
      <c r="E355" s="15" t="s" cm="1">
        <v>1639</v>
      </c>
      <c r="F355" s="12" t="s">
        <v>1636</v>
      </c>
      <c r="G355" s="12" t="s">
        <v>880</v>
      </c>
      <c r="H355" s="12" t="s">
        <v>58</v>
      </c>
      <c r="I355" s="12" t="s">
        <v>57</v>
      </c>
    </row>
    <row r="356" spans="1:9" ht="15.5" x14ac:dyDescent="0.35">
      <c r="A356" s="14" t="s">
        <v>801</v>
      </c>
      <c r="B356" s="15" t="s" cm="1">
        <v>986</v>
      </c>
      <c r="C356" s="15" t="s" cm="1">
        <v>21</v>
      </c>
      <c r="D356" s="15" t="s">
        <v>1895</v>
      </c>
      <c r="E356" s="15" t="s" cm="1">
        <v>1639</v>
      </c>
      <c r="F356" s="12" t="s">
        <v>1636</v>
      </c>
      <c r="G356" s="12" t="s">
        <v>969</v>
      </c>
      <c r="H356" s="12" t="s">
        <v>58</v>
      </c>
      <c r="I356" s="12" t="s">
        <v>57</v>
      </c>
    </row>
    <row r="357" spans="1:9" ht="15.5" x14ac:dyDescent="0.35">
      <c r="A357" s="14" t="s">
        <v>606</v>
      </c>
      <c r="B357" s="15" t="s" cm="1">
        <v>986</v>
      </c>
      <c r="C357" s="15" t="s" cm="1">
        <v>21</v>
      </c>
      <c r="D357" s="15" t="s">
        <v>607</v>
      </c>
      <c r="E357" s="15" t="s" cm="1">
        <v>1639</v>
      </c>
      <c r="F357" s="12" t="s">
        <v>1636</v>
      </c>
      <c r="G357" s="12" t="s">
        <v>949</v>
      </c>
      <c r="H357" s="12" t="s">
        <v>196</v>
      </c>
      <c r="I357" s="12" t="s">
        <v>195</v>
      </c>
    </row>
    <row r="358" spans="1:9" ht="15.5" x14ac:dyDescent="0.35">
      <c r="A358" s="14" t="s">
        <v>807</v>
      </c>
      <c r="B358" s="15" t="s" cm="1">
        <v>986</v>
      </c>
      <c r="C358" s="15" t="s" cm="1">
        <v>21</v>
      </c>
      <c r="D358" s="15" t="s">
        <v>1896</v>
      </c>
      <c r="E358" s="15" t="s" cm="1">
        <v>1639</v>
      </c>
      <c r="F358" s="12" t="s">
        <v>1636</v>
      </c>
      <c r="G358" s="12" t="s">
        <v>949</v>
      </c>
      <c r="H358" s="12" t="s">
        <v>58</v>
      </c>
      <c r="I358" s="12" t="s">
        <v>57</v>
      </c>
    </row>
    <row r="359" spans="1:9" ht="15.5" x14ac:dyDescent="0.35">
      <c r="A359" s="14" t="s">
        <v>819</v>
      </c>
      <c r="B359" s="15" t="s" cm="1">
        <v>986</v>
      </c>
      <c r="C359" s="15" t="s" cm="1">
        <v>21</v>
      </c>
      <c r="D359" s="15" t="s">
        <v>1897</v>
      </c>
      <c r="E359" s="15" t="s" cm="1">
        <v>1639</v>
      </c>
      <c r="F359" s="12" t="s">
        <v>1636</v>
      </c>
      <c r="G359" s="12" t="s">
        <v>901</v>
      </c>
      <c r="H359" s="12" t="s">
        <v>58</v>
      </c>
      <c r="I359" s="12" t="s">
        <v>57</v>
      </c>
    </row>
    <row r="360" spans="1:9" ht="15.5" x14ac:dyDescent="0.35">
      <c r="A360" s="14" t="s">
        <v>821</v>
      </c>
      <c r="B360" s="15" t="s" cm="1">
        <v>986</v>
      </c>
      <c r="C360" s="15" t="s" cm="1">
        <v>21</v>
      </c>
      <c r="D360" s="15" t="s">
        <v>822</v>
      </c>
      <c r="E360" s="15" t="s" cm="1">
        <v>1639</v>
      </c>
      <c r="F360" s="12" t="s">
        <v>1636</v>
      </c>
      <c r="G360" s="12" t="s">
        <v>901</v>
      </c>
      <c r="H360" s="12" t="s">
        <v>58</v>
      </c>
      <c r="I360" s="12" t="s">
        <v>57</v>
      </c>
    </row>
    <row r="361" spans="1:9" ht="15.5" x14ac:dyDescent="0.35">
      <c r="A361" s="14" t="s">
        <v>829</v>
      </c>
      <c r="B361" s="15" t="s" cm="1">
        <v>986</v>
      </c>
      <c r="C361" s="15" t="s" cm="1">
        <v>21</v>
      </c>
      <c r="D361" s="15" t="s">
        <v>1898</v>
      </c>
      <c r="E361" s="15" t="s" cm="1">
        <v>1639</v>
      </c>
      <c r="F361" s="12" t="s">
        <v>1636</v>
      </c>
      <c r="G361" s="12" t="s">
        <v>973</v>
      </c>
      <c r="H361" s="12" t="s">
        <v>58</v>
      </c>
      <c r="I361" s="12" t="s">
        <v>57</v>
      </c>
    </row>
    <row r="362" spans="1:9" ht="15.5" x14ac:dyDescent="0.35">
      <c r="A362" s="14" t="s">
        <v>823</v>
      </c>
      <c r="B362" s="15" t="s" cm="1">
        <v>986</v>
      </c>
      <c r="C362" s="15" t="s" cm="1">
        <v>21</v>
      </c>
      <c r="D362" s="15" t="s">
        <v>824</v>
      </c>
      <c r="E362" s="15" t="s" cm="1">
        <v>1639</v>
      </c>
      <c r="F362" s="12" t="s">
        <v>1636</v>
      </c>
      <c r="G362" s="12" t="s">
        <v>867</v>
      </c>
      <c r="H362" s="12" t="s">
        <v>58</v>
      </c>
      <c r="I362" s="12" t="s">
        <v>57</v>
      </c>
    </row>
    <row r="363" spans="1:9" ht="15.5" x14ac:dyDescent="0.35">
      <c r="A363" s="14" t="s">
        <v>827</v>
      </c>
      <c r="B363" s="15" t="s" cm="1">
        <v>986</v>
      </c>
      <c r="C363" s="15" t="s" cm="1">
        <v>21</v>
      </c>
      <c r="D363" s="15" t="s">
        <v>1899</v>
      </c>
      <c r="E363" s="15" t="s" cm="1">
        <v>1639</v>
      </c>
      <c r="F363" s="12" t="s">
        <v>1636</v>
      </c>
      <c r="G363" s="12" t="s">
        <v>972</v>
      </c>
      <c r="H363" s="12" t="s">
        <v>92</v>
      </c>
      <c r="I363" s="12" t="s">
        <v>91</v>
      </c>
    </row>
    <row r="364" spans="1:9" ht="15.5" x14ac:dyDescent="0.35">
      <c r="A364" s="14" t="s">
        <v>842</v>
      </c>
      <c r="B364" s="15" t="s" cm="1">
        <v>986</v>
      </c>
      <c r="C364" s="15" t="s" cm="1">
        <v>21</v>
      </c>
      <c r="D364" s="15" t="s">
        <v>1900</v>
      </c>
      <c r="E364" s="15" t="s" cm="1">
        <v>1639</v>
      </c>
      <c r="F364" s="12" t="s">
        <v>1636</v>
      </c>
      <c r="G364" s="12" t="s">
        <v>872</v>
      </c>
      <c r="H364" s="12" t="s">
        <v>58</v>
      </c>
      <c r="I364" s="12" t="s">
        <v>57</v>
      </c>
    </row>
    <row r="365" spans="1:9" ht="15.5" x14ac:dyDescent="0.35">
      <c r="A365" s="14" t="s">
        <v>844</v>
      </c>
      <c r="B365" s="15" t="s" cm="1">
        <v>986</v>
      </c>
      <c r="C365" s="15" t="s" cm="1">
        <v>21</v>
      </c>
      <c r="D365" s="15" t="s">
        <v>1900</v>
      </c>
      <c r="E365" s="15" t="s" cm="1">
        <v>1639</v>
      </c>
      <c r="F365" s="12" t="s">
        <v>1636</v>
      </c>
      <c r="G365" s="12" t="s">
        <v>872</v>
      </c>
      <c r="H365" s="12" t="s">
        <v>58</v>
      </c>
      <c r="I365" s="12" t="s">
        <v>57</v>
      </c>
    </row>
    <row r="366" spans="1:9" ht="15.5" x14ac:dyDescent="0.35">
      <c r="A366" s="14" t="s">
        <v>845</v>
      </c>
      <c r="B366" s="15" t="s" cm="1">
        <v>986</v>
      </c>
      <c r="C366" s="15" t="s" cm="1">
        <v>21</v>
      </c>
      <c r="D366" s="15" t="s">
        <v>846</v>
      </c>
      <c r="E366" s="15" t="s" cm="1">
        <v>1639</v>
      </c>
      <c r="F366" s="12" t="s">
        <v>1636</v>
      </c>
      <c r="G366" s="12" t="s">
        <v>872</v>
      </c>
      <c r="H366" s="12" t="s">
        <v>58</v>
      </c>
      <c r="I366" s="12" t="s">
        <v>57</v>
      </c>
    </row>
    <row r="367" spans="1:9" ht="15.5" x14ac:dyDescent="0.35">
      <c r="A367" s="14" t="s">
        <v>847</v>
      </c>
      <c r="B367" s="15" t="s" cm="1">
        <v>986</v>
      </c>
      <c r="C367" s="15" t="s" cm="1">
        <v>21</v>
      </c>
      <c r="D367" s="15" t="s">
        <v>1901</v>
      </c>
      <c r="E367" s="15" t="s" cm="1">
        <v>1639</v>
      </c>
      <c r="F367" s="12" t="s">
        <v>1636</v>
      </c>
      <c r="G367" s="12" t="s">
        <v>872</v>
      </c>
      <c r="H367" s="12" t="s">
        <v>58</v>
      </c>
      <c r="I367" s="12" t="s">
        <v>57</v>
      </c>
    </row>
    <row r="368" spans="1:9" ht="15.5" x14ac:dyDescent="0.35">
      <c r="A368" s="14" t="s">
        <v>851</v>
      </c>
      <c r="B368" s="15" t="s" cm="1">
        <v>986</v>
      </c>
      <c r="C368" s="15" t="s" cm="1">
        <v>21</v>
      </c>
      <c r="D368" s="15" t="s">
        <v>852</v>
      </c>
      <c r="E368" s="15" t="s" cm="1">
        <v>1639</v>
      </c>
      <c r="F368" s="12" t="s">
        <v>1636</v>
      </c>
      <c r="G368" s="12" t="s">
        <v>872</v>
      </c>
      <c r="H368" s="12" t="s">
        <v>58</v>
      </c>
      <c r="I368" s="12" t="s">
        <v>57</v>
      </c>
    </row>
    <row r="369" spans="1:9" ht="15.5" x14ac:dyDescent="0.35">
      <c r="A369" s="14" t="s">
        <v>849</v>
      </c>
      <c r="B369" s="15" t="s" cm="1">
        <v>986</v>
      </c>
      <c r="C369" s="15" t="s" cm="1">
        <v>21</v>
      </c>
      <c r="D369" s="15" t="s">
        <v>1902</v>
      </c>
      <c r="E369" s="15" t="s" cm="1">
        <v>1639</v>
      </c>
      <c r="F369" s="12" t="s">
        <v>1636</v>
      </c>
      <c r="G369" s="12" t="s">
        <v>872</v>
      </c>
      <c r="H369" s="12" t="s">
        <v>58</v>
      </c>
      <c r="I369" s="12" t="s">
        <v>57</v>
      </c>
    </row>
    <row r="370" spans="1:9" ht="15.5" x14ac:dyDescent="0.35">
      <c r="A370" s="14" t="s">
        <v>479</v>
      </c>
      <c r="B370" s="15" t="s" cm="1">
        <v>986</v>
      </c>
      <c r="C370" s="15" t="s" cm="1">
        <v>21</v>
      </c>
      <c r="D370" s="15" t="s">
        <v>1903</v>
      </c>
      <c r="E370" s="15" t="s" cm="1">
        <v>1639</v>
      </c>
      <c r="F370" s="12" t="s">
        <v>1636</v>
      </c>
      <c r="G370" s="12" t="s">
        <v>24</v>
      </c>
      <c r="H370" s="12" t="s">
        <v>58</v>
      </c>
      <c r="I370" s="12" t="s">
        <v>57</v>
      </c>
    </row>
    <row r="371" spans="1:9" ht="15.5" x14ac:dyDescent="0.35">
      <c r="A371" s="14" t="s">
        <v>521</v>
      </c>
      <c r="B371" s="15" t="s" cm="1">
        <v>986</v>
      </c>
      <c r="C371" s="15" t="s" cm="1">
        <v>21</v>
      </c>
      <c r="D371" s="15" t="s">
        <v>1904</v>
      </c>
      <c r="E371" s="15" t="s" cm="1">
        <v>1639</v>
      </c>
      <c r="F371" s="12" t="s">
        <v>1636</v>
      </c>
      <c r="G371" s="12" t="s">
        <v>866</v>
      </c>
      <c r="H371" s="12" t="s">
        <v>35</v>
      </c>
      <c r="I371" s="12" t="s">
        <v>34</v>
      </c>
    </row>
    <row r="372" spans="1:9" ht="15.5" x14ac:dyDescent="0.35">
      <c r="A372" s="14" t="s">
        <v>576</v>
      </c>
      <c r="B372" s="15" t="s" cm="1">
        <v>986</v>
      </c>
      <c r="C372" s="15" t="s" cm="1">
        <v>21</v>
      </c>
      <c r="D372" s="15" t="s">
        <v>1905</v>
      </c>
      <c r="E372" s="15" t="s" cm="1">
        <v>1635</v>
      </c>
      <c r="F372" s="15" t="s">
        <v>1693</v>
      </c>
      <c r="G372" s="15" t="s">
        <v>864</v>
      </c>
      <c r="H372" s="15" t="s">
        <v>196</v>
      </c>
      <c r="I372" s="15" t="s">
        <v>195</v>
      </c>
    </row>
    <row r="373" spans="1:9" ht="15.5" x14ac:dyDescent="0.35">
      <c r="A373" s="14" t="s">
        <v>578</v>
      </c>
      <c r="B373" s="15" t="s" cm="1">
        <v>986</v>
      </c>
      <c r="C373" s="15" t="s" cm="1">
        <v>21</v>
      </c>
      <c r="D373" s="15" t="s">
        <v>579</v>
      </c>
      <c r="E373" s="15" t="s" cm="1">
        <v>1635</v>
      </c>
      <c r="F373" s="15" t="s">
        <v>1693</v>
      </c>
      <c r="G373" s="15" t="s">
        <v>864</v>
      </c>
      <c r="H373" s="15" t="s">
        <v>58</v>
      </c>
      <c r="I373" s="15" t="s">
        <v>57</v>
      </c>
    </row>
    <row r="374" spans="1:9" ht="15.5" x14ac:dyDescent="0.35">
      <c r="A374" s="14" t="s">
        <v>574</v>
      </c>
      <c r="B374" s="15" t="s" cm="1">
        <v>986</v>
      </c>
      <c r="C374" s="15" t="s" cm="1">
        <v>21</v>
      </c>
      <c r="D374" s="15" t="s">
        <v>575</v>
      </c>
      <c r="E374" s="15" t="s" cm="1">
        <v>1635</v>
      </c>
      <c r="F374" s="15" t="s">
        <v>1693</v>
      </c>
      <c r="G374" s="15" t="s">
        <v>864</v>
      </c>
      <c r="H374" s="15" t="s">
        <v>196</v>
      </c>
      <c r="I374" s="15" t="s">
        <v>195</v>
      </c>
    </row>
    <row r="375" spans="1:9" ht="15.5" x14ac:dyDescent="0.35">
      <c r="A375" s="14" t="s">
        <v>570</v>
      </c>
      <c r="B375" s="15" t="s" cm="1">
        <v>986</v>
      </c>
      <c r="C375" s="15" t="s" cm="1">
        <v>21</v>
      </c>
      <c r="D375" s="15" t="s">
        <v>1906</v>
      </c>
      <c r="E375" s="15" t="s" cm="1">
        <v>1635</v>
      </c>
      <c r="F375" s="15" t="s">
        <v>1693</v>
      </c>
      <c r="G375" s="15" t="s">
        <v>963</v>
      </c>
      <c r="H375" s="15" t="s">
        <v>58</v>
      </c>
      <c r="I375" s="15" t="s">
        <v>57</v>
      </c>
    </row>
    <row r="376" spans="1:9" ht="15.5" x14ac:dyDescent="0.35">
      <c r="A376" s="14" t="s">
        <v>795</v>
      </c>
      <c r="B376" s="15" t="s" cm="1">
        <v>986</v>
      </c>
      <c r="C376" s="15" t="s" cm="1">
        <v>21</v>
      </c>
      <c r="D376" s="15" t="s">
        <v>796</v>
      </c>
      <c r="E376" s="15" t="s" cm="1">
        <v>1639</v>
      </c>
      <c r="F376" s="15" t="s">
        <v>1636</v>
      </c>
      <c r="G376" s="15" t="s">
        <v>24</v>
      </c>
      <c r="H376" s="15" t="s">
        <v>58</v>
      </c>
      <c r="I376" s="15" t="s">
        <v>57</v>
      </c>
    </row>
    <row r="377" spans="1:9" ht="15.5" x14ac:dyDescent="0.35">
      <c r="A377" s="14" t="s">
        <v>853</v>
      </c>
      <c r="B377" s="15" t="s" cm="1">
        <v>986</v>
      </c>
      <c r="C377" s="15" t="s" cm="1">
        <v>21</v>
      </c>
      <c r="D377" s="15" t="s">
        <v>854</v>
      </c>
      <c r="E377" s="15" t="s" cm="1">
        <v>1639</v>
      </c>
      <c r="F377" s="15" t="s">
        <v>1636</v>
      </c>
      <c r="G377" s="15" t="s">
        <v>872</v>
      </c>
      <c r="H377" s="15" t="s">
        <v>92</v>
      </c>
      <c r="I377" s="15" t="s">
        <v>91</v>
      </c>
    </row>
    <row r="378" spans="1:9" ht="15.5" x14ac:dyDescent="0.35">
      <c r="A378" s="14" t="s">
        <v>786</v>
      </c>
      <c r="B378" s="15" t="s" cm="1">
        <v>986</v>
      </c>
      <c r="C378" s="15" t="s" cm="1">
        <v>21</v>
      </c>
      <c r="D378" s="15" t="s">
        <v>1907</v>
      </c>
      <c r="E378" s="15" t="s" cm="1">
        <v>1635</v>
      </c>
      <c r="F378" s="15" t="s">
        <v>1641</v>
      </c>
      <c r="G378" s="15" t="s">
        <v>926</v>
      </c>
      <c r="H378" s="15" t="s">
        <v>58</v>
      </c>
      <c r="I378" s="15" t="s">
        <v>57</v>
      </c>
    </row>
    <row r="379" spans="1:9" ht="15.5" x14ac:dyDescent="0.35">
      <c r="A379" s="14" t="s">
        <v>788</v>
      </c>
      <c r="B379" s="15" t="s" cm="1">
        <v>986</v>
      </c>
      <c r="C379" s="15" t="s" cm="1">
        <v>21</v>
      </c>
      <c r="D379" s="15" t="s">
        <v>789</v>
      </c>
      <c r="E379" s="15" t="s" cm="1">
        <v>1635</v>
      </c>
      <c r="F379" s="15" t="s">
        <v>1641</v>
      </c>
      <c r="G379" s="15" t="s">
        <v>926</v>
      </c>
      <c r="H379" s="15" t="s">
        <v>58</v>
      </c>
      <c r="I379" s="15" t="s">
        <v>57</v>
      </c>
    </row>
    <row r="380" spans="1:9" ht="15.5" x14ac:dyDescent="0.35">
      <c r="A380" s="14" t="s">
        <v>779</v>
      </c>
      <c r="B380" s="15" t="s" cm="1">
        <v>986</v>
      </c>
      <c r="C380" s="15" t="s" cm="1">
        <v>21</v>
      </c>
      <c r="D380" s="15" t="s">
        <v>780</v>
      </c>
      <c r="E380" s="15" t="s" cm="1">
        <v>1635</v>
      </c>
      <c r="F380" s="15" t="s">
        <v>1641</v>
      </c>
      <c r="G380" s="15" t="s">
        <v>926</v>
      </c>
      <c r="H380" s="15" t="s">
        <v>58</v>
      </c>
      <c r="I380" s="15" t="s">
        <v>57</v>
      </c>
    </row>
    <row r="381" spans="1:9" ht="15.5" x14ac:dyDescent="0.35">
      <c r="A381" s="14" t="s">
        <v>791</v>
      </c>
      <c r="B381" s="15" t="s" cm="1">
        <v>986</v>
      </c>
      <c r="C381" s="15" t="s" cm="1">
        <v>21</v>
      </c>
      <c r="D381" s="15" t="s">
        <v>792</v>
      </c>
      <c r="E381" s="15" t="s" cm="1">
        <v>1635</v>
      </c>
      <c r="F381" s="15" t="s">
        <v>1641</v>
      </c>
      <c r="G381" s="15" t="s">
        <v>926</v>
      </c>
      <c r="H381" s="15" t="s">
        <v>92</v>
      </c>
      <c r="I381" s="15" t="s">
        <v>91</v>
      </c>
    </row>
    <row r="382" spans="1:9" ht="15.5" x14ac:dyDescent="0.35">
      <c r="A382" s="14" t="s">
        <v>773</v>
      </c>
      <c r="B382" s="15" t="s" cm="1">
        <v>986</v>
      </c>
      <c r="C382" s="15" t="s" cm="1">
        <v>21</v>
      </c>
      <c r="D382" s="15" t="s">
        <v>774</v>
      </c>
      <c r="E382" s="15" t="s" cm="1">
        <v>1635</v>
      </c>
      <c r="F382" s="15" t="s">
        <v>1641</v>
      </c>
      <c r="G382" s="15" t="s">
        <v>863</v>
      </c>
      <c r="H382" s="15" t="s">
        <v>58</v>
      </c>
      <c r="I382" s="15" t="s">
        <v>57</v>
      </c>
    </row>
    <row r="383" spans="1:9" ht="15.5" x14ac:dyDescent="0.35">
      <c r="A383" s="14" t="s">
        <v>563</v>
      </c>
      <c r="B383" s="15" t="s" cm="1">
        <v>986</v>
      </c>
      <c r="C383" s="15" t="s" cm="1">
        <v>21</v>
      </c>
      <c r="D383" s="15" t="s">
        <v>1908</v>
      </c>
      <c r="E383" s="15" t="s" cm="1">
        <v>1635</v>
      </c>
      <c r="F383" s="15" t="s">
        <v>1664</v>
      </c>
      <c r="G383" s="15" t="s">
        <v>942</v>
      </c>
      <c r="H383" s="15" t="s">
        <v>196</v>
      </c>
      <c r="I383" s="15" t="s">
        <v>195</v>
      </c>
    </row>
    <row r="384" spans="1:9" ht="15.5" x14ac:dyDescent="0.35">
      <c r="A384" s="14" t="s">
        <v>565</v>
      </c>
      <c r="B384" s="15" t="s" cm="1">
        <v>986</v>
      </c>
      <c r="C384" s="15" t="s" cm="1">
        <v>21</v>
      </c>
      <c r="D384" s="15" t="s">
        <v>1909</v>
      </c>
      <c r="E384" s="15" t="s" cm="1">
        <v>1635</v>
      </c>
      <c r="F384" s="15" t="s">
        <v>1664</v>
      </c>
      <c r="G384" s="15" t="s">
        <v>961</v>
      </c>
      <c r="H384" s="15" t="s">
        <v>184</v>
      </c>
      <c r="I384" s="15" t="s">
        <v>91</v>
      </c>
    </row>
    <row r="385" spans="1:9" ht="15.5" x14ac:dyDescent="0.35">
      <c r="A385" s="14" t="s">
        <v>517</v>
      </c>
      <c r="B385" s="15" t="s" cm="1">
        <v>986</v>
      </c>
      <c r="C385" s="15" t="s" cm="1">
        <v>21</v>
      </c>
      <c r="D385" s="15" t="s">
        <v>518</v>
      </c>
      <c r="E385" s="15" t="s" cm="1">
        <v>1635</v>
      </c>
      <c r="F385" s="15" t="s">
        <v>1638</v>
      </c>
      <c r="G385" s="15" t="s">
        <v>958</v>
      </c>
      <c r="H385" s="15" t="s">
        <v>58</v>
      </c>
      <c r="I385" s="15" t="s">
        <v>57</v>
      </c>
    </row>
    <row r="386" spans="1:9" ht="15.5" x14ac:dyDescent="0.35">
      <c r="A386" s="14" t="s">
        <v>783</v>
      </c>
      <c r="B386" s="15" t="s" cm="1">
        <v>986</v>
      </c>
      <c r="C386" s="15" t="s" cm="1">
        <v>21</v>
      </c>
      <c r="D386" s="15" t="s">
        <v>782</v>
      </c>
      <c r="E386" s="15" t="s" cm="1">
        <v>1635</v>
      </c>
      <c r="F386" s="15" t="s">
        <v>1641</v>
      </c>
      <c r="G386" s="15" t="s">
        <v>926</v>
      </c>
      <c r="H386" s="15" t="s">
        <v>58</v>
      </c>
      <c r="I386" s="15" t="s">
        <v>57</v>
      </c>
    </row>
    <row r="387" spans="1:9" ht="15.5" x14ac:dyDescent="0.35">
      <c r="A387" s="14" t="s">
        <v>781</v>
      </c>
      <c r="B387" s="15" t="s" cm="1">
        <v>986</v>
      </c>
      <c r="C387" s="15" t="s" cm="1">
        <v>21</v>
      </c>
      <c r="D387" s="15" t="s">
        <v>782</v>
      </c>
      <c r="E387" s="15" t="s" cm="1">
        <v>1635</v>
      </c>
      <c r="F387" s="15" t="s">
        <v>1641</v>
      </c>
      <c r="G387" s="15" t="s">
        <v>926</v>
      </c>
      <c r="H387" s="15" t="s">
        <v>58</v>
      </c>
      <c r="I387" s="15" t="s">
        <v>57</v>
      </c>
    </row>
    <row r="388" spans="1:9" ht="15.5" x14ac:dyDescent="0.35">
      <c r="A388" s="14" t="s">
        <v>509</v>
      </c>
      <c r="B388" s="15" t="s" cm="1">
        <v>986</v>
      </c>
      <c r="C388" s="15" t="s" cm="1">
        <v>21</v>
      </c>
      <c r="D388" s="15" t="s">
        <v>510</v>
      </c>
      <c r="E388" s="15" t="s" cm="1">
        <v>1635</v>
      </c>
      <c r="F388" s="15" t="s">
        <v>1638</v>
      </c>
      <c r="G388" s="15" t="s">
        <v>954</v>
      </c>
      <c r="H388" s="15" t="s">
        <v>58</v>
      </c>
      <c r="I388" s="15" t="s">
        <v>57</v>
      </c>
    </row>
    <row r="389" spans="1:9" ht="15.5" x14ac:dyDescent="0.35">
      <c r="A389" s="14" t="s">
        <v>561</v>
      </c>
      <c r="B389" s="15" t="s" cm="1">
        <v>986</v>
      </c>
      <c r="C389" s="15" t="s" cm="1">
        <v>21</v>
      </c>
      <c r="D389" s="15" t="s">
        <v>1910</v>
      </c>
      <c r="E389" s="15" t="s" cm="1">
        <v>1639</v>
      </c>
      <c r="F389" s="15" t="s">
        <v>1638</v>
      </c>
      <c r="G389" s="15" t="s">
        <v>24</v>
      </c>
      <c r="H389" s="15" t="s">
        <v>58</v>
      </c>
      <c r="I389" s="15" t="s">
        <v>57</v>
      </c>
    </row>
    <row r="390" spans="1:9" ht="15.5" x14ac:dyDescent="0.35">
      <c r="A390" s="14" t="s">
        <v>676</v>
      </c>
      <c r="B390" s="15" t="s" cm="1">
        <v>986</v>
      </c>
      <c r="C390" s="15" t="s" cm="1">
        <v>21</v>
      </c>
      <c r="D390" s="15" t="s">
        <v>677</v>
      </c>
      <c r="E390" s="15" t="s" cm="1">
        <v>1639</v>
      </c>
      <c r="F390" s="15" t="s">
        <v>1636</v>
      </c>
      <c r="G390" s="15" t="s">
        <v>885</v>
      </c>
      <c r="H390" s="15" t="s">
        <v>58</v>
      </c>
      <c r="I390" s="15" t="s">
        <v>57</v>
      </c>
    </row>
    <row r="391" spans="1:9" ht="15.5" x14ac:dyDescent="0.35">
      <c r="A391" s="14" t="s">
        <v>670</v>
      </c>
      <c r="B391" s="15" t="s" cm="1">
        <v>986</v>
      </c>
      <c r="C391" s="15" t="s" cm="1">
        <v>21</v>
      </c>
      <c r="D391" s="15" t="s">
        <v>1911</v>
      </c>
      <c r="E391" s="15" t="s" cm="1">
        <v>1639</v>
      </c>
      <c r="F391" s="15" t="s">
        <v>1636</v>
      </c>
      <c r="G391" s="15" t="s">
        <v>894</v>
      </c>
      <c r="H391" s="15" t="s">
        <v>58</v>
      </c>
      <c r="I391" s="15" t="s">
        <v>57</v>
      </c>
    </row>
    <row r="392" spans="1:9" ht="15.5" x14ac:dyDescent="0.35">
      <c r="A392" s="14" t="s">
        <v>815</v>
      </c>
      <c r="B392" s="15" t="s" cm="1">
        <v>986</v>
      </c>
      <c r="C392" s="15" t="s" cm="1">
        <v>21</v>
      </c>
      <c r="D392" s="15" t="s">
        <v>1912</v>
      </c>
      <c r="E392" s="15" t="s" cm="1">
        <v>1639</v>
      </c>
      <c r="F392" s="15" t="s">
        <v>1636</v>
      </c>
      <c r="G392" s="15" t="s">
        <v>960</v>
      </c>
      <c r="H392" s="15" t="s">
        <v>58</v>
      </c>
      <c r="I392" s="15" t="s">
        <v>57</v>
      </c>
    </row>
    <row r="393" spans="1:9" ht="15.5" x14ac:dyDescent="0.35">
      <c r="A393" s="14" t="s">
        <v>680</v>
      </c>
      <c r="B393" s="15" t="s" cm="1">
        <v>986</v>
      </c>
      <c r="C393" s="15" t="s" cm="1">
        <v>21</v>
      </c>
      <c r="D393" s="15" t="s">
        <v>1913</v>
      </c>
      <c r="E393" s="15" t="s" cm="1">
        <v>1639</v>
      </c>
      <c r="F393" s="15" t="s">
        <v>1636</v>
      </c>
      <c r="G393" s="15" t="s">
        <v>937</v>
      </c>
      <c r="H393" s="15" t="s">
        <v>196</v>
      </c>
      <c r="I393" s="15" t="s">
        <v>195</v>
      </c>
    </row>
    <row r="394" spans="1:9" ht="15.5" x14ac:dyDescent="0.35">
      <c r="A394" s="14" t="s">
        <v>682</v>
      </c>
      <c r="B394" s="15" t="s" cm="1">
        <v>986</v>
      </c>
      <c r="C394" s="15" t="s" cm="1">
        <v>21</v>
      </c>
      <c r="D394" s="15" t="s">
        <v>683</v>
      </c>
      <c r="E394" s="15" t="s" cm="1">
        <v>1639</v>
      </c>
      <c r="F394" s="15" t="s">
        <v>1636</v>
      </c>
      <c r="G394" s="15" t="s">
        <v>937</v>
      </c>
      <c r="H394" s="15" t="s">
        <v>58</v>
      </c>
      <c r="I394" s="15" t="s">
        <v>57</v>
      </c>
    </row>
    <row r="395" spans="1:9" ht="15.5" x14ac:dyDescent="0.35">
      <c r="A395" s="14" t="s">
        <v>678</v>
      </c>
      <c r="B395" s="15" t="s" cm="1">
        <v>986</v>
      </c>
      <c r="C395" s="15" t="s" cm="1">
        <v>21</v>
      </c>
      <c r="D395" s="15" t="s">
        <v>1914</v>
      </c>
      <c r="E395" s="15" t="s" cm="1">
        <v>1639</v>
      </c>
      <c r="F395" s="15" t="s">
        <v>1636</v>
      </c>
      <c r="G395" s="15" t="s">
        <v>885</v>
      </c>
      <c r="H395" s="15" t="s">
        <v>196</v>
      </c>
      <c r="I395" s="15" t="s">
        <v>195</v>
      </c>
    </row>
    <row r="396" spans="1:9" ht="15.5" x14ac:dyDescent="0.35">
      <c r="A396" s="14" t="s">
        <v>825</v>
      </c>
      <c r="B396" s="15" t="s" cm="1">
        <v>986</v>
      </c>
      <c r="C396" s="15" t="s" cm="1">
        <v>21</v>
      </c>
      <c r="D396" s="15" t="s">
        <v>1915</v>
      </c>
      <c r="E396" s="15" t="s" cm="1">
        <v>1639</v>
      </c>
      <c r="F396" s="15" t="s">
        <v>1636</v>
      </c>
      <c r="G396" s="15" t="s">
        <v>885</v>
      </c>
      <c r="H396" s="15" t="s">
        <v>35</v>
      </c>
      <c r="I396" s="15" t="s">
        <v>34</v>
      </c>
    </row>
    <row r="397" spans="1:9" ht="15.5" x14ac:dyDescent="0.35">
      <c r="A397" s="14" t="s">
        <v>672</v>
      </c>
      <c r="B397" s="15" t="s" cm="1">
        <v>986</v>
      </c>
      <c r="C397" s="15" t="s" cm="1">
        <v>21</v>
      </c>
      <c r="D397" s="15" t="s">
        <v>673</v>
      </c>
      <c r="E397" s="15" t="s" cm="1">
        <v>1639</v>
      </c>
      <c r="F397" s="15" t="s">
        <v>1636</v>
      </c>
      <c r="G397" s="15" t="s">
        <v>894</v>
      </c>
      <c r="H397" s="15" t="s">
        <v>196</v>
      </c>
      <c r="I397" s="15" t="s">
        <v>195</v>
      </c>
    </row>
    <row r="398" spans="1:9" ht="15.5" x14ac:dyDescent="0.35">
      <c r="A398" s="14" t="s">
        <v>674</v>
      </c>
      <c r="B398" s="15" t="s" cm="1">
        <v>986</v>
      </c>
      <c r="C398" s="15" t="s" cm="1">
        <v>21</v>
      </c>
      <c r="D398" s="15" t="s">
        <v>675</v>
      </c>
      <c r="E398" s="15" t="s" cm="1">
        <v>1639</v>
      </c>
      <c r="F398" s="15" t="s">
        <v>1636</v>
      </c>
      <c r="G398" s="15" t="s">
        <v>894</v>
      </c>
      <c r="H398" s="15" t="s">
        <v>58</v>
      </c>
      <c r="I398" s="15" t="s">
        <v>57</v>
      </c>
    </row>
    <row r="399" spans="1:9" ht="15.5" x14ac:dyDescent="0.35">
      <c r="A399" s="14" t="s">
        <v>765</v>
      </c>
      <c r="B399" s="15" t="s" cm="1">
        <v>986</v>
      </c>
      <c r="C399" s="15" t="s" cm="1">
        <v>21</v>
      </c>
      <c r="D399" s="15" t="s">
        <v>1916</v>
      </c>
      <c r="E399" s="15" t="s" cm="1">
        <v>1639</v>
      </c>
      <c r="F399" s="15" t="s">
        <v>1636</v>
      </c>
      <c r="G399" s="15" t="s">
        <v>866</v>
      </c>
      <c r="H399" s="15" t="s">
        <v>184</v>
      </c>
      <c r="I399" s="15" t="s">
        <v>91</v>
      </c>
    </row>
    <row r="400" spans="1:9" ht="15.5" x14ac:dyDescent="0.35">
      <c r="A400" s="14" t="s">
        <v>531</v>
      </c>
      <c r="B400" s="15" t="s" cm="1">
        <v>986</v>
      </c>
      <c r="C400" s="15" t="s" cm="1">
        <v>21</v>
      </c>
      <c r="D400" s="15" t="s">
        <v>1917</v>
      </c>
      <c r="E400" s="15" t="s" cm="1">
        <v>1639</v>
      </c>
      <c r="F400" s="15" t="s">
        <v>1638</v>
      </c>
      <c r="G400" s="15" t="s">
        <v>24</v>
      </c>
      <c r="H400" s="15" t="s">
        <v>184</v>
      </c>
      <c r="I400" s="15" t="s">
        <v>91</v>
      </c>
    </row>
    <row r="401" spans="1:9" ht="15.5" x14ac:dyDescent="0.35">
      <c r="A401" s="14" t="s">
        <v>567</v>
      </c>
      <c r="B401" s="15" t="s" cm="1">
        <v>986</v>
      </c>
      <c r="C401" s="15" t="s" cm="1">
        <v>21</v>
      </c>
      <c r="D401" s="15" t="s">
        <v>1001</v>
      </c>
      <c r="E401" s="15" t="s" cm="1">
        <v>1635</v>
      </c>
      <c r="F401" s="15" t="s">
        <v>1693</v>
      </c>
      <c r="G401" s="15" t="s">
        <v>962</v>
      </c>
      <c r="H401" s="15" t="s">
        <v>196</v>
      </c>
      <c r="I401" s="15" t="s">
        <v>195</v>
      </c>
    </row>
    <row r="402" spans="1:9" ht="15.5" x14ac:dyDescent="0.35">
      <c r="A402" s="14" t="s">
        <v>511</v>
      </c>
      <c r="B402" s="15" t="s" cm="1">
        <v>986</v>
      </c>
      <c r="C402" s="15" t="s" cm="1">
        <v>21</v>
      </c>
      <c r="D402" s="15" t="s">
        <v>1918</v>
      </c>
      <c r="E402" s="15" t="s" cm="1">
        <v>1635</v>
      </c>
      <c r="F402" s="15" t="s">
        <v>1638</v>
      </c>
      <c r="G402" s="15" t="s">
        <v>955</v>
      </c>
      <c r="H402" s="15" t="s">
        <v>92</v>
      </c>
      <c r="I402" s="15" t="s">
        <v>91</v>
      </c>
    </row>
    <row r="403" spans="1:9" ht="15.5" x14ac:dyDescent="0.35">
      <c r="A403" s="14" t="s">
        <v>797</v>
      </c>
      <c r="B403" s="15" t="s" cm="1">
        <v>986</v>
      </c>
      <c r="C403" s="15" t="s" cm="1">
        <v>21</v>
      </c>
      <c r="D403" s="15" t="s">
        <v>798</v>
      </c>
      <c r="E403" s="15" t="s" cm="1">
        <v>1639</v>
      </c>
      <c r="F403" s="15" t="s">
        <v>1636</v>
      </c>
      <c r="G403" s="15" t="s">
        <v>967</v>
      </c>
      <c r="H403" s="15" t="s">
        <v>58</v>
      </c>
      <c r="I403" s="15" t="s">
        <v>57</v>
      </c>
    </row>
    <row r="404" spans="1:9" ht="15.5" x14ac:dyDescent="0.35">
      <c r="A404" s="14" t="s">
        <v>799</v>
      </c>
      <c r="B404" s="15" t="s" cm="1">
        <v>986</v>
      </c>
      <c r="C404" s="15" t="s" cm="1">
        <v>21</v>
      </c>
      <c r="D404" s="15" t="s">
        <v>800</v>
      </c>
      <c r="E404" s="15" t="s" cm="1">
        <v>1639</v>
      </c>
      <c r="F404" s="15" t="s">
        <v>1636</v>
      </c>
      <c r="G404" s="15" t="s">
        <v>968</v>
      </c>
      <c r="H404" s="15" t="s">
        <v>58</v>
      </c>
      <c r="I404" s="15" t="s">
        <v>57</v>
      </c>
    </row>
    <row r="405" spans="1:9" ht="15.5" x14ac:dyDescent="0.35">
      <c r="A405" s="14" t="s">
        <v>856</v>
      </c>
      <c r="B405" s="15" t="s" cm="1">
        <v>986</v>
      </c>
      <c r="C405" s="15" t="s" cm="1">
        <v>21</v>
      </c>
      <c r="D405" s="15" t="s">
        <v>854</v>
      </c>
      <c r="E405" s="15" t="s" cm="1">
        <v>1639</v>
      </c>
      <c r="F405" s="15" t="s">
        <v>1636</v>
      </c>
      <c r="G405" s="15" t="s">
        <v>872</v>
      </c>
      <c r="H405" s="15" t="s">
        <v>92</v>
      </c>
      <c r="I405" s="15" t="s">
        <v>91</v>
      </c>
    </row>
    <row r="406" spans="1:9" ht="15.5" x14ac:dyDescent="0.35">
      <c r="A406" s="14" t="s">
        <v>572</v>
      </c>
      <c r="B406" s="15" t="s" cm="1">
        <v>986</v>
      </c>
      <c r="C406" s="15" t="s" cm="1">
        <v>21</v>
      </c>
      <c r="D406" s="15" t="s">
        <v>1919</v>
      </c>
      <c r="E406" s="15" t="s" cm="1">
        <v>1635</v>
      </c>
      <c r="F406" s="15" t="s">
        <v>1693</v>
      </c>
      <c r="G406" s="15" t="s">
        <v>864</v>
      </c>
      <c r="H406" s="15" t="s">
        <v>196</v>
      </c>
      <c r="I406" s="15" t="s">
        <v>195</v>
      </c>
    </row>
    <row r="407" spans="1:9" ht="15.5" x14ac:dyDescent="0.35">
      <c r="A407" s="14" t="s">
        <v>769</v>
      </c>
      <c r="B407" s="15" t="s" cm="1">
        <v>89</v>
      </c>
      <c r="C407" s="15" t="s" cm="1">
        <v>21</v>
      </c>
      <c r="D407" s="15" t="s">
        <v>1920</v>
      </c>
      <c r="E407" s="15" t="s" cm="1">
        <v>1635</v>
      </c>
      <c r="F407" s="15" t="s">
        <v>1693</v>
      </c>
      <c r="G407" s="15" t="s">
        <v>24</v>
      </c>
      <c r="H407" s="15" t="s">
        <v>595</v>
      </c>
      <c r="I407" s="15" t="s">
        <v>594</v>
      </c>
    </row>
    <row r="408" spans="1:9" ht="15.5" x14ac:dyDescent="0.35">
      <c r="A408" s="14" t="s">
        <v>684</v>
      </c>
      <c r="B408" s="15" t="s" cm="1">
        <v>986</v>
      </c>
      <c r="C408" s="15" t="s" cm="1">
        <v>21</v>
      </c>
      <c r="D408" s="15" t="s">
        <v>685</v>
      </c>
      <c r="E408" s="15" t="s" cm="1">
        <v>1639</v>
      </c>
      <c r="F408" s="15" t="s">
        <v>1636</v>
      </c>
      <c r="G408" s="15" t="s">
        <v>964</v>
      </c>
      <c r="H408" s="15" t="s">
        <v>58</v>
      </c>
      <c r="I408" s="15" t="s">
        <v>57</v>
      </c>
    </row>
    <row r="409" spans="1:9" ht="15.5" x14ac:dyDescent="0.35">
      <c r="A409" s="14" t="s">
        <v>97</v>
      </c>
      <c r="B409" s="15" t="s" cm="1">
        <v>19</v>
      </c>
      <c r="C409" s="15" t="s" cm="1">
        <v>21</v>
      </c>
      <c r="D409" s="15" t="s">
        <v>1921</v>
      </c>
      <c r="E409" s="15" t="s" cm="1">
        <v>1635</v>
      </c>
      <c r="F409" s="15" t="s">
        <v>1693</v>
      </c>
      <c r="G409" s="15" t="s">
        <v>877</v>
      </c>
      <c r="H409" s="15" t="s">
        <v>35</v>
      </c>
      <c r="I409" s="15" t="s">
        <v>34</v>
      </c>
    </row>
    <row r="410" spans="1:9" ht="15.5" x14ac:dyDescent="0.35">
      <c r="A410" s="14" t="s">
        <v>93</v>
      </c>
      <c r="B410" s="15" t="s" cm="1">
        <v>19</v>
      </c>
      <c r="C410" s="15" t="s" cm="1">
        <v>21</v>
      </c>
      <c r="D410" s="15" t="s">
        <v>1922</v>
      </c>
      <c r="E410" s="15" t="s" cm="1">
        <v>1635</v>
      </c>
      <c r="F410" s="15" t="s">
        <v>1693</v>
      </c>
      <c r="G410" s="15" t="s">
        <v>877</v>
      </c>
      <c r="H410" s="15" t="s">
        <v>58</v>
      </c>
      <c r="I410" s="15" t="s">
        <v>57</v>
      </c>
    </row>
    <row r="411" spans="1:9" ht="15.5" x14ac:dyDescent="0.35">
      <c r="A411" s="14" t="s">
        <v>86</v>
      </c>
      <c r="B411" s="15" t="s" cm="1">
        <v>19</v>
      </c>
      <c r="C411" s="15" t="s" cm="1">
        <v>21</v>
      </c>
      <c r="D411" s="15" t="s">
        <v>87</v>
      </c>
      <c r="E411" s="15" t="s" cm="1">
        <v>1635</v>
      </c>
      <c r="F411" s="15" t="s">
        <v>1693</v>
      </c>
      <c r="G411" s="15" t="s">
        <v>877</v>
      </c>
      <c r="H411" s="15" t="s">
        <v>29</v>
      </c>
      <c r="I411" s="15" t="s">
        <v>28</v>
      </c>
    </row>
    <row r="412" spans="1:9" ht="15.5" x14ac:dyDescent="0.35">
      <c r="A412" s="14" t="s">
        <v>84</v>
      </c>
      <c r="B412" s="15" t="s" cm="1">
        <v>19</v>
      </c>
      <c r="C412" s="15" t="s" cm="1">
        <v>21</v>
      </c>
      <c r="D412" s="15" t="s">
        <v>85</v>
      </c>
      <c r="E412" s="15" t="s" cm="1">
        <v>1635</v>
      </c>
      <c r="F412" s="15" t="s">
        <v>1693</v>
      </c>
      <c r="G412" s="15" t="s">
        <v>877</v>
      </c>
      <c r="H412" s="15" t="s">
        <v>52</v>
      </c>
      <c r="I412" s="15" t="s">
        <v>51</v>
      </c>
    </row>
    <row r="413" spans="1:9" ht="15.5" x14ac:dyDescent="0.35">
      <c r="A413" s="14" t="s">
        <v>82</v>
      </c>
      <c r="B413" s="15" t="s" cm="1">
        <v>19</v>
      </c>
      <c r="C413" s="15" t="s" cm="1">
        <v>21</v>
      </c>
      <c r="D413" s="15" t="s">
        <v>1923</v>
      </c>
      <c r="E413" s="15" t="s" cm="1">
        <v>1635</v>
      </c>
      <c r="F413" s="15" t="s">
        <v>1693</v>
      </c>
      <c r="G413" s="15" t="s">
        <v>877</v>
      </c>
      <c r="H413" s="15" t="s">
        <v>35</v>
      </c>
      <c r="I413" s="15" t="s">
        <v>34</v>
      </c>
    </row>
    <row r="414" spans="1:9" ht="15.5" x14ac:dyDescent="0.35">
      <c r="A414" s="14" t="s">
        <v>79</v>
      </c>
      <c r="B414" s="15" t="s" cm="1">
        <v>19</v>
      </c>
      <c r="C414" s="15" t="s" cm="1">
        <v>21</v>
      </c>
      <c r="D414" s="15" t="s">
        <v>80</v>
      </c>
      <c r="E414" s="15" t="s" cm="1">
        <v>1635</v>
      </c>
      <c r="F414" s="15" t="s">
        <v>1693</v>
      </c>
      <c r="G414" s="15" t="s">
        <v>877</v>
      </c>
      <c r="H414" s="15" t="s">
        <v>52</v>
      </c>
      <c r="I414" s="15" t="s">
        <v>51</v>
      </c>
    </row>
    <row r="415" spans="1:9" ht="15.5" x14ac:dyDescent="0.35">
      <c r="A415" s="14" t="s">
        <v>88</v>
      </c>
      <c r="B415" s="15" t="s" cm="1">
        <v>89</v>
      </c>
      <c r="C415" s="15" t="s" cm="1">
        <v>21</v>
      </c>
      <c r="D415" s="15" t="s">
        <v>90</v>
      </c>
      <c r="E415" s="15" t="s" cm="1">
        <v>1635</v>
      </c>
      <c r="F415" s="15" t="s">
        <v>1693</v>
      </c>
      <c r="G415" s="15" t="s">
        <v>877</v>
      </c>
      <c r="H415" s="15" t="s">
        <v>92</v>
      </c>
      <c r="I415" s="15" t="s">
        <v>91</v>
      </c>
    </row>
    <row r="416" spans="1:9" ht="15.5" x14ac:dyDescent="0.35">
      <c r="A416" s="14" t="s">
        <v>1110</v>
      </c>
      <c r="B416" s="15" t="s" cm="1">
        <v>19</v>
      </c>
      <c r="C416" s="15" t="s" cm="1">
        <v>21</v>
      </c>
      <c r="D416" s="15" t="s">
        <v>1111</v>
      </c>
      <c r="E416" s="15" t="s" cm="1">
        <v>1635</v>
      </c>
      <c r="F416" s="15" t="s">
        <v>1638</v>
      </c>
      <c r="G416" s="15" t="s">
        <v>947</v>
      </c>
      <c r="H416" s="15" t="s">
        <v>196</v>
      </c>
      <c r="I416" s="15" t="s">
        <v>195</v>
      </c>
    </row>
    <row r="417" spans="1:9" ht="15.5" x14ac:dyDescent="0.35">
      <c r="A417" s="14" t="s">
        <v>1112</v>
      </c>
      <c r="B417" s="15" t="s" cm="1">
        <v>19</v>
      </c>
      <c r="C417" s="15" t="s" cm="1">
        <v>21</v>
      </c>
      <c r="D417" s="15" t="s">
        <v>1924</v>
      </c>
      <c r="E417" s="15" t="s" cm="1">
        <v>1635</v>
      </c>
      <c r="F417" s="15" t="s">
        <v>1693</v>
      </c>
      <c r="G417" s="15" t="s">
        <v>1113</v>
      </c>
      <c r="H417" s="15" t="s">
        <v>52</v>
      </c>
      <c r="I417" s="15" t="s">
        <v>51</v>
      </c>
    </row>
    <row r="418" spans="1:9" ht="15.5" x14ac:dyDescent="0.35">
      <c r="A418" s="14" t="s">
        <v>1082</v>
      </c>
      <c r="B418" s="15" t="s" cm="1">
        <v>19</v>
      </c>
      <c r="C418" s="15" t="s" cm="1">
        <v>21</v>
      </c>
      <c r="D418" s="15" t="s">
        <v>1925</v>
      </c>
      <c r="E418" s="15" t="s" cm="1">
        <v>1639</v>
      </c>
      <c r="F418" s="15" t="s">
        <v>1638</v>
      </c>
      <c r="G418" s="15" t="s">
        <v>1080</v>
      </c>
      <c r="H418" s="15" t="s">
        <v>29</v>
      </c>
      <c r="I418" s="15" t="s">
        <v>28</v>
      </c>
    </row>
    <row r="419" spans="1:9" ht="15.5" x14ac:dyDescent="0.35">
      <c r="A419" s="14" t="s">
        <v>1115</v>
      </c>
      <c r="B419" s="15" t="s" cm="1">
        <v>19</v>
      </c>
      <c r="C419" s="15" t="s" cm="1">
        <v>21</v>
      </c>
      <c r="D419" s="15" t="s">
        <v>1116</v>
      </c>
      <c r="E419" s="15" t="s" cm="1">
        <v>1635</v>
      </c>
      <c r="F419" s="15" t="s">
        <v>1638</v>
      </c>
      <c r="G419" s="15" t="s">
        <v>24</v>
      </c>
      <c r="H419" s="15" t="s">
        <v>52</v>
      </c>
      <c r="I419" s="15" t="s">
        <v>51</v>
      </c>
    </row>
    <row r="420" spans="1:9" ht="15.5" x14ac:dyDescent="0.35">
      <c r="A420" s="14" t="s">
        <v>1117</v>
      </c>
      <c r="B420" s="15" t="s" cm="1">
        <v>19</v>
      </c>
      <c r="C420" s="15" t="s" cm="1">
        <v>21</v>
      </c>
      <c r="D420" s="15" t="s">
        <v>1118</v>
      </c>
      <c r="E420" s="15" t="s" cm="1">
        <v>1635</v>
      </c>
      <c r="F420" s="15" t="s">
        <v>1638</v>
      </c>
      <c r="G420" s="15" t="s">
        <v>24</v>
      </c>
      <c r="H420" s="15" t="s">
        <v>52</v>
      </c>
      <c r="I420" s="15" t="s">
        <v>51</v>
      </c>
    </row>
    <row r="421" spans="1:9" ht="15.5" x14ac:dyDescent="0.35">
      <c r="A421" s="14" t="s">
        <v>1119</v>
      </c>
      <c r="B421" s="15" t="s" cm="1">
        <v>19</v>
      </c>
      <c r="C421" s="15" t="s" cm="1">
        <v>21</v>
      </c>
      <c r="D421" s="15" t="s">
        <v>1926</v>
      </c>
      <c r="E421" s="15" t="s" cm="1">
        <v>1653</v>
      </c>
      <c r="F421" s="15" t="s">
        <v>24</v>
      </c>
      <c r="G421" s="15" t="s">
        <v>1120</v>
      </c>
      <c r="H421" s="15" t="s">
        <v>130</v>
      </c>
      <c r="I421" s="15" t="s">
        <v>22</v>
      </c>
    </row>
    <row r="422" spans="1:9" ht="15.5" x14ac:dyDescent="0.35">
      <c r="A422" s="14" t="s">
        <v>1122</v>
      </c>
      <c r="B422" s="15" t="s" cm="1">
        <v>19</v>
      </c>
      <c r="C422" s="15" t="s" cm="1">
        <v>21</v>
      </c>
      <c r="D422" s="15" t="s">
        <v>1927</v>
      </c>
      <c r="E422" s="15" t="s" cm="1">
        <v>1635</v>
      </c>
      <c r="F422" s="15" t="s">
        <v>1638</v>
      </c>
      <c r="G422" s="15" t="s">
        <v>875</v>
      </c>
      <c r="H422" s="15" t="s">
        <v>112</v>
      </c>
      <c r="I422" s="15" t="s">
        <v>111</v>
      </c>
    </row>
    <row r="423" spans="1:9" ht="15.5" x14ac:dyDescent="0.35">
      <c r="A423" s="14" t="s">
        <v>1124</v>
      </c>
      <c r="B423" s="15" t="s" cm="1">
        <v>19</v>
      </c>
      <c r="C423" s="15" t="s" cm="1">
        <v>21</v>
      </c>
      <c r="D423" s="15" t="s">
        <v>1125</v>
      </c>
      <c r="E423" s="15" t="s" cm="1">
        <v>1635</v>
      </c>
      <c r="F423" s="15" t="s">
        <v>1638</v>
      </c>
      <c r="G423" s="15" t="s">
        <v>875</v>
      </c>
      <c r="H423" s="15" t="s">
        <v>162</v>
      </c>
      <c r="I423" s="15" t="s">
        <v>161</v>
      </c>
    </row>
    <row r="424" spans="1:9" ht="15.5" x14ac:dyDescent="0.35">
      <c r="A424" s="14" t="s">
        <v>1126</v>
      </c>
      <c r="B424" s="15" t="s" cm="1">
        <v>19</v>
      </c>
      <c r="C424" s="15" t="s" cm="1">
        <v>21</v>
      </c>
      <c r="D424" s="15" t="s">
        <v>1127</v>
      </c>
      <c r="E424" s="15" t="s" cm="1">
        <v>1635</v>
      </c>
      <c r="F424" s="15" t="s">
        <v>1638</v>
      </c>
      <c r="G424" s="15" t="s">
        <v>875</v>
      </c>
      <c r="H424" s="15" t="s">
        <v>112</v>
      </c>
      <c r="I424" s="15" t="s">
        <v>111</v>
      </c>
    </row>
    <row r="425" spans="1:9" ht="15.5" x14ac:dyDescent="0.35">
      <c r="A425" s="14" t="s">
        <v>1128</v>
      </c>
      <c r="B425" s="15" t="s" cm="1">
        <v>19</v>
      </c>
      <c r="C425" s="15" t="s" cm="1">
        <v>21</v>
      </c>
      <c r="D425" s="15" t="s">
        <v>1130</v>
      </c>
      <c r="E425" s="15" t="s" cm="1">
        <v>1635</v>
      </c>
      <c r="F425" s="15" t="s">
        <v>1638</v>
      </c>
      <c r="G425" s="15" t="s">
        <v>1129</v>
      </c>
      <c r="H425" s="15" t="s">
        <v>35</v>
      </c>
      <c r="I425" s="15" t="s">
        <v>34</v>
      </c>
    </row>
    <row r="426" spans="1:9" ht="15.5" x14ac:dyDescent="0.35">
      <c r="A426" s="14" t="s">
        <v>1131</v>
      </c>
      <c r="B426" s="15" t="s" cm="1">
        <v>19</v>
      </c>
      <c r="C426" s="15" t="s" cm="1">
        <v>21</v>
      </c>
      <c r="D426" s="15" t="s">
        <v>1928</v>
      </c>
      <c r="E426" s="15" t="s" cm="1">
        <v>1635</v>
      </c>
      <c r="F426" s="15" t="s">
        <v>1638</v>
      </c>
      <c r="G426" s="15" t="s">
        <v>1129</v>
      </c>
      <c r="H426" s="15" t="s">
        <v>52</v>
      </c>
      <c r="I426" s="15" t="s">
        <v>51</v>
      </c>
    </row>
    <row r="427" spans="1:9" ht="15.5" x14ac:dyDescent="0.35">
      <c r="A427" s="14" t="s">
        <v>1132</v>
      </c>
      <c r="B427" s="15" t="s" cm="1">
        <v>19</v>
      </c>
      <c r="C427" s="15" t="s" cm="1">
        <v>21</v>
      </c>
      <c r="D427" s="15" t="s">
        <v>1133</v>
      </c>
      <c r="E427" s="15" t="s" cm="1">
        <v>1635</v>
      </c>
      <c r="F427" s="15" t="s">
        <v>1638</v>
      </c>
      <c r="G427" s="15" t="s">
        <v>1129</v>
      </c>
      <c r="H427" s="15" t="s">
        <v>52</v>
      </c>
      <c r="I427" s="15" t="s">
        <v>51</v>
      </c>
    </row>
    <row r="428" spans="1:9" ht="15.5" x14ac:dyDescent="0.35">
      <c r="A428" s="16" t="s">
        <v>1134</v>
      </c>
      <c r="B428" s="15" t="s" cm="1">
        <v>19</v>
      </c>
      <c r="C428" s="15" t="s" cm="1">
        <v>21</v>
      </c>
      <c r="D428" s="15" t="s">
        <v>1135</v>
      </c>
      <c r="E428" s="15" t="s" cm="1">
        <v>1635</v>
      </c>
      <c r="F428" s="15" t="s">
        <v>1638</v>
      </c>
      <c r="G428" s="15" t="s">
        <v>892</v>
      </c>
      <c r="H428" s="15" t="s">
        <v>196</v>
      </c>
      <c r="I428" s="15" t="s">
        <v>195</v>
      </c>
    </row>
    <row r="429" spans="1:9" ht="15.5" x14ac:dyDescent="0.35">
      <c r="A429" s="16" t="s">
        <v>1136</v>
      </c>
      <c r="B429" s="15" t="s" cm="1">
        <v>19</v>
      </c>
      <c r="C429" s="15" t="s" cm="1">
        <v>21</v>
      </c>
      <c r="D429" s="15" t="s">
        <v>1137</v>
      </c>
      <c r="E429" s="15" t="s" cm="1">
        <v>1635</v>
      </c>
      <c r="F429" s="15" t="s">
        <v>1638</v>
      </c>
      <c r="G429" s="15" t="s">
        <v>892</v>
      </c>
      <c r="H429" s="15" t="s">
        <v>52</v>
      </c>
      <c r="I429" s="15" t="s">
        <v>51</v>
      </c>
    </row>
    <row r="430" spans="1:9" ht="15.5" x14ac:dyDescent="0.35">
      <c r="A430" s="16" t="s">
        <v>1138</v>
      </c>
      <c r="B430" s="15" t="s" cm="1">
        <v>19</v>
      </c>
      <c r="C430" s="15" t="s" cm="1">
        <v>21</v>
      </c>
      <c r="D430" s="15" t="s">
        <v>1139</v>
      </c>
      <c r="E430" s="15" t="s" cm="1">
        <v>1635</v>
      </c>
      <c r="F430" s="15" t="s">
        <v>1638</v>
      </c>
      <c r="G430" s="15" t="s">
        <v>875</v>
      </c>
      <c r="H430" s="15" t="s">
        <v>58</v>
      </c>
      <c r="I430" s="15" t="s">
        <v>57</v>
      </c>
    </row>
    <row r="431" spans="1:9" ht="15.5" x14ac:dyDescent="0.35">
      <c r="A431" s="16" t="s">
        <v>1140</v>
      </c>
      <c r="B431" s="15" t="s" cm="1">
        <v>19</v>
      </c>
      <c r="C431" s="15" t="s" cm="1">
        <v>21</v>
      </c>
      <c r="D431" s="15" t="s">
        <v>1929</v>
      </c>
      <c r="E431" s="15" t="s" cm="1">
        <v>1635</v>
      </c>
      <c r="F431" s="15" t="s">
        <v>1638</v>
      </c>
      <c r="G431" s="15" t="s">
        <v>1141</v>
      </c>
      <c r="H431" s="15" t="s">
        <v>52</v>
      </c>
      <c r="I431" s="15" t="s">
        <v>51</v>
      </c>
    </row>
    <row r="432" spans="1:9" ht="15.5" x14ac:dyDescent="0.35">
      <c r="A432" s="16" t="s">
        <v>1143</v>
      </c>
      <c r="B432" s="15" t="s" cm="1">
        <v>19</v>
      </c>
      <c r="C432" s="15" t="s" cm="1">
        <v>21</v>
      </c>
      <c r="D432" s="15" t="s">
        <v>1028</v>
      </c>
      <c r="E432" s="15" t="s" cm="1">
        <v>1639</v>
      </c>
      <c r="F432" s="15" t="s">
        <v>1638</v>
      </c>
      <c r="G432" s="15" t="s">
        <v>881</v>
      </c>
      <c r="H432" s="15" t="s">
        <v>1083</v>
      </c>
      <c r="I432" s="15" t="s">
        <v>51</v>
      </c>
    </row>
    <row r="433" spans="1:9" ht="15.5" x14ac:dyDescent="0.35">
      <c r="A433" s="16" t="s">
        <v>1144</v>
      </c>
      <c r="B433" s="15" t="s" cm="1">
        <v>19</v>
      </c>
      <c r="C433" s="15" t="s" cm="1">
        <v>21</v>
      </c>
      <c r="D433" s="15" t="s">
        <v>1145</v>
      </c>
      <c r="E433" s="15" t="s" cm="1">
        <v>1635</v>
      </c>
      <c r="F433" s="15" t="s">
        <v>1693</v>
      </c>
      <c r="G433" s="15" t="s">
        <v>24</v>
      </c>
      <c r="H433" s="15" t="s">
        <v>52</v>
      </c>
      <c r="I433" s="15" t="s">
        <v>51</v>
      </c>
    </row>
    <row r="434" spans="1:9" ht="15.5" x14ac:dyDescent="0.35">
      <c r="A434" s="16" t="s">
        <v>1146</v>
      </c>
      <c r="B434" s="15" t="s" cm="1">
        <v>19</v>
      </c>
      <c r="C434" s="15" t="s" cm="1">
        <v>21</v>
      </c>
      <c r="D434" s="15" t="s">
        <v>1147</v>
      </c>
      <c r="E434" s="15" t="s" cm="1">
        <v>1635</v>
      </c>
      <c r="F434" s="15" t="s">
        <v>1693</v>
      </c>
      <c r="G434" s="15" t="s">
        <v>24</v>
      </c>
      <c r="H434" s="15" t="s">
        <v>52</v>
      </c>
      <c r="I434" s="15" t="s">
        <v>51</v>
      </c>
    </row>
    <row r="435" spans="1:9" ht="15.5" x14ac:dyDescent="0.35">
      <c r="A435" s="16" t="s">
        <v>1148</v>
      </c>
      <c r="B435" s="15" t="s" cm="1">
        <v>19</v>
      </c>
      <c r="C435" s="15" t="s" cm="1">
        <v>21</v>
      </c>
      <c r="D435" s="15" t="s">
        <v>1147</v>
      </c>
      <c r="E435" s="15" t="s" cm="1">
        <v>1635</v>
      </c>
      <c r="F435" s="15" t="s">
        <v>1693</v>
      </c>
      <c r="G435" s="15" t="s">
        <v>24</v>
      </c>
      <c r="H435" s="15" t="s">
        <v>52</v>
      </c>
      <c r="I435" s="15" t="s">
        <v>51</v>
      </c>
    </row>
    <row r="436" spans="1:9" ht="15.5" x14ac:dyDescent="0.35">
      <c r="A436" s="16" t="s">
        <v>1149</v>
      </c>
      <c r="B436" s="15" t="s" cm="1">
        <v>19</v>
      </c>
      <c r="C436" s="15" t="s" cm="1">
        <v>21</v>
      </c>
      <c r="D436" s="15" t="s">
        <v>1150</v>
      </c>
      <c r="E436" s="15" t="s" cm="1">
        <v>1635</v>
      </c>
      <c r="F436" s="15" t="s">
        <v>1693</v>
      </c>
      <c r="G436" s="15" t="s">
        <v>24</v>
      </c>
      <c r="H436" s="15" t="s">
        <v>35</v>
      </c>
      <c r="I436" s="15" t="s">
        <v>34</v>
      </c>
    </row>
    <row r="437" spans="1:9" ht="15.5" x14ac:dyDescent="0.35">
      <c r="A437" s="16" t="s">
        <v>1151</v>
      </c>
      <c r="B437" s="15" t="s" cm="1">
        <v>19</v>
      </c>
      <c r="C437" s="15" t="s" cm="1">
        <v>21</v>
      </c>
      <c r="D437" s="15" t="s">
        <v>1153</v>
      </c>
      <c r="E437" s="15" t="s" cm="1">
        <v>1639</v>
      </c>
      <c r="F437" s="15" t="s">
        <v>1636</v>
      </c>
      <c r="G437" s="15" t="s">
        <v>1152</v>
      </c>
      <c r="H437" s="15" t="s">
        <v>130</v>
      </c>
      <c r="I437" s="15" t="s">
        <v>22</v>
      </c>
    </row>
    <row r="438" spans="1:9" ht="15.5" x14ac:dyDescent="0.35">
      <c r="A438" s="16" t="s">
        <v>1154</v>
      </c>
      <c r="B438" s="15" t="s" cm="1">
        <v>19</v>
      </c>
      <c r="C438" s="15" t="s" cm="1">
        <v>21</v>
      </c>
      <c r="D438" s="15" t="s">
        <v>1156</v>
      </c>
      <c r="E438" s="15" t="s" cm="1">
        <v>1639</v>
      </c>
      <c r="F438" s="15" t="s">
        <v>1636</v>
      </c>
      <c r="G438" s="15" t="s">
        <v>1155</v>
      </c>
      <c r="H438" s="15" t="s">
        <v>130</v>
      </c>
      <c r="I438" s="15" t="s">
        <v>22</v>
      </c>
    </row>
    <row r="439" spans="1:9" ht="15.5" x14ac:dyDescent="0.35">
      <c r="A439" s="16" t="s">
        <v>1157</v>
      </c>
      <c r="B439" s="15" t="s" cm="1">
        <v>19</v>
      </c>
      <c r="C439" s="15" t="s" cm="1">
        <v>21</v>
      </c>
      <c r="D439" s="15" t="s">
        <v>1930</v>
      </c>
      <c r="E439" s="15" t="s" cm="1">
        <v>1639</v>
      </c>
      <c r="F439" s="15" t="s">
        <v>1636</v>
      </c>
      <c r="G439" s="15" t="s">
        <v>1155</v>
      </c>
      <c r="H439" s="15" t="s">
        <v>52</v>
      </c>
      <c r="I439" s="15" t="s">
        <v>51</v>
      </c>
    </row>
    <row r="440" spans="1:9" ht="15.5" x14ac:dyDescent="0.35">
      <c r="A440" s="16" t="s">
        <v>1159</v>
      </c>
      <c r="B440" s="15" t="s" cm="1">
        <v>19</v>
      </c>
      <c r="C440" s="15" t="s" cm="1">
        <v>21</v>
      </c>
      <c r="D440" s="15" t="s">
        <v>1160</v>
      </c>
      <c r="E440" s="15" t="s" cm="1">
        <v>1639</v>
      </c>
      <c r="F440" s="15" t="s">
        <v>1636</v>
      </c>
      <c r="G440" s="15" t="s">
        <v>1155</v>
      </c>
      <c r="H440" s="15" t="s">
        <v>184</v>
      </c>
      <c r="I440" s="15" t="s">
        <v>91</v>
      </c>
    </row>
    <row r="441" spans="1:9" ht="15.5" x14ac:dyDescent="0.35">
      <c r="A441" s="16" t="s">
        <v>1161</v>
      </c>
      <c r="B441" s="15" t="s" cm="1">
        <v>19</v>
      </c>
      <c r="C441" s="15" t="s" cm="1">
        <v>21</v>
      </c>
      <c r="D441" s="15" t="s">
        <v>1162</v>
      </c>
      <c r="E441" s="15" t="s" cm="1">
        <v>1639</v>
      </c>
      <c r="F441" s="15" t="s">
        <v>1636</v>
      </c>
      <c r="G441" s="15" t="s">
        <v>1155</v>
      </c>
      <c r="H441" s="15" t="s">
        <v>29</v>
      </c>
      <c r="I441" s="15" t="s">
        <v>28</v>
      </c>
    </row>
    <row r="442" spans="1:9" ht="15.5" x14ac:dyDescent="0.35">
      <c r="A442" s="16" t="s">
        <v>1163</v>
      </c>
      <c r="B442" s="15" t="s" cm="1">
        <v>19</v>
      </c>
      <c r="C442" s="15" t="s" cm="1">
        <v>21</v>
      </c>
      <c r="D442" s="15" t="s">
        <v>78</v>
      </c>
      <c r="E442" s="15" t="s" cm="1">
        <v>1639</v>
      </c>
      <c r="F442" s="15" t="s">
        <v>1636</v>
      </c>
      <c r="G442" s="15" t="s">
        <v>1164</v>
      </c>
      <c r="H442" s="15" t="s">
        <v>58</v>
      </c>
      <c r="I442" s="15" t="s">
        <v>57</v>
      </c>
    </row>
    <row r="443" spans="1:9" ht="15.5" x14ac:dyDescent="0.35">
      <c r="A443" s="16" t="s">
        <v>1165</v>
      </c>
      <c r="B443" s="15" t="s" cm="1">
        <v>19</v>
      </c>
      <c r="C443" s="15" t="s" cm="1">
        <v>21</v>
      </c>
      <c r="D443" s="15" t="s">
        <v>1167</v>
      </c>
      <c r="E443" s="15" t="s" cm="1">
        <v>1639</v>
      </c>
      <c r="F443" s="15" t="s">
        <v>1636</v>
      </c>
      <c r="G443" s="15" t="s">
        <v>1166</v>
      </c>
      <c r="H443" s="15" t="s">
        <v>58</v>
      </c>
      <c r="I443" s="15" t="s">
        <v>57</v>
      </c>
    </row>
    <row r="444" spans="1:9" ht="15.5" x14ac:dyDescent="0.35">
      <c r="A444" s="16" t="s">
        <v>1168</v>
      </c>
      <c r="B444" s="15" t="s" cm="1">
        <v>19</v>
      </c>
      <c r="C444" s="15" t="s" cm="1">
        <v>21</v>
      </c>
      <c r="D444" s="15" t="s">
        <v>1631</v>
      </c>
      <c r="E444" s="15" t="s" cm="1">
        <v>1639</v>
      </c>
      <c r="F444" s="15" t="s">
        <v>1636</v>
      </c>
      <c r="G444" s="15" t="s">
        <v>997</v>
      </c>
      <c r="H444" s="15" t="s">
        <v>130</v>
      </c>
      <c r="I444" s="15" t="s">
        <v>22</v>
      </c>
    </row>
    <row r="445" spans="1:9" ht="15.5" x14ac:dyDescent="0.35">
      <c r="A445" s="16" t="s">
        <v>1169</v>
      </c>
      <c r="B445" s="15" t="s" cm="1">
        <v>19</v>
      </c>
      <c r="C445" s="15" t="s" cm="1">
        <v>21</v>
      </c>
      <c r="D445" s="15" t="s">
        <v>1170</v>
      </c>
      <c r="E445" s="15" t="s" cm="1">
        <v>1635</v>
      </c>
      <c r="F445" s="15" t="s">
        <v>1693</v>
      </c>
      <c r="G445" s="15" t="s">
        <v>1113</v>
      </c>
      <c r="H445" s="15" t="s">
        <v>52</v>
      </c>
      <c r="I445" s="15" t="s">
        <v>51</v>
      </c>
    </row>
    <row r="446" spans="1:9" ht="15.5" x14ac:dyDescent="0.35">
      <c r="A446" s="16" t="s">
        <v>1171</v>
      </c>
      <c r="B446" s="15" t="s" cm="1">
        <v>19</v>
      </c>
      <c r="C446" s="15" t="s" cm="1">
        <v>21</v>
      </c>
      <c r="D446" s="15" t="s">
        <v>1172</v>
      </c>
      <c r="E446" s="15" t="s" cm="1">
        <v>1635</v>
      </c>
      <c r="F446" s="15" t="s">
        <v>1693</v>
      </c>
      <c r="G446" s="15" t="s">
        <v>1113</v>
      </c>
      <c r="H446" s="15" t="s">
        <v>52</v>
      </c>
      <c r="I446" s="15" t="s">
        <v>51</v>
      </c>
    </row>
    <row r="447" spans="1:9" ht="15.5" x14ac:dyDescent="0.35">
      <c r="A447" s="16" t="s">
        <v>1173</v>
      </c>
      <c r="B447" s="15" t="s" cm="1">
        <v>19</v>
      </c>
      <c r="C447" s="15" t="s" cm="1">
        <v>21</v>
      </c>
      <c r="D447" s="15" t="s">
        <v>1174</v>
      </c>
      <c r="E447" s="15" t="s" cm="1">
        <v>1635</v>
      </c>
      <c r="F447" s="15" t="s">
        <v>1693</v>
      </c>
      <c r="G447" s="15" t="s">
        <v>876</v>
      </c>
      <c r="H447" s="15" t="s">
        <v>52</v>
      </c>
      <c r="I447" s="15" t="s">
        <v>51</v>
      </c>
    </row>
    <row r="448" spans="1:9" ht="15.5" x14ac:dyDescent="0.35">
      <c r="A448" s="16" t="s">
        <v>1175</v>
      </c>
      <c r="B448" s="15" t="s" cm="1">
        <v>19</v>
      </c>
      <c r="C448" s="15" t="s" cm="1">
        <v>21</v>
      </c>
      <c r="D448" s="15" t="s">
        <v>1176</v>
      </c>
      <c r="E448" s="15" t="s" cm="1">
        <v>1635</v>
      </c>
      <c r="F448" s="15" t="s">
        <v>1693</v>
      </c>
      <c r="G448" s="15" t="s">
        <v>876</v>
      </c>
      <c r="H448" s="15" t="s">
        <v>52</v>
      </c>
      <c r="I448" s="15" t="s">
        <v>51</v>
      </c>
    </row>
    <row r="449" spans="1:9" ht="15.5" x14ac:dyDescent="0.35">
      <c r="A449" s="16" t="s">
        <v>1177</v>
      </c>
      <c r="B449" s="15" t="s" cm="1">
        <v>19</v>
      </c>
      <c r="C449" s="15" t="s" cm="1">
        <v>21</v>
      </c>
      <c r="D449" s="15" t="s">
        <v>1178</v>
      </c>
      <c r="E449" s="15" t="s" cm="1">
        <v>1635</v>
      </c>
      <c r="F449" s="15" t="s">
        <v>1693</v>
      </c>
      <c r="G449" s="15" t="s">
        <v>876</v>
      </c>
      <c r="H449" s="15" t="s">
        <v>52</v>
      </c>
      <c r="I449" s="15" t="s">
        <v>51</v>
      </c>
    </row>
    <row r="450" spans="1:9" ht="15.5" x14ac:dyDescent="0.35">
      <c r="A450" s="16" t="s">
        <v>1179</v>
      </c>
      <c r="B450" s="15" t="s" cm="1">
        <v>19</v>
      </c>
      <c r="C450" s="15" t="s" cm="1">
        <v>21</v>
      </c>
      <c r="D450" s="15" t="s">
        <v>1178</v>
      </c>
      <c r="E450" s="15" t="s" cm="1">
        <v>1635</v>
      </c>
      <c r="F450" s="15" t="s">
        <v>1693</v>
      </c>
      <c r="G450" s="15" t="s">
        <v>876</v>
      </c>
      <c r="H450" s="15" t="s">
        <v>52</v>
      </c>
      <c r="I450" s="15" t="s">
        <v>51</v>
      </c>
    </row>
    <row r="451" spans="1:9" ht="15.5" x14ac:dyDescent="0.35">
      <c r="A451" s="16" t="s">
        <v>1180</v>
      </c>
      <c r="B451" s="15" t="s" cm="1">
        <v>19</v>
      </c>
      <c r="C451" s="15" t="s" cm="1">
        <v>21</v>
      </c>
      <c r="D451" s="15" t="s">
        <v>1931</v>
      </c>
      <c r="E451" s="15" t="s" cm="1">
        <v>1635</v>
      </c>
      <c r="F451" s="15" t="s">
        <v>1693</v>
      </c>
      <c r="G451" s="15" t="s">
        <v>876</v>
      </c>
      <c r="H451" s="15" t="s">
        <v>52</v>
      </c>
      <c r="I451" s="15" t="s">
        <v>51</v>
      </c>
    </row>
    <row r="452" spans="1:9" ht="15.5" x14ac:dyDescent="0.35">
      <c r="A452" s="16" t="s">
        <v>1182</v>
      </c>
      <c r="B452" s="15" t="s" cm="1">
        <v>19</v>
      </c>
      <c r="C452" s="15" t="s" cm="1">
        <v>21</v>
      </c>
      <c r="D452" s="15" t="s">
        <v>1932</v>
      </c>
      <c r="E452" s="15" t="s" cm="1">
        <v>1635</v>
      </c>
      <c r="F452" s="15" t="s">
        <v>1693</v>
      </c>
      <c r="G452" s="15" t="s">
        <v>876</v>
      </c>
      <c r="H452" s="15" t="s">
        <v>52</v>
      </c>
      <c r="I452" s="15" t="s">
        <v>51</v>
      </c>
    </row>
    <row r="453" spans="1:9" ht="15.5" x14ac:dyDescent="0.35">
      <c r="A453" s="16" t="s">
        <v>1184</v>
      </c>
      <c r="B453" s="15" t="s" cm="1">
        <v>19</v>
      </c>
      <c r="C453" s="15" t="s" cm="1">
        <v>21</v>
      </c>
      <c r="D453" s="15" t="s">
        <v>1176</v>
      </c>
      <c r="E453" s="15" t="s" cm="1">
        <v>1635</v>
      </c>
      <c r="F453" s="15" t="s">
        <v>1693</v>
      </c>
      <c r="G453" s="15" t="s">
        <v>876</v>
      </c>
      <c r="H453" s="15" t="s">
        <v>52</v>
      </c>
      <c r="I453" s="15" t="s">
        <v>51</v>
      </c>
    </row>
    <row r="454" spans="1:9" ht="15.5" x14ac:dyDescent="0.35">
      <c r="A454" s="16" t="s">
        <v>1185</v>
      </c>
      <c r="B454" s="15" t="s" cm="1">
        <v>19</v>
      </c>
      <c r="C454" s="15" t="s" cm="1">
        <v>21</v>
      </c>
      <c r="D454" s="15" t="s">
        <v>1186</v>
      </c>
      <c r="E454" s="15" t="s" cm="1">
        <v>1635</v>
      </c>
      <c r="F454" s="15" t="s">
        <v>1693</v>
      </c>
      <c r="G454" s="15" t="s">
        <v>876</v>
      </c>
      <c r="H454" s="15" t="s">
        <v>52</v>
      </c>
      <c r="I454" s="15" t="s">
        <v>51</v>
      </c>
    </row>
    <row r="455" spans="1:9" ht="15.5" x14ac:dyDescent="0.35">
      <c r="A455" s="16" t="s">
        <v>1187</v>
      </c>
      <c r="B455" s="15" t="s" cm="1">
        <v>19</v>
      </c>
      <c r="C455" s="15" t="s" cm="1">
        <v>21</v>
      </c>
      <c r="D455" s="15" t="s">
        <v>1176</v>
      </c>
      <c r="E455" s="15" t="s" cm="1">
        <v>1635</v>
      </c>
      <c r="F455" s="15" t="s">
        <v>1693</v>
      </c>
      <c r="G455" s="15" t="s">
        <v>876</v>
      </c>
      <c r="H455" s="15" t="s">
        <v>52</v>
      </c>
      <c r="I455" s="15" t="s">
        <v>51</v>
      </c>
    </row>
    <row r="456" spans="1:9" ht="15.5" x14ac:dyDescent="0.35">
      <c r="A456" s="16" t="s">
        <v>1188</v>
      </c>
      <c r="B456" s="15" t="s" cm="1">
        <v>19</v>
      </c>
      <c r="C456" s="15" t="s" cm="1">
        <v>21</v>
      </c>
      <c r="D456" s="15" t="s">
        <v>1189</v>
      </c>
      <c r="E456" s="15" t="s" cm="1">
        <v>1635</v>
      </c>
      <c r="F456" s="15" t="s">
        <v>1693</v>
      </c>
      <c r="G456" s="15" t="s">
        <v>876</v>
      </c>
      <c r="H456" s="15" t="s">
        <v>52</v>
      </c>
      <c r="I456" s="15" t="s">
        <v>51</v>
      </c>
    </row>
    <row r="457" spans="1:9" ht="15.5" x14ac:dyDescent="0.35">
      <c r="A457" s="16" t="s">
        <v>1190</v>
      </c>
      <c r="B457" s="15" t="s" cm="1">
        <v>19</v>
      </c>
      <c r="C457" s="15" t="s" cm="1">
        <v>21</v>
      </c>
      <c r="D457" s="15" t="s">
        <v>1186</v>
      </c>
      <c r="E457" s="15" t="s" cm="1">
        <v>1635</v>
      </c>
      <c r="F457" s="15" t="s">
        <v>1693</v>
      </c>
      <c r="G457" s="15" t="s">
        <v>876</v>
      </c>
      <c r="H457" s="15" t="s">
        <v>52</v>
      </c>
      <c r="I457" s="15" t="s">
        <v>51</v>
      </c>
    </row>
    <row r="458" spans="1:9" ht="15.5" x14ac:dyDescent="0.35">
      <c r="A458" s="16" t="s">
        <v>1191</v>
      </c>
      <c r="B458" s="15" t="s" cm="1">
        <v>19</v>
      </c>
      <c r="C458" s="15" t="s" cm="1">
        <v>21</v>
      </c>
      <c r="D458" s="15" t="s">
        <v>1933</v>
      </c>
      <c r="E458" s="15" t="s" cm="1">
        <v>1635</v>
      </c>
      <c r="F458" s="15" t="s">
        <v>1693</v>
      </c>
      <c r="G458" s="15" t="s">
        <v>876</v>
      </c>
      <c r="H458" s="15" t="s">
        <v>29</v>
      </c>
      <c r="I458" s="15" t="s">
        <v>28</v>
      </c>
    </row>
    <row r="459" spans="1:9" ht="15.5" x14ac:dyDescent="0.35">
      <c r="A459" s="16" t="s">
        <v>1193</v>
      </c>
      <c r="B459" s="15" t="s" cm="1">
        <v>19</v>
      </c>
      <c r="C459" s="15" t="s" cm="1">
        <v>21</v>
      </c>
      <c r="D459" s="15" t="s">
        <v>1194</v>
      </c>
      <c r="E459" s="15" t="s" cm="1">
        <v>1635</v>
      </c>
      <c r="F459" s="15" t="s">
        <v>1693</v>
      </c>
      <c r="G459" s="15" t="s">
        <v>876</v>
      </c>
      <c r="H459" s="15" t="s">
        <v>52</v>
      </c>
      <c r="I459" s="15" t="s">
        <v>51</v>
      </c>
    </row>
    <row r="460" spans="1:9" ht="15.5" x14ac:dyDescent="0.35">
      <c r="A460" s="16" t="s">
        <v>1195</v>
      </c>
      <c r="B460" s="15" t="s" cm="1">
        <v>19</v>
      </c>
      <c r="C460" s="15" t="s" cm="1">
        <v>21</v>
      </c>
      <c r="D460" s="15" t="s">
        <v>1934</v>
      </c>
      <c r="E460" s="15" t="s" cm="1">
        <v>1635</v>
      </c>
      <c r="F460" s="15" t="s">
        <v>1693</v>
      </c>
      <c r="G460" s="15" t="s">
        <v>963</v>
      </c>
      <c r="H460" s="15" t="s">
        <v>23</v>
      </c>
      <c r="I460" s="15" t="s">
        <v>22</v>
      </c>
    </row>
    <row r="461" spans="1:9" ht="15.5" x14ac:dyDescent="0.35">
      <c r="A461" s="16" t="s">
        <v>1197</v>
      </c>
      <c r="B461" s="15" t="s" cm="1">
        <v>19</v>
      </c>
      <c r="C461" s="15" t="s" cm="1">
        <v>21</v>
      </c>
      <c r="D461" s="15" t="s">
        <v>1198</v>
      </c>
      <c r="E461" s="15" t="s" cm="1">
        <v>1635</v>
      </c>
      <c r="F461" s="15" t="s">
        <v>1693</v>
      </c>
      <c r="G461" s="15" t="s">
        <v>963</v>
      </c>
      <c r="H461" s="15" t="s">
        <v>52</v>
      </c>
      <c r="I461" s="15" t="s">
        <v>51</v>
      </c>
    </row>
    <row r="462" spans="1:9" ht="15.5" x14ac:dyDescent="0.35">
      <c r="A462" s="16" t="s">
        <v>1199</v>
      </c>
      <c r="B462" s="15" t="s" cm="1">
        <v>19</v>
      </c>
      <c r="C462" s="15" t="s" cm="1">
        <v>21</v>
      </c>
      <c r="D462" s="15" t="s">
        <v>78</v>
      </c>
      <c r="E462" s="15" t="s" cm="1">
        <v>1635</v>
      </c>
      <c r="F462" s="15" t="s">
        <v>1693</v>
      </c>
      <c r="G462" s="15" t="s">
        <v>864</v>
      </c>
      <c r="H462" s="15" t="s">
        <v>58</v>
      </c>
      <c r="I462" s="15" t="s">
        <v>57</v>
      </c>
    </row>
    <row r="463" spans="1:9" ht="15.5" x14ac:dyDescent="0.35">
      <c r="A463" s="16" t="s">
        <v>1200</v>
      </c>
      <c r="B463" s="15" t="s" cm="1">
        <v>19</v>
      </c>
      <c r="C463" s="15" t="s" cm="1">
        <v>21</v>
      </c>
      <c r="D463" s="15" t="s">
        <v>1201</v>
      </c>
      <c r="E463" s="15" t="s" cm="1">
        <v>1635</v>
      </c>
      <c r="F463" s="15" t="s">
        <v>1693</v>
      </c>
      <c r="G463" s="15" t="s">
        <v>864</v>
      </c>
      <c r="H463" s="15" t="s">
        <v>52</v>
      </c>
      <c r="I463" s="15" t="s">
        <v>51</v>
      </c>
    </row>
    <row r="464" spans="1:9" ht="15.5" x14ac:dyDescent="0.35">
      <c r="A464" s="16" t="s">
        <v>1202</v>
      </c>
      <c r="B464" s="15" t="s" cm="1">
        <v>19</v>
      </c>
      <c r="C464" s="15" t="s" cm="1">
        <v>21</v>
      </c>
      <c r="D464" s="15" t="s">
        <v>1204</v>
      </c>
      <c r="E464" s="15" t="s" cm="1">
        <v>1635</v>
      </c>
      <c r="F464" s="15" t="s">
        <v>1693</v>
      </c>
      <c r="G464" s="15" t="s">
        <v>1203</v>
      </c>
      <c r="H464" s="15" t="s">
        <v>52</v>
      </c>
      <c r="I464" s="15" t="s">
        <v>51</v>
      </c>
    </row>
    <row r="465" spans="1:9" ht="15.5" x14ac:dyDescent="0.35">
      <c r="A465" s="16" t="s">
        <v>1205</v>
      </c>
      <c r="B465" s="15" t="s" cm="1">
        <v>19</v>
      </c>
      <c r="C465" s="15" t="s" cm="1">
        <v>21</v>
      </c>
      <c r="D465" s="15" t="s">
        <v>78</v>
      </c>
      <c r="E465" s="15" t="s" cm="1">
        <v>1635</v>
      </c>
      <c r="F465" s="15" t="s">
        <v>1641</v>
      </c>
      <c r="G465" s="15" t="s">
        <v>965</v>
      </c>
      <c r="H465" s="15" t="s">
        <v>58</v>
      </c>
      <c r="I465" s="15" t="s">
        <v>57</v>
      </c>
    </row>
    <row r="466" spans="1:9" ht="15.5" x14ac:dyDescent="0.35">
      <c r="A466" s="16" t="s">
        <v>1207</v>
      </c>
      <c r="B466" s="15" t="s" cm="1">
        <v>19</v>
      </c>
      <c r="C466" s="15" t="s" cm="1">
        <v>21</v>
      </c>
      <c r="D466" s="15" t="s">
        <v>1208</v>
      </c>
      <c r="E466" s="15" t="s" cm="1">
        <v>1635</v>
      </c>
      <c r="F466" s="15" t="s">
        <v>1641</v>
      </c>
      <c r="G466" s="15" t="s">
        <v>965</v>
      </c>
      <c r="H466" s="15" t="s">
        <v>196</v>
      </c>
      <c r="I466" s="15" t="s">
        <v>195</v>
      </c>
    </row>
    <row r="467" spans="1:9" ht="15.5" x14ac:dyDescent="0.35">
      <c r="A467" s="16" t="s">
        <v>1209</v>
      </c>
      <c r="B467" s="15" t="s" cm="1">
        <v>19</v>
      </c>
      <c r="C467" s="15" t="s" cm="1">
        <v>21</v>
      </c>
      <c r="D467" s="15" t="s">
        <v>1210</v>
      </c>
      <c r="E467" s="15" t="s" cm="1">
        <v>1635</v>
      </c>
      <c r="F467" s="15" t="s">
        <v>1641</v>
      </c>
      <c r="G467" s="15" t="s">
        <v>965</v>
      </c>
      <c r="H467" s="15" t="s">
        <v>29</v>
      </c>
      <c r="I467" s="15" t="s">
        <v>28</v>
      </c>
    </row>
    <row r="468" spans="1:9" ht="15.5" x14ac:dyDescent="0.35">
      <c r="A468" s="16" t="s">
        <v>1211</v>
      </c>
      <c r="B468" s="15" t="s" cm="1">
        <v>19</v>
      </c>
      <c r="C468" s="15" t="s" cm="1">
        <v>21</v>
      </c>
      <c r="D468" s="15" t="s">
        <v>1210</v>
      </c>
      <c r="E468" s="15" t="s" cm="1">
        <v>1635</v>
      </c>
      <c r="F468" s="15" t="s">
        <v>1641</v>
      </c>
      <c r="G468" s="15" t="s">
        <v>926</v>
      </c>
      <c r="H468" s="15" t="s">
        <v>29</v>
      </c>
      <c r="I468" s="15" t="s">
        <v>28</v>
      </c>
    </row>
    <row r="469" spans="1:9" ht="15.5" x14ac:dyDescent="0.35">
      <c r="A469" s="16" t="s">
        <v>1212</v>
      </c>
      <c r="B469" s="15" t="s" cm="1">
        <v>19</v>
      </c>
      <c r="C469" s="15" t="s" cm="1">
        <v>21</v>
      </c>
      <c r="D469" s="15" t="s">
        <v>1201</v>
      </c>
      <c r="E469" s="15" t="s" cm="1">
        <v>1635</v>
      </c>
      <c r="F469" s="15" t="s">
        <v>1641</v>
      </c>
      <c r="G469" s="15" t="s">
        <v>926</v>
      </c>
      <c r="H469" s="15" t="s">
        <v>52</v>
      </c>
      <c r="I469" s="15" t="s">
        <v>51</v>
      </c>
    </row>
    <row r="470" spans="1:9" ht="15.5" x14ac:dyDescent="0.35">
      <c r="A470" s="16" t="s">
        <v>1214</v>
      </c>
      <c r="B470" s="15" t="s" cm="1">
        <v>19</v>
      </c>
      <c r="C470" s="15" t="s" cm="1">
        <v>21</v>
      </c>
      <c r="D470" s="15" t="s">
        <v>1210</v>
      </c>
      <c r="E470" s="15" t="s" cm="1">
        <v>1635</v>
      </c>
      <c r="F470" s="15" t="s">
        <v>1641</v>
      </c>
      <c r="G470" s="15" t="s">
        <v>863</v>
      </c>
      <c r="H470" s="15" t="s">
        <v>52</v>
      </c>
      <c r="I470" s="15" t="s">
        <v>51</v>
      </c>
    </row>
    <row r="471" spans="1:9" ht="15.5" x14ac:dyDescent="0.35">
      <c r="A471" s="16" t="s">
        <v>1215</v>
      </c>
      <c r="B471" s="15" t="s" cm="1">
        <v>19</v>
      </c>
      <c r="C471" s="15" t="s" cm="1">
        <v>21</v>
      </c>
      <c r="D471" s="15" t="s">
        <v>1217</v>
      </c>
      <c r="E471" s="15" t="s" cm="1">
        <v>1635</v>
      </c>
      <c r="F471" s="15" t="s">
        <v>1641</v>
      </c>
      <c r="G471" s="15" t="s">
        <v>1216</v>
      </c>
      <c r="H471" s="15" t="s">
        <v>52</v>
      </c>
      <c r="I471" s="15" t="s">
        <v>51</v>
      </c>
    </row>
    <row r="472" spans="1:9" ht="15.5" x14ac:dyDescent="0.35">
      <c r="A472" s="16" t="s">
        <v>1218</v>
      </c>
      <c r="B472" s="15" t="s" cm="1">
        <v>19</v>
      </c>
      <c r="C472" s="15" t="s" cm="1">
        <v>21</v>
      </c>
      <c r="D472" s="15" t="s">
        <v>1935</v>
      </c>
      <c r="E472" s="15" t="s" cm="1">
        <v>1635</v>
      </c>
      <c r="F472" s="15" t="s">
        <v>1643</v>
      </c>
      <c r="G472" s="15" t="s">
        <v>882</v>
      </c>
      <c r="H472" s="15" t="s">
        <v>29</v>
      </c>
      <c r="I472" s="15" t="s">
        <v>28</v>
      </c>
    </row>
    <row r="473" spans="1:9" ht="15.5" x14ac:dyDescent="0.35">
      <c r="A473" s="16" t="s">
        <v>1220</v>
      </c>
      <c r="B473" s="15" t="s" cm="1">
        <v>19</v>
      </c>
      <c r="C473" s="15" t="s" cm="1">
        <v>21</v>
      </c>
      <c r="D473" s="15" t="s">
        <v>1936</v>
      </c>
      <c r="E473" s="15" t="s" cm="1">
        <v>1635</v>
      </c>
      <c r="F473" s="15" t="s">
        <v>1643</v>
      </c>
      <c r="G473" s="15" t="s">
        <v>882</v>
      </c>
      <c r="H473" s="15" t="s">
        <v>52</v>
      </c>
      <c r="I473" s="15" t="s">
        <v>51</v>
      </c>
    </row>
    <row r="474" spans="1:9" ht="15.5" x14ac:dyDescent="0.35">
      <c r="A474" s="16" t="s">
        <v>1222</v>
      </c>
      <c r="B474" s="15" t="s" cm="1">
        <v>19</v>
      </c>
      <c r="C474" s="15" t="s" cm="1">
        <v>21</v>
      </c>
      <c r="D474" s="15" t="s">
        <v>1937</v>
      </c>
      <c r="E474" s="15" t="s" cm="1">
        <v>1635</v>
      </c>
      <c r="F474" s="15" t="s">
        <v>1693</v>
      </c>
      <c r="G474" s="15" t="s">
        <v>1223</v>
      </c>
      <c r="H474" s="15" t="s">
        <v>52</v>
      </c>
      <c r="I474" s="15" t="s">
        <v>51</v>
      </c>
    </row>
    <row r="475" spans="1:9" ht="15.5" x14ac:dyDescent="0.35">
      <c r="A475" s="16" t="s">
        <v>1225</v>
      </c>
      <c r="B475" s="15" t="s" cm="1">
        <v>19</v>
      </c>
      <c r="C475" s="15" t="s" cm="1">
        <v>21</v>
      </c>
      <c r="D475" s="15" t="s">
        <v>1226</v>
      </c>
      <c r="E475" s="15" t="s" cm="1">
        <v>1635</v>
      </c>
      <c r="F475" s="15" t="s">
        <v>1693</v>
      </c>
      <c r="G475" s="15" t="s">
        <v>1223</v>
      </c>
      <c r="H475" s="15" t="s">
        <v>58</v>
      </c>
      <c r="I475" s="15" t="s">
        <v>57</v>
      </c>
    </row>
    <row r="476" spans="1:9" ht="15.5" x14ac:dyDescent="0.35">
      <c r="A476" s="16" t="s">
        <v>1227</v>
      </c>
      <c r="B476" s="15" t="s" cm="1">
        <v>19</v>
      </c>
      <c r="C476" s="15" t="s" cm="1">
        <v>21</v>
      </c>
      <c r="D476" s="15" t="s">
        <v>1178</v>
      </c>
      <c r="E476" s="15" t="s" cm="1">
        <v>1635</v>
      </c>
      <c r="F476" s="15" t="s">
        <v>1693</v>
      </c>
      <c r="G476" s="15" t="s">
        <v>1228</v>
      </c>
      <c r="H476" s="15" t="s">
        <v>52</v>
      </c>
      <c r="I476" s="15" t="s">
        <v>51</v>
      </c>
    </row>
    <row r="477" spans="1:9" ht="15.5" x14ac:dyDescent="0.35">
      <c r="A477" s="16" t="s">
        <v>1229</v>
      </c>
      <c r="B477" s="15" t="s" cm="1">
        <v>19</v>
      </c>
      <c r="C477" s="15" t="s" cm="1">
        <v>21</v>
      </c>
      <c r="D477" s="15" t="s">
        <v>1938</v>
      </c>
      <c r="E477" s="15" t="s" cm="1">
        <v>1635</v>
      </c>
      <c r="F477" s="15" t="s">
        <v>1693</v>
      </c>
      <c r="G477" s="15" t="s">
        <v>1228</v>
      </c>
      <c r="H477" s="15" t="s">
        <v>52</v>
      </c>
      <c r="I477" s="15" t="s">
        <v>51</v>
      </c>
    </row>
    <row r="478" spans="1:9" ht="15.5" x14ac:dyDescent="0.35">
      <c r="A478" s="16" t="s">
        <v>1231</v>
      </c>
      <c r="B478" s="15" t="s" cm="1">
        <v>19</v>
      </c>
      <c r="C478" s="15" t="s" cm="1">
        <v>21</v>
      </c>
      <c r="D478" s="15" t="s">
        <v>1939</v>
      </c>
      <c r="E478" s="15" t="s" cm="1">
        <v>1635</v>
      </c>
      <c r="F478" s="15" t="s">
        <v>1693</v>
      </c>
      <c r="G478" s="15" t="s">
        <v>1228</v>
      </c>
      <c r="H478" s="15" t="s">
        <v>52</v>
      </c>
      <c r="I478" s="15" t="s">
        <v>51</v>
      </c>
    </row>
    <row r="479" spans="1:9" ht="15.5" x14ac:dyDescent="0.35">
      <c r="A479" s="16" t="s">
        <v>1233</v>
      </c>
      <c r="B479" s="15" t="s" cm="1">
        <v>19</v>
      </c>
      <c r="C479" s="15" t="s" cm="1">
        <v>21</v>
      </c>
      <c r="D479" s="15" t="s">
        <v>1234</v>
      </c>
      <c r="E479" s="15" t="s" cm="1">
        <v>1635</v>
      </c>
      <c r="F479" s="15" t="s">
        <v>1693</v>
      </c>
      <c r="G479" s="15" t="s">
        <v>1228</v>
      </c>
      <c r="H479" s="15" t="s">
        <v>52</v>
      </c>
      <c r="I479" s="15" t="s">
        <v>51</v>
      </c>
    </row>
    <row r="480" spans="1:9" ht="15.5" x14ac:dyDescent="0.35">
      <c r="A480" s="16" t="s">
        <v>1235</v>
      </c>
      <c r="B480" s="15" t="s" cm="1">
        <v>19</v>
      </c>
      <c r="C480" s="15" t="s" cm="1">
        <v>21</v>
      </c>
      <c r="D480" s="15" t="s">
        <v>1236</v>
      </c>
      <c r="E480" s="15" t="s" cm="1">
        <v>1635</v>
      </c>
      <c r="F480" s="15" t="s">
        <v>1693</v>
      </c>
      <c r="G480" s="15" t="s">
        <v>1228</v>
      </c>
      <c r="H480" s="15" t="s">
        <v>52</v>
      </c>
      <c r="I480" s="15" t="s">
        <v>51</v>
      </c>
    </row>
    <row r="481" spans="1:9" ht="15.5" x14ac:dyDescent="0.35">
      <c r="A481" s="16" t="s">
        <v>1237</v>
      </c>
      <c r="B481" s="15" t="s" cm="1">
        <v>19</v>
      </c>
      <c r="C481" s="15" t="s" cm="1">
        <v>21</v>
      </c>
      <c r="D481" s="15" t="s">
        <v>1238</v>
      </c>
      <c r="E481" s="15" t="s" cm="1">
        <v>1635</v>
      </c>
      <c r="F481" s="15" t="s">
        <v>1693</v>
      </c>
      <c r="G481" s="15" t="s">
        <v>888</v>
      </c>
      <c r="H481" s="15" t="s">
        <v>52</v>
      </c>
      <c r="I481" s="15" t="s">
        <v>51</v>
      </c>
    </row>
    <row r="482" spans="1:9" ht="15.5" x14ac:dyDescent="0.35">
      <c r="A482" s="16" t="s">
        <v>1239</v>
      </c>
      <c r="B482" s="15" t="s" cm="1">
        <v>19</v>
      </c>
      <c r="C482" s="15" t="s" cm="1">
        <v>21</v>
      </c>
      <c r="D482" s="15" t="s">
        <v>1240</v>
      </c>
      <c r="E482" s="15" t="s" cm="1">
        <v>1635</v>
      </c>
      <c r="F482" s="15" t="s">
        <v>1693</v>
      </c>
      <c r="G482" s="15" t="s">
        <v>888</v>
      </c>
      <c r="H482" s="15" t="s">
        <v>52</v>
      </c>
      <c r="I482" s="15" t="s">
        <v>51</v>
      </c>
    </row>
    <row r="483" spans="1:9" ht="15.5" x14ac:dyDescent="0.35">
      <c r="A483" s="16" t="s">
        <v>1241</v>
      </c>
      <c r="B483" s="15" t="s" cm="1">
        <v>19</v>
      </c>
      <c r="C483" s="15" t="s" cm="1">
        <v>21</v>
      </c>
      <c r="D483" s="15" t="s">
        <v>1234</v>
      </c>
      <c r="E483" s="15" t="s" cm="1">
        <v>1635</v>
      </c>
      <c r="F483" s="15" t="s">
        <v>1693</v>
      </c>
      <c r="G483" s="15" t="s">
        <v>888</v>
      </c>
      <c r="H483" s="15" t="s">
        <v>52</v>
      </c>
      <c r="I483" s="15" t="s">
        <v>51</v>
      </c>
    </row>
    <row r="484" spans="1:9" ht="15.5" x14ac:dyDescent="0.35">
      <c r="A484" s="16" t="s">
        <v>1242</v>
      </c>
      <c r="B484" s="15" t="s" cm="1">
        <v>19</v>
      </c>
      <c r="C484" s="15" t="s" cm="1">
        <v>21</v>
      </c>
      <c r="D484" s="15" t="s">
        <v>1238</v>
      </c>
      <c r="E484" s="15" t="s" cm="1">
        <v>1635</v>
      </c>
      <c r="F484" s="15" t="s">
        <v>1693</v>
      </c>
      <c r="G484" s="15" t="s">
        <v>1243</v>
      </c>
      <c r="H484" s="15" t="s">
        <v>52</v>
      </c>
      <c r="I484" s="15" t="s">
        <v>51</v>
      </c>
    </row>
    <row r="485" spans="1:9" ht="15.5" x14ac:dyDescent="0.35">
      <c r="A485" s="16" t="s">
        <v>1244</v>
      </c>
      <c r="B485" s="15" t="s" cm="1">
        <v>19</v>
      </c>
      <c r="C485" s="15" t="s" cm="1">
        <v>21</v>
      </c>
      <c r="D485" s="15" t="s">
        <v>1940</v>
      </c>
      <c r="E485" s="15" t="s" cm="1">
        <v>1635</v>
      </c>
      <c r="F485" s="15" t="s">
        <v>1693</v>
      </c>
      <c r="G485" s="15" t="s">
        <v>1243</v>
      </c>
      <c r="H485" s="15" t="s">
        <v>52</v>
      </c>
      <c r="I485" s="15" t="s">
        <v>51</v>
      </c>
    </row>
    <row r="486" spans="1:9" ht="15.5" x14ac:dyDescent="0.35">
      <c r="A486" s="16" t="s">
        <v>1246</v>
      </c>
      <c r="B486" s="15" t="s" cm="1">
        <v>19</v>
      </c>
      <c r="C486" s="15" t="s" cm="1">
        <v>21</v>
      </c>
      <c r="D486" s="15" t="s">
        <v>1940</v>
      </c>
      <c r="E486" s="15" t="s" cm="1">
        <v>1635</v>
      </c>
      <c r="F486" s="15" t="s">
        <v>1693</v>
      </c>
      <c r="G486" s="15" t="s">
        <v>1243</v>
      </c>
      <c r="H486" s="15" t="s">
        <v>52</v>
      </c>
      <c r="I486" s="15" t="s">
        <v>51</v>
      </c>
    </row>
    <row r="487" spans="1:9" ht="15.5" x14ac:dyDescent="0.35">
      <c r="A487" s="16" t="s">
        <v>1247</v>
      </c>
      <c r="B487" s="15" t="s" cm="1">
        <v>19</v>
      </c>
      <c r="C487" s="15" t="s" cm="1">
        <v>21</v>
      </c>
      <c r="D487" s="15" t="s">
        <v>1248</v>
      </c>
      <c r="E487" s="15" t="s" cm="1">
        <v>1635</v>
      </c>
      <c r="F487" s="15" t="s">
        <v>1693</v>
      </c>
      <c r="G487" s="15" t="s">
        <v>1243</v>
      </c>
      <c r="H487" s="15" t="s">
        <v>52</v>
      </c>
      <c r="I487" s="15" t="s">
        <v>51</v>
      </c>
    </row>
    <row r="488" spans="1:9" ht="15.5" x14ac:dyDescent="0.35">
      <c r="A488" s="16" t="s">
        <v>1249</v>
      </c>
      <c r="B488" s="15" t="s" cm="1">
        <v>19</v>
      </c>
      <c r="C488" s="15" t="s" cm="1">
        <v>21</v>
      </c>
      <c r="D488" s="15" t="s">
        <v>1251</v>
      </c>
      <c r="E488" s="15" t="s" cm="1">
        <v>1635</v>
      </c>
      <c r="F488" s="15" t="s">
        <v>1693</v>
      </c>
      <c r="G488" s="15" t="s">
        <v>1250</v>
      </c>
      <c r="H488" s="15" t="s">
        <v>52</v>
      </c>
      <c r="I488" s="15" t="s">
        <v>51</v>
      </c>
    </row>
    <row r="489" spans="1:9" ht="15.5" x14ac:dyDescent="0.35">
      <c r="A489" s="16" t="s">
        <v>1252</v>
      </c>
      <c r="B489" s="15" t="s" cm="1">
        <v>19</v>
      </c>
      <c r="C489" s="15" t="s" cm="1">
        <v>21</v>
      </c>
      <c r="D489" s="15" t="s">
        <v>1253</v>
      </c>
      <c r="E489" s="15" t="s" cm="1">
        <v>1635</v>
      </c>
      <c r="F489" s="15" t="s">
        <v>1693</v>
      </c>
      <c r="G489" s="15" t="s">
        <v>1250</v>
      </c>
      <c r="H489" s="15" t="s">
        <v>52</v>
      </c>
      <c r="I489" s="15" t="s">
        <v>51</v>
      </c>
    </row>
    <row r="490" spans="1:9" ht="15.5" x14ac:dyDescent="0.35">
      <c r="A490" s="16" t="s">
        <v>1254</v>
      </c>
      <c r="B490" s="15" t="s" cm="1">
        <v>19</v>
      </c>
      <c r="C490" s="15" t="s" cm="1">
        <v>21</v>
      </c>
      <c r="D490" s="15" t="s">
        <v>1255</v>
      </c>
      <c r="E490" s="15" t="s" cm="1">
        <v>1635</v>
      </c>
      <c r="F490" s="15" t="s">
        <v>1693</v>
      </c>
      <c r="G490" s="15" t="s">
        <v>1250</v>
      </c>
      <c r="H490" s="15" t="s">
        <v>52</v>
      </c>
      <c r="I490" s="15" t="s">
        <v>51</v>
      </c>
    </row>
    <row r="491" spans="1:9" ht="15.5" x14ac:dyDescent="0.35">
      <c r="A491" s="16" t="s">
        <v>1256</v>
      </c>
      <c r="B491" s="15" t="s" cm="1">
        <v>19</v>
      </c>
      <c r="C491" s="15" t="s" cm="1">
        <v>21</v>
      </c>
      <c r="D491" s="15" t="s">
        <v>1941</v>
      </c>
      <c r="E491" s="15" t="s" cm="1">
        <v>1639</v>
      </c>
      <c r="F491" s="15" t="s">
        <v>1638</v>
      </c>
      <c r="G491" s="15" t="s">
        <v>1074</v>
      </c>
      <c r="H491" s="15" t="s">
        <v>52</v>
      </c>
      <c r="I491" s="15" t="s">
        <v>51</v>
      </c>
    </row>
    <row r="492" spans="1:9" ht="15.5" x14ac:dyDescent="0.35">
      <c r="A492" s="16" t="s">
        <v>1258</v>
      </c>
      <c r="B492" s="15" t="s" cm="1">
        <v>19</v>
      </c>
      <c r="C492" s="15" t="s" cm="1">
        <v>21</v>
      </c>
      <c r="D492" s="15" t="s">
        <v>1259</v>
      </c>
      <c r="E492" s="15" t="s" cm="1">
        <v>1639</v>
      </c>
      <c r="F492" s="15" t="s">
        <v>1638</v>
      </c>
      <c r="G492" s="15" t="s">
        <v>1074</v>
      </c>
      <c r="H492" s="15" t="s">
        <v>52</v>
      </c>
      <c r="I492" s="15" t="s">
        <v>51</v>
      </c>
    </row>
    <row r="493" spans="1:9" ht="15.5" x14ac:dyDescent="0.35">
      <c r="A493" s="16" t="s">
        <v>1260</v>
      </c>
      <c r="B493" s="15" t="s" cm="1">
        <v>19</v>
      </c>
      <c r="C493" s="15" t="s" cm="1">
        <v>21</v>
      </c>
      <c r="D493" s="15" t="s">
        <v>1261</v>
      </c>
      <c r="E493" s="15" t="s" cm="1">
        <v>1639</v>
      </c>
      <c r="F493" s="15" t="s">
        <v>1636</v>
      </c>
      <c r="G493" s="15" t="s">
        <v>885</v>
      </c>
      <c r="H493" s="15" t="s">
        <v>1263</v>
      </c>
      <c r="I493" s="15" t="s">
        <v>1262</v>
      </c>
    </row>
    <row r="494" spans="1:9" ht="15.5" x14ac:dyDescent="0.35">
      <c r="A494" s="16" t="s">
        <v>1264</v>
      </c>
      <c r="B494" s="15" t="s" cm="1">
        <v>19</v>
      </c>
      <c r="C494" s="15" t="s" cm="1">
        <v>21</v>
      </c>
      <c r="D494" s="15" t="s">
        <v>1942</v>
      </c>
      <c r="E494" s="15" t="s" cm="1">
        <v>1639</v>
      </c>
      <c r="F494" s="15" t="s">
        <v>1636</v>
      </c>
      <c r="G494" s="15" t="s">
        <v>885</v>
      </c>
      <c r="H494" s="15" t="s">
        <v>1263</v>
      </c>
      <c r="I494" s="15" t="s">
        <v>1262</v>
      </c>
    </row>
    <row r="495" spans="1:9" ht="15.5" x14ac:dyDescent="0.35">
      <c r="A495" s="16" t="s">
        <v>1266</v>
      </c>
      <c r="B495" s="15" t="s" cm="1">
        <v>19</v>
      </c>
      <c r="C495" s="15" t="s" cm="1">
        <v>21</v>
      </c>
      <c r="D495" s="15" t="s">
        <v>1943</v>
      </c>
      <c r="E495" s="15" t="s" cm="1">
        <v>1639</v>
      </c>
      <c r="F495" s="15" t="s">
        <v>1636</v>
      </c>
      <c r="G495" s="15" t="s">
        <v>885</v>
      </c>
      <c r="H495" s="15" t="s">
        <v>1263</v>
      </c>
      <c r="I495" s="15" t="s">
        <v>1262</v>
      </c>
    </row>
    <row r="496" spans="1:9" ht="15.5" x14ac:dyDescent="0.35">
      <c r="A496" s="16" t="s">
        <v>1268</v>
      </c>
      <c r="B496" s="15" t="s" cm="1">
        <v>19</v>
      </c>
      <c r="C496" s="15" t="s" cm="1">
        <v>21</v>
      </c>
      <c r="D496" s="15" t="s">
        <v>1944</v>
      </c>
      <c r="E496" s="15" t="s" cm="1">
        <v>1639</v>
      </c>
      <c r="F496" s="15" t="s">
        <v>1636</v>
      </c>
      <c r="G496" s="15" t="s">
        <v>885</v>
      </c>
      <c r="H496" s="15" t="s">
        <v>1263</v>
      </c>
      <c r="I496" s="15" t="s">
        <v>1262</v>
      </c>
    </row>
    <row r="497" spans="1:9" ht="15.5" x14ac:dyDescent="0.35">
      <c r="A497" s="16" t="s">
        <v>1270</v>
      </c>
      <c r="B497" s="15" t="s" cm="1">
        <v>19</v>
      </c>
      <c r="C497" s="15" t="s" cm="1">
        <v>21</v>
      </c>
      <c r="D497" s="15" t="s">
        <v>1271</v>
      </c>
      <c r="E497" s="15" t="s" cm="1">
        <v>1639</v>
      </c>
      <c r="F497" s="15" t="s">
        <v>1636</v>
      </c>
      <c r="G497" s="15" t="s">
        <v>885</v>
      </c>
      <c r="H497" s="15" t="s">
        <v>1263</v>
      </c>
      <c r="I497" s="15" t="s">
        <v>1262</v>
      </c>
    </row>
    <row r="498" spans="1:9" ht="15.5" x14ac:dyDescent="0.35">
      <c r="A498" s="16" t="s">
        <v>1272</v>
      </c>
      <c r="B498" s="15" t="s" cm="1">
        <v>19</v>
      </c>
      <c r="C498" s="15" t="s" cm="1">
        <v>21</v>
      </c>
      <c r="D498" s="15" t="s">
        <v>1273</v>
      </c>
      <c r="E498" s="15" t="s" cm="1">
        <v>1639</v>
      </c>
      <c r="F498" s="15" t="s">
        <v>1636</v>
      </c>
      <c r="G498" s="15" t="s">
        <v>885</v>
      </c>
      <c r="H498" s="15" t="s">
        <v>1263</v>
      </c>
      <c r="I498" s="15" t="s">
        <v>1262</v>
      </c>
    </row>
    <row r="499" spans="1:9" ht="15.5" x14ac:dyDescent="0.35">
      <c r="A499" s="16" t="s">
        <v>1274</v>
      </c>
      <c r="B499" s="15" t="s" cm="1">
        <v>19</v>
      </c>
      <c r="C499" s="15" t="s" cm="1">
        <v>21</v>
      </c>
      <c r="D499" s="15" t="s">
        <v>1275</v>
      </c>
      <c r="E499" s="15" t="s" cm="1">
        <v>1639</v>
      </c>
      <c r="F499" s="15" t="s">
        <v>1636</v>
      </c>
      <c r="G499" s="15" t="s">
        <v>885</v>
      </c>
      <c r="H499" s="15" t="s">
        <v>1263</v>
      </c>
      <c r="I499" s="15" t="s">
        <v>1262</v>
      </c>
    </row>
    <row r="500" spans="1:9" ht="15.5" x14ac:dyDescent="0.35">
      <c r="A500" s="16" t="s">
        <v>1276</v>
      </c>
      <c r="B500" s="15" t="s" cm="1">
        <v>19</v>
      </c>
      <c r="C500" s="15" t="s" cm="1">
        <v>21</v>
      </c>
      <c r="D500" s="15" t="s">
        <v>1945</v>
      </c>
      <c r="E500" s="15" t="s" cm="1">
        <v>1639</v>
      </c>
      <c r="F500" s="15" t="s">
        <v>1636</v>
      </c>
      <c r="G500" s="15" t="s">
        <v>885</v>
      </c>
      <c r="H500" s="15" t="s">
        <v>1263</v>
      </c>
      <c r="I500" s="15" t="s">
        <v>1262</v>
      </c>
    </row>
    <row r="501" spans="1:9" ht="15.5" x14ac:dyDescent="0.35">
      <c r="A501" s="16" t="s">
        <v>1278</v>
      </c>
      <c r="B501" s="15" t="s" cm="1">
        <v>19</v>
      </c>
      <c r="C501" s="15" t="s" cm="1">
        <v>21</v>
      </c>
      <c r="D501" s="15" t="s">
        <v>1279</v>
      </c>
      <c r="E501" s="15" t="s" cm="1">
        <v>1639</v>
      </c>
      <c r="F501" s="15" t="s">
        <v>1636</v>
      </c>
      <c r="G501" s="15" t="s">
        <v>885</v>
      </c>
      <c r="H501" s="15" t="s">
        <v>1263</v>
      </c>
      <c r="I501" s="15" t="s">
        <v>1262</v>
      </c>
    </row>
    <row r="502" spans="1:9" ht="15.5" x14ac:dyDescent="0.35">
      <c r="A502" s="16" t="s">
        <v>1280</v>
      </c>
      <c r="B502" s="15" t="s" cm="1">
        <v>19</v>
      </c>
      <c r="C502" s="15" t="s" cm="1">
        <v>21</v>
      </c>
      <c r="D502" s="15" t="s">
        <v>1946</v>
      </c>
      <c r="E502" s="15" t="s" cm="1">
        <v>1639</v>
      </c>
      <c r="F502" s="15" t="s">
        <v>1636</v>
      </c>
      <c r="G502" s="15" t="s">
        <v>885</v>
      </c>
      <c r="H502" s="15" t="s">
        <v>1263</v>
      </c>
      <c r="I502" s="15" t="s">
        <v>1262</v>
      </c>
    </row>
    <row r="503" spans="1:9" ht="15.5" x14ac:dyDescent="0.35">
      <c r="A503" s="16" t="s">
        <v>1282</v>
      </c>
      <c r="B503" s="15" t="s" cm="1">
        <v>19</v>
      </c>
      <c r="C503" s="15" t="s" cm="1">
        <v>21</v>
      </c>
      <c r="D503" s="15" t="s">
        <v>1947</v>
      </c>
      <c r="E503" s="15" t="s" cm="1">
        <v>1639</v>
      </c>
      <c r="F503" s="15" t="s">
        <v>1636</v>
      </c>
      <c r="G503" s="15" t="s">
        <v>885</v>
      </c>
      <c r="H503" s="15" t="s">
        <v>1263</v>
      </c>
      <c r="I503" s="15" t="s">
        <v>1262</v>
      </c>
    </row>
    <row r="504" spans="1:9" ht="15.5" x14ac:dyDescent="0.35">
      <c r="A504" s="16" t="s">
        <v>1284</v>
      </c>
      <c r="B504" s="15" t="s" cm="1">
        <v>19</v>
      </c>
      <c r="C504" s="15" t="s" cm="1">
        <v>21</v>
      </c>
      <c r="D504" s="15" t="s">
        <v>1285</v>
      </c>
      <c r="E504" s="15" t="s" cm="1">
        <v>1639</v>
      </c>
      <c r="F504" s="15" t="s">
        <v>1636</v>
      </c>
      <c r="G504" s="15" t="s">
        <v>885</v>
      </c>
      <c r="H504" s="15" t="s">
        <v>1263</v>
      </c>
      <c r="I504" s="15" t="s">
        <v>1262</v>
      </c>
    </row>
    <row r="505" spans="1:9" ht="15.5" x14ac:dyDescent="0.35">
      <c r="A505" s="16" t="s">
        <v>1286</v>
      </c>
      <c r="B505" s="15" t="s" cm="1">
        <v>19</v>
      </c>
      <c r="C505" s="15" t="s" cm="1">
        <v>21</v>
      </c>
      <c r="D505" s="15" t="s">
        <v>1287</v>
      </c>
      <c r="E505" s="15" t="s" cm="1">
        <v>1639</v>
      </c>
      <c r="F505" s="15" t="s">
        <v>1636</v>
      </c>
      <c r="G505" s="15" t="s">
        <v>885</v>
      </c>
      <c r="H505" s="15" t="s">
        <v>1263</v>
      </c>
      <c r="I505" s="15" t="s">
        <v>1262</v>
      </c>
    </row>
    <row r="506" spans="1:9" ht="15.5" x14ac:dyDescent="0.35">
      <c r="A506" s="16" t="s">
        <v>1288</v>
      </c>
      <c r="B506" s="15" t="s" cm="1">
        <v>19</v>
      </c>
      <c r="C506" s="15" t="s" cm="1">
        <v>21</v>
      </c>
      <c r="D506" s="15" t="s">
        <v>1289</v>
      </c>
      <c r="E506" s="15" t="s" cm="1">
        <v>1639</v>
      </c>
      <c r="F506" s="15" t="s">
        <v>1636</v>
      </c>
      <c r="G506" s="15" t="s">
        <v>885</v>
      </c>
      <c r="H506" s="15" t="s">
        <v>1263</v>
      </c>
      <c r="I506" s="15" t="s">
        <v>1262</v>
      </c>
    </row>
    <row r="507" spans="1:9" ht="15.5" x14ac:dyDescent="0.35">
      <c r="A507" s="16" t="s">
        <v>1290</v>
      </c>
      <c r="B507" s="15" t="s" cm="1">
        <v>19</v>
      </c>
      <c r="C507" s="15" t="s" cm="1">
        <v>21</v>
      </c>
      <c r="D507" s="15" t="s">
        <v>1291</v>
      </c>
      <c r="E507" s="15" t="s" cm="1">
        <v>1639</v>
      </c>
      <c r="F507" s="15" t="s">
        <v>1636</v>
      </c>
      <c r="G507" s="15" t="s">
        <v>885</v>
      </c>
      <c r="H507" s="15" t="s">
        <v>1263</v>
      </c>
      <c r="I507" s="15" t="s">
        <v>1262</v>
      </c>
    </row>
    <row r="508" spans="1:9" ht="15.5" x14ac:dyDescent="0.35">
      <c r="A508" s="16" t="s">
        <v>1292</v>
      </c>
      <c r="B508" s="15" t="s" cm="1">
        <v>19</v>
      </c>
      <c r="C508" s="15" t="s" cm="1">
        <v>21</v>
      </c>
      <c r="D508" s="15" t="s">
        <v>1293</v>
      </c>
      <c r="E508" s="15" t="s" cm="1">
        <v>1639</v>
      </c>
      <c r="F508" s="15" t="s">
        <v>1636</v>
      </c>
      <c r="G508" s="15" t="s">
        <v>885</v>
      </c>
      <c r="H508" s="15" t="s">
        <v>1263</v>
      </c>
      <c r="I508" s="15" t="s">
        <v>1262</v>
      </c>
    </row>
    <row r="509" spans="1:9" ht="15.5" x14ac:dyDescent="0.35">
      <c r="A509" s="16" t="s">
        <v>1294</v>
      </c>
      <c r="B509" s="15" t="s" cm="1">
        <v>19</v>
      </c>
      <c r="C509" s="15" t="s" cm="1">
        <v>21</v>
      </c>
      <c r="D509" s="15" t="s">
        <v>1295</v>
      </c>
      <c r="E509" s="15" t="s" cm="1">
        <v>1639</v>
      </c>
      <c r="F509" s="15" t="s">
        <v>1636</v>
      </c>
      <c r="G509" s="15" t="s">
        <v>885</v>
      </c>
      <c r="H509" s="15" t="s">
        <v>1263</v>
      </c>
      <c r="I509" s="15" t="s">
        <v>1262</v>
      </c>
    </row>
    <row r="510" spans="1:9" ht="15.5" x14ac:dyDescent="0.35">
      <c r="A510" s="16" t="s">
        <v>1296</v>
      </c>
      <c r="B510" s="15" t="s" cm="1">
        <v>19</v>
      </c>
      <c r="C510" s="15" t="s" cm="1">
        <v>21</v>
      </c>
      <c r="D510" s="15" t="s">
        <v>1948</v>
      </c>
      <c r="E510" s="15" t="s" cm="1">
        <v>1639</v>
      </c>
      <c r="F510" s="15" t="s">
        <v>1636</v>
      </c>
      <c r="G510" s="15" t="s">
        <v>885</v>
      </c>
      <c r="H510" s="15" t="s">
        <v>1263</v>
      </c>
      <c r="I510" s="15" t="s">
        <v>1262</v>
      </c>
    </row>
    <row r="511" spans="1:9" ht="15.5" x14ac:dyDescent="0.35">
      <c r="A511" s="16" t="s">
        <v>1298</v>
      </c>
      <c r="B511" s="15" t="s" cm="1">
        <v>19</v>
      </c>
      <c r="C511" s="15" t="s" cm="1">
        <v>21</v>
      </c>
      <c r="D511" s="15" t="s">
        <v>1949</v>
      </c>
      <c r="E511" s="15" t="s" cm="1">
        <v>1639</v>
      </c>
      <c r="F511" s="15" t="s">
        <v>1636</v>
      </c>
      <c r="G511" s="15" t="s">
        <v>885</v>
      </c>
      <c r="H511" s="15" t="s">
        <v>1263</v>
      </c>
      <c r="I511" s="15" t="s">
        <v>1262</v>
      </c>
    </row>
    <row r="512" spans="1:9" ht="15.5" x14ac:dyDescent="0.35">
      <c r="A512" s="16" t="s">
        <v>1300</v>
      </c>
      <c r="B512" s="15" t="s" cm="1">
        <v>19</v>
      </c>
      <c r="C512" s="15" t="s" cm="1">
        <v>21</v>
      </c>
      <c r="D512" s="15" t="s">
        <v>1301</v>
      </c>
      <c r="E512" s="15" t="s" cm="1">
        <v>1639</v>
      </c>
      <c r="F512" s="15" t="s">
        <v>1636</v>
      </c>
      <c r="G512" s="15" t="s">
        <v>885</v>
      </c>
      <c r="H512" s="15" t="s">
        <v>1263</v>
      </c>
      <c r="I512" s="15" t="s">
        <v>1262</v>
      </c>
    </row>
    <row r="513" spans="1:9" ht="15.5" x14ac:dyDescent="0.35">
      <c r="A513" s="16" t="s">
        <v>1302</v>
      </c>
      <c r="B513" s="15" t="s" cm="1">
        <v>19</v>
      </c>
      <c r="C513" s="15" t="s" cm="1">
        <v>21</v>
      </c>
      <c r="D513" s="15" t="s">
        <v>1950</v>
      </c>
      <c r="E513" s="15" t="s" cm="1">
        <v>1639</v>
      </c>
      <c r="F513" s="15" t="s">
        <v>1636</v>
      </c>
      <c r="G513" s="15" t="s">
        <v>885</v>
      </c>
      <c r="H513" s="15" t="s">
        <v>1263</v>
      </c>
      <c r="I513" s="15" t="s">
        <v>1262</v>
      </c>
    </row>
    <row r="514" spans="1:9" ht="15.5" x14ac:dyDescent="0.35">
      <c r="A514" s="16" t="s">
        <v>1304</v>
      </c>
      <c r="B514" s="15" t="s" cm="1">
        <v>19</v>
      </c>
      <c r="C514" s="15" t="s" cm="1">
        <v>21</v>
      </c>
      <c r="D514" s="15" t="s">
        <v>1951</v>
      </c>
      <c r="E514" s="15" t="s" cm="1">
        <v>1639</v>
      </c>
      <c r="F514" s="15" t="s">
        <v>1636</v>
      </c>
      <c r="G514" s="15" t="s">
        <v>885</v>
      </c>
      <c r="H514" s="15" t="s">
        <v>1263</v>
      </c>
      <c r="I514" s="15" t="s">
        <v>1262</v>
      </c>
    </row>
    <row r="515" spans="1:9" ht="15.5" x14ac:dyDescent="0.35">
      <c r="A515" s="16" t="s">
        <v>1306</v>
      </c>
      <c r="B515" s="15" t="s" cm="1">
        <v>19</v>
      </c>
      <c r="C515" s="15" t="s" cm="1">
        <v>21</v>
      </c>
      <c r="D515" s="15" t="s">
        <v>1307</v>
      </c>
      <c r="E515" s="15" t="s" cm="1">
        <v>1639</v>
      </c>
      <c r="F515" s="15" t="s">
        <v>1636</v>
      </c>
      <c r="G515" s="15" t="s">
        <v>885</v>
      </c>
      <c r="H515" s="15" t="s">
        <v>1263</v>
      </c>
      <c r="I515" s="15" t="s">
        <v>1262</v>
      </c>
    </row>
    <row r="516" spans="1:9" ht="15.5" x14ac:dyDescent="0.35">
      <c r="A516" s="16" t="s">
        <v>1308</v>
      </c>
      <c r="B516" s="15" t="s" cm="1">
        <v>19</v>
      </c>
      <c r="C516" s="15" t="s" cm="1">
        <v>21</v>
      </c>
      <c r="D516" s="15" t="s">
        <v>1952</v>
      </c>
      <c r="E516" s="15" t="s" cm="1">
        <v>1639</v>
      </c>
      <c r="F516" s="15" t="s">
        <v>1636</v>
      </c>
      <c r="G516" s="15" t="s">
        <v>885</v>
      </c>
      <c r="H516" s="15" t="s">
        <v>1263</v>
      </c>
      <c r="I516" s="15" t="s">
        <v>1262</v>
      </c>
    </row>
    <row r="517" spans="1:9" ht="15.5" x14ac:dyDescent="0.35">
      <c r="A517" s="16" t="s">
        <v>1310</v>
      </c>
      <c r="B517" s="15" t="s" cm="1">
        <v>19</v>
      </c>
      <c r="C517" s="15" t="s" cm="1">
        <v>21</v>
      </c>
      <c r="D517" s="15" t="s">
        <v>1311</v>
      </c>
      <c r="E517" s="15" t="s" cm="1">
        <v>1639</v>
      </c>
      <c r="F517" s="15" t="s">
        <v>1636</v>
      </c>
      <c r="G517" s="15" t="s">
        <v>885</v>
      </c>
      <c r="H517" s="15" t="s">
        <v>1263</v>
      </c>
      <c r="I517" s="15" t="s">
        <v>1262</v>
      </c>
    </row>
    <row r="518" spans="1:9" ht="15.5" x14ac:dyDescent="0.35">
      <c r="A518" s="16" t="s">
        <v>1312</v>
      </c>
      <c r="B518" s="15" t="s" cm="1">
        <v>19</v>
      </c>
      <c r="C518" s="15" t="s" cm="1">
        <v>21</v>
      </c>
      <c r="D518" s="15" t="s">
        <v>1953</v>
      </c>
      <c r="E518" s="15" t="s" cm="1">
        <v>1639</v>
      </c>
      <c r="F518" s="15" t="s">
        <v>1636</v>
      </c>
      <c r="G518" s="15" t="s">
        <v>885</v>
      </c>
      <c r="H518" s="15" t="s">
        <v>1263</v>
      </c>
      <c r="I518" s="15" t="s">
        <v>1262</v>
      </c>
    </row>
    <row r="519" spans="1:9" ht="15.5" x14ac:dyDescent="0.35">
      <c r="A519" s="16" t="s">
        <v>1314</v>
      </c>
      <c r="B519" s="15" t="s" cm="1">
        <v>19</v>
      </c>
      <c r="C519" s="15" t="s" cm="1">
        <v>21</v>
      </c>
      <c r="D519" s="15" t="s">
        <v>1954</v>
      </c>
      <c r="E519" s="15" t="s" cm="1">
        <v>1639</v>
      </c>
      <c r="F519" s="15" t="s">
        <v>1636</v>
      </c>
      <c r="G519" s="15" t="s">
        <v>885</v>
      </c>
      <c r="H519" s="15" t="s">
        <v>1263</v>
      </c>
      <c r="I519" s="15" t="s">
        <v>1262</v>
      </c>
    </row>
    <row r="520" spans="1:9" ht="15.5" x14ac:dyDescent="0.35">
      <c r="A520" s="16" t="s">
        <v>1316</v>
      </c>
      <c r="B520" s="15" t="s" cm="1">
        <v>19</v>
      </c>
      <c r="C520" s="15" t="s" cm="1">
        <v>21</v>
      </c>
      <c r="D520" s="15" t="s">
        <v>1317</v>
      </c>
      <c r="E520" s="15" t="s" cm="1">
        <v>1639</v>
      </c>
      <c r="F520" s="15" t="s">
        <v>1636</v>
      </c>
      <c r="G520" s="15" t="s">
        <v>885</v>
      </c>
      <c r="H520" s="15" t="s">
        <v>1263</v>
      </c>
      <c r="I520" s="15" t="s">
        <v>1262</v>
      </c>
    </row>
    <row r="521" spans="1:9" ht="15.5" x14ac:dyDescent="0.35">
      <c r="A521" s="16" t="s">
        <v>1318</v>
      </c>
      <c r="B521" s="15" t="s" cm="1">
        <v>19</v>
      </c>
      <c r="C521" s="15" t="s" cm="1">
        <v>21</v>
      </c>
      <c r="D521" s="15" t="s">
        <v>1319</v>
      </c>
      <c r="E521" s="15" t="s" cm="1">
        <v>1639</v>
      </c>
      <c r="F521" s="15" t="s">
        <v>1636</v>
      </c>
      <c r="G521" s="15" t="s">
        <v>885</v>
      </c>
      <c r="H521" s="15" t="s">
        <v>1263</v>
      </c>
      <c r="I521" s="15" t="s">
        <v>1262</v>
      </c>
    </row>
    <row r="522" spans="1:9" ht="15.5" x14ac:dyDescent="0.35">
      <c r="A522" s="16" t="s">
        <v>1320</v>
      </c>
      <c r="B522" s="15" t="s" cm="1">
        <v>19</v>
      </c>
      <c r="C522" s="15" t="s" cm="1">
        <v>21</v>
      </c>
      <c r="D522" s="15" t="s">
        <v>1955</v>
      </c>
      <c r="E522" s="15" t="s" cm="1">
        <v>1639</v>
      </c>
      <c r="F522" s="15" t="s">
        <v>1636</v>
      </c>
      <c r="G522" s="15" t="s">
        <v>885</v>
      </c>
      <c r="H522" s="15" t="s">
        <v>1263</v>
      </c>
      <c r="I522" s="15" t="s">
        <v>1262</v>
      </c>
    </row>
    <row r="523" spans="1:9" ht="15.5" x14ac:dyDescent="0.35">
      <c r="A523" s="16" t="s">
        <v>1322</v>
      </c>
      <c r="B523" s="15" t="s" cm="1">
        <v>19</v>
      </c>
      <c r="C523" s="15" t="s" cm="1">
        <v>21</v>
      </c>
      <c r="D523" s="15" t="s">
        <v>1956</v>
      </c>
      <c r="E523" s="15" t="s" cm="1">
        <v>1639</v>
      </c>
      <c r="F523" s="15" t="s">
        <v>1638</v>
      </c>
      <c r="G523" s="15" t="s">
        <v>1074</v>
      </c>
      <c r="H523" s="15" t="s">
        <v>58</v>
      </c>
      <c r="I523" s="15" t="s">
        <v>57</v>
      </c>
    </row>
    <row r="524" spans="1:9" ht="15.5" x14ac:dyDescent="0.35">
      <c r="A524" s="16" t="s">
        <v>1324</v>
      </c>
      <c r="B524" s="15" t="s" cm="1">
        <v>19</v>
      </c>
      <c r="C524" s="15" t="s" cm="1">
        <v>21</v>
      </c>
      <c r="D524" s="15" t="s">
        <v>78</v>
      </c>
      <c r="E524" s="15" t="s" cm="1">
        <v>1639</v>
      </c>
      <c r="F524" s="15" t="s">
        <v>1638</v>
      </c>
      <c r="G524" s="15" t="s">
        <v>1325</v>
      </c>
      <c r="H524" s="15" t="s">
        <v>58</v>
      </c>
      <c r="I524" s="15" t="s">
        <v>57</v>
      </c>
    </row>
    <row r="525" spans="1:9" ht="15.5" x14ac:dyDescent="0.35">
      <c r="A525" s="16" t="s">
        <v>1326</v>
      </c>
      <c r="B525" s="15" t="s" cm="1">
        <v>19</v>
      </c>
      <c r="C525" s="15" t="s" cm="1">
        <v>21</v>
      </c>
      <c r="D525" s="15" t="s">
        <v>1327</v>
      </c>
      <c r="E525" s="15" t="s" cm="1">
        <v>1639</v>
      </c>
      <c r="F525" s="15" t="s">
        <v>1638</v>
      </c>
      <c r="G525" s="15" t="s">
        <v>1074</v>
      </c>
      <c r="H525" s="15" t="s">
        <v>52</v>
      </c>
      <c r="I525" s="15" t="s">
        <v>51</v>
      </c>
    </row>
    <row r="526" spans="1:9" ht="15.5" x14ac:dyDescent="0.35">
      <c r="A526" s="16" t="s">
        <v>1328</v>
      </c>
      <c r="B526" s="15" t="s" cm="1">
        <v>19</v>
      </c>
      <c r="C526" s="15" t="s" cm="1">
        <v>21</v>
      </c>
      <c r="D526" s="15" t="s">
        <v>1329</v>
      </c>
      <c r="E526" s="15" t="s" cm="1">
        <v>1639</v>
      </c>
      <c r="F526" s="15" t="s">
        <v>1638</v>
      </c>
      <c r="G526" s="15" t="s">
        <v>1074</v>
      </c>
      <c r="H526" s="15" t="s">
        <v>52</v>
      </c>
      <c r="I526" s="15" t="s">
        <v>51</v>
      </c>
    </row>
    <row r="527" spans="1:9" ht="15.5" x14ac:dyDescent="0.35">
      <c r="A527" s="16" t="s">
        <v>1330</v>
      </c>
      <c r="B527" s="15" t="s" cm="1">
        <v>19</v>
      </c>
      <c r="C527" s="15" t="s" cm="1">
        <v>21</v>
      </c>
      <c r="D527" s="15" t="s">
        <v>1162</v>
      </c>
      <c r="E527" s="15" t="s" cm="1">
        <v>1639</v>
      </c>
      <c r="F527" s="15" t="s">
        <v>1638</v>
      </c>
      <c r="G527" s="15" t="s">
        <v>1074</v>
      </c>
      <c r="H527" s="15" t="s">
        <v>29</v>
      </c>
      <c r="I527" s="15" t="s">
        <v>28</v>
      </c>
    </row>
    <row r="528" spans="1:9" ht="15.5" x14ac:dyDescent="0.35">
      <c r="A528" s="16" t="s">
        <v>1331</v>
      </c>
      <c r="B528" s="15" t="s" cm="1">
        <v>19</v>
      </c>
      <c r="C528" s="15" t="s" cm="1">
        <v>21</v>
      </c>
      <c r="D528" s="15" t="s">
        <v>1957</v>
      </c>
      <c r="E528" s="15" t="s" cm="1">
        <v>1639</v>
      </c>
      <c r="F528" s="15" t="s">
        <v>1638</v>
      </c>
      <c r="G528" s="15" t="s">
        <v>1074</v>
      </c>
      <c r="H528" s="15" t="s">
        <v>52</v>
      </c>
      <c r="I528" s="15" t="s">
        <v>51</v>
      </c>
    </row>
    <row r="529" spans="1:9" ht="15.5" x14ac:dyDescent="0.35">
      <c r="A529" s="16" t="s">
        <v>1333</v>
      </c>
      <c r="B529" s="15" t="s" cm="1">
        <v>19</v>
      </c>
      <c r="C529" s="15" t="s" cm="1">
        <v>21</v>
      </c>
      <c r="D529" s="15" t="s">
        <v>1334</v>
      </c>
      <c r="E529" s="15" t="s" cm="1">
        <v>1639</v>
      </c>
      <c r="F529" s="15" t="s">
        <v>1638</v>
      </c>
      <c r="G529" s="15" t="s">
        <v>1074</v>
      </c>
      <c r="H529" s="15" t="s">
        <v>52</v>
      </c>
      <c r="I529" s="15" t="s">
        <v>51</v>
      </c>
    </row>
    <row r="530" spans="1:9" ht="15.5" x14ac:dyDescent="0.35">
      <c r="A530" s="16" t="s">
        <v>1335</v>
      </c>
      <c r="B530" s="15" t="s" cm="1">
        <v>19</v>
      </c>
      <c r="C530" s="15" t="s" cm="1">
        <v>21</v>
      </c>
      <c r="D530" s="15" t="s">
        <v>1336</v>
      </c>
      <c r="E530" s="15" t="s" cm="1">
        <v>1639</v>
      </c>
      <c r="F530" s="15" t="s">
        <v>1638</v>
      </c>
      <c r="G530" s="15" t="s">
        <v>1074</v>
      </c>
      <c r="H530" s="15" t="s">
        <v>58</v>
      </c>
      <c r="I530" s="15" t="s">
        <v>57</v>
      </c>
    </row>
    <row r="531" spans="1:9" ht="15.5" x14ac:dyDescent="0.35">
      <c r="A531" s="16" t="s">
        <v>1337</v>
      </c>
      <c r="B531" s="15" t="s" cm="1">
        <v>19</v>
      </c>
      <c r="C531" s="15" t="s" cm="1">
        <v>21</v>
      </c>
      <c r="D531" s="15" t="s">
        <v>1338</v>
      </c>
      <c r="E531" s="15" t="s" cm="1">
        <v>1639</v>
      </c>
      <c r="F531" s="15" t="s">
        <v>1638</v>
      </c>
      <c r="G531" s="15" t="s">
        <v>1074</v>
      </c>
      <c r="H531" s="15" t="s">
        <v>58</v>
      </c>
      <c r="I531" s="15" t="s">
        <v>57</v>
      </c>
    </row>
    <row r="532" spans="1:9" ht="15.5" x14ac:dyDescent="0.35">
      <c r="A532" s="16" t="s">
        <v>1339</v>
      </c>
      <c r="B532" s="15" t="s" cm="1">
        <v>19</v>
      </c>
      <c r="C532" s="15" t="s" cm="1">
        <v>21</v>
      </c>
      <c r="D532" s="15" t="s">
        <v>1340</v>
      </c>
      <c r="E532" s="15" t="s" cm="1">
        <v>1639</v>
      </c>
      <c r="F532" s="15" t="s">
        <v>1636</v>
      </c>
      <c r="G532" s="15" t="s">
        <v>1155</v>
      </c>
      <c r="H532" s="15" t="s">
        <v>585</v>
      </c>
      <c r="I532" s="15" t="s">
        <v>584</v>
      </c>
    </row>
    <row r="533" spans="1:9" ht="15.5" x14ac:dyDescent="0.35">
      <c r="A533" s="16" t="s">
        <v>1341</v>
      </c>
      <c r="B533" s="15" t="s" cm="1">
        <v>19</v>
      </c>
      <c r="C533" s="15" t="s" cm="1">
        <v>21</v>
      </c>
      <c r="D533" s="15" t="s">
        <v>1958</v>
      </c>
      <c r="E533" s="15" t="s" cm="1">
        <v>1635</v>
      </c>
      <c r="F533" s="15" t="s">
        <v>1641</v>
      </c>
      <c r="G533" s="15" t="s">
        <v>926</v>
      </c>
      <c r="H533" s="15" t="s">
        <v>29</v>
      </c>
      <c r="I533" s="15" t="s">
        <v>28</v>
      </c>
    </row>
    <row r="534" spans="1:9" ht="15.5" x14ac:dyDescent="0.35">
      <c r="A534" s="16" t="s">
        <v>1343</v>
      </c>
      <c r="B534" s="15" t="s" cm="1">
        <v>19</v>
      </c>
      <c r="C534" s="15" t="s" cm="1">
        <v>21</v>
      </c>
      <c r="D534" s="15" t="s">
        <v>1345</v>
      </c>
      <c r="E534" s="15" t="s" cm="1">
        <v>1635</v>
      </c>
      <c r="F534" s="15" t="s">
        <v>1693</v>
      </c>
      <c r="G534" s="15" t="s">
        <v>1344</v>
      </c>
      <c r="H534" s="15" t="s">
        <v>52</v>
      </c>
      <c r="I534" s="15" t="s">
        <v>51</v>
      </c>
    </row>
    <row r="535" spans="1:9" ht="15.5" x14ac:dyDescent="0.35">
      <c r="A535" s="16" t="s">
        <v>1346</v>
      </c>
      <c r="B535" s="15" t="s" cm="1">
        <v>19</v>
      </c>
      <c r="C535" s="15" t="s" cm="1">
        <v>21</v>
      </c>
      <c r="D535" s="15" t="s">
        <v>1347</v>
      </c>
      <c r="E535" s="15" t="s" cm="1">
        <v>1635</v>
      </c>
      <c r="F535" s="15" t="s">
        <v>1693</v>
      </c>
      <c r="G535" s="15" t="s">
        <v>1344</v>
      </c>
      <c r="H535" s="15" t="s">
        <v>52</v>
      </c>
      <c r="I535" s="15" t="s">
        <v>51</v>
      </c>
    </row>
    <row r="536" spans="1:9" ht="15.5" x14ac:dyDescent="0.35">
      <c r="A536" s="16" t="s">
        <v>1348</v>
      </c>
      <c r="B536" s="15" t="s" cm="1">
        <v>19</v>
      </c>
      <c r="C536" s="15" t="s" cm="1">
        <v>21</v>
      </c>
      <c r="D536" s="15" t="s">
        <v>1234</v>
      </c>
      <c r="E536" s="15" t="s" cm="1">
        <v>1635</v>
      </c>
      <c r="F536" s="15" t="s">
        <v>1693</v>
      </c>
      <c r="G536" s="15" t="s">
        <v>1344</v>
      </c>
      <c r="H536" s="15" t="s">
        <v>52</v>
      </c>
      <c r="I536" s="15" t="s">
        <v>51</v>
      </c>
    </row>
    <row r="537" spans="1:9" ht="15.5" x14ac:dyDescent="0.35">
      <c r="A537" s="16" t="s">
        <v>1349</v>
      </c>
      <c r="B537" s="15" t="s" cm="1">
        <v>19</v>
      </c>
      <c r="C537" s="15" t="s" cm="1">
        <v>21</v>
      </c>
      <c r="D537" s="15" t="s">
        <v>1350</v>
      </c>
      <c r="E537" s="15" t="s" cm="1">
        <v>1635</v>
      </c>
      <c r="F537" s="15" t="s">
        <v>1693</v>
      </c>
      <c r="G537" s="15" t="s">
        <v>1344</v>
      </c>
      <c r="H537" s="15" t="s">
        <v>52</v>
      </c>
      <c r="I537" s="15" t="s">
        <v>51</v>
      </c>
    </row>
    <row r="538" spans="1:9" ht="15.5" x14ac:dyDescent="0.35">
      <c r="A538" s="16" t="s">
        <v>1351</v>
      </c>
      <c r="B538" s="15" t="s" cm="1">
        <v>19</v>
      </c>
      <c r="C538" s="15" t="s" cm="1">
        <v>21</v>
      </c>
      <c r="D538" s="15" t="s">
        <v>1353</v>
      </c>
      <c r="E538" s="15" t="s" cm="1">
        <v>1635</v>
      </c>
      <c r="F538" s="15" t="s">
        <v>1693</v>
      </c>
      <c r="G538" s="15" t="s">
        <v>1352</v>
      </c>
      <c r="H538" s="15" t="s">
        <v>35</v>
      </c>
      <c r="I538" s="15" t="s">
        <v>34</v>
      </c>
    </row>
    <row r="539" spans="1:9" ht="15.5" x14ac:dyDescent="0.35">
      <c r="A539" s="16" t="s">
        <v>1354</v>
      </c>
      <c r="B539" s="15" t="s" cm="1">
        <v>19</v>
      </c>
      <c r="C539" s="15" t="s" cm="1">
        <v>21</v>
      </c>
      <c r="D539" s="15" t="s">
        <v>1355</v>
      </c>
      <c r="E539" s="15" t="s" cm="1">
        <v>1635</v>
      </c>
      <c r="F539" s="15" t="s">
        <v>1693</v>
      </c>
      <c r="G539" s="15" t="s">
        <v>1352</v>
      </c>
      <c r="H539" s="15" t="s">
        <v>52</v>
      </c>
      <c r="I539" s="15" t="s">
        <v>51</v>
      </c>
    </row>
    <row r="540" spans="1:9" ht="15.5" x14ac:dyDescent="0.35">
      <c r="A540" s="16" t="s">
        <v>1356</v>
      </c>
      <c r="B540" s="15" t="s" cm="1">
        <v>19</v>
      </c>
      <c r="C540" s="15" t="s" cm="1">
        <v>21</v>
      </c>
      <c r="D540" s="15" t="s">
        <v>1959</v>
      </c>
      <c r="E540" s="15" t="s" cm="1">
        <v>1635</v>
      </c>
      <c r="F540" s="15" t="s">
        <v>1693</v>
      </c>
      <c r="G540" s="15" t="s">
        <v>1352</v>
      </c>
      <c r="H540" s="15" t="s">
        <v>52</v>
      </c>
      <c r="I540" s="15" t="s">
        <v>51</v>
      </c>
    </row>
    <row r="541" spans="1:9" ht="15.5" x14ac:dyDescent="0.35">
      <c r="A541" s="16" t="s">
        <v>1358</v>
      </c>
      <c r="B541" s="15" t="s" cm="1">
        <v>19</v>
      </c>
      <c r="C541" s="15" t="s" cm="1">
        <v>21</v>
      </c>
      <c r="D541" s="15" t="s">
        <v>1359</v>
      </c>
      <c r="E541" s="15" t="s" cm="1">
        <v>1635</v>
      </c>
      <c r="F541" s="15" t="s">
        <v>1693</v>
      </c>
      <c r="G541" s="15" t="s">
        <v>1352</v>
      </c>
      <c r="H541" s="15" t="s">
        <v>52</v>
      </c>
      <c r="I541" s="15" t="s">
        <v>51</v>
      </c>
    </row>
    <row r="542" spans="1:9" ht="15.5" x14ac:dyDescent="0.35">
      <c r="A542" s="16" t="s">
        <v>1360</v>
      </c>
      <c r="B542" s="15" t="s" cm="1">
        <v>19</v>
      </c>
      <c r="C542" s="15" t="s" cm="1">
        <v>21</v>
      </c>
      <c r="D542" s="15" t="s">
        <v>1353</v>
      </c>
      <c r="E542" s="15" t="s" cm="1">
        <v>1635</v>
      </c>
      <c r="F542" s="15" t="s">
        <v>1693</v>
      </c>
      <c r="G542" s="15" t="s">
        <v>1361</v>
      </c>
      <c r="H542" s="15" t="s">
        <v>35</v>
      </c>
      <c r="I542" s="15" t="s">
        <v>34</v>
      </c>
    </row>
    <row r="543" spans="1:9" ht="15.5" x14ac:dyDescent="0.35">
      <c r="A543" s="16" t="s">
        <v>1362</v>
      </c>
      <c r="B543" s="15" t="s" cm="1">
        <v>19</v>
      </c>
      <c r="C543" s="15" t="s" cm="1">
        <v>21</v>
      </c>
      <c r="D543" s="15" t="s">
        <v>1960</v>
      </c>
      <c r="E543" s="15" t="s" cm="1">
        <v>1635</v>
      </c>
      <c r="F543" s="15" t="s">
        <v>1693</v>
      </c>
      <c r="G543" s="15" t="s">
        <v>1361</v>
      </c>
      <c r="H543" s="15" t="s">
        <v>58</v>
      </c>
      <c r="I543" s="15" t="s">
        <v>57</v>
      </c>
    </row>
    <row r="544" spans="1:9" ht="15.5" x14ac:dyDescent="0.35">
      <c r="A544" s="16" t="s">
        <v>1364</v>
      </c>
      <c r="B544" s="15" t="s" cm="1">
        <v>19</v>
      </c>
      <c r="C544" s="15" t="s" cm="1">
        <v>21</v>
      </c>
      <c r="D544" s="15" t="s">
        <v>1170</v>
      </c>
      <c r="E544" s="15" t="s" cm="1">
        <v>1635</v>
      </c>
      <c r="F544" s="15" t="s">
        <v>1693</v>
      </c>
      <c r="G544" s="15" t="s">
        <v>1361</v>
      </c>
      <c r="H544" s="15" t="s">
        <v>52</v>
      </c>
      <c r="I544" s="15" t="s">
        <v>51</v>
      </c>
    </row>
    <row r="545" spans="1:9" ht="15.5" x14ac:dyDescent="0.35">
      <c r="A545" s="16" t="s">
        <v>1365</v>
      </c>
      <c r="B545" s="15" t="s" cm="1">
        <v>19</v>
      </c>
      <c r="C545" s="15" t="s" cm="1">
        <v>21</v>
      </c>
      <c r="D545" s="15" t="s">
        <v>1367</v>
      </c>
      <c r="E545" s="15" t="s" cm="1">
        <v>1635</v>
      </c>
      <c r="F545" s="15" t="s">
        <v>1693</v>
      </c>
      <c r="G545" s="15" t="s">
        <v>1366</v>
      </c>
      <c r="H545" s="15" t="s">
        <v>35</v>
      </c>
      <c r="I545" s="15" t="s">
        <v>34</v>
      </c>
    </row>
    <row r="546" spans="1:9" ht="15.5" x14ac:dyDescent="0.35">
      <c r="A546" s="16" t="s">
        <v>1368</v>
      </c>
      <c r="B546" s="15" t="s" cm="1">
        <v>19</v>
      </c>
      <c r="C546" s="15" t="s" cm="1">
        <v>21</v>
      </c>
      <c r="D546" s="15" t="s">
        <v>96</v>
      </c>
      <c r="E546" s="15" t="s" cm="1">
        <v>1635</v>
      </c>
      <c r="F546" s="15" t="s">
        <v>1693</v>
      </c>
      <c r="G546" s="15" t="s">
        <v>1366</v>
      </c>
      <c r="H546" s="15" t="s">
        <v>52</v>
      </c>
      <c r="I546" s="15" t="s">
        <v>51</v>
      </c>
    </row>
    <row r="547" spans="1:9" ht="15.5" x14ac:dyDescent="0.35">
      <c r="A547" s="16" t="s">
        <v>1369</v>
      </c>
      <c r="B547" s="15" t="s" cm="1">
        <v>19</v>
      </c>
      <c r="C547" s="15" t="s" cm="1">
        <v>21</v>
      </c>
      <c r="D547" s="15" t="s">
        <v>1371</v>
      </c>
      <c r="E547" s="15" t="s" cm="1">
        <v>1635</v>
      </c>
      <c r="F547" s="15" t="s">
        <v>1693</v>
      </c>
      <c r="G547" s="15" t="s">
        <v>1370</v>
      </c>
      <c r="H547" s="15" t="s">
        <v>52</v>
      </c>
      <c r="I547" s="15" t="s">
        <v>51</v>
      </c>
    </row>
    <row r="548" spans="1:9" ht="15.5" x14ac:dyDescent="0.35">
      <c r="A548" s="16" t="s">
        <v>1372</v>
      </c>
      <c r="B548" s="15" t="s" cm="1">
        <v>19</v>
      </c>
      <c r="C548" s="15" t="s" cm="1">
        <v>21</v>
      </c>
      <c r="D548" s="15" t="s">
        <v>1373</v>
      </c>
      <c r="E548" s="15" t="s" cm="1">
        <v>1635</v>
      </c>
      <c r="F548" s="15" t="s">
        <v>1693</v>
      </c>
      <c r="G548" s="15" t="s">
        <v>1370</v>
      </c>
      <c r="H548" s="15" t="s">
        <v>52</v>
      </c>
      <c r="I548" s="15" t="s">
        <v>51</v>
      </c>
    </row>
    <row r="549" spans="1:9" ht="15.5" x14ac:dyDescent="0.35">
      <c r="A549" s="16" t="s">
        <v>1374</v>
      </c>
      <c r="B549" s="15" t="s" cm="1">
        <v>19</v>
      </c>
      <c r="C549" s="15" t="s" cm="1">
        <v>21</v>
      </c>
      <c r="D549" s="15" t="s">
        <v>1376</v>
      </c>
      <c r="E549" s="15" t="s" cm="1">
        <v>1635</v>
      </c>
      <c r="F549" s="15" t="s">
        <v>1693</v>
      </c>
      <c r="G549" s="15" t="s">
        <v>1375</v>
      </c>
      <c r="H549" s="15" t="s">
        <v>52</v>
      </c>
      <c r="I549" s="15" t="s">
        <v>51</v>
      </c>
    </row>
    <row r="550" spans="1:9" ht="15.5" x14ac:dyDescent="0.35">
      <c r="A550" s="16" t="s">
        <v>1377</v>
      </c>
      <c r="B550" s="15" t="s" cm="1">
        <v>19</v>
      </c>
      <c r="C550" s="15" t="s" cm="1">
        <v>21</v>
      </c>
      <c r="D550" s="15" t="s">
        <v>1378</v>
      </c>
      <c r="E550" s="15" t="s" cm="1">
        <v>1635</v>
      </c>
      <c r="F550" s="15" t="s">
        <v>1693</v>
      </c>
      <c r="G550" s="15" t="s">
        <v>1375</v>
      </c>
      <c r="H550" s="15" t="s">
        <v>52</v>
      </c>
      <c r="I550" s="15" t="s">
        <v>51</v>
      </c>
    </row>
    <row r="551" spans="1:9" ht="15.5" x14ac:dyDescent="0.35">
      <c r="A551" s="16" t="s">
        <v>1379</v>
      </c>
      <c r="B551" s="15" t="s" cm="1">
        <v>19</v>
      </c>
      <c r="C551" s="15" t="s" cm="1">
        <v>21</v>
      </c>
      <c r="D551" s="15" t="s">
        <v>1327</v>
      </c>
      <c r="E551" s="15" t="s" cm="1">
        <v>1639</v>
      </c>
      <c r="F551" s="15" t="s">
        <v>1638</v>
      </c>
      <c r="G551" s="15" t="s">
        <v>1380</v>
      </c>
      <c r="H551" s="15" t="s">
        <v>52</v>
      </c>
      <c r="I551" s="15" t="s">
        <v>51</v>
      </c>
    </row>
    <row r="552" spans="1:9" ht="15.5" x14ac:dyDescent="0.35">
      <c r="A552" s="16" t="s">
        <v>1381</v>
      </c>
      <c r="B552" s="15" t="s" cm="1">
        <v>19</v>
      </c>
      <c r="C552" s="15" t="s" cm="1">
        <v>21</v>
      </c>
      <c r="D552" s="15" t="s">
        <v>1382</v>
      </c>
      <c r="E552" s="15" t="s" cm="1">
        <v>1639</v>
      </c>
      <c r="F552" s="15" t="s">
        <v>1638</v>
      </c>
      <c r="G552" s="15" t="s">
        <v>1380</v>
      </c>
      <c r="H552" s="15" t="s">
        <v>52</v>
      </c>
      <c r="I552" s="15" t="s">
        <v>51</v>
      </c>
    </row>
    <row r="553" spans="1:9" ht="15.5" x14ac:dyDescent="0.35">
      <c r="A553" s="16" t="s">
        <v>1383</v>
      </c>
      <c r="B553" s="15" t="s" cm="1">
        <v>19</v>
      </c>
      <c r="C553" s="15" t="s" cm="1">
        <v>21</v>
      </c>
      <c r="D553" s="15" t="s">
        <v>1384</v>
      </c>
      <c r="E553" s="15" t="s" cm="1">
        <v>1639</v>
      </c>
      <c r="F553" s="15" t="s">
        <v>1638</v>
      </c>
      <c r="G553" s="15" t="s">
        <v>1380</v>
      </c>
      <c r="H553" s="15" t="s">
        <v>52</v>
      </c>
      <c r="I553" s="15" t="s">
        <v>51</v>
      </c>
    </row>
    <row r="554" spans="1:9" ht="15.5" x14ac:dyDescent="0.35">
      <c r="A554" s="16" t="s">
        <v>1385</v>
      </c>
      <c r="B554" s="15" t="s" cm="1">
        <v>19</v>
      </c>
      <c r="C554" s="15" t="s" cm="1">
        <v>21</v>
      </c>
      <c r="D554" s="15" t="s">
        <v>1386</v>
      </c>
      <c r="E554" s="15" t="s" cm="1">
        <v>1635</v>
      </c>
      <c r="F554" s="15" t="s">
        <v>1693</v>
      </c>
      <c r="G554" s="15" t="s">
        <v>962</v>
      </c>
      <c r="H554" s="15" t="s">
        <v>35</v>
      </c>
      <c r="I554" s="15" t="s">
        <v>34</v>
      </c>
    </row>
    <row r="555" spans="1:9" ht="15.5" x14ac:dyDescent="0.35">
      <c r="A555" s="16" t="s">
        <v>1387</v>
      </c>
      <c r="B555" s="15" t="s" cm="1">
        <v>19</v>
      </c>
      <c r="C555" s="15" t="s" cm="1">
        <v>21</v>
      </c>
      <c r="D555" s="15" t="s">
        <v>1389</v>
      </c>
      <c r="E555" s="15" t="s" cm="1">
        <v>1635</v>
      </c>
      <c r="F555" s="15" t="s">
        <v>1693</v>
      </c>
      <c r="G555" s="15" t="s">
        <v>1388</v>
      </c>
      <c r="H555" s="15" t="s">
        <v>58</v>
      </c>
      <c r="I555" s="15" t="s">
        <v>57</v>
      </c>
    </row>
    <row r="556" spans="1:9" ht="15.5" x14ac:dyDescent="0.35">
      <c r="A556" s="16" t="s">
        <v>1390</v>
      </c>
      <c r="B556" s="15" t="s" cm="1">
        <v>19</v>
      </c>
      <c r="C556" s="15" t="s" cm="1">
        <v>21</v>
      </c>
      <c r="D556" s="15" t="s">
        <v>1961</v>
      </c>
      <c r="E556" s="15" t="s" cm="1">
        <v>1635</v>
      </c>
      <c r="F556" s="15" t="s">
        <v>1693</v>
      </c>
      <c r="G556" s="15" t="s">
        <v>1391</v>
      </c>
      <c r="H556" s="15" t="s">
        <v>52</v>
      </c>
      <c r="I556" s="15" t="s">
        <v>51</v>
      </c>
    </row>
    <row r="557" spans="1:9" ht="15.5" x14ac:dyDescent="0.35">
      <c r="A557" s="16" t="s">
        <v>1393</v>
      </c>
      <c r="B557" s="15" t="s" cm="1">
        <v>19</v>
      </c>
      <c r="C557" s="15" t="s" cm="1">
        <v>21</v>
      </c>
      <c r="D557" s="15" t="s">
        <v>1632</v>
      </c>
      <c r="E557" s="15" t="s" cm="1">
        <v>1635</v>
      </c>
      <c r="F557" s="15" t="s">
        <v>1693</v>
      </c>
      <c r="G557" s="15" t="s">
        <v>1391</v>
      </c>
      <c r="H557" s="15" t="s">
        <v>52</v>
      </c>
      <c r="I557" s="15" t="s">
        <v>51</v>
      </c>
    </row>
    <row r="558" spans="1:9" ht="15.5" x14ac:dyDescent="0.35">
      <c r="A558" s="16" t="s">
        <v>1394</v>
      </c>
      <c r="B558" s="15" t="s" cm="1">
        <v>19</v>
      </c>
      <c r="C558" s="15" t="s" cm="1">
        <v>21</v>
      </c>
      <c r="D558" s="15" t="s">
        <v>1395</v>
      </c>
      <c r="E558" s="15" t="s" cm="1">
        <v>1635</v>
      </c>
      <c r="F558" s="15" t="s">
        <v>1693</v>
      </c>
      <c r="G558" s="15" t="s">
        <v>1391</v>
      </c>
      <c r="H558" s="15" t="s">
        <v>52</v>
      </c>
      <c r="I558" s="15" t="s">
        <v>51</v>
      </c>
    </row>
    <row r="559" spans="1:9" ht="15.5" x14ac:dyDescent="0.35">
      <c r="A559" s="16" t="s">
        <v>1396</v>
      </c>
      <c r="B559" s="15" t="s" cm="1">
        <v>19</v>
      </c>
      <c r="C559" s="15" t="s" cm="1">
        <v>21</v>
      </c>
      <c r="D559" s="15" t="s">
        <v>1397</v>
      </c>
      <c r="E559" s="15" t="s" cm="1">
        <v>1635</v>
      </c>
      <c r="F559" s="15" t="s">
        <v>1693</v>
      </c>
      <c r="G559" s="15" t="s">
        <v>1391</v>
      </c>
      <c r="H559" s="15" t="s">
        <v>52</v>
      </c>
      <c r="I559" s="15" t="s">
        <v>51</v>
      </c>
    </row>
    <row r="560" spans="1:9" ht="15.5" x14ac:dyDescent="0.35">
      <c r="A560" s="16" t="s">
        <v>1398</v>
      </c>
      <c r="B560" s="15" t="s" cm="1">
        <v>19</v>
      </c>
      <c r="C560" s="15" t="s" cm="1">
        <v>21</v>
      </c>
      <c r="D560" s="15" t="s">
        <v>1621</v>
      </c>
      <c r="E560" s="15" t="s" cm="1">
        <v>1635</v>
      </c>
      <c r="F560" s="15" t="s">
        <v>1693</v>
      </c>
      <c r="G560" s="15" t="s">
        <v>1203</v>
      </c>
      <c r="H560" s="15" t="s">
        <v>58</v>
      </c>
      <c r="I560" s="15" t="s">
        <v>57</v>
      </c>
    </row>
    <row r="561" spans="1:9" ht="15.5" x14ac:dyDescent="0.35">
      <c r="A561" s="16" t="s">
        <v>1400</v>
      </c>
      <c r="B561" s="15" t="s" cm="1">
        <v>19</v>
      </c>
      <c r="C561" s="15" t="s" cm="1">
        <v>21</v>
      </c>
      <c r="D561" s="15" t="s">
        <v>1401</v>
      </c>
      <c r="E561" s="15" t="s" cm="1">
        <v>1635</v>
      </c>
      <c r="F561" s="15" t="s">
        <v>1693</v>
      </c>
      <c r="G561" s="15" t="s">
        <v>1203</v>
      </c>
      <c r="H561" s="15" t="s">
        <v>58</v>
      </c>
      <c r="I561" s="15" t="s">
        <v>57</v>
      </c>
    </row>
    <row r="562" spans="1:9" ht="15.5" x14ac:dyDescent="0.35">
      <c r="A562" s="16" t="s">
        <v>1402</v>
      </c>
      <c r="B562" s="15" t="s" cm="1">
        <v>19</v>
      </c>
      <c r="C562" s="15" t="s" cm="1">
        <v>21</v>
      </c>
      <c r="D562" s="15" t="s">
        <v>1403</v>
      </c>
      <c r="E562" s="15" t="s" cm="1">
        <v>1635</v>
      </c>
      <c r="F562" s="15" t="s">
        <v>1693</v>
      </c>
      <c r="G562" s="15" t="s">
        <v>1203</v>
      </c>
      <c r="H562" s="15" t="s">
        <v>196</v>
      </c>
      <c r="I562" s="15" t="s">
        <v>195</v>
      </c>
    </row>
    <row r="563" spans="1:9" ht="15.5" x14ac:dyDescent="0.35">
      <c r="A563" s="16" t="s">
        <v>1404</v>
      </c>
      <c r="B563" s="15" t="s" cm="1">
        <v>19</v>
      </c>
      <c r="C563" s="15" t="s" cm="1">
        <v>21</v>
      </c>
      <c r="D563" s="15" t="s">
        <v>1405</v>
      </c>
      <c r="E563" s="15" t="s" cm="1">
        <v>1635</v>
      </c>
      <c r="F563" s="15" t="s">
        <v>1641</v>
      </c>
      <c r="G563" s="15" t="s">
        <v>965</v>
      </c>
      <c r="H563" s="15" t="s">
        <v>29</v>
      </c>
      <c r="I563" s="15" t="s">
        <v>28</v>
      </c>
    </row>
    <row r="564" spans="1:9" ht="15.5" x14ac:dyDescent="0.35">
      <c r="A564" s="16" t="s">
        <v>1406</v>
      </c>
      <c r="B564" s="15" t="s" cm="1">
        <v>19</v>
      </c>
      <c r="C564" s="15" t="s" cm="1">
        <v>21</v>
      </c>
      <c r="D564" s="15" t="s">
        <v>1408</v>
      </c>
      <c r="E564" s="15" t="s" cm="1">
        <v>1635</v>
      </c>
      <c r="F564" s="15" t="s">
        <v>1638</v>
      </c>
      <c r="G564" s="15" t="s">
        <v>1407</v>
      </c>
      <c r="H564" s="15" t="s">
        <v>1263</v>
      </c>
      <c r="I564" s="15" t="s">
        <v>1262</v>
      </c>
    </row>
    <row r="565" spans="1:9" ht="15.5" x14ac:dyDescent="0.35">
      <c r="A565" s="16" t="s">
        <v>1409</v>
      </c>
      <c r="B565" s="15" t="s" cm="1">
        <v>19</v>
      </c>
      <c r="C565" s="15" t="s" cm="1">
        <v>21</v>
      </c>
      <c r="D565" s="15" t="s">
        <v>1410</v>
      </c>
      <c r="E565" s="15" t="s" cm="1">
        <v>1635</v>
      </c>
      <c r="F565" s="15" t="s">
        <v>1638</v>
      </c>
      <c r="G565" s="15" t="s">
        <v>1407</v>
      </c>
      <c r="H565" s="15" t="s">
        <v>112</v>
      </c>
      <c r="I565" s="15" t="s">
        <v>111</v>
      </c>
    </row>
    <row r="566" spans="1:9" ht="15.5" x14ac:dyDescent="0.35">
      <c r="A566" s="16" t="s">
        <v>1411</v>
      </c>
      <c r="B566" s="15" t="s" cm="1">
        <v>19</v>
      </c>
      <c r="C566" s="15" t="s" cm="1">
        <v>21</v>
      </c>
      <c r="D566" s="15" t="s">
        <v>1412</v>
      </c>
      <c r="E566" s="15" t="s" cm="1">
        <v>1635</v>
      </c>
      <c r="F566" s="15" t="s">
        <v>1638</v>
      </c>
      <c r="G566" s="15" t="s">
        <v>1407</v>
      </c>
      <c r="H566" s="15" t="s">
        <v>1263</v>
      </c>
      <c r="I566" s="15" t="s">
        <v>1262</v>
      </c>
    </row>
    <row r="567" spans="1:9" ht="15.5" x14ac:dyDescent="0.35">
      <c r="A567" s="16" t="s">
        <v>1413</v>
      </c>
      <c r="B567" s="15" t="s" cm="1">
        <v>19</v>
      </c>
      <c r="C567" s="15" t="s" cm="1">
        <v>21</v>
      </c>
      <c r="D567" s="15" t="s">
        <v>1414</v>
      </c>
      <c r="E567" s="15" t="s" cm="1">
        <v>1635</v>
      </c>
      <c r="F567" s="15" t="s">
        <v>1638</v>
      </c>
      <c r="G567" s="15" t="s">
        <v>1407</v>
      </c>
      <c r="H567" s="15" t="s">
        <v>1263</v>
      </c>
      <c r="I567" s="15" t="s">
        <v>1262</v>
      </c>
    </row>
    <row r="568" spans="1:9" ht="15.5" x14ac:dyDescent="0.35">
      <c r="A568" s="16" t="s">
        <v>1415</v>
      </c>
      <c r="B568" s="15" t="s" cm="1">
        <v>19</v>
      </c>
      <c r="C568" s="15" t="s" cm="1">
        <v>21</v>
      </c>
      <c r="D568" s="15" t="s">
        <v>1416</v>
      </c>
      <c r="E568" s="15" t="s" cm="1">
        <v>1635</v>
      </c>
      <c r="F568" s="15" t="s">
        <v>1638</v>
      </c>
      <c r="G568" s="15" t="s">
        <v>1407</v>
      </c>
      <c r="H568" s="15" t="s">
        <v>1263</v>
      </c>
      <c r="I568" s="15" t="s">
        <v>1262</v>
      </c>
    </row>
    <row r="569" spans="1:9" ht="15.5" x14ac:dyDescent="0.35">
      <c r="A569" s="16" t="s">
        <v>1417</v>
      </c>
      <c r="B569" s="15" t="s" cm="1">
        <v>19</v>
      </c>
      <c r="C569" s="15" t="s" cm="1">
        <v>21</v>
      </c>
      <c r="D569" s="15" t="s">
        <v>1418</v>
      </c>
      <c r="E569" s="15" t="s" cm="1">
        <v>1635</v>
      </c>
      <c r="F569" s="15" t="s">
        <v>1638</v>
      </c>
      <c r="G569" s="15" t="s">
        <v>1407</v>
      </c>
      <c r="H569" s="15" t="s">
        <v>1263</v>
      </c>
      <c r="I569" s="15" t="s">
        <v>1262</v>
      </c>
    </row>
    <row r="570" spans="1:9" ht="15.5" x14ac:dyDescent="0.35">
      <c r="A570" s="16" t="s">
        <v>1419</v>
      </c>
      <c r="B570" s="15" t="s" cm="1">
        <v>19</v>
      </c>
      <c r="C570" s="15" t="s" cm="1">
        <v>21</v>
      </c>
      <c r="D570" s="15" t="s">
        <v>1420</v>
      </c>
      <c r="E570" s="15" t="s" cm="1">
        <v>1635</v>
      </c>
      <c r="F570" s="15" t="s">
        <v>1638</v>
      </c>
      <c r="G570" s="15" t="s">
        <v>1407</v>
      </c>
      <c r="H570" s="15" t="s">
        <v>1263</v>
      </c>
      <c r="I570" s="15" t="s">
        <v>1262</v>
      </c>
    </row>
    <row r="571" spans="1:9" ht="15.5" x14ac:dyDescent="0.35">
      <c r="A571" s="16" t="s">
        <v>1421</v>
      </c>
      <c r="B571" s="15" t="s" cm="1">
        <v>19</v>
      </c>
      <c r="C571" s="15" t="s" cm="1">
        <v>21</v>
      </c>
      <c r="D571" s="15" t="s">
        <v>1422</v>
      </c>
      <c r="E571" s="15" t="s" cm="1">
        <v>1635</v>
      </c>
      <c r="F571" s="15" t="s">
        <v>1638</v>
      </c>
      <c r="G571" s="15" t="s">
        <v>1407</v>
      </c>
      <c r="H571" s="15" t="s">
        <v>1263</v>
      </c>
      <c r="I571" s="15" t="s">
        <v>1262</v>
      </c>
    </row>
    <row r="572" spans="1:9" ht="15.5" x14ac:dyDescent="0.35">
      <c r="A572" s="16" t="s">
        <v>1423</v>
      </c>
      <c r="B572" s="15" t="s" cm="1">
        <v>19</v>
      </c>
      <c r="C572" s="15" t="s" cm="1">
        <v>21</v>
      </c>
      <c r="D572" s="15" t="s">
        <v>1424</v>
      </c>
      <c r="E572" s="15" t="s" cm="1">
        <v>1635</v>
      </c>
      <c r="F572" s="15" t="s">
        <v>1638</v>
      </c>
      <c r="G572" s="15" t="s">
        <v>1407</v>
      </c>
      <c r="H572" s="15" t="s">
        <v>1263</v>
      </c>
      <c r="I572" s="15" t="s">
        <v>1262</v>
      </c>
    </row>
    <row r="573" spans="1:9" ht="15.5" x14ac:dyDescent="0.35">
      <c r="A573" s="16" t="s">
        <v>1425</v>
      </c>
      <c r="B573" s="15" t="s" cm="1">
        <v>19</v>
      </c>
      <c r="C573" s="15" t="s" cm="1">
        <v>21</v>
      </c>
      <c r="D573" s="15" t="s">
        <v>1426</v>
      </c>
      <c r="E573" s="15" t="s" cm="1">
        <v>1635</v>
      </c>
      <c r="F573" s="15" t="s">
        <v>1638</v>
      </c>
      <c r="G573" s="15" t="s">
        <v>1407</v>
      </c>
      <c r="H573" s="15" t="s">
        <v>1263</v>
      </c>
      <c r="I573" s="15" t="s">
        <v>1262</v>
      </c>
    </row>
    <row r="574" spans="1:9" ht="15.5" x14ac:dyDescent="0.35">
      <c r="A574" s="16" t="s">
        <v>1427</v>
      </c>
      <c r="B574" s="15" t="s" cm="1">
        <v>19</v>
      </c>
      <c r="C574" s="15" t="s" cm="1">
        <v>21</v>
      </c>
      <c r="D574" s="15" t="s">
        <v>1962</v>
      </c>
      <c r="E574" s="15" t="s" cm="1">
        <v>1635</v>
      </c>
      <c r="F574" s="15" t="s">
        <v>1638</v>
      </c>
      <c r="G574" s="15" t="s">
        <v>1407</v>
      </c>
      <c r="H574" s="15" t="s">
        <v>1263</v>
      </c>
      <c r="I574" s="15" t="s">
        <v>1262</v>
      </c>
    </row>
    <row r="575" spans="1:9" ht="15.5" x14ac:dyDescent="0.35">
      <c r="A575" s="16" t="s">
        <v>1429</v>
      </c>
      <c r="B575" s="15" t="s" cm="1">
        <v>19</v>
      </c>
      <c r="C575" s="15" t="s" cm="1">
        <v>21</v>
      </c>
      <c r="D575" s="15" t="s">
        <v>1963</v>
      </c>
      <c r="E575" s="15" t="s" cm="1">
        <v>1635</v>
      </c>
      <c r="F575" s="15" t="s">
        <v>1638</v>
      </c>
      <c r="G575" s="15" t="s">
        <v>1407</v>
      </c>
      <c r="H575" s="15" t="s">
        <v>1263</v>
      </c>
      <c r="I575" s="15" t="s">
        <v>1262</v>
      </c>
    </row>
    <row r="576" spans="1:9" ht="15.5" x14ac:dyDescent="0.35">
      <c r="A576" s="16" t="s">
        <v>1431</v>
      </c>
      <c r="B576" s="15" t="s" cm="1">
        <v>19</v>
      </c>
      <c r="C576" s="15" t="s" cm="1">
        <v>21</v>
      </c>
      <c r="D576" s="15" t="s">
        <v>1432</v>
      </c>
      <c r="E576" s="15" t="s" cm="1">
        <v>1635</v>
      </c>
      <c r="F576" s="15" t="s">
        <v>1638</v>
      </c>
      <c r="G576" s="15" t="s">
        <v>1407</v>
      </c>
      <c r="H576" s="15" t="s">
        <v>1263</v>
      </c>
      <c r="I576" s="15" t="s">
        <v>1262</v>
      </c>
    </row>
    <row r="577" spans="1:9" ht="15.5" x14ac:dyDescent="0.35">
      <c r="A577" s="16" t="s">
        <v>1433</v>
      </c>
      <c r="B577" s="15" t="s" cm="1">
        <v>19</v>
      </c>
      <c r="C577" s="15" t="s" cm="1">
        <v>21</v>
      </c>
      <c r="D577" s="15" t="s">
        <v>1434</v>
      </c>
      <c r="E577" s="15" t="s" cm="1">
        <v>1635</v>
      </c>
      <c r="F577" s="15" t="s">
        <v>1638</v>
      </c>
      <c r="G577" s="15" t="s">
        <v>1407</v>
      </c>
      <c r="H577" s="15" t="s">
        <v>1263</v>
      </c>
      <c r="I577" s="15" t="s">
        <v>1262</v>
      </c>
    </row>
    <row r="578" spans="1:9" ht="15.5" x14ac:dyDescent="0.35">
      <c r="A578" s="16" t="s">
        <v>1435</v>
      </c>
      <c r="B578" s="15" t="s" cm="1">
        <v>19</v>
      </c>
      <c r="C578" s="15" t="s" cm="1">
        <v>21</v>
      </c>
      <c r="D578" s="15" t="s">
        <v>1964</v>
      </c>
      <c r="E578" s="15" t="s" cm="1">
        <v>1635</v>
      </c>
      <c r="F578" s="15" t="s">
        <v>1638</v>
      </c>
      <c r="G578" s="15" t="s">
        <v>1407</v>
      </c>
      <c r="H578" s="15" t="s">
        <v>1263</v>
      </c>
      <c r="I578" s="15" t="s">
        <v>1262</v>
      </c>
    </row>
    <row r="579" spans="1:9" ht="15.5" x14ac:dyDescent="0.35">
      <c r="A579" s="16" t="s">
        <v>1437</v>
      </c>
      <c r="B579" s="15" t="s" cm="1">
        <v>19</v>
      </c>
      <c r="C579" s="15" t="s" cm="1">
        <v>21</v>
      </c>
      <c r="D579" s="15" t="s">
        <v>1438</v>
      </c>
      <c r="E579" s="15" t="s" cm="1">
        <v>1635</v>
      </c>
      <c r="F579" s="15" t="s">
        <v>1638</v>
      </c>
      <c r="G579" s="15" t="s">
        <v>892</v>
      </c>
      <c r="H579" s="15" t="s">
        <v>1263</v>
      </c>
      <c r="I579" s="15" t="s">
        <v>1262</v>
      </c>
    </row>
    <row r="580" spans="1:9" ht="15.5" x14ac:dyDescent="0.35">
      <c r="A580" s="16" t="s">
        <v>1439</v>
      </c>
      <c r="B580" s="15" t="s" cm="1">
        <v>19</v>
      </c>
      <c r="C580" s="15" t="s" cm="1">
        <v>21</v>
      </c>
      <c r="D580" s="15" t="s">
        <v>1965</v>
      </c>
      <c r="E580" s="15" t="s" cm="1">
        <v>1635</v>
      </c>
      <c r="F580" s="15" t="s">
        <v>1638</v>
      </c>
      <c r="G580" s="15" t="s">
        <v>892</v>
      </c>
      <c r="H580" s="15" t="s">
        <v>1263</v>
      </c>
      <c r="I580" s="15" t="s">
        <v>1262</v>
      </c>
    </row>
    <row r="581" spans="1:9" ht="15.5" x14ac:dyDescent="0.35">
      <c r="A581" s="16" t="s">
        <v>1441</v>
      </c>
      <c r="B581" s="15" t="s" cm="1">
        <v>19</v>
      </c>
      <c r="C581" s="15" t="s" cm="1">
        <v>21</v>
      </c>
      <c r="D581" s="15" t="s">
        <v>1442</v>
      </c>
      <c r="E581" s="15" t="s" cm="1">
        <v>1635</v>
      </c>
      <c r="F581" s="15" t="s">
        <v>1638</v>
      </c>
      <c r="G581" s="15" t="s">
        <v>892</v>
      </c>
      <c r="H581" s="15" t="s">
        <v>1263</v>
      </c>
      <c r="I581" s="15" t="s">
        <v>1262</v>
      </c>
    </row>
    <row r="582" spans="1:9" ht="15.5" x14ac:dyDescent="0.35">
      <c r="A582" s="16" t="s">
        <v>1443</v>
      </c>
      <c r="B582" s="15" t="s" cm="1">
        <v>19</v>
      </c>
      <c r="C582" s="15" t="s" cm="1">
        <v>21</v>
      </c>
      <c r="D582" s="15" t="s">
        <v>1444</v>
      </c>
      <c r="E582" s="15" t="s" cm="1">
        <v>1635</v>
      </c>
      <c r="F582" s="15" t="s">
        <v>1638</v>
      </c>
      <c r="G582" s="15" t="s">
        <v>892</v>
      </c>
      <c r="H582" s="15" t="s">
        <v>1263</v>
      </c>
      <c r="I582" s="15" t="s">
        <v>1262</v>
      </c>
    </row>
    <row r="583" spans="1:9" ht="15.5" x14ac:dyDescent="0.35">
      <c r="A583" s="16" t="s">
        <v>1445</v>
      </c>
      <c r="B583" s="15" t="s" cm="1">
        <v>19</v>
      </c>
      <c r="C583" s="15" t="s" cm="1">
        <v>21</v>
      </c>
      <c r="D583" s="15" t="s">
        <v>1966</v>
      </c>
      <c r="E583" s="15" t="s" cm="1">
        <v>1635</v>
      </c>
      <c r="F583" s="15" t="s">
        <v>1638</v>
      </c>
      <c r="G583" s="15" t="s">
        <v>892</v>
      </c>
      <c r="H583" s="15" t="s">
        <v>1263</v>
      </c>
      <c r="I583" s="15" t="s">
        <v>1262</v>
      </c>
    </row>
    <row r="584" spans="1:9" ht="15.5" x14ac:dyDescent="0.35">
      <c r="A584" s="16" t="s">
        <v>1447</v>
      </c>
      <c r="B584" s="15" t="s" cm="1">
        <v>19</v>
      </c>
      <c r="C584" s="15" t="s" cm="1">
        <v>21</v>
      </c>
      <c r="D584" s="15" t="s">
        <v>1448</v>
      </c>
      <c r="E584" s="15" t="s" cm="1">
        <v>1635</v>
      </c>
      <c r="F584" s="15" t="s">
        <v>1638</v>
      </c>
      <c r="G584" s="15" t="s">
        <v>892</v>
      </c>
      <c r="H584" s="15" t="s">
        <v>1263</v>
      </c>
      <c r="I584" s="15" t="s">
        <v>1262</v>
      </c>
    </row>
    <row r="585" spans="1:9" ht="15.5" x14ac:dyDescent="0.35">
      <c r="A585" s="16" t="s">
        <v>1449</v>
      </c>
      <c r="B585" s="15" t="s" cm="1">
        <v>19</v>
      </c>
      <c r="C585" s="15" t="s" cm="1">
        <v>21</v>
      </c>
      <c r="D585" s="15" t="s">
        <v>1967</v>
      </c>
      <c r="E585" s="15" t="s" cm="1">
        <v>1635</v>
      </c>
      <c r="F585" s="15" t="s">
        <v>1638</v>
      </c>
      <c r="G585" s="15" t="s">
        <v>892</v>
      </c>
      <c r="H585" s="15" t="s">
        <v>1263</v>
      </c>
      <c r="I585" s="15" t="s">
        <v>1262</v>
      </c>
    </row>
    <row r="586" spans="1:9" ht="15.5" x14ac:dyDescent="0.35">
      <c r="A586" s="16" t="s">
        <v>1451</v>
      </c>
      <c r="B586" s="15" t="s" cm="1">
        <v>19</v>
      </c>
      <c r="C586" s="15" t="s" cm="1">
        <v>21</v>
      </c>
      <c r="D586" s="15" t="s">
        <v>1452</v>
      </c>
      <c r="E586" s="15" t="s" cm="1">
        <v>1635</v>
      </c>
      <c r="F586" s="15" t="s">
        <v>1638</v>
      </c>
      <c r="G586" s="15" t="s">
        <v>892</v>
      </c>
      <c r="H586" s="15" t="s">
        <v>1263</v>
      </c>
      <c r="I586" s="15" t="s">
        <v>1262</v>
      </c>
    </row>
    <row r="587" spans="1:9" ht="15.5" x14ac:dyDescent="0.35">
      <c r="A587" s="16" t="s">
        <v>1453</v>
      </c>
      <c r="B587" s="15" t="s" cm="1">
        <v>19</v>
      </c>
      <c r="C587" s="15" t="s" cm="1">
        <v>21</v>
      </c>
      <c r="D587" s="15" t="s">
        <v>1454</v>
      </c>
      <c r="E587" s="15" t="s" cm="1">
        <v>1635</v>
      </c>
      <c r="F587" s="15" t="s">
        <v>1643</v>
      </c>
      <c r="G587" s="15" t="s">
        <v>895</v>
      </c>
      <c r="H587" s="15" t="s">
        <v>35</v>
      </c>
      <c r="I587" s="15" t="s">
        <v>34</v>
      </c>
    </row>
    <row r="588" spans="1:9" ht="15.5" x14ac:dyDescent="0.35">
      <c r="A588" s="16" t="s">
        <v>1455</v>
      </c>
      <c r="B588" s="15" t="s" cm="1">
        <v>19</v>
      </c>
      <c r="C588" s="15" t="s" cm="1">
        <v>21</v>
      </c>
      <c r="D588" s="15" t="s">
        <v>1456</v>
      </c>
      <c r="E588" s="15" t="s" cm="1">
        <v>1635</v>
      </c>
      <c r="F588" s="15" t="s">
        <v>1643</v>
      </c>
      <c r="G588" s="15" t="s">
        <v>895</v>
      </c>
      <c r="H588" s="15" t="s">
        <v>35</v>
      </c>
      <c r="I588" s="15" t="s">
        <v>34</v>
      </c>
    </row>
    <row r="589" spans="1:9" ht="15.5" x14ac:dyDescent="0.35">
      <c r="A589" s="16" t="s">
        <v>1457</v>
      </c>
      <c r="B589" s="15" t="s" cm="1">
        <v>19</v>
      </c>
      <c r="C589" s="15" t="s" cm="1">
        <v>21</v>
      </c>
      <c r="D589" s="15" t="s">
        <v>1353</v>
      </c>
      <c r="E589" s="15" t="s" cm="1">
        <v>1635</v>
      </c>
      <c r="F589" s="15" t="s">
        <v>1643</v>
      </c>
      <c r="G589" s="15" t="s">
        <v>895</v>
      </c>
      <c r="H589" s="15" t="s">
        <v>35</v>
      </c>
      <c r="I589" s="15" t="s">
        <v>34</v>
      </c>
    </row>
    <row r="590" spans="1:9" ht="15.5" x14ac:dyDescent="0.35">
      <c r="A590" s="16" t="s">
        <v>1458</v>
      </c>
      <c r="B590" s="15" t="s" cm="1">
        <v>19</v>
      </c>
      <c r="C590" s="15" t="s" cm="1">
        <v>21</v>
      </c>
      <c r="D590" s="15" t="s">
        <v>1459</v>
      </c>
      <c r="E590" s="15" t="s" cm="1">
        <v>1635</v>
      </c>
      <c r="F590" s="15" t="s">
        <v>1643</v>
      </c>
      <c r="G590" s="15" t="s">
        <v>895</v>
      </c>
      <c r="H590" s="15" t="s">
        <v>196</v>
      </c>
      <c r="I590" s="15" t="s">
        <v>195</v>
      </c>
    </row>
    <row r="591" spans="1:9" ht="15.5" x14ac:dyDescent="0.35">
      <c r="A591" s="16" t="s">
        <v>1460</v>
      </c>
      <c r="B591" s="15" t="s" cm="1">
        <v>19</v>
      </c>
      <c r="C591" s="15" t="s" cm="1">
        <v>21</v>
      </c>
      <c r="D591" s="15" t="s">
        <v>1461</v>
      </c>
      <c r="E591" s="15" t="s" cm="1">
        <v>1635</v>
      </c>
      <c r="F591" s="15" t="s">
        <v>1643</v>
      </c>
      <c r="G591" s="15" t="s">
        <v>895</v>
      </c>
      <c r="H591" s="15" t="s">
        <v>35</v>
      </c>
      <c r="I591" s="15" t="s">
        <v>34</v>
      </c>
    </row>
    <row r="592" spans="1:9" ht="15.5" x14ac:dyDescent="0.35">
      <c r="A592" s="16" t="s">
        <v>1462</v>
      </c>
      <c r="B592" s="15" t="s" cm="1">
        <v>19</v>
      </c>
      <c r="C592" s="15" t="s" cm="1">
        <v>21</v>
      </c>
      <c r="D592" s="15" t="s">
        <v>1633</v>
      </c>
      <c r="E592" s="15" t="s" cm="1">
        <v>1635</v>
      </c>
      <c r="F592" s="15" t="s">
        <v>1643</v>
      </c>
      <c r="G592" s="15" t="s">
        <v>895</v>
      </c>
      <c r="H592" s="15" t="s">
        <v>35</v>
      </c>
      <c r="I592" s="15" t="s">
        <v>34</v>
      </c>
    </row>
    <row r="593" spans="1:9" ht="15.5" x14ac:dyDescent="0.35">
      <c r="A593" s="16" t="s">
        <v>1463</v>
      </c>
      <c r="B593" s="15" t="s" cm="1">
        <v>19</v>
      </c>
      <c r="C593" s="15" t="s" cm="1">
        <v>21</v>
      </c>
      <c r="D593" s="15" t="s">
        <v>1465</v>
      </c>
      <c r="E593" s="15" t="s" cm="1">
        <v>1635</v>
      </c>
      <c r="F593" s="15" t="s">
        <v>1643</v>
      </c>
      <c r="G593" s="15" t="s">
        <v>1464</v>
      </c>
      <c r="H593" s="15" t="s">
        <v>35</v>
      </c>
      <c r="I593" s="15" t="s">
        <v>34</v>
      </c>
    </row>
    <row r="594" spans="1:9" ht="15.5" x14ac:dyDescent="0.35">
      <c r="A594" s="16" t="s">
        <v>1466</v>
      </c>
      <c r="B594" s="15" t="s" cm="1">
        <v>19</v>
      </c>
      <c r="C594" s="15" t="s" cm="1">
        <v>21</v>
      </c>
      <c r="D594" s="15" t="s">
        <v>1467</v>
      </c>
      <c r="E594" s="15" t="s" cm="1">
        <v>1635</v>
      </c>
      <c r="F594" s="15" t="s">
        <v>1643</v>
      </c>
      <c r="G594" s="15" t="s">
        <v>1464</v>
      </c>
      <c r="H594" s="15" t="s">
        <v>52</v>
      </c>
      <c r="I594" s="15" t="s">
        <v>51</v>
      </c>
    </row>
    <row r="595" spans="1:9" ht="15.5" x14ac:dyDescent="0.35">
      <c r="A595" s="16" t="s">
        <v>1468</v>
      </c>
      <c r="B595" s="15" t="s" cm="1">
        <v>19</v>
      </c>
      <c r="C595" s="15" t="s" cm="1">
        <v>21</v>
      </c>
      <c r="D595" s="15" t="s">
        <v>1461</v>
      </c>
      <c r="E595" s="15" t="s" cm="1">
        <v>1635</v>
      </c>
      <c r="F595" s="15" t="s">
        <v>1643</v>
      </c>
      <c r="G595" s="15" t="s">
        <v>1469</v>
      </c>
      <c r="H595" s="15" t="s">
        <v>35</v>
      </c>
      <c r="I595" s="15" t="s">
        <v>34</v>
      </c>
    </row>
    <row r="596" spans="1:9" ht="15.5" x14ac:dyDescent="0.35">
      <c r="A596" s="16" t="s">
        <v>1470</v>
      </c>
      <c r="B596" s="15" t="s" cm="1">
        <v>19</v>
      </c>
      <c r="C596" s="15" t="s" cm="1">
        <v>21</v>
      </c>
      <c r="D596" s="15" t="s">
        <v>1471</v>
      </c>
      <c r="E596" s="15" t="s" cm="1">
        <v>1635</v>
      </c>
      <c r="F596" s="15" t="s">
        <v>1643</v>
      </c>
      <c r="G596" s="15" t="s">
        <v>1469</v>
      </c>
      <c r="H596" s="15" t="s">
        <v>35</v>
      </c>
      <c r="I596" s="15" t="s">
        <v>34</v>
      </c>
    </row>
    <row r="597" spans="1:9" ht="15.5" x14ac:dyDescent="0.35">
      <c r="A597" s="16" t="s">
        <v>1472</v>
      </c>
      <c r="B597" s="15" t="s" cm="1">
        <v>19</v>
      </c>
      <c r="C597" s="15" t="s" cm="1">
        <v>21</v>
      </c>
      <c r="D597" s="15" t="s">
        <v>1459</v>
      </c>
      <c r="E597" s="15" t="s" cm="1">
        <v>1635</v>
      </c>
      <c r="F597" s="15" t="s">
        <v>1643</v>
      </c>
      <c r="G597" s="15" t="s">
        <v>1469</v>
      </c>
      <c r="H597" s="15" t="s">
        <v>196</v>
      </c>
      <c r="I597" s="15" t="s">
        <v>195</v>
      </c>
    </row>
    <row r="598" spans="1:9" ht="15.5" x14ac:dyDescent="0.35">
      <c r="A598" s="16" t="s">
        <v>1473</v>
      </c>
      <c r="B598" s="15" t="s" cm="1">
        <v>19</v>
      </c>
      <c r="C598" s="15" t="s" cm="1">
        <v>21</v>
      </c>
      <c r="D598" s="15" t="s">
        <v>1353</v>
      </c>
      <c r="E598" s="15" t="s" cm="1">
        <v>1635</v>
      </c>
      <c r="F598" s="15" t="s">
        <v>1643</v>
      </c>
      <c r="G598" s="15" t="s">
        <v>1469</v>
      </c>
      <c r="H598" s="15" t="s">
        <v>196</v>
      </c>
      <c r="I598" s="15" t="s">
        <v>195</v>
      </c>
    </row>
    <row r="599" spans="1:9" ht="15.5" x14ac:dyDescent="0.35">
      <c r="A599" s="16" t="s">
        <v>1474</v>
      </c>
      <c r="B599" s="15" t="s" cm="1">
        <v>19</v>
      </c>
      <c r="C599" s="15" t="s" cm="1">
        <v>21</v>
      </c>
      <c r="D599" s="15" t="s">
        <v>1475</v>
      </c>
      <c r="E599" s="15" t="s" cm="1">
        <v>1635</v>
      </c>
      <c r="F599" s="15" t="s">
        <v>1643</v>
      </c>
      <c r="G599" s="15" t="s">
        <v>1469</v>
      </c>
      <c r="H599" s="15" t="s">
        <v>35</v>
      </c>
      <c r="I599" s="15" t="s">
        <v>34</v>
      </c>
    </row>
    <row r="600" spans="1:9" ht="15.5" x14ac:dyDescent="0.35">
      <c r="A600" s="16" t="s">
        <v>1476</v>
      </c>
      <c r="B600" s="15" t="s" cm="1">
        <v>19</v>
      </c>
      <c r="C600" s="15" t="s" cm="1">
        <v>21</v>
      </c>
      <c r="D600" s="15" t="s">
        <v>1353</v>
      </c>
      <c r="E600" s="15" t="s" cm="1">
        <v>1635</v>
      </c>
      <c r="F600" s="15" t="s">
        <v>1643</v>
      </c>
      <c r="G600" s="15" t="s">
        <v>1469</v>
      </c>
      <c r="H600" s="15" t="s">
        <v>35</v>
      </c>
      <c r="I600" s="15" t="s">
        <v>34</v>
      </c>
    </row>
    <row r="601" spans="1:9" ht="15.5" x14ac:dyDescent="0.35">
      <c r="A601" s="16" t="s">
        <v>1477</v>
      </c>
      <c r="B601" s="15" t="s" cm="1">
        <v>19</v>
      </c>
      <c r="C601" s="15" t="s" cm="1">
        <v>21</v>
      </c>
      <c r="D601" s="15" t="s">
        <v>1454</v>
      </c>
      <c r="E601" s="15" t="s" cm="1">
        <v>1635</v>
      </c>
      <c r="F601" s="15" t="s">
        <v>1643</v>
      </c>
      <c r="G601" s="15" t="s">
        <v>1478</v>
      </c>
      <c r="H601" s="15" t="s">
        <v>35</v>
      </c>
      <c r="I601" s="15" t="s">
        <v>34</v>
      </c>
    </row>
    <row r="602" spans="1:9" ht="15.5" x14ac:dyDescent="0.35">
      <c r="A602" s="16" t="s">
        <v>1479</v>
      </c>
      <c r="B602" s="15" t="s" cm="1">
        <v>19</v>
      </c>
      <c r="C602" s="15" t="s" cm="1">
        <v>21</v>
      </c>
      <c r="D602" s="15" t="s">
        <v>1461</v>
      </c>
      <c r="E602" s="15" t="s" cm="1">
        <v>1635</v>
      </c>
      <c r="F602" s="15" t="s">
        <v>1643</v>
      </c>
      <c r="G602" s="15" t="s">
        <v>953</v>
      </c>
      <c r="H602" s="15" t="s">
        <v>35</v>
      </c>
      <c r="I602" s="15" t="s">
        <v>34</v>
      </c>
    </row>
    <row r="603" spans="1:9" ht="15.5" x14ac:dyDescent="0.35">
      <c r="A603" s="16" t="s">
        <v>1480</v>
      </c>
      <c r="B603" s="15" t="s" cm="1">
        <v>19</v>
      </c>
      <c r="C603" s="15" t="s" cm="1">
        <v>21</v>
      </c>
      <c r="D603" s="15" t="s">
        <v>1454</v>
      </c>
      <c r="E603" s="15" t="s" cm="1">
        <v>1635</v>
      </c>
      <c r="F603" s="15" t="s">
        <v>1643</v>
      </c>
      <c r="G603" s="15" t="s">
        <v>1481</v>
      </c>
      <c r="H603" s="15" t="s">
        <v>35</v>
      </c>
      <c r="I603" s="15" t="s">
        <v>34</v>
      </c>
    </row>
    <row r="604" spans="1:9" ht="15.5" x14ac:dyDescent="0.35">
      <c r="A604" s="16" t="s">
        <v>1482</v>
      </c>
      <c r="B604" s="15" t="s" cm="1">
        <v>19</v>
      </c>
      <c r="C604" s="15" t="s" cm="1">
        <v>21</v>
      </c>
      <c r="D604" s="15" t="s">
        <v>1483</v>
      </c>
      <c r="E604" s="15" t="s" cm="1">
        <v>1635</v>
      </c>
      <c r="F604" s="15" t="s">
        <v>1643</v>
      </c>
      <c r="G604" s="15" t="s">
        <v>1481</v>
      </c>
      <c r="H604" s="15" t="s">
        <v>52</v>
      </c>
      <c r="I604" s="15" t="s">
        <v>51</v>
      </c>
    </row>
    <row r="605" spans="1:9" ht="15.5" x14ac:dyDescent="0.35">
      <c r="A605" s="16" t="s">
        <v>1484</v>
      </c>
      <c r="B605" s="15" t="s" cm="1">
        <v>19</v>
      </c>
      <c r="C605" s="15" t="s" cm="1">
        <v>21</v>
      </c>
      <c r="D605" s="15" t="s">
        <v>1968</v>
      </c>
      <c r="E605" s="15" t="s" cm="1">
        <v>1639</v>
      </c>
      <c r="F605" s="15" t="s">
        <v>1638</v>
      </c>
      <c r="G605" s="15" t="s">
        <v>948</v>
      </c>
      <c r="H605" s="15" t="s">
        <v>585</v>
      </c>
      <c r="I605" s="15" t="s">
        <v>584</v>
      </c>
    </row>
    <row r="606" spans="1:9" ht="15.5" x14ac:dyDescent="0.35">
      <c r="A606" s="16" t="s">
        <v>1486</v>
      </c>
      <c r="B606" s="15" t="s" cm="1">
        <v>19</v>
      </c>
      <c r="C606" s="15" t="s" cm="1">
        <v>21</v>
      </c>
      <c r="D606" s="15" t="s">
        <v>1969</v>
      </c>
      <c r="E606" s="15" t="s" cm="1">
        <v>1639</v>
      </c>
      <c r="F606" s="15" t="s">
        <v>1638</v>
      </c>
      <c r="G606" s="15" t="s">
        <v>948</v>
      </c>
      <c r="H606" s="15" t="s">
        <v>52</v>
      </c>
      <c r="I606" s="15" t="s">
        <v>51</v>
      </c>
    </row>
    <row r="607" spans="1:9" ht="15.5" x14ac:dyDescent="0.35">
      <c r="A607" s="16" t="s">
        <v>1488</v>
      </c>
      <c r="B607" s="15" t="s" cm="1">
        <v>19</v>
      </c>
      <c r="C607" s="15" t="s" cm="1">
        <v>21</v>
      </c>
      <c r="D607" s="15" t="s">
        <v>1970</v>
      </c>
      <c r="E607" s="15" t="s" cm="1">
        <v>1639</v>
      </c>
      <c r="F607" s="15" t="s">
        <v>1638</v>
      </c>
      <c r="G607" s="15" t="s">
        <v>1489</v>
      </c>
      <c r="H607" s="15" t="s">
        <v>29</v>
      </c>
      <c r="I607" s="15" t="s">
        <v>28</v>
      </c>
    </row>
    <row r="608" spans="1:9" ht="15.5" x14ac:dyDescent="0.35">
      <c r="A608" s="16" t="s">
        <v>1490</v>
      </c>
      <c r="B608" s="15" t="s" cm="1">
        <v>19</v>
      </c>
      <c r="C608" s="15" t="s" cm="1">
        <v>21</v>
      </c>
      <c r="D608" s="15" t="s">
        <v>1491</v>
      </c>
      <c r="E608" s="15" t="s" cm="1">
        <v>1639</v>
      </c>
      <c r="F608" s="15" t="s">
        <v>1638</v>
      </c>
      <c r="G608" s="15" t="s">
        <v>1489</v>
      </c>
      <c r="H608" s="15" t="s">
        <v>130</v>
      </c>
      <c r="I608" s="15" t="s">
        <v>22</v>
      </c>
    </row>
    <row r="609" spans="1:9" ht="15.5" x14ac:dyDescent="0.35">
      <c r="A609" s="16" t="s">
        <v>1492</v>
      </c>
      <c r="B609" s="15" t="s" cm="1">
        <v>19</v>
      </c>
      <c r="C609" s="15" t="s" cm="1">
        <v>21</v>
      </c>
      <c r="D609" s="15" t="s">
        <v>1493</v>
      </c>
      <c r="E609" s="15" t="s" cm="1">
        <v>1639</v>
      </c>
      <c r="F609" s="15" t="s">
        <v>1636</v>
      </c>
      <c r="G609" s="15" t="s">
        <v>24</v>
      </c>
      <c r="H609" s="15" t="s">
        <v>52</v>
      </c>
      <c r="I609" s="15" t="s">
        <v>51</v>
      </c>
    </row>
    <row r="610" spans="1:9" ht="15.5" x14ac:dyDescent="0.35">
      <c r="A610" s="16" t="s">
        <v>1494</v>
      </c>
      <c r="B610" s="15" t="s" cm="1">
        <v>19</v>
      </c>
      <c r="C610" s="15" t="s" cm="1">
        <v>21</v>
      </c>
      <c r="D610" s="15" t="s">
        <v>1495</v>
      </c>
      <c r="E610" s="15" t="s" cm="1">
        <v>1635</v>
      </c>
      <c r="F610" s="15" t="s">
        <v>1693</v>
      </c>
      <c r="G610" s="15" t="s">
        <v>24</v>
      </c>
      <c r="H610" s="15" t="s">
        <v>52</v>
      </c>
      <c r="I610" s="15" t="s">
        <v>51</v>
      </c>
    </row>
    <row r="611" spans="1:9" ht="15.5" x14ac:dyDescent="0.35">
      <c r="A611" s="16" t="s">
        <v>1496</v>
      </c>
      <c r="B611" s="15" t="s" cm="1">
        <v>19</v>
      </c>
      <c r="C611" s="15" t="s" cm="1">
        <v>21</v>
      </c>
      <c r="D611" s="15" t="s">
        <v>1497</v>
      </c>
      <c r="E611" s="15" t="s" cm="1">
        <v>1635</v>
      </c>
      <c r="F611" s="15" t="s">
        <v>1693</v>
      </c>
      <c r="G611" s="15" t="s">
        <v>24</v>
      </c>
      <c r="H611" s="15" t="s">
        <v>52</v>
      </c>
      <c r="I611" s="15" t="s">
        <v>51</v>
      </c>
    </row>
    <row r="612" spans="1:9" ht="15.5" x14ac:dyDescent="0.35">
      <c r="A612" s="16" t="s">
        <v>1498</v>
      </c>
      <c r="B612" s="15" t="s" cm="1">
        <v>19</v>
      </c>
      <c r="C612" s="15" t="s" cm="1">
        <v>21</v>
      </c>
      <c r="D612" s="15" t="s">
        <v>1499</v>
      </c>
      <c r="E612" s="15" t="s" cm="1">
        <v>1635</v>
      </c>
      <c r="F612" s="15" t="s">
        <v>1693</v>
      </c>
      <c r="G612" s="15" t="s">
        <v>24</v>
      </c>
      <c r="H612" s="15" t="s">
        <v>52</v>
      </c>
      <c r="I612" s="15" t="s">
        <v>51</v>
      </c>
    </row>
    <row r="613" spans="1:9" ht="15.5" x14ac:dyDescent="0.35">
      <c r="A613" s="16" t="s">
        <v>1500</v>
      </c>
      <c r="B613" s="15" t="s" cm="1">
        <v>19</v>
      </c>
      <c r="C613" s="15" t="s" cm="1">
        <v>21</v>
      </c>
      <c r="D613" s="15" t="s">
        <v>1501</v>
      </c>
      <c r="E613" s="15" t="s" cm="1">
        <v>1635</v>
      </c>
      <c r="F613" s="15" t="s">
        <v>1693</v>
      </c>
      <c r="G613" s="15" t="s">
        <v>24</v>
      </c>
      <c r="H613" s="15" t="s">
        <v>52</v>
      </c>
      <c r="I613" s="15" t="s">
        <v>51</v>
      </c>
    </row>
    <row r="614" spans="1:9" ht="15.5" x14ac:dyDescent="0.35">
      <c r="A614" s="16" t="s">
        <v>1502</v>
      </c>
      <c r="B614" s="15" t="s" cm="1">
        <v>19</v>
      </c>
      <c r="C614" s="15" t="s" cm="1">
        <v>21</v>
      </c>
      <c r="D614" s="15" t="s">
        <v>1503</v>
      </c>
      <c r="E614" s="15" t="s" cm="1">
        <v>1635</v>
      </c>
      <c r="F614" s="15" t="s">
        <v>1693</v>
      </c>
      <c r="G614" s="15" t="s">
        <v>24</v>
      </c>
      <c r="H614" s="15" t="s">
        <v>52</v>
      </c>
      <c r="I614" s="15" t="s">
        <v>51</v>
      </c>
    </row>
    <row r="615" spans="1:9" ht="15.5" x14ac:dyDescent="0.35">
      <c r="A615" s="16" t="s">
        <v>1504</v>
      </c>
      <c r="B615" s="15" t="s" cm="1">
        <v>19</v>
      </c>
      <c r="C615" s="15" t="s" cm="1">
        <v>21</v>
      </c>
      <c r="D615" s="15" t="s">
        <v>1376</v>
      </c>
      <c r="E615" s="15" t="s" cm="1">
        <v>1635</v>
      </c>
      <c r="F615" s="15" t="s">
        <v>1693</v>
      </c>
      <c r="G615" s="15" t="s">
        <v>24</v>
      </c>
      <c r="H615" s="15" t="s">
        <v>52</v>
      </c>
      <c r="I615" s="15" t="s">
        <v>51</v>
      </c>
    </row>
    <row r="616" spans="1:9" ht="15.5" x14ac:dyDescent="0.35">
      <c r="A616" s="16" t="s">
        <v>1505</v>
      </c>
      <c r="B616" s="15" t="s" cm="1">
        <v>19</v>
      </c>
      <c r="C616" s="15" t="s" cm="1">
        <v>21</v>
      </c>
      <c r="D616" s="15" t="s">
        <v>1234</v>
      </c>
      <c r="E616" s="15" t="s" cm="1">
        <v>1635</v>
      </c>
      <c r="F616" s="15" t="s">
        <v>1693</v>
      </c>
      <c r="G616" s="15" t="s">
        <v>24</v>
      </c>
      <c r="H616" s="15" t="s">
        <v>52</v>
      </c>
      <c r="I616" s="15" t="s">
        <v>51</v>
      </c>
    </row>
    <row r="617" spans="1:9" ht="15.5" x14ac:dyDescent="0.35">
      <c r="A617" s="16" t="s">
        <v>1506</v>
      </c>
      <c r="B617" s="15" t="s" cm="1">
        <v>19</v>
      </c>
      <c r="C617" s="15" t="s" cm="1">
        <v>21</v>
      </c>
      <c r="D617" s="15" t="s">
        <v>1376</v>
      </c>
      <c r="E617" s="15" t="s" cm="1">
        <v>1635</v>
      </c>
      <c r="F617" s="15" t="s">
        <v>1693</v>
      </c>
      <c r="G617" s="15" t="s">
        <v>24</v>
      </c>
      <c r="H617" s="15" t="s">
        <v>52</v>
      </c>
      <c r="I617" s="15" t="s">
        <v>51</v>
      </c>
    </row>
    <row r="618" spans="1:9" ht="15.5" x14ac:dyDescent="0.35">
      <c r="A618" s="16" t="s">
        <v>1507</v>
      </c>
      <c r="B618" s="15" t="s" cm="1">
        <v>19</v>
      </c>
      <c r="C618" s="15" t="s" cm="1">
        <v>21</v>
      </c>
      <c r="D618" s="15" t="s">
        <v>1508</v>
      </c>
      <c r="E618" s="15" t="s" cm="1">
        <v>1635</v>
      </c>
      <c r="F618" s="15" t="s">
        <v>1693</v>
      </c>
      <c r="G618" s="15" t="s">
        <v>24</v>
      </c>
      <c r="H618" s="15" t="s">
        <v>52</v>
      </c>
      <c r="I618" s="15" t="s">
        <v>51</v>
      </c>
    </row>
    <row r="619" spans="1:9" ht="15.5" x14ac:dyDescent="0.35">
      <c r="A619" s="16" t="s">
        <v>1509</v>
      </c>
      <c r="B619" s="15" t="s" cm="1">
        <v>19</v>
      </c>
      <c r="C619" s="15" t="s" cm="1">
        <v>21</v>
      </c>
      <c r="D619" s="15" t="s">
        <v>1510</v>
      </c>
      <c r="E619" s="15" t="s" cm="1">
        <v>1635</v>
      </c>
      <c r="F619" s="15" t="s">
        <v>1693</v>
      </c>
      <c r="G619" s="15" t="s">
        <v>24</v>
      </c>
      <c r="H619" s="15" t="s">
        <v>52</v>
      </c>
      <c r="I619" s="15" t="s">
        <v>51</v>
      </c>
    </row>
    <row r="620" spans="1:9" ht="15.5" x14ac:dyDescent="0.35">
      <c r="A620" s="16" t="s">
        <v>1511</v>
      </c>
      <c r="B620" s="15" t="s" cm="1">
        <v>19</v>
      </c>
      <c r="C620" s="15" t="s" cm="1">
        <v>21</v>
      </c>
      <c r="D620" s="15" t="s">
        <v>1376</v>
      </c>
      <c r="E620" s="15" t="s" cm="1">
        <v>1635</v>
      </c>
      <c r="F620" s="15" t="s">
        <v>1693</v>
      </c>
      <c r="G620" s="15" t="s">
        <v>24</v>
      </c>
      <c r="H620" s="15" t="s">
        <v>52</v>
      </c>
      <c r="I620" s="15" t="s">
        <v>51</v>
      </c>
    </row>
    <row r="621" spans="1:9" ht="15.5" x14ac:dyDescent="0.35">
      <c r="A621" s="16" t="s">
        <v>1512</v>
      </c>
      <c r="B621" s="15" t="s" cm="1">
        <v>19</v>
      </c>
      <c r="C621" s="15" t="s" cm="1">
        <v>21</v>
      </c>
      <c r="D621" s="15" t="s">
        <v>1513</v>
      </c>
      <c r="E621" s="15" t="s" cm="1">
        <v>1635</v>
      </c>
      <c r="F621" s="15" t="s">
        <v>1693</v>
      </c>
      <c r="G621" s="15" t="s">
        <v>24</v>
      </c>
      <c r="H621" s="15" t="s">
        <v>52</v>
      </c>
      <c r="I621" s="15" t="s">
        <v>51</v>
      </c>
    </row>
    <row r="622" spans="1:9" ht="15.5" x14ac:dyDescent="0.35">
      <c r="A622" s="16" t="s">
        <v>1514</v>
      </c>
      <c r="B622" s="15" t="s" cm="1">
        <v>19</v>
      </c>
      <c r="C622" s="15" t="s" cm="1">
        <v>21</v>
      </c>
      <c r="D622" s="15" t="s">
        <v>1971</v>
      </c>
      <c r="E622" s="15" t="s" cm="1">
        <v>1635</v>
      </c>
      <c r="F622" s="15" t="s">
        <v>1693</v>
      </c>
      <c r="G622" s="15" t="s">
        <v>24</v>
      </c>
      <c r="H622" s="15" t="s">
        <v>52</v>
      </c>
      <c r="I622" s="15" t="s">
        <v>51</v>
      </c>
    </row>
    <row r="623" spans="1:9" ht="15.5" x14ac:dyDescent="0.35">
      <c r="A623" s="16" t="s">
        <v>1516</v>
      </c>
      <c r="B623" s="15" t="s" cm="1">
        <v>19</v>
      </c>
      <c r="C623" s="15" t="s" cm="1">
        <v>21</v>
      </c>
      <c r="D623" s="15" t="s">
        <v>1517</v>
      </c>
      <c r="E623" s="15" t="s" cm="1">
        <v>1635</v>
      </c>
      <c r="F623" s="15" t="s">
        <v>1693</v>
      </c>
      <c r="G623" s="15" t="s">
        <v>24</v>
      </c>
      <c r="H623" s="15" t="s">
        <v>52</v>
      </c>
      <c r="I623" s="15" t="s">
        <v>51</v>
      </c>
    </row>
    <row r="624" spans="1:9" ht="15.5" x14ac:dyDescent="0.35">
      <c r="A624" s="16" t="s">
        <v>1518</v>
      </c>
      <c r="B624" s="15" t="s" cm="1">
        <v>19</v>
      </c>
      <c r="C624" s="15" t="s" cm="1">
        <v>21</v>
      </c>
      <c r="D624" s="15" t="s">
        <v>1519</v>
      </c>
      <c r="E624" s="15" t="s" cm="1">
        <v>1635</v>
      </c>
      <c r="F624" s="15" t="s">
        <v>1693</v>
      </c>
      <c r="G624" s="15" t="s">
        <v>24</v>
      </c>
      <c r="H624" s="15" t="s">
        <v>52</v>
      </c>
      <c r="I624" s="15" t="s">
        <v>51</v>
      </c>
    </row>
    <row r="625" spans="1:9" ht="15.5" x14ac:dyDescent="0.35">
      <c r="A625" s="16" t="s">
        <v>1520</v>
      </c>
      <c r="B625" s="15" t="s" cm="1">
        <v>19</v>
      </c>
      <c r="C625" s="15" t="s" cm="1">
        <v>21</v>
      </c>
      <c r="D625" s="15" t="s">
        <v>1521</v>
      </c>
      <c r="E625" s="15" t="s" cm="1">
        <v>1635</v>
      </c>
      <c r="F625" s="15" t="s">
        <v>1693</v>
      </c>
      <c r="G625" s="15" t="s">
        <v>24</v>
      </c>
      <c r="H625" s="15" t="s">
        <v>52</v>
      </c>
      <c r="I625" s="15" t="s">
        <v>51</v>
      </c>
    </row>
    <row r="626" spans="1:9" ht="15.5" x14ac:dyDescent="0.35">
      <c r="A626" s="16" t="s">
        <v>1035</v>
      </c>
      <c r="B626" s="15" t="s" cm="1">
        <v>986</v>
      </c>
      <c r="C626" s="15" t="s" cm="1">
        <v>21</v>
      </c>
      <c r="D626" s="15" t="s">
        <v>1972</v>
      </c>
      <c r="E626" s="15" t="s" cm="1">
        <v>1635</v>
      </c>
      <c r="F626" s="15" t="s">
        <v>1638</v>
      </c>
      <c r="G626" s="15" t="s">
        <v>24</v>
      </c>
      <c r="H626" s="15" t="s">
        <v>45</v>
      </c>
      <c r="I626" s="15" t="s">
        <v>44</v>
      </c>
    </row>
    <row r="627" spans="1:9" ht="15.5" x14ac:dyDescent="0.35">
      <c r="A627" s="16" t="s">
        <v>1523</v>
      </c>
      <c r="B627" s="15" t="s" cm="1">
        <v>986</v>
      </c>
      <c r="C627" s="15" t="s" cm="1">
        <v>21</v>
      </c>
      <c r="D627" s="15" t="s">
        <v>1454</v>
      </c>
      <c r="E627" s="15" t="s" cm="1">
        <v>1635</v>
      </c>
      <c r="F627" s="15" t="s">
        <v>1638</v>
      </c>
      <c r="G627" s="15" t="s">
        <v>875</v>
      </c>
      <c r="H627" s="15" t="s">
        <v>35</v>
      </c>
      <c r="I627" s="15" t="s">
        <v>34</v>
      </c>
    </row>
    <row r="628" spans="1:9" ht="15.5" x14ac:dyDescent="0.35">
      <c r="A628" s="16" t="s">
        <v>1524</v>
      </c>
      <c r="B628" s="15" t="s" cm="1">
        <v>19</v>
      </c>
      <c r="C628" s="15" t="s" cm="1">
        <v>21</v>
      </c>
      <c r="D628" s="15" t="s">
        <v>1525</v>
      </c>
      <c r="E628" s="15" t="s" cm="1">
        <v>1639</v>
      </c>
      <c r="F628" s="15" t="s">
        <v>1636</v>
      </c>
      <c r="G628" s="15" t="s">
        <v>885</v>
      </c>
      <c r="H628" s="15" t="s">
        <v>1263</v>
      </c>
      <c r="I628" s="15" t="s">
        <v>1262</v>
      </c>
    </row>
    <row r="629" spans="1:9" ht="15.5" x14ac:dyDescent="0.35">
      <c r="A629" s="16" t="s">
        <v>1526</v>
      </c>
      <c r="B629" s="15" t="s" cm="1">
        <v>19</v>
      </c>
      <c r="C629" s="15" t="s" cm="1">
        <v>21</v>
      </c>
      <c r="D629" s="15" t="s">
        <v>1973</v>
      </c>
      <c r="E629" s="15" t="s" cm="1">
        <v>1639</v>
      </c>
      <c r="F629" s="15" t="s">
        <v>1636</v>
      </c>
      <c r="G629" s="15" t="s">
        <v>885</v>
      </c>
      <c r="H629" s="15" t="s">
        <v>1263</v>
      </c>
      <c r="I629" s="15" t="s">
        <v>1262</v>
      </c>
    </row>
    <row r="630" spans="1:9" ht="15.5" x14ac:dyDescent="0.35">
      <c r="A630" s="16" t="s">
        <v>1528</v>
      </c>
      <c r="B630" s="15" t="s" cm="1">
        <v>19</v>
      </c>
      <c r="C630" s="15" t="s" cm="1">
        <v>21</v>
      </c>
      <c r="D630" s="15" t="s">
        <v>1974</v>
      </c>
      <c r="E630" s="15" t="s" cm="1">
        <v>1639</v>
      </c>
      <c r="F630" s="15" t="s">
        <v>1636</v>
      </c>
      <c r="G630" s="15" t="s">
        <v>885</v>
      </c>
      <c r="H630" s="15" t="s">
        <v>1263</v>
      </c>
      <c r="I630" s="15" t="s">
        <v>1262</v>
      </c>
    </row>
    <row r="631" spans="1:9" ht="15.5" x14ac:dyDescent="0.35">
      <c r="A631" s="16" t="s">
        <v>1530</v>
      </c>
      <c r="B631" s="15" t="s" cm="1">
        <v>19</v>
      </c>
      <c r="C631" s="15" t="s" cm="1">
        <v>21</v>
      </c>
      <c r="D631" s="15" t="s">
        <v>1531</v>
      </c>
      <c r="E631" s="15" t="s" cm="1">
        <v>1639</v>
      </c>
      <c r="F631" s="15" t="s">
        <v>1636</v>
      </c>
      <c r="G631" s="15" t="s">
        <v>885</v>
      </c>
      <c r="H631" s="15" t="s">
        <v>1263</v>
      </c>
      <c r="I631" s="15" t="s">
        <v>1262</v>
      </c>
    </row>
    <row r="632" spans="1:9" ht="15.5" x14ac:dyDescent="0.35">
      <c r="A632" s="16" t="s">
        <v>1532</v>
      </c>
      <c r="B632" s="15" t="s" cm="1">
        <v>19</v>
      </c>
      <c r="C632" s="15" t="s" cm="1">
        <v>21</v>
      </c>
      <c r="D632" s="15" t="s">
        <v>1975</v>
      </c>
      <c r="E632" s="15" t="s" cm="1">
        <v>1639</v>
      </c>
      <c r="F632" s="15" t="s">
        <v>1636</v>
      </c>
      <c r="G632" s="15" t="s">
        <v>885</v>
      </c>
      <c r="H632" s="15" t="s">
        <v>1263</v>
      </c>
      <c r="I632" s="15" t="s">
        <v>1262</v>
      </c>
    </row>
    <row r="633" spans="1:9" ht="15.5" x14ac:dyDescent="0.35">
      <c r="A633" s="16" t="s">
        <v>1534</v>
      </c>
      <c r="B633" s="15" t="s" cm="1">
        <v>19</v>
      </c>
      <c r="C633" s="15" t="s" cm="1">
        <v>21</v>
      </c>
      <c r="D633" s="15" t="s">
        <v>1535</v>
      </c>
      <c r="E633" s="15" t="s" cm="1">
        <v>1639</v>
      </c>
      <c r="F633" s="15" t="s">
        <v>1636</v>
      </c>
      <c r="G633" s="15" t="s">
        <v>885</v>
      </c>
      <c r="H633" s="15" t="s">
        <v>1263</v>
      </c>
      <c r="I633" s="15" t="s">
        <v>1262</v>
      </c>
    </row>
    <row r="634" spans="1:9" ht="15.5" x14ac:dyDescent="0.35">
      <c r="A634" s="16" t="s">
        <v>1536</v>
      </c>
      <c r="B634" s="15" t="s" cm="1">
        <v>19</v>
      </c>
      <c r="C634" s="15" t="s" cm="1">
        <v>21</v>
      </c>
      <c r="D634" s="15" t="s">
        <v>1537</v>
      </c>
      <c r="E634" s="15" t="s" cm="1">
        <v>1639</v>
      </c>
      <c r="F634" s="15" t="s">
        <v>1636</v>
      </c>
      <c r="G634" s="15" t="s">
        <v>885</v>
      </c>
      <c r="H634" s="15" t="s">
        <v>1263</v>
      </c>
      <c r="I634" s="15" t="s">
        <v>1262</v>
      </c>
    </row>
    <row r="635" spans="1:9" ht="15.5" x14ac:dyDescent="0.35">
      <c r="A635" s="16" t="s">
        <v>1538</v>
      </c>
      <c r="B635" s="15" t="s" cm="1">
        <v>19</v>
      </c>
      <c r="C635" s="15" t="s" cm="1">
        <v>21</v>
      </c>
      <c r="D635" s="15" t="s">
        <v>1539</v>
      </c>
      <c r="E635" s="15" t="s" cm="1">
        <v>1639</v>
      </c>
      <c r="F635" s="15" t="s">
        <v>1636</v>
      </c>
      <c r="G635" s="15" t="s">
        <v>885</v>
      </c>
      <c r="H635" s="15" t="s">
        <v>1263</v>
      </c>
      <c r="I635" s="15" t="s">
        <v>1262</v>
      </c>
    </row>
    <row r="636" spans="1:9" ht="15.5" x14ac:dyDescent="0.35">
      <c r="A636" s="16" t="s">
        <v>1540</v>
      </c>
      <c r="B636" s="15" t="s" cm="1">
        <v>19</v>
      </c>
      <c r="C636" s="15" t="s" cm="1">
        <v>21</v>
      </c>
      <c r="D636" s="15" t="s">
        <v>1541</v>
      </c>
      <c r="E636" s="15" t="s" cm="1">
        <v>1639</v>
      </c>
      <c r="F636" s="15" t="s">
        <v>1636</v>
      </c>
      <c r="G636" s="15" t="s">
        <v>885</v>
      </c>
      <c r="H636" s="15" t="s">
        <v>1263</v>
      </c>
      <c r="I636" s="15" t="s">
        <v>1262</v>
      </c>
    </row>
    <row r="637" spans="1:9" ht="15.5" x14ac:dyDescent="0.35">
      <c r="A637" s="16" t="s">
        <v>1542</v>
      </c>
      <c r="B637" s="15" t="s" cm="1">
        <v>19</v>
      </c>
      <c r="C637" s="15" t="s" cm="1">
        <v>21</v>
      </c>
      <c r="D637" s="15" t="s">
        <v>1301</v>
      </c>
      <c r="E637" s="15" t="s" cm="1">
        <v>1639</v>
      </c>
      <c r="F637" s="15" t="s">
        <v>1636</v>
      </c>
      <c r="G637" s="15" t="s">
        <v>885</v>
      </c>
      <c r="H637" s="15" t="s">
        <v>1263</v>
      </c>
      <c r="I637" s="15" t="s">
        <v>1262</v>
      </c>
    </row>
    <row r="638" spans="1:9" ht="15.5" x14ac:dyDescent="0.35">
      <c r="A638" s="16" t="s">
        <v>1543</v>
      </c>
      <c r="B638" s="15" t="s" cm="1">
        <v>19</v>
      </c>
      <c r="C638" s="15" t="s" cm="1">
        <v>21</v>
      </c>
      <c r="D638" s="15" t="s">
        <v>1976</v>
      </c>
      <c r="E638" s="15" t="s" cm="1">
        <v>1639</v>
      </c>
      <c r="F638" s="15" t="s">
        <v>1636</v>
      </c>
      <c r="G638" s="15" t="s">
        <v>885</v>
      </c>
      <c r="H638" s="15" t="s">
        <v>1263</v>
      </c>
      <c r="I638" s="15" t="s">
        <v>1262</v>
      </c>
    </row>
    <row r="639" spans="1:9" ht="15.5" x14ac:dyDescent="0.35">
      <c r="A639" s="16" t="s">
        <v>1545</v>
      </c>
      <c r="B639" s="15" t="s" cm="1">
        <v>19</v>
      </c>
      <c r="C639" s="15" t="s" cm="1">
        <v>21</v>
      </c>
      <c r="D639" s="15" t="s">
        <v>1301</v>
      </c>
      <c r="E639" s="15" t="s" cm="1">
        <v>1639</v>
      </c>
      <c r="F639" s="15" t="s">
        <v>1636</v>
      </c>
      <c r="G639" s="15" t="s">
        <v>885</v>
      </c>
      <c r="H639" s="15" t="s">
        <v>1263</v>
      </c>
      <c r="I639" s="15" t="s">
        <v>1262</v>
      </c>
    </row>
    <row r="640" spans="1:9" ht="15.5" x14ac:dyDescent="0.35">
      <c r="A640" s="16" t="s">
        <v>1546</v>
      </c>
      <c r="B640" s="15" t="s" cm="1">
        <v>19</v>
      </c>
      <c r="C640" s="15" t="s" cm="1">
        <v>21</v>
      </c>
      <c r="D640" s="15" t="s">
        <v>1547</v>
      </c>
      <c r="E640" s="15" t="s" cm="1">
        <v>1639</v>
      </c>
      <c r="F640" s="15" t="s">
        <v>1636</v>
      </c>
      <c r="G640" s="15" t="s">
        <v>885</v>
      </c>
      <c r="H640" s="15" t="s">
        <v>1263</v>
      </c>
      <c r="I640" s="15" t="s">
        <v>1262</v>
      </c>
    </row>
    <row r="641" spans="1:9" ht="15.5" x14ac:dyDescent="0.35">
      <c r="A641" s="16" t="s">
        <v>1548</v>
      </c>
      <c r="B641" s="15" t="s" cm="1">
        <v>19</v>
      </c>
      <c r="C641" s="15" t="s" cm="1">
        <v>21</v>
      </c>
      <c r="D641" s="15" t="s">
        <v>1549</v>
      </c>
      <c r="E641" s="15" t="s" cm="1">
        <v>1639</v>
      </c>
      <c r="F641" s="15" t="s">
        <v>1636</v>
      </c>
      <c r="G641" s="15" t="s">
        <v>885</v>
      </c>
      <c r="H641" s="15" t="s">
        <v>1263</v>
      </c>
      <c r="I641" s="15" t="s">
        <v>1262</v>
      </c>
    </row>
    <row r="642" spans="1:9" ht="15.5" x14ac:dyDescent="0.35">
      <c r="A642" s="16" t="s">
        <v>1550</v>
      </c>
      <c r="B642" s="15" t="s" cm="1">
        <v>19</v>
      </c>
      <c r="C642" s="15" t="s" cm="1">
        <v>21</v>
      </c>
      <c r="D642" s="15" t="s">
        <v>1977</v>
      </c>
      <c r="E642" s="15" t="s" cm="1">
        <v>1639</v>
      </c>
      <c r="F642" s="15" t="s">
        <v>1636</v>
      </c>
      <c r="G642" s="15" t="s">
        <v>885</v>
      </c>
      <c r="H642" s="15" t="s">
        <v>1263</v>
      </c>
      <c r="I642" s="15" t="s">
        <v>1262</v>
      </c>
    </row>
    <row r="643" spans="1:9" ht="15.5" x14ac:dyDescent="0.35">
      <c r="A643" s="16" t="s">
        <v>1552</v>
      </c>
      <c r="B643" s="15" t="s" cm="1">
        <v>19</v>
      </c>
      <c r="C643" s="15" t="s" cm="1">
        <v>21</v>
      </c>
      <c r="D643" s="15" t="s">
        <v>1553</v>
      </c>
      <c r="E643" s="15" t="s" cm="1">
        <v>1639</v>
      </c>
      <c r="F643" s="15" t="s">
        <v>1636</v>
      </c>
      <c r="G643" s="15" t="s">
        <v>885</v>
      </c>
      <c r="H643" s="15" t="s">
        <v>1263</v>
      </c>
      <c r="I643" s="15" t="s">
        <v>1262</v>
      </c>
    </row>
    <row r="644" spans="1:9" ht="15.5" x14ac:dyDescent="0.35">
      <c r="A644" s="16" t="s">
        <v>1554</v>
      </c>
      <c r="B644" s="15" t="s" cm="1">
        <v>19</v>
      </c>
      <c r="C644" s="15" t="s" cm="1">
        <v>21</v>
      </c>
      <c r="D644" s="15" t="s">
        <v>1301</v>
      </c>
      <c r="E644" s="15" t="s" cm="1">
        <v>1639</v>
      </c>
      <c r="F644" s="15" t="s">
        <v>1636</v>
      </c>
      <c r="G644" s="15" t="s">
        <v>885</v>
      </c>
      <c r="H644" s="15" t="s">
        <v>1263</v>
      </c>
      <c r="I644" s="15" t="s">
        <v>1262</v>
      </c>
    </row>
    <row r="645" spans="1:9" ht="15.5" x14ac:dyDescent="0.35">
      <c r="A645" s="16" t="s">
        <v>1555</v>
      </c>
      <c r="B645" s="15" t="s" cm="1">
        <v>19</v>
      </c>
      <c r="C645" s="15" t="s" cm="1">
        <v>21</v>
      </c>
      <c r="D645" s="15" t="s">
        <v>1556</v>
      </c>
      <c r="E645" s="15" t="s" cm="1">
        <v>1639</v>
      </c>
      <c r="F645" s="15" t="s">
        <v>1636</v>
      </c>
      <c r="G645" s="15" t="s">
        <v>885</v>
      </c>
      <c r="H645" s="15" t="s">
        <v>1263</v>
      </c>
      <c r="I645" s="15" t="s">
        <v>1262</v>
      </c>
    </row>
    <row r="646" spans="1:9" ht="15.5" x14ac:dyDescent="0.35">
      <c r="A646" s="16" t="s">
        <v>1557</v>
      </c>
      <c r="B646" s="15" t="s" cm="1">
        <v>19</v>
      </c>
      <c r="C646" s="15" t="s" cm="1">
        <v>21</v>
      </c>
      <c r="D646" s="15" t="s">
        <v>1558</v>
      </c>
      <c r="E646" s="15" t="s" cm="1">
        <v>1639</v>
      </c>
      <c r="F646" s="15" t="s">
        <v>1636</v>
      </c>
      <c r="G646" s="15" t="s">
        <v>885</v>
      </c>
      <c r="H646" s="15" t="s">
        <v>1263</v>
      </c>
      <c r="I646" s="15" t="s">
        <v>1262</v>
      </c>
    </row>
    <row r="647" spans="1:9" ht="15.5" x14ac:dyDescent="0.35">
      <c r="A647" s="16" t="s">
        <v>1559</v>
      </c>
      <c r="B647" s="15" t="s" cm="1">
        <v>19</v>
      </c>
      <c r="C647" s="15" t="s" cm="1">
        <v>21</v>
      </c>
      <c r="D647" s="15" t="s">
        <v>1560</v>
      </c>
      <c r="E647" s="15" t="s" cm="1">
        <v>1639</v>
      </c>
      <c r="F647" s="15" t="s">
        <v>1636</v>
      </c>
      <c r="G647" s="15" t="s">
        <v>885</v>
      </c>
      <c r="H647" s="15" t="s">
        <v>1263</v>
      </c>
      <c r="I647" s="15" t="s">
        <v>1262</v>
      </c>
    </row>
    <row r="648" spans="1:9" ht="15.5" x14ac:dyDescent="0.35">
      <c r="A648" s="16" t="s">
        <v>1561</v>
      </c>
      <c r="B648" s="15" t="s" cm="1">
        <v>19</v>
      </c>
      <c r="C648" s="15" t="s" cm="1">
        <v>21</v>
      </c>
      <c r="D648" s="15" t="s">
        <v>1562</v>
      </c>
      <c r="E648" s="15" t="s" cm="1">
        <v>1639</v>
      </c>
      <c r="F648" s="15" t="s">
        <v>1636</v>
      </c>
      <c r="G648" s="15" t="s">
        <v>885</v>
      </c>
      <c r="H648" s="15" t="s">
        <v>1263</v>
      </c>
      <c r="I648" s="15" t="s">
        <v>1262</v>
      </c>
    </row>
    <row r="649" spans="1:9" ht="15.5" x14ac:dyDescent="0.35">
      <c r="A649" s="16" t="s">
        <v>1563</v>
      </c>
      <c r="B649" s="15" t="s" cm="1">
        <v>19</v>
      </c>
      <c r="C649" s="15" t="s" cm="1">
        <v>21</v>
      </c>
      <c r="D649" s="15" t="s">
        <v>1535</v>
      </c>
      <c r="E649" s="15" t="s" cm="1">
        <v>1639</v>
      </c>
      <c r="F649" s="15" t="s">
        <v>1636</v>
      </c>
      <c r="G649" s="15" t="s">
        <v>885</v>
      </c>
      <c r="H649" s="15" t="s">
        <v>1263</v>
      </c>
      <c r="I649" s="15" t="s">
        <v>1262</v>
      </c>
    </row>
    <row r="650" spans="1:9" ht="15.5" x14ac:dyDescent="0.35">
      <c r="A650" s="16" t="s">
        <v>1564</v>
      </c>
      <c r="B650" s="15" t="s" cm="1">
        <v>19</v>
      </c>
      <c r="C650" s="15" t="s" cm="1">
        <v>21</v>
      </c>
      <c r="D650" s="15" t="s">
        <v>1565</v>
      </c>
      <c r="E650" s="15" t="s" cm="1">
        <v>1639</v>
      </c>
      <c r="F650" s="15" t="s">
        <v>1636</v>
      </c>
      <c r="G650" s="15" t="s">
        <v>885</v>
      </c>
      <c r="H650" s="15" t="s">
        <v>1263</v>
      </c>
      <c r="I650" s="15" t="s">
        <v>1262</v>
      </c>
    </row>
    <row r="651" spans="1:9" ht="15.5" x14ac:dyDescent="0.35">
      <c r="A651" s="16" t="s">
        <v>1566</v>
      </c>
      <c r="B651" s="15" t="s" cm="1">
        <v>19</v>
      </c>
      <c r="C651" s="15" t="s" cm="1">
        <v>21</v>
      </c>
      <c r="D651" s="15" t="s">
        <v>1535</v>
      </c>
      <c r="E651" s="15" t="s" cm="1">
        <v>1639</v>
      </c>
      <c r="F651" s="15" t="s">
        <v>1636</v>
      </c>
      <c r="G651" s="15" t="s">
        <v>885</v>
      </c>
      <c r="H651" s="15" t="s">
        <v>1263</v>
      </c>
      <c r="I651" s="15" t="s">
        <v>1262</v>
      </c>
    </row>
    <row r="652" spans="1:9" ht="15.5" x14ac:dyDescent="0.35">
      <c r="A652" s="16" t="s">
        <v>1567</v>
      </c>
      <c r="B652" s="15" t="s" cm="1">
        <v>19</v>
      </c>
      <c r="C652" s="15" t="s" cm="1">
        <v>21</v>
      </c>
      <c r="D652" s="15" t="s">
        <v>1568</v>
      </c>
      <c r="E652" s="15" t="s" cm="1">
        <v>1639</v>
      </c>
      <c r="F652" s="15" t="s">
        <v>1636</v>
      </c>
      <c r="G652" s="15" t="s">
        <v>885</v>
      </c>
      <c r="H652" s="15" t="s">
        <v>1263</v>
      </c>
      <c r="I652" s="15" t="s">
        <v>1262</v>
      </c>
    </row>
    <row r="653" spans="1:9" ht="15.5" x14ac:dyDescent="0.35">
      <c r="A653" s="16" t="s">
        <v>1569</v>
      </c>
      <c r="B653" s="15" t="s" cm="1">
        <v>19</v>
      </c>
      <c r="C653" s="15" t="s" cm="1">
        <v>21</v>
      </c>
      <c r="D653" s="15" t="s">
        <v>1978</v>
      </c>
      <c r="E653" s="15" t="s" cm="1">
        <v>1639</v>
      </c>
      <c r="F653" s="15" t="s">
        <v>1636</v>
      </c>
      <c r="G653" s="15" t="s">
        <v>885</v>
      </c>
      <c r="H653" s="15" t="s">
        <v>1263</v>
      </c>
      <c r="I653" s="15" t="s">
        <v>1262</v>
      </c>
    </row>
    <row r="654" spans="1:9" ht="15.5" x14ac:dyDescent="0.35">
      <c r="A654" s="16" t="s">
        <v>1571</v>
      </c>
      <c r="B654" s="15" t="s" cm="1">
        <v>19</v>
      </c>
      <c r="C654" s="15" t="s" cm="1">
        <v>21</v>
      </c>
      <c r="D654" s="15" t="s">
        <v>1572</v>
      </c>
      <c r="E654" s="15" t="s" cm="1">
        <v>1639</v>
      </c>
      <c r="F654" s="15" t="s">
        <v>1636</v>
      </c>
      <c r="G654" s="15" t="s">
        <v>885</v>
      </c>
      <c r="H654" s="15" t="s">
        <v>1263</v>
      </c>
      <c r="I654" s="15" t="s">
        <v>1262</v>
      </c>
    </row>
    <row r="655" spans="1:9" ht="15.5" x14ac:dyDescent="0.35">
      <c r="A655" s="16" t="s">
        <v>1573</v>
      </c>
      <c r="B655" s="15" t="s" cm="1">
        <v>19</v>
      </c>
      <c r="C655" s="15" t="s" cm="1">
        <v>21</v>
      </c>
      <c r="D655" s="15" t="s">
        <v>1574</v>
      </c>
      <c r="E655" s="15" t="s" cm="1">
        <v>1639</v>
      </c>
      <c r="F655" s="15" t="s">
        <v>1636</v>
      </c>
      <c r="G655" s="15" t="s">
        <v>885</v>
      </c>
      <c r="H655" s="15" t="s">
        <v>1263</v>
      </c>
      <c r="I655" s="15" t="s">
        <v>1262</v>
      </c>
    </row>
    <row r="656" spans="1:9" ht="15.5" x14ac:dyDescent="0.35">
      <c r="A656" s="16" t="s">
        <v>1575</v>
      </c>
      <c r="B656" s="15" t="s" cm="1">
        <v>19</v>
      </c>
      <c r="C656" s="15" t="s" cm="1">
        <v>21</v>
      </c>
      <c r="D656" s="15" t="s">
        <v>1301</v>
      </c>
      <c r="E656" s="15" t="s" cm="1">
        <v>1639</v>
      </c>
      <c r="F656" s="15" t="s">
        <v>1636</v>
      </c>
      <c r="G656" s="15" t="s">
        <v>885</v>
      </c>
      <c r="H656" s="15" t="s">
        <v>1263</v>
      </c>
      <c r="I656" s="15" t="s">
        <v>1262</v>
      </c>
    </row>
    <row r="657" spans="1:9" ht="15.5" x14ac:dyDescent="0.35">
      <c r="A657" s="16" t="s">
        <v>1576</v>
      </c>
      <c r="B657" s="15" t="s" cm="1">
        <v>19</v>
      </c>
      <c r="C657" s="15" t="s" cm="1">
        <v>21</v>
      </c>
      <c r="D657" s="15" t="s">
        <v>1979</v>
      </c>
      <c r="E657" s="15" t="s" cm="1">
        <v>1639</v>
      </c>
      <c r="F657" s="15" t="s">
        <v>1636</v>
      </c>
      <c r="G657" s="15" t="s">
        <v>885</v>
      </c>
      <c r="H657" s="15" t="s">
        <v>1263</v>
      </c>
      <c r="I657" s="15" t="s">
        <v>1262</v>
      </c>
    </row>
    <row r="658" spans="1:9" ht="15.5" x14ac:dyDescent="0.35">
      <c r="A658" s="16" t="s">
        <v>1578</v>
      </c>
      <c r="B658" s="15" t="s" cm="1">
        <v>19</v>
      </c>
      <c r="C658" s="15" t="s" cm="1">
        <v>21</v>
      </c>
      <c r="D658" s="15" t="s">
        <v>1579</v>
      </c>
      <c r="E658" s="15" t="s" cm="1">
        <v>1639</v>
      </c>
      <c r="F658" s="15" t="s">
        <v>1636</v>
      </c>
      <c r="G658" s="15" t="s">
        <v>885</v>
      </c>
      <c r="H658" s="15" t="s">
        <v>1263</v>
      </c>
      <c r="I658" s="15" t="s">
        <v>1262</v>
      </c>
    </row>
    <row r="659" spans="1:9" ht="15.5" x14ac:dyDescent="0.35">
      <c r="A659" s="16" t="s">
        <v>1580</v>
      </c>
      <c r="B659" s="15" t="s" cm="1">
        <v>19</v>
      </c>
      <c r="C659" s="15" t="s" cm="1">
        <v>21</v>
      </c>
      <c r="D659" s="15" t="s">
        <v>1980</v>
      </c>
      <c r="E659" s="15" t="s" cm="1">
        <v>1639</v>
      </c>
      <c r="F659" s="15" t="s">
        <v>1636</v>
      </c>
      <c r="G659" s="15" t="s">
        <v>885</v>
      </c>
      <c r="H659" s="15" t="s">
        <v>1263</v>
      </c>
      <c r="I659" s="15" t="s">
        <v>1262</v>
      </c>
    </row>
    <row r="660" spans="1:9" ht="15.5" x14ac:dyDescent="0.35">
      <c r="A660" s="16" t="s">
        <v>1582</v>
      </c>
      <c r="B660" s="15" t="s" cm="1">
        <v>19</v>
      </c>
      <c r="C660" s="15" t="s" cm="1">
        <v>21</v>
      </c>
      <c r="D660" s="15" t="s">
        <v>1981</v>
      </c>
      <c r="E660" s="15" t="s" cm="1">
        <v>1639</v>
      </c>
      <c r="F660" s="15" t="s">
        <v>1636</v>
      </c>
      <c r="G660" s="15" t="s">
        <v>885</v>
      </c>
      <c r="H660" s="15" t="s">
        <v>1263</v>
      </c>
      <c r="I660" s="15" t="s">
        <v>1262</v>
      </c>
    </row>
    <row r="661" spans="1:9" ht="15.5" x14ac:dyDescent="0.35">
      <c r="A661" s="16" t="s">
        <v>1584</v>
      </c>
      <c r="B661" s="15" t="s" cm="1">
        <v>19</v>
      </c>
      <c r="C661" s="15" t="s" cm="1">
        <v>21</v>
      </c>
      <c r="D661" s="15" t="s">
        <v>1585</v>
      </c>
      <c r="E661" s="15" t="s" cm="1">
        <v>1639</v>
      </c>
      <c r="F661" s="15" t="s">
        <v>1636</v>
      </c>
      <c r="G661" s="15" t="s">
        <v>885</v>
      </c>
      <c r="H661" s="15" t="s">
        <v>1263</v>
      </c>
      <c r="I661" s="15" t="s">
        <v>1262</v>
      </c>
    </row>
    <row r="662" spans="1:9" ht="15.5" x14ac:dyDescent="0.35">
      <c r="A662" s="16" t="s">
        <v>1586</v>
      </c>
      <c r="B662" s="15" t="s" cm="1">
        <v>19</v>
      </c>
      <c r="C662" s="15" t="s" cm="1">
        <v>21</v>
      </c>
      <c r="D662" s="15" t="s">
        <v>1565</v>
      </c>
      <c r="E662" s="15" t="s" cm="1">
        <v>1639</v>
      </c>
      <c r="F662" s="15" t="s">
        <v>1636</v>
      </c>
      <c r="G662" s="15" t="s">
        <v>885</v>
      </c>
      <c r="H662" s="15" t="s">
        <v>1263</v>
      </c>
      <c r="I662" s="15" t="s">
        <v>1262</v>
      </c>
    </row>
    <row r="663" spans="1:9" ht="15.5" x14ac:dyDescent="0.35">
      <c r="A663" s="16" t="s">
        <v>1588</v>
      </c>
      <c r="B663" s="15" t="s" cm="1">
        <v>19</v>
      </c>
      <c r="C663" s="15" t="s" cm="1">
        <v>21</v>
      </c>
      <c r="D663" s="15" t="s">
        <v>1982</v>
      </c>
      <c r="E663" s="15" t="s" cm="1">
        <v>1639</v>
      </c>
      <c r="F663" s="15" t="s">
        <v>1636</v>
      </c>
      <c r="G663" s="15" t="s">
        <v>885</v>
      </c>
      <c r="H663" s="15" t="s">
        <v>1263</v>
      </c>
      <c r="I663" s="15" t="s">
        <v>1262</v>
      </c>
    </row>
    <row r="664" spans="1:9" ht="15.5" x14ac:dyDescent="0.35">
      <c r="A664" s="16" t="s">
        <v>1590</v>
      </c>
      <c r="B664" s="15" t="s" cm="1">
        <v>19</v>
      </c>
      <c r="C664" s="15" t="s" cm="1">
        <v>21</v>
      </c>
      <c r="D664" s="15" t="s">
        <v>1983</v>
      </c>
      <c r="E664" s="15" t="s" cm="1">
        <v>1639</v>
      </c>
      <c r="F664" s="15" t="s">
        <v>1636</v>
      </c>
      <c r="G664" s="15" t="s">
        <v>885</v>
      </c>
      <c r="H664" s="15" t="s">
        <v>1263</v>
      </c>
      <c r="I664" s="15" t="s">
        <v>1262</v>
      </c>
    </row>
    <row r="665" spans="1:9" ht="15.5" x14ac:dyDescent="0.35">
      <c r="A665" s="16" t="s">
        <v>1592</v>
      </c>
      <c r="B665" s="15" t="s" cm="1">
        <v>19</v>
      </c>
      <c r="C665" s="15" t="s" cm="1">
        <v>21</v>
      </c>
      <c r="D665" s="15" t="s">
        <v>1593</v>
      </c>
      <c r="E665" s="15" t="s" cm="1">
        <v>1639</v>
      </c>
      <c r="F665" s="15" t="s">
        <v>1636</v>
      </c>
      <c r="G665" s="15" t="s">
        <v>885</v>
      </c>
      <c r="H665" s="15" t="s">
        <v>1263</v>
      </c>
      <c r="I665" s="15" t="s">
        <v>1262</v>
      </c>
    </row>
    <row r="666" spans="1:9" ht="15.5" x14ac:dyDescent="0.35">
      <c r="A666" s="16" t="s">
        <v>1594</v>
      </c>
      <c r="B666" s="15" t="s" cm="1">
        <v>19</v>
      </c>
      <c r="C666" s="15" t="s" cm="1">
        <v>21</v>
      </c>
      <c r="D666" s="15" t="s">
        <v>1984</v>
      </c>
      <c r="E666" s="15" t="s" cm="1">
        <v>1639</v>
      </c>
      <c r="F666" s="15" t="s">
        <v>1636</v>
      </c>
      <c r="G666" s="15" t="s">
        <v>885</v>
      </c>
      <c r="H666" s="15" t="s">
        <v>1263</v>
      </c>
      <c r="I666" s="15" t="s">
        <v>1262</v>
      </c>
    </row>
    <row r="667" spans="1:9" ht="15.5" x14ac:dyDescent="0.35">
      <c r="A667" s="16" t="s">
        <v>1596</v>
      </c>
      <c r="B667" s="15" t="s" cm="1">
        <v>19</v>
      </c>
      <c r="C667" s="15" t="s" cm="1">
        <v>21</v>
      </c>
      <c r="D667" s="15" t="s">
        <v>1301</v>
      </c>
      <c r="E667" s="15" t="s" cm="1">
        <v>1639</v>
      </c>
      <c r="F667" s="15" t="s">
        <v>1636</v>
      </c>
      <c r="G667" s="15" t="s">
        <v>885</v>
      </c>
      <c r="H667" s="15" t="s">
        <v>1263</v>
      </c>
      <c r="I667" s="15" t="s">
        <v>1262</v>
      </c>
    </row>
    <row r="668" spans="1:9" ht="15.5" x14ac:dyDescent="0.35">
      <c r="A668" s="16" t="s">
        <v>1597</v>
      </c>
      <c r="B668" s="15" t="s" cm="1">
        <v>19</v>
      </c>
      <c r="C668" s="15" t="s" cm="1">
        <v>21</v>
      </c>
      <c r="D668" s="15" t="s">
        <v>1983</v>
      </c>
      <c r="E668" s="15" t="s" cm="1">
        <v>1639</v>
      </c>
      <c r="F668" s="15" t="s">
        <v>1636</v>
      </c>
      <c r="G668" s="15" t="s">
        <v>885</v>
      </c>
      <c r="H668" s="15" t="s">
        <v>1263</v>
      </c>
      <c r="I668" s="15" t="s">
        <v>1262</v>
      </c>
    </row>
    <row r="669" spans="1:9" ht="15.5" x14ac:dyDescent="0.35">
      <c r="A669" s="16" t="s">
        <v>1598</v>
      </c>
      <c r="B669" s="15" t="s" cm="1">
        <v>19</v>
      </c>
      <c r="C669" s="15" t="s" cm="1">
        <v>21</v>
      </c>
      <c r="D669" s="15" t="s">
        <v>1985</v>
      </c>
      <c r="E669" s="15" t="s" cm="1">
        <v>1639</v>
      </c>
      <c r="F669" s="15" t="s">
        <v>1636</v>
      </c>
      <c r="G669" s="15" t="s">
        <v>885</v>
      </c>
      <c r="H669" s="15" t="s">
        <v>1263</v>
      </c>
      <c r="I669" s="15" t="s">
        <v>1262</v>
      </c>
    </row>
    <row r="670" spans="1:9" ht="15.5" x14ac:dyDescent="0.35">
      <c r="A670" s="16" t="s">
        <v>1600</v>
      </c>
      <c r="B670" s="15" t="s" cm="1">
        <v>19</v>
      </c>
      <c r="C670" s="15" t="s" cm="1">
        <v>21</v>
      </c>
      <c r="D670" s="15" t="s">
        <v>1986</v>
      </c>
      <c r="E670" s="15" t="s" cm="1">
        <v>1639</v>
      </c>
      <c r="F670" s="15" t="s">
        <v>1636</v>
      </c>
      <c r="G670" s="15" t="s">
        <v>885</v>
      </c>
      <c r="H670" s="15" t="s">
        <v>1263</v>
      </c>
      <c r="I670" s="15" t="s">
        <v>1262</v>
      </c>
    </row>
    <row r="671" spans="1:9" ht="15.5" x14ac:dyDescent="0.35">
      <c r="A671" s="16" t="s">
        <v>1602</v>
      </c>
      <c r="B671" s="15" t="s" cm="1">
        <v>19</v>
      </c>
      <c r="C671" s="15" t="s" cm="1">
        <v>21</v>
      </c>
      <c r="D671" s="15" t="s">
        <v>1603</v>
      </c>
      <c r="E671" s="15" t="s" cm="1">
        <v>1639</v>
      </c>
      <c r="F671" s="15" t="s">
        <v>1636</v>
      </c>
      <c r="G671" s="15" t="s">
        <v>885</v>
      </c>
      <c r="H671" s="15" t="s">
        <v>1263</v>
      </c>
      <c r="I671" s="15" t="s">
        <v>1262</v>
      </c>
    </row>
    <row r="672" spans="1:9" ht="15.5" x14ac:dyDescent="0.35">
      <c r="A672" s="16" t="s">
        <v>1604</v>
      </c>
      <c r="B672" s="15" t="s" cm="1">
        <v>19</v>
      </c>
      <c r="C672" s="15" t="s" cm="1">
        <v>21</v>
      </c>
      <c r="D672" s="15" t="s">
        <v>1301</v>
      </c>
      <c r="E672" s="15" t="s" cm="1">
        <v>1639</v>
      </c>
      <c r="F672" s="15" t="s">
        <v>1636</v>
      </c>
      <c r="G672" s="15" t="s">
        <v>885</v>
      </c>
      <c r="H672" s="15" t="s">
        <v>1263</v>
      </c>
      <c r="I672" s="15" t="s">
        <v>1262</v>
      </c>
    </row>
    <row r="673" spans="1:9" ht="15.5" x14ac:dyDescent="0.35">
      <c r="A673" s="16" t="s">
        <v>1010</v>
      </c>
      <c r="B673" s="15" t="s" cm="1">
        <v>19</v>
      </c>
      <c r="C673" s="15" t="s" cm="1">
        <v>21</v>
      </c>
      <c r="D673" s="15" t="s">
        <v>1012</v>
      </c>
      <c r="E673" s="15" t="s" cm="1">
        <v>1635</v>
      </c>
      <c r="F673" s="15" t="s">
        <v>1638</v>
      </c>
      <c r="G673" s="15" t="s">
        <v>1011</v>
      </c>
      <c r="H673" s="15" t="s">
        <v>58</v>
      </c>
      <c r="I673" s="15" t="s">
        <v>57</v>
      </c>
    </row>
    <row r="674" spans="1:9" ht="15.5" x14ac:dyDescent="0.35">
      <c r="A674" s="16" t="s">
        <v>1029</v>
      </c>
      <c r="B674" s="15" t="s" cm="1">
        <v>986</v>
      </c>
      <c r="C674" s="15" t="s" cm="1">
        <v>21</v>
      </c>
      <c r="D674" s="15" t="s">
        <v>1030</v>
      </c>
      <c r="E674" s="15" t="s" cm="1">
        <v>1635</v>
      </c>
      <c r="F674" s="15" t="s">
        <v>1638</v>
      </c>
      <c r="G674" s="15" t="s">
        <v>892</v>
      </c>
      <c r="H674" s="15" t="s">
        <v>35</v>
      </c>
      <c r="I674" s="15" t="s">
        <v>34</v>
      </c>
    </row>
    <row r="675" spans="1:9" ht="15.5" x14ac:dyDescent="0.35">
      <c r="A675" s="16" t="s">
        <v>1031</v>
      </c>
      <c r="B675" s="15" t="s" cm="1">
        <v>986</v>
      </c>
      <c r="C675" s="15" t="s" cm="1">
        <v>21</v>
      </c>
      <c r="D675" s="15" t="s">
        <v>1987</v>
      </c>
      <c r="E675" s="15" t="s" cm="1">
        <v>1635</v>
      </c>
      <c r="F675" s="15" t="s">
        <v>1638</v>
      </c>
      <c r="G675" s="15" t="s">
        <v>1011</v>
      </c>
      <c r="H675" s="15" t="s">
        <v>35</v>
      </c>
      <c r="I675" s="15" t="s">
        <v>34</v>
      </c>
    </row>
    <row r="676" spans="1:9" ht="15.5" x14ac:dyDescent="0.35">
      <c r="A676" s="16" t="s">
        <v>1038</v>
      </c>
      <c r="B676" s="15" t="s" cm="1">
        <v>986</v>
      </c>
      <c r="C676" s="15" t="s" cm="1">
        <v>21</v>
      </c>
      <c r="D676" s="15" t="s">
        <v>1037</v>
      </c>
      <c r="E676" s="15" t="s" cm="1">
        <v>1635</v>
      </c>
      <c r="F676" s="15" t="s">
        <v>1638</v>
      </c>
      <c r="G676" s="15" t="s">
        <v>24</v>
      </c>
      <c r="H676" s="15" t="s">
        <v>595</v>
      </c>
      <c r="I676" s="15" t="s">
        <v>594</v>
      </c>
    </row>
    <row r="677" spans="1:9" ht="15.5" x14ac:dyDescent="0.35">
      <c r="A677" s="16" t="s">
        <v>1036</v>
      </c>
      <c r="B677" s="15" t="s" cm="1">
        <v>986</v>
      </c>
      <c r="C677" s="15" t="s" cm="1">
        <v>21</v>
      </c>
      <c r="D677" s="15" t="s">
        <v>1037</v>
      </c>
      <c r="E677" s="15" t="s" cm="1">
        <v>1635</v>
      </c>
      <c r="F677" s="15" t="s">
        <v>1638</v>
      </c>
      <c r="G677" s="15" t="s">
        <v>24</v>
      </c>
      <c r="H677" s="15" t="s">
        <v>595</v>
      </c>
      <c r="I677" s="15" t="s">
        <v>594</v>
      </c>
    </row>
    <row r="678" spans="1:9" ht="15.5" x14ac:dyDescent="0.35">
      <c r="A678" s="16" t="s">
        <v>1079</v>
      </c>
      <c r="B678" s="15" t="s" cm="1">
        <v>19</v>
      </c>
      <c r="C678" s="15" t="s" cm="1">
        <v>21</v>
      </c>
      <c r="D678" s="15" t="s">
        <v>1988</v>
      </c>
      <c r="E678" s="15" t="s" cm="1">
        <v>1639</v>
      </c>
      <c r="F678" s="15" t="s">
        <v>1638</v>
      </c>
      <c r="G678" s="15" t="s">
        <v>1080</v>
      </c>
      <c r="H678" s="15" t="s">
        <v>29</v>
      </c>
      <c r="I678" s="15" t="s">
        <v>28</v>
      </c>
    </row>
    <row r="679" spans="1:9" ht="15.5" x14ac:dyDescent="0.35">
      <c r="A679" s="16" t="s">
        <v>1076</v>
      </c>
      <c r="B679" s="15" t="s" cm="1">
        <v>19</v>
      </c>
      <c r="C679" s="15" t="s" cm="1">
        <v>21</v>
      </c>
      <c r="D679" s="15" t="s">
        <v>1078</v>
      </c>
      <c r="E679" s="15" t="s" cm="1">
        <v>1639</v>
      </c>
      <c r="F679" s="15" t="s">
        <v>1638</v>
      </c>
      <c r="G679" s="15" t="s">
        <v>1077</v>
      </c>
      <c r="H679" s="15" t="s">
        <v>184</v>
      </c>
      <c r="I679" s="15" t="s">
        <v>91</v>
      </c>
    </row>
    <row r="680" spans="1:9" ht="15.5" x14ac:dyDescent="0.35">
      <c r="A680" s="16" t="s">
        <v>1003</v>
      </c>
      <c r="B680" s="15" t="s" cm="1">
        <v>19</v>
      </c>
      <c r="C680" s="15" t="s" cm="1">
        <v>21</v>
      </c>
      <c r="D680" s="15" t="s">
        <v>1989</v>
      </c>
      <c r="E680" s="15" t="s" cm="1">
        <v>1639</v>
      </c>
      <c r="F680" s="15" t="s">
        <v>1636</v>
      </c>
      <c r="G680" s="15" t="s">
        <v>937</v>
      </c>
      <c r="H680" s="15" t="s">
        <v>196</v>
      </c>
      <c r="I680" s="15" t="s">
        <v>195</v>
      </c>
    </row>
    <row r="681" spans="1:9" ht="15.5" x14ac:dyDescent="0.35">
      <c r="A681" s="16" t="s">
        <v>1043</v>
      </c>
      <c r="B681" s="15" t="s" cm="1">
        <v>19</v>
      </c>
      <c r="C681" s="15" t="s" cm="1">
        <v>21</v>
      </c>
      <c r="D681" s="15" t="s">
        <v>1044</v>
      </c>
      <c r="E681" s="15" t="s" cm="1">
        <v>1639</v>
      </c>
      <c r="F681" s="15" t="s">
        <v>1649</v>
      </c>
      <c r="G681" s="15" t="s">
        <v>918</v>
      </c>
      <c r="H681" s="15" t="s">
        <v>117</v>
      </c>
      <c r="I681" s="15" t="s">
        <v>34</v>
      </c>
    </row>
    <row r="682" spans="1:9" ht="15.5" x14ac:dyDescent="0.35">
      <c r="A682" s="16" t="s">
        <v>1026</v>
      </c>
      <c r="B682" s="15" t="s" cm="1">
        <v>19</v>
      </c>
      <c r="C682" s="15" t="s" cm="1">
        <v>21</v>
      </c>
      <c r="D682" s="15" t="s">
        <v>1027</v>
      </c>
      <c r="E682" s="15" t="s" cm="1">
        <v>1639</v>
      </c>
      <c r="F682" s="15" t="s">
        <v>1636</v>
      </c>
      <c r="G682" s="15" t="s">
        <v>880</v>
      </c>
      <c r="H682" s="15" t="s">
        <v>52</v>
      </c>
      <c r="I682" s="15" t="s">
        <v>51</v>
      </c>
    </row>
    <row r="683" spans="1:9" ht="15.5" x14ac:dyDescent="0.35">
      <c r="A683" s="16" t="s">
        <v>1024</v>
      </c>
      <c r="B683" s="15" t="s" cm="1">
        <v>19</v>
      </c>
      <c r="C683" s="15" t="s" cm="1">
        <v>21</v>
      </c>
      <c r="D683" s="15" t="s">
        <v>1990</v>
      </c>
      <c r="E683" s="15" t="s" cm="1">
        <v>1639</v>
      </c>
      <c r="F683" s="15" t="s">
        <v>1636</v>
      </c>
      <c r="G683" s="15" t="s">
        <v>880</v>
      </c>
      <c r="H683" s="15" t="s">
        <v>112</v>
      </c>
      <c r="I683" s="15" t="s">
        <v>111</v>
      </c>
    </row>
    <row r="684" spans="1:9" ht="15.5" x14ac:dyDescent="0.35">
      <c r="A684" s="16" t="s">
        <v>1022</v>
      </c>
      <c r="B684" s="15" t="s" cm="1">
        <v>19</v>
      </c>
      <c r="C684" s="15" t="s" cm="1">
        <v>21</v>
      </c>
      <c r="D684" s="15" t="s">
        <v>1023</v>
      </c>
      <c r="E684" s="15" t="s" cm="1">
        <v>1639</v>
      </c>
      <c r="F684" s="15" t="s">
        <v>1636</v>
      </c>
      <c r="G684" s="15" t="s">
        <v>880</v>
      </c>
      <c r="H684" s="15" t="s">
        <v>112</v>
      </c>
      <c r="I684" s="15" t="s">
        <v>111</v>
      </c>
    </row>
    <row r="685" spans="1:9" ht="15.5" x14ac:dyDescent="0.35">
      <c r="A685" s="16" t="s">
        <v>1057</v>
      </c>
      <c r="B685" s="15" t="s" cm="1">
        <v>19</v>
      </c>
      <c r="C685" s="15" t="s" cm="1">
        <v>21</v>
      </c>
      <c r="D685" s="15" t="s">
        <v>1058</v>
      </c>
      <c r="E685" s="15" t="s" cm="1">
        <v>1639</v>
      </c>
      <c r="F685" s="15" t="s">
        <v>1636</v>
      </c>
      <c r="G685" s="15" t="s">
        <v>964</v>
      </c>
      <c r="H685" s="15" t="s">
        <v>52</v>
      </c>
      <c r="I685" s="15" t="s">
        <v>51</v>
      </c>
    </row>
    <row r="686" spans="1:9" ht="15.5" x14ac:dyDescent="0.35">
      <c r="A686" s="16" t="s">
        <v>1605</v>
      </c>
      <c r="B686" s="15" t="s" cm="1">
        <v>19</v>
      </c>
      <c r="C686" s="15" t="s" cm="1">
        <v>21</v>
      </c>
      <c r="D686" s="15" t="s">
        <v>1607</v>
      </c>
      <c r="E686" s="15" t="s" cm="1">
        <v>1639</v>
      </c>
      <c r="F686" s="15" t="s">
        <v>1638</v>
      </c>
      <c r="G686" s="15" t="s">
        <v>1606</v>
      </c>
      <c r="H686" s="15" t="s">
        <v>29</v>
      </c>
      <c r="I686" s="15" t="s">
        <v>28</v>
      </c>
    </row>
    <row r="687" spans="1:9" ht="15.5" x14ac:dyDescent="0.35">
      <c r="A687" s="16" t="s">
        <v>1608</v>
      </c>
      <c r="B687" s="15" t="s" cm="1">
        <v>19</v>
      </c>
      <c r="C687" s="15" t="s" cm="1">
        <v>21</v>
      </c>
      <c r="D687" s="15" t="s">
        <v>1609</v>
      </c>
      <c r="E687" s="15" t="s" cm="1">
        <v>1639</v>
      </c>
      <c r="F687" s="15" t="s">
        <v>1638</v>
      </c>
      <c r="G687" s="15" t="s">
        <v>1606</v>
      </c>
      <c r="H687" s="15" t="s">
        <v>58</v>
      </c>
      <c r="I687" s="15" t="s">
        <v>57</v>
      </c>
    </row>
    <row r="688" spans="1:9" ht="15.5" x14ac:dyDescent="0.35">
      <c r="A688" s="16" t="s">
        <v>1610</v>
      </c>
      <c r="B688" s="15" t="s" cm="1">
        <v>19</v>
      </c>
      <c r="C688" s="15" t="s" cm="1">
        <v>21</v>
      </c>
      <c r="D688" s="15" t="s">
        <v>1991</v>
      </c>
      <c r="E688" s="15" t="s" cm="1">
        <v>1639</v>
      </c>
      <c r="F688" s="15" t="s">
        <v>1638</v>
      </c>
      <c r="G688" s="15" t="s">
        <v>1611</v>
      </c>
      <c r="H688" s="15" t="s">
        <v>29</v>
      </c>
      <c r="I688" s="15" t="s">
        <v>28</v>
      </c>
    </row>
    <row r="689" spans="1:9" ht="15.5" x14ac:dyDescent="0.35">
      <c r="A689" s="16" t="s">
        <v>1613</v>
      </c>
      <c r="B689" s="15" t="s" cm="1">
        <v>19</v>
      </c>
      <c r="C689" s="15" t="s" cm="1">
        <v>21</v>
      </c>
      <c r="D689" s="15" t="s">
        <v>1614</v>
      </c>
      <c r="E689" s="15" t="s" cm="1">
        <v>1639</v>
      </c>
      <c r="F689" s="15" t="s">
        <v>1638</v>
      </c>
      <c r="G689" s="15" t="s">
        <v>1611</v>
      </c>
      <c r="H689" s="15" t="s">
        <v>585</v>
      </c>
      <c r="I689" s="15" t="s">
        <v>584</v>
      </c>
    </row>
    <row r="690" spans="1:9" ht="15.5" x14ac:dyDescent="0.35">
      <c r="A690" s="16" t="s">
        <v>1615</v>
      </c>
      <c r="B690" s="15" t="s" cm="1">
        <v>19</v>
      </c>
      <c r="C690" s="15" t="s" cm="1">
        <v>21</v>
      </c>
      <c r="D690" s="15" t="s">
        <v>1992</v>
      </c>
      <c r="E690" s="15" t="s" cm="1">
        <v>1653</v>
      </c>
      <c r="F690" s="15" t="s">
        <v>24</v>
      </c>
      <c r="G690" s="15" t="s">
        <v>869</v>
      </c>
      <c r="H690" s="15" t="s">
        <v>48</v>
      </c>
      <c r="I690" s="15" t="s">
        <v>40</v>
      </c>
    </row>
    <row r="691" spans="1:9" ht="15.5" x14ac:dyDescent="0.35">
      <c r="A691" s="16" t="s">
        <v>1033</v>
      </c>
      <c r="B691" s="15" t="s" cm="1">
        <v>19</v>
      </c>
      <c r="C691" s="15" t="s" cm="1">
        <v>21</v>
      </c>
      <c r="D691" s="15" t="s">
        <v>1084</v>
      </c>
      <c r="E691" s="15" t="s" cm="1">
        <v>1637</v>
      </c>
      <c r="F691" s="15" t="s">
        <v>1664</v>
      </c>
      <c r="G691" s="15" t="s">
        <v>1034</v>
      </c>
      <c r="H691" s="15" t="s">
        <v>35</v>
      </c>
      <c r="I691" s="15" t="s">
        <v>34</v>
      </c>
    </row>
    <row r="692" spans="1:9" ht="15.5" x14ac:dyDescent="0.35">
      <c r="A692" s="16" t="s">
        <v>1617</v>
      </c>
      <c r="B692" s="15" t="s" cm="1">
        <v>19</v>
      </c>
      <c r="C692" s="15" t="s" cm="1">
        <v>21</v>
      </c>
      <c r="D692" s="15" t="s">
        <v>1618</v>
      </c>
      <c r="E692" s="15" t="s" cm="1">
        <v>1653</v>
      </c>
      <c r="F692" s="15" t="s">
        <v>24</v>
      </c>
      <c r="G692" s="15" t="s">
        <v>869</v>
      </c>
      <c r="H692" s="15" t="s">
        <v>41</v>
      </c>
      <c r="I692" s="15" t="s">
        <v>40</v>
      </c>
    </row>
    <row r="693" spans="1:9" ht="15.5" x14ac:dyDescent="0.35">
      <c r="A693" s="16" t="s">
        <v>1619</v>
      </c>
      <c r="B693" s="15" t="s" cm="1">
        <v>19</v>
      </c>
      <c r="C693" s="15" t="s" cm="1">
        <v>21</v>
      </c>
      <c r="D693" s="15" t="s">
        <v>1620</v>
      </c>
      <c r="E693" s="15" t="s" cm="1">
        <v>1635</v>
      </c>
      <c r="F693" s="15" t="s">
        <v>1693</v>
      </c>
      <c r="G693" s="15" t="s">
        <v>1366</v>
      </c>
      <c r="H693" s="15" t="s">
        <v>52</v>
      </c>
      <c r="I693" s="15" t="s">
        <v>51</v>
      </c>
    </row>
    <row r="694" spans="1:9" ht="15.5" x14ac:dyDescent="0.35">
      <c r="A694" s="16" t="s">
        <v>1059</v>
      </c>
      <c r="B694" s="15" t="s" cm="1">
        <v>19</v>
      </c>
      <c r="C694" s="15" t="s" cm="1">
        <v>21</v>
      </c>
      <c r="D694" s="15" t="s">
        <v>1061</v>
      </c>
      <c r="E694" s="15" t="s" cm="1">
        <v>1639</v>
      </c>
      <c r="F694" s="15" t="s">
        <v>1636</v>
      </c>
      <c r="G694" s="15" t="s">
        <v>1060</v>
      </c>
      <c r="H694" s="15" t="s">
        <v>52</v>
      </c>
      <c r="I694" s="15" t="s">
        <v>51</v>
      </c>
    </row>
    <row r="695" spans="1:9" ht="15.5" x14ac:dyDescent="0.35">
      <c r="A695" s="16" t="s">
        <v>1064</v>
      </c>
      <c r="B695" s="15" t="s" cm="1">
        <v>19</v>
      </c>
      <c r="C695" s="15" t="s" cm="1">
        <v>21</v>
      </c>
      <c r="D695" s="15" t="s">
        <v>1065</v>
      </c>
      <c r="E695" s="15" t="s" cm="1">
        <v>1635</v>
      </c>
      <c r="F695" s="15" t="s">
        <v>1641</v>
      </c>
      <c r="G695" s="15" t="s">
        <v>925</v>
      </c>
      <c r="H695" s="15" t="s">
        <v>58</v>
      </c>
      <c r="I695" s="15" t="s">
        <v>57</v>
      </c>
    </row>
    <row r="696" spans="1:9" ht="15.5" x14ac:dyDescent="0.35">
      <c r="A696" s="16" t="s">
        <v>1062</v>
      </c>
      <c r="B696" s="15" t="s" cm="1">
        <v>19</v>
      </c>
      <c r="C696" s="15" t="s" cm="1">
        <v>21</v>
      </c>
      <c r="D696" s="15" t="s">
        <v>1063</v>
      </c>
      <c r="E696" s="15" t="s" cm="1">
        <v>1635</v>
      </c>
      <c r="F696" s="15" t="s">
        <v>1641</v>
      </c>
      <c r="G696" s="15" t="s">
        <v>925</v>
      </c>
      <c r="H696" s="15" t="s">
        <v>35</v>
      </c>
      <c r="I696" s="15" t="s">
        <v>34</v>
      </c>
    </row>
    <row r="697" spans="1:9" ht="15.5" x14ac:dyDescent="0.35">
      <c r="A697" s="16" t="s">
        <v>1013</v>
      </c>
      <c r="B697" s="15" t="s" cm="1">
        <v>19</v>
      </c>
      <c r="C697" s="15" t="s" cm="1">
        <v>21</v>
      </c>
      <c r="D697" s="15" t="s">
        <v>1993</v>
      </c>
      <c r="E697" s="15" t="s" cm="1">
        <v>1635</v>
      </c>
      <c r="F697" s="15" t="s">
        <v>1638</v>
      </c>
      <c r="G697" s="15" t="s">
        <v>1014</v>
      </c>
      <c r="H697" s="15" t="s">
        <v>35</v>
      </c>
      <c r="I697" s="15" t="s">
        <v>34</v>
      </c>
    </row>
    <row r="698" spans="1:9" ht="15.5" x14ac:dyDescent="0.35">
      <c r="A698" s="16" t="s">
        <v>1006</v>
      </c>
      <c r="B698" s="15" t="s" cm="1">
        <v>986</v>
      </c>
      <c r="C698" s="15" t="s" cm="1">
        <v>21</v>
      </c>
      <c r="D698" s="15" t="s">
        <v>1009</v>
      </c>
      <c r="E698" s="15" t="s" cm="1">
        <v>1635</v>
      </c>
      <c r="F698" s="15" t="s">
        <v>1638</v>
      </c>
      <c r="G698" s="15" t="s">
        <v>1008</v>
      </c>
      <c r="H698" s="15" t="s">
        <v>35</v>
      </c>
      <c r="I698" s="15" t="s">
        <v>34</v>
      </c>
    </row>
    <row r="699" spans="1:9" ht="15.5" x14ac:dyDescent="0.35">
      <c r="A699" s="16" t="s">
        <v>1016</v>
      </c>
      <c r="B699" s="15" t="s" cm="1">
        <v>986</v>
      </c>
      <c r="C699" s="15" t="s" cm="1">
        <v>21</v>
      </c>
      <c r="D699" s="15" t="s">
        <v>1018</v>
      </c>
      <c r="E699" s="15" t="s" cm="1">
        <v>1635</v>
      </c>
      <c r="F699" s="15" t="s">
        <v>1638</v>
      </c>
      <c r="G699" s="15" t="s">
        <v>1017</v>
      </c>
      <c r="H699" s="15" t="s">
        <v>35</v>
      </c>
      <c r="I699" s="15" t="s">
        <v>34</v>
      </c>
    </row>
    <row r="700" spans="1:9" ht="15.5" x14ac:dyDescent="0.35">
      <c r="A700" s="16" t="s">
        <v>1019</v>
      </c>
      <c r="B700" s="15" t="s" cm="1">
        <v>986</v>
      </c>
      <c r="C700" s="15" t="s" cm="1">
        <v>21</v>
      </c>
      <c r="D700" s="15" t="s">
        <v>1021</v>
      </c>
      <c r="E700" s="15" t="s" cm="1">
        <v>1635</v>
      </c>
      <c r="F700" s="15" t="s">
        <v>1638</v>
      </c>
      <c r="G700" s="15" t="s">
        <v>1020</v>
      </c>
      <c r="H700" s="15" t="s">
        <v>35</v>
      </c>
      <c r="I700" s="15" t="s">
        <v>34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BA881-437B-4DAD-86E2-53B9E2D91F1D}">
  <sheetPr codeName="Sheet8"/>
  <dimension ref="A1:I700"/>
  <sheetViews>
    <sheetView workbookViewId="0">
      <selection activeCell="I11" sqref="I11"/>
    </sheetView>
  </sheetViews>
  <sheetFormatPr defaultRowHeight="14.5" x14ac:dyDescent="0.35"/>
  <cols>
    <col min="1" max="1" width="14.1796875" bestFit="1" customWidth="1"/>
    <col min="2" max="2" width="13.36328125" customWidth="1"/>
    <col min="3" max="3" width="15.08984375" bestFit="1" customWidth="1"/>
    <col min="4" max="4" width="48.54296875" bestFit="1" customWidth="1"/>
    <col min="5" max="5" width="10.7265625" bestFit="1" customWidth="1"/>
    <col min="6" max="6" width="10.36328125" customWidth="1"/>
    <col min="7" max="7" width="24.08984375" customWidth="1"/>
    <col min="8" max="8" width="18" bestFit="1" customWidth="1"/>
    <col min="9" max="9" width="38.26953125" bestFit="1" customWidth="1"/>
  </cols>
  <sheetData>
    <row r="1" spans="1:9" ht="15.5" x14ac:dyDescent="0.35">
      <c r="A1" s="12" t="s">
        <v>975</v>
      </c>
      <c r="B1" s="12" t="s">
        <v>4</v>
      </c>
      <c r="C1" s="12" t="s">
        <v>980</v>
      </c>
      <c r="D1" s="12" t="s">
        <v>6</v>
      </c>
      <c r="E1" s="12" t="s">
        <v>976</v>
      </c>
      <c r="F1" s="12" t="s">
        <v>978</v>
      </c>
      <c r="G1" s="12" t="s">
        <v>977</v>
      </c>
      <c r="H1" s="12" t="s">
        <v>11</v>
      </c>
      <c r="I1" s="12" t="s">
        <v>979</v>
      </c>
    </row>
    <row r="2" spans="1:9" ht="15.5" x14ac:dyDescent="0.35">
      <c r="A2" s="13" t="s">
        <v>65</v>
      </c>
      <c r="B2" s="12" t="s" cm="1">
        <v>19</v>
      </c>
      <c r="C2" s="12" t="s" cm="1">
        <v>21</v>
      </c>
      <c r="D2" s="12" t="s">
        <v>67</v>
      </c>
      <c r="E2" s="12" t="s" cm="1">
        <v>1635</v>
      </c>
      <c r="F2" s="12" t="s">
        <v>1636</v>
      </c>
      <c r="G2" s="12" t="s">
        <v>24</v>
      </c>
      <c r="H2" s="12" t="s">
        <v>23</v>
      </c>
      <c r="I2" s="12" t="s">
        <v>22</v>
      </c>
    </row>
    <row r="3" spans="1:9" ht="15.5" x14ac:dyDescent="0.35">
      <c r="A3" s="13" t="s">
        <v>63</v>
      </c>
      <c r="B3" s="12" t="s" cm="1">
        <v>19</v>
      </c>
      <c r="C3" s="12" t="s" cm="1">
        <v>21</v>
      </c>
      <c r="D3" s="12" t="s">
        <v>64</v>
      </c>
      <c r="E3" s="12" t="s" cm="1">
        <v>1637</v>
      </c>
      <c r="F3" s="12" t="s">
        <v>1638</v>
      </c>
      <c r="G3" s="12" t="s">
        <v>874</v>
      </c>
      <c r="H3" s="12" t="s">
        <v>35</v>
      </c>
      <c r="I3" s="12" t="s">
        <v>34</v>
      </c>
    </row>
    <row r="4" spans="1:9" ht="15.5" x14ac:dyDescent="0.35">
      <c r="A4" s="13" t="s">
        <v>53</v>
      </c>
      <c r="B4" s="12" t="s" cm="1">
        <v>19</v>
      </c>
      <c r="C4" s="12" t="s" cm="1">
        <v>21</v>
      </c>
      <c r="D4" s="12" t="s">
        <v>54</v>
      </c>
      <c r="E4" s="12" t="s" cm="1">
        <v>1639</v>
      </c>
      <c r="F4" s="12" t="s">
        <v>1636</v>
      </c>
      <c r="G4" s="12" t="s">
        <v>871</v>
      </c>
      <c r="H4" s="12" t="s">
        <v>52</v>
      </c>
      <c r="I4" s="12" t="s">
        <v>51</v>
      </c>
    </row>
    <row r="5" spans="1:9" ht="15.5" x14ac:dyDescent="0.35">
      <c r="A5" s="13" t="s">
        <v>49</v>
      </c>
      <c r="B5" s="12" t="s" cm="1">
        <v>19</v>
      </c>
      <c r="C5" s="12" t="s" cm="1">
        <v>21</v>
      </c>
      <c r="D5" s="12" t="s">
        <v>50</v>
      </c>
      <c r="E5" s="12" t="s" cm="1">
        <v>1639</v>
      </c>
      <c r="F5" s="12" t="s">
        <v>1636</v>
      </c>
      <c r="G5" s="12" t="s">
        <v>870</v>
      </c>
      <c r="H5" s="12" t="s">
        <v>52</v>
      </c>
      <c r="I5" s="12" t="s">
        <v>51</v>
      </c>
    </row>
    <row r="6" spans="1:9" ht="15.5" x14ac:dyDescent="0.35">
      <c r="A6" s="13" t="s">
        <v>996</v>
      </c>
      <c r="B6" s="12" t="s" cm="1">
        <v>986</v>
      </c>
      <c r="C6" s="12" t="s" cm="1">
        <v>21</v>
      </c>
      <c r="D6" s="12" t="s">
        <v>998</v>
      </c>
      <c r="E6" s="12" t="s" cm="1">
        <v>1639</v>
      </c>
      <c r="F6" s="12" t="s">
        <v>1636</v>
      </c>
      <c r="G6" s="12" t="s">
        <v>997</v>
      </c>
      <c r="H6" s="12" t="s">
        <v>35</v>
      </c>
      <c r="I6" s="12" t="s">
        <v>34</v>
      </c>
    </row>
    <row r="7" spans="1:9" ht="15.5" x14ac:dyDescent="0.35">
      <c r="A7" s="13" t="s">
        <v>61</v>
      </c>
      <c r="B7" s="12" t="s" cm="1">
        <v>986</v>
      </c>
      <c r="C7" s="12" t="s" cm="1">
        <v>21</v>
      </c>
      <c r="D7" s="12" t="s">
        <v>1640</v>
      </c>
      <c r="E7" s="12" t="s" cm="1">
        <v>1635</v>
      </c>
      <c r="F7" s="12" t="s">
        <v>1638</v>
      </c>
      <c r="G7" s="12" t="s">
        <v>873</v>
      </c>
      <c r="H7" s="12" t="s">
        <v>35</v>
      </c>
      <c r="I7" s="12" t="s">
        <v>34</v>
      </c>
    </row>
    <row r="8" spans="1:9" ht="15.5" x14ac:dyDescent="0.35">
      <c r="A8" s="13" t="s">
        <v>18</v>
      </c>
      <c r="B8" s="12" t="s" cm="1">
        <v>19</v>
      </c>
      <c r="C8" s="12" t="s" cm="1">
        <v>21</v>
      </c>
      <c r="D8" s="12" t="s">
        <v>20</v>
      </c>
      <c r="E8" s="12" t="s" cm="1">
        <v>1635</v>
      </c>
      <c r="F8" s="12" t="s">
        <v>1641</v>
      </c>
      <c r="G8" s="12" t="s">
        <v>863</v>
      </c>
      <c r="H8" s="12" t="s">
        <v>23</v>
      </c>
      <c r="I8" s="12" t="s">
        <v>22</v>
      </c>
    </row>
    <row r="9" spans="1:9" ht="15.5" x14ac:dyDescent="0.35">
      <c r="A9" s="13" t="s">
        <v>1053</v>
      </c>
      <c r="B9" s="12" t="s" cm="1">
        <v>19</v>
      </c>
      <c r="C9" s="12" t="s" cm="1">
        <v>21</v>
      </c>
      <c r="D9" s="12" t="s">
        <v>1642</v>
      </c>
      <c r="E9" s="12" t="s" cm="1">
        <v>1635</v>
      </c>
      <c r="F9" s="12" t="s">
        <v>1643</v>
      </c>
      <c r="G9" s="12" t="s">
        <v>882</v>
      </c>
      <c r="H9" s="12" t="s">
        <v>58</v>
      </c>
      <c r="I9" s="12" t="s">
        <v>57</v>
      </c>
    </row>
    <row r="10" spans="1:9" ht="15.5" x14ac:dyDescent="0.35">
      <c r="A10" s="14" t="s">
        <v>999</v>
      </c>
      <c r="B10" s="12" t="s" cm="1">
        <v>19</v>
      </c>
      <c r="C10" s="12" t="s" cm="1">
        <v>21</v>
      </c>
      <c r="D10" s="12" t="s">
        <v>1000</v>
      </c>
      <c r="E10" s="12" t="s" cm="1">
        <v>1635</v>
      </c>
      <c r="F10" s="12" t="s">
        <v>1638</v>
      </c>
      <c r="G10" s="12" t="s">
        <v>892</v>
      </c>
      <c r="H10" s="12" t="s">
        <v>23</v>
      </c>
      <c r="I10" s="12" t="s">
        <v>22</v>
      </c>
    </row>
    <row r="11" spans="1:9" ht="15.5" x14ac:dyDescent="0.35">
      <c r="A11" s="14" t="s">
        <v>1041</v>
      </c>
      <c r="B11" s="12" t="s" cm="1">
        <v>19</v>
      </c>
      <c r="C11" s="12" t="s" cm="1">
        <v>1644</v>
      </c>
      <c r="D11" s="12" t="s">
        <v>1645</v>
      </c>
      <c r="E11" s="12" t="s" cm="1">
        <v>1635</v>
      </c>
      <c r="F11" s="12" t="s">
        <v>1641</v>
      </c>
      <c r="G11" s="12" t="s">
        <v>863</v>
      </c>
      <c r="H11" s="12" t="s">
        <v>29</v>
      </c>
      <c r="I11" s="12" t="s">
        <v>28</v>
      </c>
    </row>
    <row r="12" spans="1:9" ht="15.5" x14ac:dyDescent="0.35">
      <c r="A12" s="14" t="s">
        <v>1069</v>
      </c>
      <c r="B12" s="12" t="s" cm="1">
        <v>986</v>
      </c>
      <c r="C12" s="12" t="s" cm="1">
        <v>1644</v>
      </c>
      <c r="D12" s="12" t="s">
        <v>1646</v>
      </c>
      <c r="E12" s="12" t="s" cm="1">
        <v>1639</v>
      </c>
      <c r="F12" s="12" t="s">
        <v>1636</v>
      </c>
      <c r="G12" s="12" t="s">
        <v>871</v>
      </c>
      <c r="H12" s="12" t="s">
        <v>130</v>
      </c>
      <c r="I12" s="12" t="s">
        <v>22</v>
      </c>
    </row>
    <row r="13" spans="1:9" ht="15.5" x14ac:dyDescent="0.35">
      <c r="A13" s="14" t="s">
        <v>1073</v>
      </c>
      <c r="B13" s="12" t="s" cm="1">
        <v>986</v>
      </c>
      <c r="C13" s="12" t="s" cm="1">
        <v>1644</v>
      </c>
      <c r="D13" s="12" t="s">
        <v>1647</v>
      </c>
      <c r="E13" s="12" t="s" cm="1">
        <v>1639</v>
      </c>
      <c r="F13" s="12" t="s">
        <v>1638</v>
      </c>
      <c r="G13" s="12" t="s">
        <v>1074</v>
      </c>
      <c r="H13" s="12" t="s">
        <v>130</v>
      </c>
      <c r="I13" s="12" t="s">
        <v>22</v>
      </c>
    </row>
    <row r="14" spans="1:9" ht="15.5" x14ac:dyDescent="0.35">
      <c r="A14" s="14" t="s">
        <v>1051</v>
      </c>
      <c r="B14" s="12" t="s" cm="1">
        <v>19</v>
      </c>
      <c r="C14" s="12" t="s" cm="1">
        <v>1644</v>
      </c>
      <c r="D14" s="12" t="s">
        <v>1648</v>
      </c>
      <c r="E14" s="12" t="s" cm="1">
        <v>1639</v>
      </c>
      <c r="F14" s="12" t="s">
        <v>1649</v>
      </c>
      <c r="G14" s="12" t="s">
        <v>918</v>
      </c>
      <c r="H14" s="12" t="s">
        <v>236</v>
      </c>
      <c r="I14" s="12" t="s">
        <v>195</v>
      </c>
    </row>
    <row r="15" spans="1:9" ht="15.5" x14ac:dyDescent="0.35">
      <c r="A15" s="14" t="s">
        <v>1049</v>
      </c>
      <c r="B15" s="12" t="s" cm="1">
        <v>19</v>
      </c>
      <c r="C15" s="12" t="s" cm="1">
        <v>1644</v>
      </c>
      <c r="D15" s="12" t="s">
        <v>1650</v>
      </c>
      <c r="E15" s="12" t="s" cm="1">
        <v>1639</v>
      </c>
      <c r="F15" s="12" t="s">
        <v>1649</v>
      </c>
      <c r="G15" s="12" t="s">
        <v>908</v>
      </c>
      <c r="H15" s="12" t="s">
        <v>236</v>
      </c>
      <c r="I15" s="12" t="s">
        <v>195</v>
      </c>
    </row>
    <row r="16" spans="1:9" ht="15.5" x14ac:dyDescent="0.35">
      <c r="A16" s="14" t="s">
        <v>1047</v>
      </c>
      <c r="B16" s="12" t="s" cm="1">
        <v>19</v>
      </c>
      <c r="C16" s="12" t="s" cm="1">
        <v>1644</v>
      </c>
      <c r="D16" s="12" t="s">
        <v>1048</v>
      </c>
      <c r="E16" s="12" t="s" cm="1">
        <v>1639</v>
      </c>
      <c r="F16" s="12" t="s">
        <v>1649</v>
      </c>
      <c r="G16" s="12" t="s">
        <v>908</v>
      </c>
      <c r="H16" s="12" t="s">
        <v>236</v>
      </c>
      <c r="I16" s="12" t="s">
        <v>195</v>
      </c>
    </row>
    <row r="17" spans="1:9" ht="15.5" x14ac:dyDescent="0.35">
      <c r="A17" s="14" t="s">
        <v>1039</v>
      </c>
      <c r="B17" s="12" t="s" cm="1">
        <v>19</v>
      </c>
      <c r="C17" s="12" t="s" cm="1">
        <v>1644</v>
      </c>
      <c r="D17" s="12" t="s">
        <v>1651</v>
      </c>
      <c r="E17" s="12" t="s" cm="1">
        <v>1635</v>
      </c>
      <c r="F17" s="12" t="s">
        <v>1649</v>
      </c>
      <c r="G17" s="12" t="s">
        <v>945</v>
      </c>
      <c r="H17" s="12" t="s">
        <v>23</v>
      </c>
      <c r="I17" s="12" t="s">
        <v>22</v>
      </c>
    </row>
    <row r="18" spans="1:9" ht="15.5" x14ac:dyDescent="0.35">
      <c r="A18" s="14" t="s">
        <v>1108</v>
      </c>
      <c r="B18" s="12" t="s" cm="1">
        <v>19</v>
      </c>
      <c r="C18" s="12" t="s" cm="1">
        <v>1644</v>
      </c>
      <c r="D18" s="12" t="s">
        <v>1652</v>
      </c>
      <c r="E18" s="12" t="s" cm="1">
        <v>1653</v>
      </c>
      <c r="F18" s="12" t="s">
        <v>24</v>
      </c>
      <c r="G18" s="12" t="s">
        <v>869</v>
      </c>
      <c r="H18" s="12" t="s">
        <v>58</v>
      </c>
      <c r="I18" s="12" t="s">
        <v>57</v>
      </c>
    </row>
    <row r="19" spans="1:9" ht="15.5" x14ac:dyDescent="0.35">
      <c r="A19" s="14" t="s">
        <v>1066</v>
      </c>
      <c r="B19" s="12" t="s" cm="1">
        <v>19</v>
      </c>
      <c r="C19" s="12" t="s" cm="1">
        <v>1644</v>
      </c>
      <c r="D19" s="12" t="s">
        <v>1654</v>
      </c>
      <c r="E19" s="12" t="s" cm="1">
        <v>1637</v>
      </c>
      <c r="F19" s="12" t="s">
        <v>1636</v>
      </c>
      <c r="G19" s="12" t="s">
        <v>940</v>
      </c>
      <c r="H19" s="12" t="s">
        <v>1068</v>
      </c>
      <c r="I19" s="12" t="s">
        <v>22</v>
      </c>
    </row>
    <row r="20" spans="1:9" ht="15.5" x14ac:dyDescent="0.35">
      <c r="A20" s="14" t="s">
        <v>1045</v>
      </c>
      <c r="B20" s="12" t="s" cm="1">
        <v>19</v>
      </c>
      <c r="C20" s="12" t="s" cm="1">
        <v>1644</v>
      </c>
      <c r="D20" s="12" t="s">
        <v>1655</v>
      </c>
      <c r="E20" s="12" t="s" cm="1">
        <v>1639</v>
      </c>
      <c r="F20" s="12" t="s">
        <v>1649</v>
      </c>
      <c r="G20" s="12" t="s">
        <v>918</v>
      </c>
      <c r="H20" s="12" t="s">
        <v>52</v>
      </c>
      <c r="I20" s="12" t="s">
        <v>51</v>
      </c>
    </row>
    <row r="21" spans="1:9" ht="15.5" x14ac:dyDescent="0.35">
      <c r="A21" s="14" t="s">
        <v>708</v>
      </c>
      <c r="B21" s="12" t="s" cm="1">
        <v>19</v>
      </c>
      <c r="C21" s="12" t="s" cm="1">
        <v>1644</v>
      </c>
      <c r="D21" s="12" t="s">
        <v>1656</v>
      </c>
      <c r="E21" s="12" t="s" cm="1">
        <v>1635</v>
      </c>
      <c r="F21" s="12" t="s">
        <v>1638</v>
      </c>
      <c r="G21" s="12" t="s">
        <v>24</v>
      </c>
      <c r="H21" s="12" t="s">
        <v>45</v>
      </c>
      <c r="I21" s="12" t="s">
        <v>44</v>
      </c>
    </row>
    <row r="22" spans="1:9" ht="15.5" x14ac:dyDescent="0.35">
      <c r="A22" s="14" t="s">
        <v>706</v>
      </c>
      <c r="B22" s="12" t="s" cm="1">
        <v>19</v>
      </c>
      <c r="C22" s="12" t="s" cm="1">
        <v>1644</v>
      </c>
      <c r="D22" s="12" t="s">
        <v>1657</v>
      </c>
      <c r="E22" s="12" t="s" cm="1">
        <v>1635</v>
      </c>
      <c r="F22" s="12" t="s">
        <v>1638</v>
      </c>
      <c r="G22" s="12" t="s">
        <v>24</v>
      </c>
      <c r="H22" s="12" t="s">
        <v>45</v>
      </c>
      <c r="I22" s="12" t="s">
        <v>44</v>
      </c>
    </row>
    <row r="23" spans="1:9" ht="15.5" x14ac:dyDescent="0.35">
      <c r="A23" s="14" t="s">
        <v>701</v>
      </c>
      <c r="B23" s="12" t="s" cm="1">
        <v>19</v>
      </c>
      <c r="C23" s="12" t="s" cm="1">
        <v>1644</v>
      </c>
      <c r="D23" s="12" t="s">
        <v>1658</v>
      </c>
      <c r="E23" s="12" t="s" cm="1">
        <v>1635</v>
      </c>
      <c r="F23" s="12" t="s">
        <v>1638</v>
      </c>
      <c r="G23" s="12" t="s">
        <v>24</v>
      </c>
      <c r="H23" s="12" t="s">
        <v>45</v>
      </c>
      <c r="I23" s="12" t="s">
        <v>44</v>
      </c>
    </row>
    <row r="24" spans="1:9" ht="15.5" x14ac:dyDescent="0.35">
      <c r="A24" s="14" t="s">
        <v>699</v>
      </c>
      <c r="B24" s="12" t="s" cm="1">
        <v>19</v>
      </c>
      <c r="C24" s="12" t="s" cm="1">
        <v>1644</v>
      </c>
      <c r="D24" s="12" t="s">
        <v>1659</v>
      </c>
      <c r="E24" s="12" t="s" cm="1">
        <v>1635</v>
      </c>
      <c r="F24" s="12" t="s">
        <v>1638</v>
      </c>
      <c r="G24" s="12" t="s">
        <v>24</v>
      </c>
      <c r="H24" s="12" t="s">
        <v>45</v>
      </c>
      <c r="I24" s="12" t="s">
        <v>44</v>
      </c>
    </row>
    <row r="25" spans="1:9" ht="15.5" x14ac:dyDescent="0.35">
      <c r="A25" s="14" t="s">
        <v>642</v>
      </c>
      <c r="B25" s="12" t="s" cm="1">
        <v>19</v>
      </c>
      <c r="C25" s="12" t="s" cm="1">
        <v>1644</v>
      </c>
      <c r="D25" s="12" t="s">
        <v>1660</v>
      </c>
      <c r="E25" s="12" t="s" cm="1">
        <v>1635</v>
      </c>
      <c r="F25" s="12" t="s">
        <v>1638</v>
      </c>
      <c r="G25" s="12" t="s">
        <v>24</v>
      </c>
      <c r="H25" s="12" t="s">
        <v>45</v>
      </c>
      <c r="I25" s="12" t="s">
        <v>44</v>
      </c>
    </row>
    <row r="26" spans="1:9" ht="15.5" x14ac:dyDescent="0.35">
      <c r="A26" s="14" t="s">
        <v>592</v>
      </c>
      <c r="B26" s="12" t="s" cm="1">
        <v>19</v>
      </c>
      <c r="C26" s="12" t="s" cm="1">
        <v>1644</v>
      </c>
      <c r="D26" s="12" t="s">
        <v>1661</v>
      </c>
      <c r="E26" s="12" t="s" cm="1">
        <v>1635</v>
      </c>
      <c r="F26" s="12" t="s">
        <v>1638</v>
      </c>
      <c r="G26" s="12" t="s">
        <v>24</v>
      </c>
      <c r="H26" s="12" t="s">
        <v>595</v>
      </c>
      <c r="I26" s="12" t="s">
        <v>594</v>
      </c>
    </row>
    <row r="27" spans="1:9" ht="15.5" x14ac:dyDescent="0.35">
      <c r="A27" s="14" t="s">
        <v>487</v>
      </c>
      <c r="B27" s="12" t="s" cm="1">
        <v>19</v>
      </c>
      <c r="C27" s="12" t="s" cm="1">
        <v>1644</v>
      </c>
      <c r="D27" s="12" t="s">
        <v>1662</v>
      </c>
      <c r="E27" s="12" t="s" cm="1">
        <v>1635</v>
      </c>
      <c r="F27" s="12" t="s">
        <v>1638</v>
      </c>
      <c r="G27" s="12" t="s">
        <v>24</v>
      </c>
      <c r="H27" s="12" t="s">
        <v>184</v>
      </c>
      <c r="I27" s="12" t="s">
        <v>91</v>
      </c>
    </row>
    <row r="28" spans="1:9" ht="15.5" x14ac:dyDescent="0.35">
      <c r="A28" s="14" t="s">
        <v>710</v>
      </c>
      <c r="B28" s="12" t="s" cm="1">
        <v>19</v>
      </c>
      <c r="C28" s="12" t="s" cm="1">
        <v>1644</v>
      </c>
      <c r="D28" s="12" t="s">
        <v>1663</v>
      </c>
      <c r="E28" s="12" t="s" cm="1">
        <v>1635</v>
      </c>
      <c r="F28" s="12" t="s">
        <v>1664</v>
      </c>
      <c r="G28" s="12" t="s">
        <v>24</v>
      </c>
      <c r="H28" s="12" t="s">
        <v>599</v>
      </c>
      <c r="I28" s="12" t="s">
        <v>598</v>
      </c>
    </row>
    <row r="29" spans="1:9" ht="15.5" x14ac:dyDescent="0.35">
      <c r="A29" s="14" t="s">
        <v>697</v>
      </c>
      <c r="B29" s="12" t="s" cm="1">
        <v>19</v>
      </c>
      <c r="C29" s="12" t="s" cm="1">
        <v>1644</v>
      </c>
      <c r="D29" s="12" t="s">
        <v>1665</v>
      </c>
      <c r="E29" s="12" t="s" cm="1">
        <v>1635</v>
      </c>
      <c r="F29" s="12" t="s">
        <v>1664</v>
      </c>
      <c r="G29" s="12" t="s">
        <v>24</v>
      </c>
      <c r="H29" s="12" t="s">
        <v>595</v>
      </c>
      <c r="I29" s="12" t="s">
        <v>594</v>
      </c>
    </row>
    <row r="30" spans="1:9" ht="15.5" x14ac:dyDescent="0.35">
      <c r="A30" s="14" t="s">
        <v>658</v>
      </c>
      <c r="B30" s="12" t="s" cm="1">
        <v>19</v>
      </c>
      <c r="C30" s="12" t="s" cm="1">
        <v>1644</v>
      </c>
      <c r="D30" s="12" t="s">
        <v>1666</v>
      </c>
      <c r="E30" s="12" t="s" cm="1">
        <v>1635</v>
      </c>
      <c r="F30" s="12" t="s">
        <v>1664</v>
      </c>
      <c r="G30" s="12" t="s">
        <v>24</v>
      </c>
      <c r="H30" s="12" t="s">
        <v>595</v>
      </c>
      <c r="I30" s="12" t="s">
        <v>594</v>
      </c>
    </row>
    <row r="31" spans="1:9" ht="15.5" x14ac:dyDescent="0.35">
      <c r="A31" s="14" t="s">
        <v>656</v>
      </c>
      <c r="B31" s="12" t="s" cm="1">
        <v>19</v>
      </c>
      <c r="C31" s="12" t="s" cm="1">
        <v>1644</v>
      </c>
      <c r="D31" s="12" t="s">
        <v>1667</v>
      </c>
      <c r="E31" s="12" t="s" cm="1">
        <v>1635</v>
      </c>
      <c r="F31" s="12" t="s">
        <v>1664</v>
      </c>
      <c r="G31" s="12" t="s">
        <v>24</v>
      </c>
      <c r="H31" s="12" t="s">
        <v>595</v>
      </c>
      <c r="I31" s="12" t="s">
        <v>594</v>
      </c>
    </row>
    <row r="32" spans="1:9" ht="15.5" x14ac:dyDescent="0.35">
      <c r="A32" s="14" t="s">
        <v>654</v>
      </c>
      <c r="B32" s="12" t="s" cm="1">
        <v>19</v>
      </c>
      <c r="C32" s="12" t="s" cm="1">
        <v>1644</v>
      </c>
      <c r="D32" s="12" t="s">
        <v>1668</v>
      </c>
      <c r="E32" s="12" t="s" cm="1">
        <v>1635</v>
      </c>
      <c r="F32" s="12" t="s">
        <v>1664</v>
      </c>
      <c r="G32" s="12" t="s">
        <v>24</v>
      </c>
      <c r="H32" s="12" t="s">
        <v>599</v>
      </c>
      <c r="I32" s="12" t="s">
        <v>598</v>
      </c>
    </row>
    <row r="33" spans="1:9" ht="15.5" x14ac:dyDescent="0.35">
      <c r="A33" s="14" t="s">
        <v>666</v>
      </c>
      <c r="B33" s="12" t="s" cm="1">
        <v>19</v>
      </c>
      <c r="C33" s="12" t="s" cm="1">
        <v>1644</v>
      </c>
      <c r="D33" s="12" t="s">
        <v>1669</v>
      </c>
      <c r="E33" s="12" t="s" cm="1">
        <v>1635</v>
      </c>
      <c r="F33" s="12" t="s">
        <v>1664</v>
      </c>
      <c r="G33" s="12" t="s">
        <v>24</v>
      </c>
      <c r="H33" s="12" t="s">
        <v>595</v>
      </c>
      <c r="I33" s="12" t="s">
        <v>594</v>
      </c>
    </row>
    <row r="34" spans="1:9" ht="15.5" x14ac:dyDescent="0.35">
      <c r="A34" s="14" t="s">
        <v>692</v>
      </c>
      <c r="B34" s="12" t="s" cm="1">
        <v>19</v>
      </c>
      <c r="C34" s="12" t="s" cm="1">
        <v>1644</v>
      </c>
      <c r="D34" s="12" t="s">
        <v>1670</v>
      </c>
      <c r="E34" s="12" t="s" cm="1">
        <v>1635</v>
      </c>
      <c r="F34" s="12" t="s">
        <v>1664</v>
      </c>
      <c r="G34" s="12" t="s">
        <v>24</v>
      </c>
      <c r="H34" s="12" t="s">
        <v>45</v>
      </c>
      <c r="I34" s="12" t="s">
        <v>44</v>
      </c>
    </row>
    <row r="35" spans="1:9" ht="15.5" x14ac:dyDescent="0.35">
      <c r="A35" s="14" t="s">
        <v>646</v>
      </c>
      <c r="B35" s="12" t="s" cm="1">
        <v>19</v>
      </c>
      <c r="C35" s="12" t="s" cm="1">
        <v>1644</v>
      </c>
      <c r="D35" s="12" t="s">
        <v>1671</v>
      </c>
      <c r="E35" s="12" t="s" cm="1">
        <v>1635</v>
      </c>
      <c r="F35" s="12" t="s">
        <v>1664</v>
      </c>
      <c r="G35" s="12" t="s">
        <v>24</v>
      </c>
      <c r="H35" s="12" t="s">
        <v>599</v>
      </c>
      <c r="I35" s="12" t="s">
        <v>598</v>
      </c>
    </row>
    <row r="36" spans="1:9" ht="15.5" x14ac:dyDescent="0.35">
      <c r="A36" s="14" t="s">
        <v>662</v>
      </c>
      <c r="B36" s="12" t="s" cm="1">
        <v>19</v>
      </c>
      <c r="C36" s="12" t="s" cm="1">
        <v>1644</v>
      </c>
      <c r="D36" s="12" t="s">
        <v>1672</v>
      </c>
      <c r="E36" s="12" t="s" cm="1">
        <v>1635</v>
      </c>
      <c r="F36" s="12" t="s">
        <v>1664</v>
      </c>
      <c r="G36" s="12" t="s">
        <v>24</v>
      </c>
      <c r="H36" s="12" t="s">
        <v>599</v>
      </c>
      <c r="I36" s="12" t="s">
        <v>598</v>
      </c>
    </row>
    <row r="37" spans="1:9" ht="15.5" x14ac:dyDescent="0.35">
      <c r="A37" s="14" t="s">
        <v>614</v>
      </c>
      <c r="B37" s="15" t="s" cm="1">
        <v>19</v>
      </c>
      <c r="C37" s="15" t="s" cm="1">
        <v>1644</v>
      </c>
      <c r="D37" s="15" t="s">
        <v>1673</v>
      </c>
      <c r="E37" s="15" t="s" cm="1">
        <v>1635</v>
      </c>
      <c r="F37" s="12" t="s">
        <v>1664</v>
      </c>
      <c r="G37" s="12" t="s">
        <v>24</v>
      </c>
      <c r="H37" s="12" t="s">
        <v>595</v>
      </c>
      <c r="I37" s="12" t="s">
        <v>594</v>
      </c>
    </row>
    <row r="38" spans="1:9" ht="15.5" x14ac:dyDescent="0.35">
      <c r="A38" s="14" t="s">
        <v>612</v>
      </c>
      <c r="B38" s="15" t="s" cm="1">
        <v>19</v>
      </c>
      <c r="C38" s="15" t="s" cm="1">
        <v>1644</v>
      </c>
      <c r="D38" s="15" t="s">
        <v>1674</v>
      </c>
      <c r="E38" s="15" t="s" cm="1">
        <v>1635</v>
      </c>
      <c r="F38" s="12" t="s">
        <v>1664</v>
      </c>
      <c r="G38" s="12" t="s">
        <v>24</v>
      </c>
      <c r="H38" s="12" t="s">
        <v>35</v>
      </c>
      <c r="I38" s="12" t="s">
        <v>34</v>
      </c>
    </row>
    <row r="39" spans="1:9" ht="15.5" x14ac:dyDescent="0.35">
      <c r="A39" s="14" t="s">
        <v>634</v>
      </c>
      <c r="B39" s="15" t="s" cm="1">
        <v>19</v>
      </c>
      <c r="C39" s="15" t="s" cm="1">
        <v>1644</v>
      </c>
      <c r="D39" s="15" t="s">
        <v>1675</v>
      </c>
      <c r="E39" s="15" t="s" cm="1">
        <v>1635</v>
      </c>
      <c r="F39" s="12" t="s">
        <v>1664</v>
      </c>
      <c r="G39" s="12" t="s">
        <v>24</v>
      </c>
      <c r="H39" s="12" t="s">
        <v>599</v>
      </c>
      <c r="I39" s="12" t="s">
        <v>598</v>
      </c>
    </row>
    <row r="40" spans="1:9" ht="15.5" x14ac:dyDescent="0.35">
      <c r="A40" s="14" t="s">
        <v>632</v>
      </c>
      <c r="B40" s="15" t="s" cm="1">
        <v>19</v>
      </c>
      <c r="C40" s="15" t="s" cm="1">
        <v>1644</v>
      </c>
      <c r="D40" s="15" t="s">
        <v>1676</v>
      </c>
      <c r="E40" s="15" t="s" cm="1">
        <v>1635</v>
      </c>
      <c r="F40" s="12" t="s">
        <v>1664</v>
      </c>
      <c r="G40" s="12" t="s">
        <v>24</v>
      </c>
      <c r="H40" s="12" t="s">
        <v>45</v>
      </c>
      <c r="I40" s="12" t="s">
        <v>44</v>
      </c>
    </row>
    <row r="41" spans="1:9" ht="15.5" x14ac:dyDescent="0.35">
      <c r="A41" s="14" t="s">
        <v>604</v>
      </c>
      <c r="B41" s="15" t="s" cm="1">
        <v>19</v>
      </c>
      <c r="C41" s="15" t="s" cm="1">
        <v>1644</v>
      </c>
      <c r="D41" s="15" t="s">
        <v>1677</v>
      </c>
      <c r="E41" s="15" t="s" cm="1">
        <v>1635</v>
      </c>
      <c r="F41" s="12" t="s">
        <v>1664</v>
      </c>
      <c r="G41" s="12" t="s">
        <v>24</v>
      </c>
      <c r="H41" s="12" t="s">
        <v>599</v>
      </c>
      <c r="I41" s="12" t="s">
        <v>598</v>
      </c>
    </row>
    <row r="42" spans="1:9" ht="15.5" x14ac:dyDescent="0.35">
      <c r="A42" s="14" t="s">
        <v>610</v>
      </c>
      <c r="B42" s="15" t="s" cm="1">
        <v>19</v>
      </c>
      <c r="C42" s="15" t="s" cm="1">
        <v>1644</v>
      </c>
      <c r="D42" s="15" t="s">
        <v>1678</v>
      </c>
      <c r="E42" s="15" t="s" cm="1">
        <v>1635</v>
      </c>
      <c r="F42" s="12" t="s">
        <v>1636</v>
      </c>
      <c r="G42" s="12" t="s">
        <v>24</v>
      </c>
      <c r="H42" s="12" t="s">
        <v>45</v>
      </c>
      <c r="I42" s="12" t="s">
        <v>44</v>
      </c>
    </row>
    <row r="43" spans="1:9" ht="15.5" x14ac:dyDescent="0.35">
      <c r="A43" s="14" t="s">
        <v>638</v>
      </c>
      <c r="B43" s="15" t="s" cm="1">
        <v>19</v>
      </c>
      <c r="C43" s="15" t="s" cm="1">
        <v>1644</v>
      </c>
      <c r="D43" s="15" t="s">
        <v>1679</v>
      </c>
      <c r="E43" s="15" t="s" cm="1">
        <v>1635</v>
      </c>
      <c r="F43" s="12" t="s">
        <v>1636</v>
      </c>
      <c r="G43" s="12" t="s">
        <v>24</v>
      </c>
      <c r="H43" s="12" t="s">
        <v>45</v>
      </c>
      <c r="I43" s="12" t="s">
        <v>44</v>
      </c>
    </row>
    <row r="44" spans="1:9" ht="15.5" x14ac:dyDescent="0.35">
      <c r="A44" s="14" t="s">
        <v>636</v>
      </c>
      <c r="B44" s="15" t="s" cm="1">
        <v>19</v>
      </c>
      <c r="C44" s="15" t="s" cm="1">
        <v>1644</v>
      </c>
      <c r="D44" s="15" t="s">
        <v>1680</v>
      </c>
      <c r="E44" s="15" t="s" cm="1">
        <v>1635</v>
      </c>
      <c r="F44" s="12" t="s">
        <v>1636</v>
      </c>
      <c r="G44" s="12" t="s">
        <v>24</v>
      </c>
      <c r="H44" s="12" t="s">
        <v>599</v>
      </c>
      <c r="I44" s="12" t="s">
        <v>598</v>
      </c>
    </row>
    <row r="45" spans="1:9" ht="15.5" x14ac:dyDescent="0.35">
      <c r="A45" s="14" t="s">
        <v>624</v>
      </c>
      <c r="B45" s="15" t="s" cm="1">
        <v>19</v>
      </c>
      <c r="C45" s="15" t="s" cm="1">
        <v>1644</v>
      </c>
      <c r="D45" s="15" t="s">
        <v>1681</v>
      </c>
      <c r="E45" s="15" t="s" cm="1">
        <v>1635</v>
      </c>
      <c r="F45" s="12" t="s">
        <v>1636</v>
      </c>
      <c r="G45" s="12" t="s">
        <v>24</v>
      </c>
      <c r="H45" s="12" t="s">
        <v>595</v>
      </c>
      <c r="I45" s="12" t="s">
        <v>594</v>
      </c>
    </row>
    <row r="46" spans="1:9" ht="15.5" x14ac:dyDescent="0.35">
      <c r="A46" s="14" t="s">
        <v>622</v>
      </c>
      <c r="B46" s="15" t="s" cm="1">
        <v>19</v>
      </c>
      <c r="C46" s="15" t="s" cm="1">
        <v>1644</v>
      </c>
      <c r="D46" s="15" t="s">
        <v>1682</v>
      </c>
      <c r="E46" s="15" t="s" cm="1">
        <v>1635</v>
      </c>
      <c r="F46" s="12" t="s">
        <v>1636</v>
      </c>
      <c r="G46" s="12" t="s">
        <v>24</v>
      </c>
      <c r="H46" s="12" t="s">
        <v>595</v>
      </c>
      <c r="I46" s="12" t="s">
        <v>594</v>
      </c>
    </row>
    <row r="47" spans="1:9" ht="15.5" x14ac:dyDescent="0.35">
      <c r="A47" s="14" t="s">
        <v>620</v>
      </c>
      <c r="B47" s="15" t="s" cm="1">
        <v>19</v>
      </c>
      <c r="C47" s="15" t="s" cm="1">
        <v>1644</v>
      </c>
      <c r="D47" s="15" t="s">
        <v>1683</v>
      </c>
      <c r="E47" s="15" t="s" cm="1">
        <v>1635</v>
      </c>
      <c r="F47" s="12" t="s">
        <v>1636</v>
      </c>
      <c r="G47" s="12" t="s">
        <v>24</v>
      </c>
      <c r="H47" s="12" t="s">
        <v>595</v>
      </c>
      <c r="I47" s="12" t="s">
        <v>594</v>
      </c>
    </row>
    <row r="48" spans="1:9" ht="15.5" x14ac:dyDescent="0.35">
      <c r="A48" s="14" t="s">
        <v>618</v>
      </c>
      <c r="B48" s="15" t="s" cm="1">
        <v>19</v>
      </c>
      <c r="C48" s="15" t="s" cm="1">
        <v>1644</v>
      </c>
      <c r="D48" s="15" t="s">
        <v>1684</v>
      </c>
      <c r="E48" s="15" t="s" cm="1">
        <v>1635</v>
      </c>
      <c r="F48" s="12" t="s">
        <v>1636</v>
      </c>
      <c r="G48" s="12" t="s">
        <v>24</v>
      </c>
      <c r="H48" s="12" t="s">
        <v>595</v>
      </c>
      <c r="I48" s="12" t="s">
        <v>594</v>
      </c>
    </row>
    <row r="49" spans="1:9" ht="15.5" x14ac:dyDescent="0.35">
      <c r="A49" s="14" t="s">
        <v>616</v>
      </c>
      <c r="B49" s="15" t="s" cm="1">
        <v>19</v>
      </c>
      <c r="C49" s="15" t="s" cm="1">
        <v>1644</v>
      </c>
      <c r="D49" s="15" t="s">
        <v>1685</v>
      </c>
      <c r="E49" s="15" t="s" cm="1">
        <v>1635</v>
      </c>
      <c r="F49" s="12" t="s">
        <v>1636</v>
      </c>
      <c r="G49" s="12" t="s">
        <v>24</v>
      </c>
      <c r="H49" s="12" t="s">
        <v>595</v>
      </c>
      <c r="I49" s="12" t="s">
        <v>594</v>
      </c>
    </row>
    <row r="50" spans="1:9" ht="15.5" x14ac:dyDescent="0.35">
      <c r="A50" s="14" t="s">
        <v>644</v>
      </c>
      <c r="B50" s="15" t="s" cm="1">
        <v>19</v>
      </c>
      <c r="C50" s="15" t="s" cm="1">
        <v>1644</v>
      </c>
      <c r="D50" s="15" t="s">
        <v>1686</v>
      </c>
      <c r="E50" s="15" t="s" cm="1">
        <v>1635</v>
      </c>
      <c r="F50" s="12" t="s">
        <v>1636</v>
      </c>
      <c r="G50" s="12" t="s">
        <v>24</v>
      </c>
      <c r="H50" s="12" t="s">
        <v>45</v>
      </c>
      <c r="I50" s="12" t="s">
        <v>44</v>
      </c>
    </row>
    <row r="51" spans="1:9" ht="15.5" x14ac:dyDescent="0.35">
      <c r="A51" s="14" t="s">
        <v>185</v>
      </c>
      <c r="B51" s="15" t="s" cm="1">
        <v>19</v>
      </c>
      <c r="C51" s="15" t="s" cm="1">
        <v>1644</v>
      </c>
      <c r="D51" s="15" t="s">
        <v>1687</v>
      </c>
      <c r="E51" s="15" t="s" cm="1">
        <v>1635</v>
      </c>
      <c r="F51" s="12" t="s">
        <v>1664</v>
      </c>
      <c r="G51" s="12" t="s">
        <v>24</v>
      </c>
      <c r="H51" s="12" t="s">
        <v>184</v>
      </c>
      <c r="I51" s="12" t="s">
        <v>91</v>
      </c>
    </row>
    <row r="52" spans="1:9" ht="15.5" x14ac:dyDescent="0.35">
      <c r="A52" s="14" t="s">
        <v>182</v>
      </c>
      <c r="B52" s="15" t="s" cm="1">
        <v>19</v>
      </c>
      <c r="C52" s="15" t="s" cm="1">
        <v>1644</v>
      </c>
      <c r="D52" s="15" t="s">
        <v>1688</v>
      </c>
      <c r="E52" s="15" t="s" cm="1">
        <v>1635</v>
      </c>
      <c r="F52" s="12" t="s">
        <v>1643</v>
      </c>
      <c r="G52" s="12" t="s">
        <v>24</v>
      </c>
      <c r="H52" s="12" t="s">
        <v>184</v>
      </c>
      <c r="I52" s="12" t="s">
        <v>91</v>
      </c>
    </row>
    <row r="53" spans="1:9" ht="15.5" x14ac:dyDescent="0.35">
      <c r="A53" s="14" t="s">
        <v>602</v>
      </c>
      <c r="B53" s="15" t="s" cm="1">
        <v>19</v>
      </c>
      <c r="C53" s="15" t="s" cm="1">
        <v>1644</v>
      </c>
      <c r="D53" s="15" t="s">
        <v>1689</v>
      </c>
      <c r="E53" s="15" t="s" cm="1">
        <v>1635</v>
      </c>
      <c r="F53" s="12" t="s">
        <v>1643</v>
      </c>
      <c r="G53" s="12" t="s">
        <v>24</v>
      </c>
      <c r="H53" s="12" t="s">
        <v>599</v>
      </c>
      <c r="I53" s="12" t="s">
        <v>598</v>
      </c>
    </row>
    <row r="54" spans="1:9" ht="15.5" x14ac:dyDescent="0.35">
      <c r="A54" s="14" t="s">
        <v>686</v>
      </c>
      <c r="B54" s="15" t="s" cm="1">
        <v>19</v>
      </c>
      <c r="C54" s="15" t="s" cm="1">
        <v>1644</v>
      </c>
      <c r="D54" s="15" t="s">
        <v>1690</v>
      </c>
      <c r="E54" s="15" t="s" cm="1">
        <v>1635</v>
      </c>
      <c r="F54" s="12" t="s">
        <v>1643</v>
      </c>
      <c r="G54" s="12" t="s">
        <v>24</v>
      </c>
      <c r="H54" s="12" t="s">
        <v>29</v>
      </c>
      <c r="I54" s="12" t="s">
        <v>28</v>
      </c>
    </row>
    <row r="55" spans="1:9" ht="15.5" x14ac:dyDescent="0.35">
      <c r="A55" s="14" t="s">
        <v>703</v>
      </c>
      <c r="B55" s="15" t="s" cm="1">
        <v>19</v>
      </c>
      <c r="C55" s="15" t="s" cm="1">
        <v>1644</v>
      </c>
      <c r="D55" s="15" t="s">
        <v>1691</v>
      </c>
      <c r="E55" s="15" t="s" cm="1">
        <v>1635</v>
      </c>
      <c r="F55" s="12" t="s">
        <v>1641</v>
      </c>
      <c r="G55" s="12" t="s">
        <v>24</v>
      </c>
      <c r="H55" s="12" t="s">
        <v>35</v>
      </c>
      <c r="I55" s="12" t="s">
        <v>34</v>
      </c>
    </row>
    <row r="56" spans="1:9" ht="15.5" x14ac:dyDescent="0.35">
      <c r="A56" s="14" t="s">
        <v>695</v>
      </c>
      <c r="B56" s="15" t="s" cm="1">
        <v>19</v>
      </c>
      <c r="C56" s="15" t="s" cm="1">
        <v>1644</v>
      </c>
      <c r="D56" s="15" t="s">
        <v>1692</v>
      </c>
      <c r="E56" s="15" t="s" cm="1">
        <v>1635</v>
      </c>
      <c r="F56" s="12" t="s">
        <v>1693</v>
      </c>
      <c r="G56" s="12" t="s">
        <v>24</v>
      </c>
      <c r="H56" s="12" t="s">
        <v>45</v>
      </c>
      <c r="I56" s="12" t="s">
        <v>44</v>
      </c>
    </row>
    <row r="57" spans="1:9" ht="15.5" x14ac:dyDescent="0.35">
      <c r="A57" s="14" t="s">
        <v>485</v>
      </c>
      <c r="B57" s="15" t="s" cm="1">
        <v>19</v>
      </c>
      <c r="C57" s="15" t="s" cm="1">
        <v>1644</v>
      </c>
      <c r="D57" s="15" t="s">
        <v>1694</v>
      </c>
      <c r="E57" s="15" t="s" cm="1">
        <v>1695</v>
      </c>
      <c r="F57" s="12" t="s">
        <v>24</v>
      </c>
      <c r="G57" s="12" t="s">
        <v>24</v>
      </c>
      <c r="H57" s="12" t="s">
        <v>184</v>
      </c>
      <c r="I57" s="12" t="s">
        <v>91</v>
      </c>
    </row>
    <row r="58" spans="1:9" ht="15.5" x14ac:dyDescent="0.35">
      <c r="A58" s="14" t="s">
        <v>483</v>
      </c>
      <c r="B58" s="15" t="s" cm="1">
        <v>19</v>
      </c>
      <c r="C58" s="15" t="s" cm="1">
        <v>1644</v>
      </c>
      <c r="D58" s="15" t="s">
        <v>1696</v>
      </c>
      <c r="E58" s="15" t="s" cm="1">
        <v>1695</v>
      </c>
      <c r="F58" s="12" t="s">
        <v>24</v>
      </c>
      <c r="G58" s="12" t="s">
        <v>24</v>
      </c>
      <c r="H58" s="12" t="s">
        <v>92</v>
      </c>
      <c r="I58" s="12" t="s">
        <v>91</v>
      </c>
    </row>
    <row r="59" spans="1:9" ht="15.5" x14ac:dyDescent="0.35">
      <c r="A59" s="14" t="s">
        <v>481</v>
      </c>
      <c r="B59" s="15" t="s" cm="1">
        <v>19</v>
      </c>
      <c r="C59" s="15" t="s" cm="1">
        <v>1644</v>
      </c>
      <c r="D59" s="15" t="s">
        <v>1697</v>
      </c>
      <c r="E59" s="15" t="s" cm="1">
        <v>1695</v>
      </c>
      <c r="F59" s="12" t="s">
        <v>24</v>
      </c>
      <c r="G59" s="12" t="s">
        <v>24</v>
      </c>
      <c r="H59" s="12" t="s">
        <v>184</v>
      </c>
      <c r="I59" s="12" t="s">
        <v>91</v>
      </c>
    </row>
    <row r="60" spans="1:9" ht="15.5" x14ac:dyDescent="0.35">
      <c r="A60" s="14" t="s">
        <v>489</v>
      </c>
      <c r="B60" s="15" t="s" cm="1">
        <v>19</v>
      </c>
      <c r="C60" s="15" t="s" cm="1">
        <v>1644</v>
      </c>
      <c r="D60" s="15" t="s">
        <v>1698</v>
      </c>
      <c r="E60" s="15" t="s" cm="1">
        <v>1695</v>
      </c>
      <c r="F60" s="12" t="s">
        <v>24</v>
      </c>
      <c r="G60" s="12" t="s">
        <v>24</v>
      </c>
      <c r="H60" s="12" t="s">
        <v>184</v>
      </c>
      <c r="I60" s="12" t="s">
        <v>91</v>
      </c>
    </row>
    <row r="61" spans="1:9" ht="15.5" x14ac:dyDescent="0.35">
      <c r="A61" s="14" t="s">
        <v>201</v>
      </c>
      <c r="B61" s="15" t="s" cm="1">
        <v>19</v>
      </c>
      <c r="C61" s="15" t="s" cm="1">
        <v>1644</v>
      </c>
      <c r="D61" s="15" t="s">
        <v>1699</v>
      </c>
      <c r="E61" s="15" t="s" cm="1">
        <v>1639</v>
      </c>
      <c r="F61" s="12" t="s">
        <v>1636</v>
      </c>
      <c r="G61" s="12" t="s">
        <v>24</v>
      </c>
      <c r="H61" s="12" t="s">
        <v>52</v>
      </c>
      <c r="I61" s="12" t="s">
        <v>51</v>
      </c>
    </row>
    <row r="62" spans="1:9" ht="15.5" x14ac:dyDescent="0.35">
      <c r="A62" s="14" t="s">
        <v>491</v>
      </c>
      <c r="B62" s="15" t="s" cm="1">
        <v>19</v>
      </c>
      <c r="C62" s="15" t="s" cm="1">
        <v>1644</v>
      </c>
      <c r="D62" s="15" t="s">
        <v>1700</v>
      </c>
      <c r="E62" s="15" t="s" cm="1">
        <v>1639</v>
      </c>
      <c r="F62" s="12" t="s">
        <v>1636</v>
      </c>
      <c r="G62" s="12" t="s">
        <v>24</v>
      </c>
      <c r="H62" s="12" t="s">
        <v>184</v>
      </c>
      <c r="I62" s="12" t="s">
        <v>91</v>
      </c>
    </row>
    <row r="63" spans="1:9" ht="15.5" x14ac:dyDescent="0.35">
      <c r="A63" s="14" t="s">
        <v>525</v>
      </c>
      <c r="B63" s="15" t="s" cm="1">
        <v>19</v>
      </c>
      <c r="C63" s="15" t="s" cm="1">
        <v>1644</v>
      </c>
      <c r="D63" s="15" t="s">
        <v>1701</v>
      </c>
      <c r="E63" s="15" t="s" cm="1">
        <v>1639</v>
      </c>
      <c r="F63" s="12" t="s">
        <v>1636</v>
      </c>
      <c r="G63" s="12" t="s">
        <v>24</v>
      </c>
      <c r="H63" s="12" t="s">
        <v>184</v>
      </c>
      <c r="I63" s="12" t="s">
        <v>91</v>
      </c>
    </row>
    <row r="64" spans="1:9" ht="15.5" x14ac:dyDescent="0.35">
      <c r="A64" s="14" t="s">
        <v>582</v>
      </c>
      <c r="B64" s="15" t="s" cm="1">
        <v>19</v>
      </c>
      <c r="C64" s="15" t="s" cm="1">
        <v>1644</v>
      </c>
      <c r="D64" s="15" t="s">
        <v>1702</v>
      </c>
      <c r="E64" s="15" t="s" cm="1">
        <v>1639</v>
      </c>
      <c r="F64" s="12" t="s">
        <v>1636</v>
      </c>
      <c r="G64" s="12" t="s">
        <v>24</v>
      </c>
      <c r="H64" s="12" t="s">
        <v>585</v>
      </c>
      <c r="I64" s="12" t="s">
        <v>584</v>
      </c>
    </row>
    <row r="65" spans="1:9" ht="15.5" x14ac:dyDescent="0.35">
      <c r="A65" s="14" t="s">
        <v>664</v>
      </c>
      <c r="B65" s="15" t="s" cm="1">
        <v>19</v>
      </c>
      <c r="C65" s="15" t="s" cm="1">
        <v>1644</v>
      </c>
      <c r="D65" s="15" t="s">
        <v>1703</v>
      </c>
      <c r="E65" s="15" t="s" cm="1">
        <v>1639</v>
      </c>
      <c r="F65" s="12" t="s">
        <v>1636</v>
      </c>
      <c r="G65" s="12" t="s">
        <v>24</v>
      </c>
      <c r="H65" s="12" t="s">
        <v>45</v>
      </c>
      <c r="I65" s="12" t="s">
        <v>44</v>
      </c>
    </row>
    <row r="66" spans="1:9" ht="15.5" x14ac:dyDescent="0.35">
      <c r="A66" s="14" t="s">
        <v>652</v>
      </c>
      <c r="B66" s="15" t="s" cm="1">
        <v>19</v>
      </c>
      <c r="C66" s="15" t="s" cm="1">
        <v>1644</v>
      </c>
      <c r="D66" s="15" t="s">
        <v>1704</v>
      </c>
      <c r="E66" s="15" t="s" cm="1">
        <v>1639</v>
      </c>
      <c r="F66" s="12" t="s">
        <v>1636</v>
      </c>
      <c r="G66" s="12" t="s">
        <v>24</v>
      </c>
      <c r="H66" s="12" t="s">
        <v>45</v>
      </c>
      <c r="I66" s="12" t="s">
        <v>44</v>
      </c>
    </row>
    <row r="67" spans="1:9" ht="15.5" x14ac:dyDescent="0.35">
      <c r="A67" s="14" t="s">
        <v>648</v>
      </c>
      <c r="B67" s="15" t="s" cm="1">
        <v>19</v>
      </c>
      <c r="C67" s="15" t="s" cm="1">
        <v>1644</v>
      </c>
      <c r="D67" s="15" t="s">
        <v>1705</v>
      </c>
      <c r="E67" s="15" t="s" cm="1">
        <v>1639</v>
      </c>
      <c r="F67" s="12" t="s">
        <v>1636</v>
      </c>
      <c r="G67" s="12" t="s">
        <v>24</v>
      </c>
      <c r="H67" s="12" t="s">
        <v>35</v>
      </c>
      <c r="I67" s="12" t="s">
        <v>34</v>
      </c>
    </row>
    <row r="68" spans="1:9" ht="15.5" x14ac:dyDescent="0.35">
      <c r="A68" s="14" t="s">
        <v>640</v>
      </c>
      <c r="B68" s="15" t="s" cm="1">
        <v>19</v>
      </c>
      <c r="C68" s="15" t="s" cm="1">
        <v>1644</v>
      </c>
      <c r="D68" s="15" t="s">
        <v>1706</v>
      </c>
      <c r="E68" s="15" t="s" cm="1">
        <v>1639</v>
      </c>
      <c r="F68" s="12" t="s">
        <v>1636</v>
      </c>
      <c r="G68" s="12" t="s">
        <v>24</v>
      </c>
      <c r="H68" s="12" t="s">
        <v>45</v>
      </c>
      <c r="I68" s="12" t="s">
        <v>44</v>
      </c>
    </row>
    <row r="69" spans="1:9" ht="15.5" x14ac:dyDescent="0.35">
      <c r="A69" s="14" t="s">
        <v>527</v>
      </c>
      <c r="B69" s="15" t="s" cm="1">
        <v>19</v>
      </c>
      <c r="C69" s="15" t="s" cm="1">
        <v>1644</v>
      </c>
      <c r="D69" s="15" t="s">
        <v>1707</v>
      </c>
      <c r="E69" s="15" t="s" cm="1">
        <v>1635</v>
      </c>
      <c r="F69" s="12" t="s">
        <v>1638</v>
      </c>
      <c r="G69" s="12" t="s">
        <v>24</v>
      </c>
      <c r="H69" s="12" t="s">
        <v>184</v>
      </c>
      <c r="I69" s="12" t="s">
        <v>91</v>
      </c>
    </row>
    <row r="70" spans="1:9" ht="15.5" x14ac:dyDescent="0.35">
      <c r="A70" s="14" t="s">
        <v>720</v>
      </c>
      <c r="B70" s="15" t="s" cm="1">
        <v>19</v>
      </c>
      <c r="C70" s="15" t="s" cm="1">
        <v>1644</v>
      </c>
      <c r="D70" s="15" t="s">
        <v>1708</v>
      </c>
      <c r="E70" s="15" t="s" cm="1">
        <v>1635</v>
      </c>
      <c r="F70" s="12" t="s">
        <v>1638</v>
      </c>
      <c r="G70" s="12" t="s">
        <v>24</v>
      </c>
      <c r="H70" s="12" t="s">
        <v>45</v>
      </c>
      <c r="I70" s="12" t="s">
        <v>44</v>
      </c>
    </row>
    <row r="71" spans="1:9" ht="15.5" x14ac:dyDescent="0.35">
      <c r="A71" s="14" t="s">
        <v>718</v>
      </c>
      <c r="B71" s="15" t="s" cm="1">
        <v>19</v>
      </c>
      <c r="C71" s="15" t="s" cm="1">
        <v>1644</v>
      </c>
      <c r="D71" s="15" t="s">
        <v>1709</v>
      </c>
      <c r="E71" s="15" t="s" cm="1">
        <v>1635</v>
      </c>
      <c r="F71" s="12" t="s">
        <v>1638</v>
      </c>
      <c r="G71" s="12" t="s">
        <v>24</v>
      </c>
      <c r="H71" s="12" t="s">
        <v>599</v>
      </c>
      <c r="I71" s="12" t="s">
        <v>598</v>
      </c>
    </row>
    <row r="72" spans="1:9" ht="15.5" x14ac:dyDescent="0.35">
      <c r="A72" s="14" t="s">
        <v>716</v>
      </c>
      <c r="B72" s="15" t="s" cm="1">
        <v>19</v>
      </c>
      <c r="C72" s="15" t="s" cm="1">
        <v>1644</v>
      </c>
      <c r="D72" s="15" t="s">
        <v>1710</v>
      </c>
      <c r="E72" s="15" t="s" cm="1">
        <v>1635</v>
      </c>
      <c r="F72" s="12" t="s">
        <v>1638</v>
      </c>
      <c r="G72" s="12" t="s">
        <v>24</v>
      </c>
      <c r="H72" s="12" t="s">
        <v>595</v>
      </c>
      <c r="I72" s="12" t="s">
        <v>594</v>
      </c>
    </row>
    <row r="73" spans="1:9" ht="15.5" x14ac:dyDescent="0.35">
      <c r="A73" s="14" t="s">
        <v>650</v>
      </c>
      <c r="B73" s="15" t="s" cm="1">
        <v>19</v>
      </c>
      <c r="C73" s="15" t="s" cm="1">
        <v>1644</v>
      </c>
      <c r="D73" s="15" t="s">
        <v>1711</v>
      </c>
      <c r="E73" s="15" t="s" cm="1">
        <v>1635</v>
      </c>
      <c r="F73" s="12" t="s">
        <v>1638</v>
      </c>
      <c r="G73" s="12" t="s">
        <v>24</v>
      </c>
      <c r="H73" s="12" t="s">
        <v>45</v>
      </c>
      <c r="I73" s="12" t="s">
        <v>44</v>
      </c>
    </row>
    <row r="74" spans="1:9" ht="15.5" x14ac:dyDescent="0.35">
      <c r="A74" s="14" t="s">
        <v>600</v>
      </c>
      <c r="B74" s="15" t="s" cm="1">
        <v>19</v>
      </c>
      <c r="C74" s="15" t="s" cm="1">
        <v>1644</v>
      </c>
      <c r="D74" s="15" t="s">
        <v>1712</v>
      </c>
      <c r="E74" s="15" t="s" cm="1">
        <v>1635</v>
      </c>
      <c r="F74" s="12" t="s">
        <v>1638</v>
      </c>
      <c r="G74" s="12" t="s">
        <v>24</v>
      </c>
      <c r="H74" s="12" t="s">
        <v>599</v>
      </c>
      <c r="I74" s="12" t="s">
        <v>598</v>
      </c>
    </row>
    <row r="75" spans="1:9" ht="15.5" x14ac:dyDescent="0.35">
      <c r="A75" s="14" t="s">
        <v>596</v>
      </c>
      <c r="B75" s="15" t="s" cm="1">
        <v>19</v>
      </c>
      <c r="C75" s="15" t="s" cm="1">
        <v>1644</v>
      </c>
      <c r="D75" s="15" t="s">
        <v>1713</v>
      </c>
      <c r="E75" s="15" t="s" cm="1">
        <v>1635</v>
      </c>
      <c r="F75" s="12" t="s">
        <v>1638</v>
      </c>
      <c r="G75" s="12" t="s">
        <v>24</v>
      </c>
      <c r="H75" s="12" t="s">
        <v>599</v>
      </c>
      <c r="I75" s="12" t="s">
        <v>598</v>
      </c>
    </row>
    <row r="76" spans="1:9" ht="15.5" x14ac:dyDescent="0.35">
      <c r="A76" s="14" t="s">
        <v>493</v>
      </c>
      <c r="B76" s="15" t="s" cm="1">
        <v>19</v>
      </c>
      <c r="C76" s="15" t="s" cm="1">
        <v>1644</v>
      </c>
      <c r="D76" s="15" t="s">
        <v>1714</v>
      </c>
      <c r="E76" s="15" t="s" cm="1">
        <v>1639</v>
      </c>
      <c r="F76" s="12" t="s">
        <v>1638</v>
      </c>
      <c r="G76" s="12" t="s">
        <v>24</v>
      </c>
      <c r="H76" s="12" t="s">
        <v>92</v>
      </c>
      <c r="I76" s="12" t="s">
        <v>91</v>
      </c>
    </row>
    <row r="77" spans="1:9" ht="15.5" x14ac:dyDescent="0.35">
      <c r="A77" s="14" t="s">
        <v>462</v>
      </c>
      <c r="B77" s="15" t="s" cm="1">
        <v>19</v>
      </c>
      <c r="C77" s="15" t="s" cm="1">
        <v>1644</v>
      </c>
      <c r="D77" s="15" t="s">
        <v>1715</v>
      </c>
      <c r="E77" s="15" t="s" cm="1">
        <v>1639</v>
      </c>
      <c r="F77" s="12" t="s">
        <v>1638</v>
      </c>
      <c r="G77" s="12" t="s">
        <v>24</v>
      </c>
      <c r="H77" s="12" t="s">
        <v>184</v>
      </c>
      <c r="I77" s="12" t="s">
        <v>91</v>
      </c>
    </row>
    <row r="78" spans="1:9" ht="15.5" x14ac:dyDescent="0.35">
      <c r="A78" s="14" t="s">
        <v>626</v>
      </c>
      <c r="B78" s="15" t="s" cm="1">
        <v>19</v>
      </c>
      <c r="C78" s="15" t="s" cm="1">
        <v>1644</v>
      </c>
      <c r="D78" s="15" t="s">
        <v>1716</v>
      </c>
      <c r="E78" s="15" t="s" cm="1">
        <v>1635</v>
      </c>
      <c r="F78" s="12" t="s">
        <v>1649</v>
      </c>
      <c r="G78" s="12" t="s">
        <v>24</v>
      </c>
      <c r="H78" s="12" t="s">
        <v>595</v>
      </c>
      <c r="I78" s="12" t="s">
        <v>594</v>
      </c>
    </row>
    <row r="79" spans="1:9" ht="15.5" x14ac:dyDescent="0.35">
      <c r="A79" s="14" t="s">
        <v>507</v>
      </c>
      <c r="B79" s="15" t="s" cm="1">
        <v>19</v>
      </c>
      <c r="C79" s="15" t="s" cm="1">
        <v>1644</v>
      </c>
      <c r="D79" s="15" t="s">
        <v>1717</v>
      </c>
      <c r="E79" s="15" t="s" cm="1">
        <v>1639</v>
      </c>
      <c r="F79" s="12" t="s">
        <v>1638</v>
      </c>
      <c r="G79" s="12" t="s">
        <v>24</v>
      </c>
      <c r="H79" s="12" t="s">
        <v>184</v>
      </c>
      <c r="I79" s="12" t="s">
        <v>91</v>
      </c>
    </row>
    <row r="80" spans="1:9" ht="15.5" x14ac:dyDescent="0.35">
      <c r="A80" s="14" t="s">
        <v>191</v>
      </c>
      <c r="B80" s="15" t="s" cm="1">
        <v>19</v>
      </c>
      <c r="C80" s="15" t="s" cm="1">
        <v>1644</v>
      </c>
      <c r="D80" s="15" t="s">
        <v>1718</v>
      </c>
      <c r="E80" s="15" t="s" cm="1">
        <v>1639</v>
      </c>
      <c r="F80" s="12" t="s">
        <v>1638</v>
      </c>
      <c r="G80" s="12" t="s">
        <v>24</v>
      </c>
      <c r="H80" s="12" t="s">
        <v>184</v>
      </c>
      <c r="I80" s="12" t="s">
        <v>91</v>
      </c>
    </row>
    <row r="81" spans="1:9" ht="15.5" x14ac:dyDescent="0.35">
      <c r="A81" s="14" t="s">
        <v>188</v>
      </c>
      <c r="B81" s="15" t="s" cm="1">
        <v>19</v>
      </c>
      <c r="C81" s="15" t="s" cm="1">
        <v>1644</v>
      </c>
      <c r="D81" s="15" t="s">
        <v>1719</v>
      </c>
      <c r="E81" s="15" t="s" cm="1">
        <v>1639</v>
      </c>
      <c r="F81" s="12" t="s">
        <v>1638</v>
      </c>
      <c r="G81" s="12" t="s">
        <v>24</v>
      </c>
      <c r="H81" s="12" t="s">
        <v>184</v>
      </c>
      <c r="I81" s="12" t="s">
        <v>91</v>
      </c>
    </row>
    <row r="82" spans="1:9" ht="15.5" x14ac:dyDescent="0.35">
      <c r="A82" s="14" t="s">
        <v>590</v>
      </c>
      <c r="B82" s="15" t="s" cm="1">
        <v>19</v>
      </c>
      <c r="C82" s="15" t="s" cm="1">
        <v>1644</v>
      </c>
      <c r="D82" s="15" t="s">
        <v>1720</v>
      </c>
      <c r="E82" s="15" t="s" cm="1">
        <v>1639</v>
      </c>
      <c r="F82" s="12" t="s">
        <v>1636</v>
      </c>
      <c r="G82" s="12" t="s">
        <v>24</v>
      </c>
      <c r="H82" s="12" t="s">
        <v>35</v>
      </c>
      <c r="I82" s="12" t="s">
        <v>34</v>
      </c>
    </row>
    <row r="83" spans="1:9" ht="15.5" x14ac:dyDescent="0.35">
      <c r="A83" s="14" t="s">
        <v>588</v>
      </c>
      <c r="B83" s="15" t="s" cm="1">
        <v>19</v>
      </c>
      <c r="C83" s="15" t="s" cm="1">
        <v>1644</v>
      </c>
      <c r="D83" s="15" t="s">
        <v>1721</v>
      </c>
      <c r="E83" s="15" t="s" cm="1">
        <v>1639</v>
      </c>
      <c r="F83" s="12" t="s">
        <v>1636</v>
      </c>
      <c r="G83" s="12" t="s">
        <v>24</v>
      </c>
      <c r="H83" s="12" t="s">
        <v>45</v>
      </c>
      <c r="I83" s="12" t="s">
        <v>44</v>
      </c>
    </row>
    <row r="84" spans="1:9" ht="15.5" x14ac:dyDescent="0.35">
      <c r="A84" s="14" t="s">
        <v>724</v>
      </c>
      <c r="B84" s="15" t="s" cm="1">
        <v>19</v>
      </c>
      <c r="C84" s="15" t="s" cm="1">
        <v>1644</v>
      </c>
      <c r="D84" s="15" t="s">
        <v>1722</v>
      </c>
      <c r="E84" s="15" t="s" cm="1">
        <v>1635</v>
      </c>
      <c r="F84" s="12" t="s">
        <v>1693</v>
      </c>
      <c r="G84" s="12" t="s">
        <v>24</v>
      </c>
      <c r="H84" s="12" t="s">
        <v>45</v>
      </c>
      <c r="I84" s="12" t="s">
        <v>44</v>
      </c>
    </row>
    <row r="85" spans="1:9" ht="15.5" x14ac:dyDescent="0.35">
      <c r="A85" s="14" t="s">
        <v>446</v>
      </c>
      <c r="B85" s="15" t="s" cm="1">
        <v>19</v>
      </c>
      <c r="C85" s="15" t="s" cm="1">
        <v>1644</v>
      </c>
      <c r="D85" s="15" t="s">
        <v>1723</v>
      </c>
      <c r="E85" s="15" t="s" cm="1">
        <v>1639</v>
      </c>
      <c r="F85" s="12" t="s">
        <v>1638</v>
      </c>
      <c r="G85" s="12" t="s">
        <v>24</v>
      </c>
      <c r="H85" s="12" t="s">
        <v>184</v>
      </c>
      <c r="I85" s="12" t="s">
        <v>91</v>
      </c>
    </row>
    <row r="86" spans="1:9" ht="15.5" x14ac:dyDescent="0.35">
      <c r="A86" s="14" t="s">
        <v>740</v>
      </c>
      <c r="B86" s="15" t="s" cm="1">
        <v>19</v>
      </c>
      <c r="C86" s="15" t="s" cm="1">
        <v>1644</v>
      </c>
      <c r="D86" s="15" t="s">
        <v>1724</v>
      </c>
      <c r="E86" s="15" t="s" cm="1">
        <v>1635</v>
      </c>
      <c r="F86" s="12" t="s">
        <v>1664</v>
      </c>
      <c r="G86" s="12" t="s">
        <v>879</v>
      </c>
      <c r="H86" s="12" t="s">
        <v>599</v>
      </c>
      <c r="I86" s="12" t="s">
        <v>598</v>
      </c>
    </row>
    <row r="87" spans="1:9" ht="15.5" x14ac:dyDescent="0.35">
      <c r="A87" s="14" t="s">
        <v>714</v>
      </c>
      <c r="B87" s="15" t="s" cm="1">
        <v>19</v>
      </c>
      <c r="C87" s="15" t="s" cm="1">
        <v>1644</v>
      </c>
      <c r="D87" s="15" t="s">
        <v>1725</v>
      </c>
      <c r="E87" s="15" t="s" cm="1">
        <v>1635</v>
      </c>
      <c r="F87" s="12" t="s">
        <v>1664</v>
      </c>
      <c r="G87" s="12" t="s">
        <v>24</v>
      </c>
      <c r="H87" s="12" t="s">
        <v>599</v>
      </c>
      <c r="I87" s="12" t="s">
        <v>598</v>
      </c>
    </row>
    <row r="88" spans="1:9" ht="15.5" x14ac:dyDescent="0.35">
      <c r="A88" s="14" t="s">
        <v>501</v>
      </c>
      <c r="B88" s="15" t="s" cm="1">
        <v>89</v>
      </c>
      <c r="C88" s="15" t="s" cm="1">
        <v>1644</v>
      </c>
      <c r="D88" s="15" t="s">
        <v>1726</v>
      </c>
      <c r="E88" s="15" t="s" cm="1">
        <v>1635</v>
      </c>
      <c r="F88" s="12" t="s">
        <v>1638</v>
      </c>
      <c r="G88" s="12" t="s">
        <v>24</v>
      </c>
      <c r="H88" s="12" t="s">
        <v>92</v>
      </c>
      <c r="I88" s="12" t="s">
        <v>91</v>
      </c>
    </row>
    <row r="89" spans="1:9" ht="15.5" x14ac:dyDescent="0.35">
      <c r="A89" s="14" t="s">
        <v>630</v>
      </c>
      <c r="B89" s="15" t="s" cm="1">
        <v>89</v>
      </c>
      <c r="C89" s="15" t="s" cm="1">
        <v>1644</v>
      </c>
      <c r="D89" s="15" t="s">
        <v>1727</v>
      </c>
      <c r="E89" s="15" t="s" cm="1">
        <v>1639</v>
      </c>
      <c r="F89" s="12" t="s">
        <v>1636</v>
      </c>
      <c r="G89" s="12" t="s">
        <v>24</v>
      </c>
      <c r="H89" s="12" t="s">
        <v>45</v>
      </c>
      <c r="I89" s="12" t="s">
        <v>44</v>
      </c>
    </row>
    <row r="90" spans="1:9" ht="15.5" x14ac:dyDescent="0.35">
      <c r="A90" s="14" t="s">
        <v>628</v>
      </c>
      <c r="B90" s="15" t="s" cm="1">
        <v>89</v>
      </c>
      <c r="C90" s="15" t="s" cm="1">
        <v>1644</v>
      </c>
      <c r="D90" s="15" t="s">
        <v>1728</v>
      </c>
      <c r="E90" s="15" t="s" cm="1">
        <v>1639</v>
      </c>
      <c r="F90" s="12" t="s">
        <v>1636</v>
      </c>
      <c r="G90" s="12" t="s">
        <v>24</v>
      </c>
      <c r="H90" s="12" t="s">
        <v>45</v>
      </c>
      <c r="I90" s="12" t="s">
        <v>44</v>
      </c>
    </row>
    <row r="91" spans="1:9" ht="15.5" x14ac:dyDescent="0.35">
      <c r="A91" s="14" t="s">
        <v>541</v>
      </c>
      <c r="B91" s="15" t="s" cm="1">
        <v>89</v>
      </c>
      <c r="C91" s="15" t="s" cm="1">
        <v>1644</v>
      </c>
      <c r="D91" s="15" t="s">
        <v>1729</v>
      </c>
      <c r="E91" s="15" t="s" cm="1">
        <v>1639</v>
      </c>
      <c r="F91" s="12" t="s">
        <v>1636</v>
      </c>
      <c r="G91" s="12" t="s">
        <v>24</v>
      </c>
      <c r="H91" s="12" t="s">
        <v>58</v>
      </c>
      <c r="I91" s="12" t="s">
        <v>57</v>
      </c>
    </row>
    <row r="92" spans="1:9" ht="15.5" x14ac:dyDescent="0.35">
      <c r="A92" s="14" t="s">
        <v>539</v>
      </c>
      <c r="B92" s="15" t="s" cm="1">
        <v>986</v>
      </c>
      <c r="C92" s="15" t="s" cm="1">
        <v>1644</v>
      </c>
      <c r="D92" s="15" t="s">
        <v>1730</v>
      </c>
      <c r="E92" s="15" t="s" cm="1">
        <v>1639</v>
      </c>
      <c r="F92" s="12" t="s">
        <v>1636</v>
      </c>
      <c r="G92" s="12" t="s">
        <v>24</v>
      </c>
      <c r="H92" s="12" t="s">
        <v>58</v>
      </c>
      <c r="I92" s="12" t="s">
        <v>57</v>
      </c>
    </row>
    <row r="93" spans="1:9" ht="15.5" x14ac:dyDescent="0.35">
      <c r="A93" s="14" t="s">
        <v>537</v>
      </c>
      <c r="B93" s="15" t="s" cm="1">
        <v>986</v>
      </c>
      <c r="C93" s="15" t="s" cm="1">
        <v>1644</v>
      </c>
      <c r="D93" s="15" t="s">
        <v>1731</v>
      </c>
      <c r="E93" s="15" t="s" cm="1">
        <v>1639</v>
      </c>
      <c r="F93" s="12" t="s">
        <v>1636</v>
      </c>
      <c r="G93" s="12" t="s">
        <v>24</v>
      </c>
      <c r="H93" s="12" t="s">
        <v>58</v>
      </c>
      <c r="I93" s="12" t="s">
        <v>57</v>
      </c>
    </row>
    <row r="94" spans="1:9" ht="15.5" x14ac:dyDescent="0.35">
      <c r="A94" s="14" t="s">
        <v>497</v>
      </c>
      <c r="B94" s="15" t="s" cm="1">
        <v>89</v>
      </c>
      <c r="C94" s="15" t="s" cm="1">
        <v>1644</v>
      </c>
      <c r="D94" s="15" t="s">
        <v>1732</v>
      </c>
      <c r="E94" s="15" t="s" cm="1">
        <v>1639</v>
      </c>
      <c r="F94" s="12" t="s">
        <v>1638</v>
      </c>
      <c r="G94" s="12" t="s">
        <v>24</v>
      </c>
      <c r="H94" s="12" t="s">
        <v>92</v>
      </c>
      <c r="I94" s="12" t="s">
        <v>91</v>
      </c>
    </row>
    <row r="95" spans="1:9" ht="15.5" x14ac:dyDescent="0.35">
      <c r="A95" s="14" t="s">
        <v>499</v>
      </c>
      <c r="B95" s="15" t="s" cm="1">
        <v>89</v>
      </c>
      <c r="C95" s="15" t="s" cm="1">
        <v>1644</v>
      </c>
      <c r="D95" s="15" t="s">
        <v>1733</v>
      </c>
      <c r="E95" s="15" t="s" cm="1">
        <v>1639</v>
      </c>
      <c r="F95" s="12" t="s">
        <v>1638</v>
      </c>
      <c r="G95" s="12" t="s">
        <v>24</v>
      </c>
      <c r="H95" s="12" t="s">
        <v>92</v>
      </c>
      <c r="I95" s="12" t="s">
        <v>91</v>
      </c>
    </row>
    <row r="96" spans="1:9" ht="15.5" x14ac:dyDescent="0.35">
      <c r="A96" s="14" t="s">
        <v>559</v>
      </c>
      <c r="B96" s="15" t="s" cm="1">
        <v>89</v>
      </c>
      <c r="C96" s="15" t="s" cm="1">
        <v>1644</v>
      </c>
      <c r="D96" s="15" t="s">
        <v>1734</v>
      </c>
      <c r="E96" s="15" t="s" cm="1">
        <v>1639</v>
      </c>
      <c r="F96" s="12" t="s">
        <v>1638</v>
      </c>
      <c r="G96" s="12" t="s">
        <v>24</v>
      </c>
      <c r="H96" s="12" t="s">
        <v>58</v>
      </c>
      <c r="I96" s="12" t="s">
        <v>57</v>
      </c>
    </row>
    <row r="97" spans="1:9" ht="15.5" x14ac:dyDescent="0.35">
      <c r="A97" s="14" t="s">
        <v>543</v>
      </c>
      <c r="B97" s="15" t="s" cm="1">
        <v>89</v>
      </c>
      <c r="C97" s="15" t="s" cm="1">
        <v>1644</v>
      </c>
      <c r="D97" s="15" t="s">
        <v>1735</v>
      </c>
      <c r="E97" s="15" t="s" cm="1">
        <v>1639</v>
      </c>
      <c r="F97" s="12" t="s">
        <v>1638</v>
      </c>
      <c r="G97" s="12" t="s">
        <v>24</v>
      </c>
      <c r="H97" s="12" t="s">
        <v>58</v>
      </c>
      <c r="I97" s="12" t="s">
        <v>57</v>
      </c>
    </row>
    <row r="98" spans="1:9" ht="15.5" x14ac:dyDescent="0.35">
      <c r="A98" s="14" t="s">
        <v>505</v>
      </c>
      <c r="B98" s="15" t="s" cm="1">
        <v>89</v>
      </c>
      <c r="C98" s="15" t="s" cm="1">
        <v>1644</v>
      </c>
      <c r="D98" s="15" t="s">
        <v>1736</v>
      </c>
      <c r="E98" s="15" t="s" cm="1">
        <v>1639</v>
      </c>
      <c r="F98" s="12" t="s">
        <v>1638</v>
      </c>
      <c r="G98" s="12" t="s">
        <v>24</v>
      </c>
      <c r="H98" s="12" t="s">
        <v>92</v>
      </c>
      <c r="I98" s="12" t="s">
        <v>91</v>
      </c>
    </row>
    <row r="99" spans="1:9" ht="15.5" x14ac:dyDescent="0.35">
      <c r="A99" s="14" t="s">
        <v>495</v>
      </c>
      <c r="B99" s="15" t="s" cm="1">
        <v>89</v>
      </c>
      <c r="C99" s="15" t="s" cm="1">
        <v>1644</v>
      </c>
      <c r="D99" s="15" t="s">
        <v>1737</v>
      </c>
      <c r="E99" s="15" t="s" cm="1">
        <v>1635</v>
      </c>
      <c r="F99" s="12" t="s">
        <v>1638</v>
      </c>
      <c r="G99" s="12" t="s">
        <v>24</v>
      </c>
      <c r="H99" s="12" t="s">
        <v>92</v>
      </c>
      <c r="I99" s="12" t="s">
        <v>91</v>
      </c>
    </row>
    <row r="100" spans="1:9" ht="15.5" x14ac:dyDescent="0.35">
      <c r="A100" s="14" t="s">
        <v>555</v>
      </c>
      <c r="B100" s="15" t="s" cm="1">
        <v>986</v>
      </c>
      <c r="C100" s="15" t="s" cm="1">
        <v>1644</v>
      </c>
      <c r="D100" s="15" t="s">
        <v>1738</v>
      </c>
      <c r="E100" s="15" t="s" cm="1">
        <v>1639</v>
      </c>
      <c r="F100" s="12" t="s">
        <v>1638</v>
      </c>
      <c r="G100" s="12" t="s">
        <v>948</v>
      </c>
      <c r="H100" s="12" t="s">
        <v>58</v>
      </c>
      <c r="I100" s="12" t="s">
        <v>57</v>
      </c>
    </row>
    <row r="101" spans="1:9" ht="15.5" x14ac:dyDescent="0.35">
      <c r="A101" s="14" t="s">
        <v>668</v>
      </c>
      <c r="B101" s="15" t="s" cm="1">
        <v>986</v>
      </c>
      <c r="C101" s="15" t="s" cm="1">
        <v>1644</v>
      </c>
      <c r="D101" s="15" t="s">
        <v>1739</v>
      </c>
      <c r="E101" s="15" t="s" cm="1">
        <v>1635</v>
      </c>
      <c r="F101" s="12" t="s">
        <v>1636</v>
      </c>
      <c r="G101" s="12" t="s">
        <v>24</v>
      </c>
      <c r="H101" s="12" t="s">
        <v>45</v>
      </c>
      <c r="I101" s="12" t="s">
        <v>44</v>
      </c>
    </row>
    <row r="102" spans="1:9" ht="15.5" x14ac:dyDescent="0.35">
      <c r="A102" s="14" t="s">
        <v>660</v>
      </c>
      <c r="B102" s="15" t="s" cm="1">
        <v>986</v>
      </c>
      <c r="C102" s="15" t="s" cm="1">
        <v>1644</v>
      </c>
      <c r="D102" s="15" t="s">
        <v>1740</v>
      </c>
      <c r="E102" s="15" t="s" cm="1">
        <v>1635</v>
      </c>
      <c r="F102" s="12" t="s">
        <v>1636</v>
      </c>
      <c r="G102" s="12" t="s">
        <v>24</v>
      </c>
      <c r="H102" s="12" t="s">
        <v>45</v>
      </c>
      <c r="I102" s="12" t="s">
        <v>44</v>
      </c>
    </row>
    <row r="103" spans="1:9" ht="15.5" x14ac:dyDescent="0.35">
      <c r="A103" s="14" t="s">
        <v>535</v>
      </c>
      <c r="B103" s="15" t="s" cm="1">
        <v>986</v>
      </c>
      <c r="C103" s="15" t="s" cm="1">
        <v>1644</v>
      </c>
      <c r="D103" s="15" t="s">
        <v>1741</v>
      </c>
      <c r="E103" s="15" t="s" cm="1">
        <v>1635</v>
      </c>
      <c r="F103" s="12" t="s">
        <v>1664</v>
      </c>
      <c r="G103" s="12" t="s">
        <v>24</v>
      </c>
      <c r="H103" s="12" t="s">
        <v>58</v>
      </c>
      <c r="I103" s="12" t="s">
        <v>57</v>
      </c>
    </row>
    <row r="104" spans="1:9" ht="15.5" x14ac:dyDescent="0.35">
      <c r="A104" s="14" t="s">
        <v>744</v>
      </c>
      <c r="B104" s="15" t="s" cm="1">
        <v>986</v>
      </c>
      <c r="C104" s="15" t="s" cm="1">
        <v>1644</v>
      </c>
      <c r="D104" s="15" t="s">
        <v>1742</v>
      </c>
      <c r="E104" s="15" t="s" cm="1">
        <v>1635</v>
      </c>
      <c r="F104" s="12" t="s">
        <v>1643</v>
      </c>
      <c r="G104" s="12" t="s">
        <v>24</v>
      </c>
      <c r="H104" s="12" t="s">
        <v>58</v>
      </c>
      <c r="I104" s="12" t="s">
        <v>57</v>
      </c>
    </row>
    <row r="105" spans="1:9" ht="15.5" x14ac:dyDescent="0.35">
      <c r="A105" s="14" t="s">
        <v>557</v>
      </c>
      <c r="B105" s="15" t="s" cm="1">
        <v>986</v>
      </c>
      <c r="C105" s="15" t="s" cm="1">
        <v>1644</v>
      </c>
      <c r="D105" s="15" t="s">
        <v>1743</v>
      </c>
      <c r="E105" s="15" t="s" cm="1">
        <v>1639</v>
      </c>
      <c r="F105" s="12" t="s">
        <v>1638</v>
      </c>
      <c r="G105" s="12" t="s">
        <v>24</v>
      </c>
      <c r="H105" s="12" t="s">
        <v>58</v>
      </c>
      <c r="I105" s="12" t="s">
        <v>57</v>
      </c>
    </row>
    <row r="106" spans="1:9" ht="15.5" x14ac:dyDescent="0.35">
      <c r="A106" s="14" t="s">
        <v>547</v>
      </c>
      <c r="B106" s="15" t="s" cm="1">
        <v>986</v>
      </c>
      <c r="C106" s="15" t="s" cm="1">
        <v>1644</v>
      </c>
      <c r="D106" s="15" t="s">
        <v>1744</v>
      </c>
      <c r="E106" s="15" t="s" cm="1">
        <v>1639</v>
      </c>
      <c r="F106" s="12" t="s">
        <v>1638</v>
      </c>
      <c r="G106" s="12" t="s">
        <v>24</v>
      </c>
      <c r="H106" s="12" t="s">
        <v>58</v>
      </c>
      <c r="I106" s="12" t="s">
        <v>57</v>
      </c>
    </row>
    <row r="107" spans="1:9" ht="15.5" x14ac:dyDescent="0.35">
      <c r="A107" s="14" t="s">
        <v>545</v>
      </c>
      <c r="B107" s="15" t="s" cm="1">
        <v>986</v>
      </c>
      <c r="C107" s="15" t="s" cm="1">
        <v>1644</v>
      </c>
      <c r="D107" s="15" t="s">
        <v>1745</v>
      </c>
      <c r="E107" s="15" t="s" cm="1">
        <v>1639</v>
      </c>
      <c r="F107" s="12" t="s">
        <v>1638</v>
      </c>
      <c r="G107" s="12" t="s">
        <v>24</v>
      </c>
      <c r="H107" s="12" t="s">
        <v>58</v>
      </c>
      <c r="I107" s="12" t="s">
        <v>57</v>
      </c>
    </row>
    <row r="108" spans="1:9" ht="15.5" x14ac:dyDescent="0.35">
      <c r="A108" s="14" t="s">
        <v>549</v>
      </c>
      <c r="B108" s="15" t="s" cm="1">
        <v>986</v>
      </c>
      <c r="C108" s="15" t="s" cm="1">
        <v>1644</v>
      </c>
      <c r="D108" s="15" t="s">
        <v>1746</v>
      </c>
      <c r="E108" s="15" t="s" cm="1">
        <v>1639</v>
      </c>
      <c r="F108" s="12" t="s">
        <v>1638</v>
      </c>
      <c r="G108" s="12" t="s">
        <v>24</v>
      </c>
      <c r="H108" s="12" t="s">
        <v>58</v>
      </c>
      <c r="I108" s="12" t="s">
        <v>57</v>
      </c>
    </row>
    <row r="109" spans="1:9" ht="15.5" x14ac:dyDescent="0.35">
      <c r="A109" s="14" t="s">
        <v>551</v>
      </c>
      <c r="B109" s="15" t="s" cm="1">
        <v>986</v>
      </c>
      <c r="C109" s="15" t="s" cm="1">
        <v>1644</v>
      </c>
      <c r="D109" s="15" t="s">
        <v>1747</v>
      </c>
      <c r="E109" s="15" t="s" cm="1">
        <v>1639</v>
      </c>
      <c r="F109" s="12" t="s">
        <v>1638</v>
      </c>
      <c r="G109" s="12" t="s">
        <v>24</v>
      </c>
      <c r="H109" s="12" t="s">
        <v>58</v>
      </c>
      <c r="I109" s="12" t="s">
        <v>57</v>
      </c>
    </row>
    <row r="110" spans="1:9" ht="15.5" x14ac:dyDescent="0.35">
      <c r="A110" s="14" t="s">
        <v>553</v>
      </c>
      <c r="B110" s="15" t="s" cm="1">
        <v>986</v>
      </c>
      <c r="C110" s="15" t="s" cm="1">
        <v>1644</v>
      </c>
      <c r="D110" s="15" t="s">
        <v>1748</v>
      </c>
      <c r="E110" s="15" t="s" cm="1">
        <v>1639</v>
      </c>
      <c r="F110" s="12" t="s">
        <v>1638</v>
      </c>
      <c r="G110" s="12" t="s">
        <v>24</v>
      </c>
      <c r="H110" s="12" t="s">
        <v>58</v>
      </c>
      <c r="I110" s="12" t="s">
        <v>57</v>
      </c>
    </row>
    <row r="111" spans="1:9" ht="15.5" x14ac:dyDescent="0.35">
      <c r="A111" s="14" t="s">
        <v>754</v>
      </c>
      <c r="B111" s="15" t="s" cm="1">
        <v>986</v>
      </c>
      <c r="C111" s="15" t="s" cm="1">
        <v>1644</v>
      </c>
      <c r="D111" s="15" t="s">
        <v>1742</v>
      </c>
      <c r="E111" s="15" t="s" cm="1">
        <v>1639</v>
      </c>
      <c r="F111" s="12" t="s">
        <v>1638</v>
      </c>
      <c r="G111" s="12" t="s">
        <v>24</v>
      </c>
      <c r="H111" s="12" t="s">
        <v>58</v>
      </c>
      <c r="I111" s="12" t="s">
        <v>57</v>
      </c>
    </row>
    <row r="112" spans="1:9" ht="15.5" x14ac:dyDescent="0.35">
      <c r="A112" s="14" t="s">
        <v>586</v>
      </c>
      <c r="B112" s="15" t="s" cm="1">
        <v>986</v>
      </c>
      <c r="C112" s="15" t="s" cm="1">
        <v>1644</v>
      </c>
      <c r="D112" s="15" t="s">
        <v>1749</v>
      </c>
      <c r="E112" s="15" t="s" cm="1">
        <v>1639</v>
      </c>
      <c r="F112" s="12" t="s">
        <v>1636</v>
      </c>
      <c r="G112" s="12" t="s">
        <v>24</v>
      </c>
      <c r="H112" s="12" t="s">
        <v>35</v>
      </c>
      <c r="I112" s="12" t="s">
        <v>34</v>
      </c>
    </row>
    <row r="113" spans="1:9" ht="15.5" x14ac:dyDescent="0.35">
      <c r="A113" s="14" t="s">
        <v>760</v>
      </c>
      <c r="B113" s="15" t="s" cm="1">
        <v>986</v>
      </c>
      <c r="C113" s="15" t="s" cm="1">
        <v>1644</v>
      </c>
      <c r="D113" s="15" t="s">
        <v>1750</v>
      </c>
      <c r="E113" s="15" t="s" cm="1">
        <v>1639</v>
      </c>
      <c r="F113" s="12" t="s">
        <v>1638</v>
      </c>
      <c r="G113" s="12" t="s">
        <v>24</v>
      </c>
      <c r="H113" s="12" t="s">
        <v>58</v>
      </c>
      <c r="I113" s="12" t="s">
        <v>57</v>
      </c>
    </row>
    <row r="114" spans="1:9" ht="15.5" x14ac:dyDescent="0.35">
      <c r="A114" s="14" t="s">
        <v>42</v>
      </c>
      <c r="B114" s="15" t="s" cm="1">
        <v>986</v>
      </c>
      <c r="C114" s="15" t="s" cm="1">
        <v>1644</v>
      </c>
      <c r="D114" s="15" t="s">
        <v>1751</v>
      </c>
      <c r="E114" s="15" t="s" cm="1">
        <v>1653</v>
      </c>
      <c r="F114" s="12" t="s">
        <v>24</v>
      </c>
      <c r="G114" s="12" t="s">
        <v>869</v>
      </c>
      <c r="H114" s="12" t="s">
        <v>45</v>
      </c>
      <c r="I114" s="12" t="s">
        <v>44</v>
      </c>
    </row>
    <row r="115" spans="1:9" ht="15.5" x14ac:dyDescent="0.35">
      <c r="A115" s="14" t="s">
        <v>758</v>
      </c>
      <c r="B115" s="15" t="s" cm="1">
        <v>986</v>
      </c>
      <c r="C115" s="15" t="s" cm="1">
        <v>1644</v>
      </c>
      <c r="D115" s="15" t="s">
        <v>1752</v>
      </c>
      <c r="E115" s="15" t="s" cm="1">
        <v>1639</v>
      </c>
      <c r="F115" s="12" t="s">
        <v>1638</v>
      </c>
      <c r="G115" s="12" t="s">
        <v>24</v>
      </c>
      <c r="H115" s="12" t="s">
        <v>58</v>
      </c>
      <c r="I115" s="12" t="s">
        <v>57</v>
      </c>
    </row>
    <row r="116" spans="1:9" ht="15.5" x14ac:dyDescent="0.35">
      <c r="A116" s="14" t="s">
        <v>756</v>
      </c>
      <c r="B116" s="15" t="s" cm="1">
        <v>986</v>
      </c>
      <c r="C116" s="15" t="s" cm="1">
        <v>1644</v>
      </c>
      <c r="D116" s="15" t="s">
        <v>1742</v>
      </c>
      <c r="E116" s="15" t="s" cm="1">
        <v>1639</v>
      </c>
      <c r="F116" s="12" t="s">
        <v>1638</v>
      </c>
      <c r="G116" s="12" t="s">
        <v>24</v>
      </c>
      <c r="H116" s="12" t="s">
        <v>58</v>
      </c>
      <c r="I116" s="12" t="s">
        <v>57</v>
      </c>
    </row>
    <row r="117" spans="1:9" ht="15.5" x14ac:dyDescent="0.35">
      <c r="A117" s="14" t="s">
        <v>746</v>
      </c>
      <c r="B117" s="15" t="s" cm="1">
        <v>986</v>
      </c>
      <c r="C117" s="15" t="s" cm="1">
        <v>1644</v>
      </c>
      <c r="D117" s="15" t="s">
        <v>1742</v>
      </c>
      <c r="E117" s="15" t="s" cm="1">
        <v>1635</v>
      </c>
      <c r="F117" s="12" t="s">
        <v>1643</v>
      </c>
      <c r="G117" s="12" t="s">
        <v>24</v>
      </c>
      <c r="H117" s="12" t="s">
        <v>58</v>
      </c>
      <c r="I117" s="12" t="s">
        <v>57</v>
      </c>
    </row>
    <row r="118" spans="1:9" ht="15.5" x14ac:dyDescent="0.35">
      <c r="A118" s="14" t="s">
        <v>60</v>
      </c>
      <c r="B118" s="15" t="s" cm="1">
        <v>986</v>
      </c>
      <c r="C118" s="15" t="s" cm="1">
        <v>1644</v>
      </c>
      <c r="D118" s="15" t="s">
        <v>1753</v>
      </c>
      <c r="E118" s="15" t="s" cm="1">
        <v>1639</v>
      </c>
      <c r="F118" s="12" t="s">
        <v>1636</v>
      </c>
      <c r="G118" s="12" t="s">
        <v>872</v>
      </c>
      <c r="H118" s="12" t="s">
        <v>58</v>
      </c>
      <c r="I118" s="12" t="s">
        <v>57</v>
      </c>
    </row>
    <row r="119" spans="1:9" ht="15.5" x14ac:dyDescent="0.35">
      <c r="A119" s="14" t="s">
        <v>59</v>
      </c>
      <c r="B119" s="15" t="s" cm="1">
        <v>986</v>
      </c>
      <c r="C119" s="15" t="s" cm="1">
        <v>1644</v>
      </c>
      <c r="D119" s="15" t="s">
        <v>1753</v>
      </c>
      <c r="E119" s="15" t="s" cm="1">
        <v>1639</v>
      </c>
      <c r="F119" s="12" t="s">
        <v>1636</v>
      </c>
      <c r="G119" s="12" t="s">
        <v>872</v>
      </c>
      <c r="H119" s="12" t="s">
        <v>58</v>
      </c>
      <c r="I119" s="12" t="s">
        <v>57</v>
      </c>
    </row>
    <row r="120" spans="1:9" ht="15.5" x14ac:dyDescent="0.35">
      <c r="A120" s="14" t="s">
        <v>55</v>
      </c>
      <c r="B120" s="15" t="s" cm="1">
        <v>986</v>
      </c>
      <c r="C120" s="15" t="s" cm="1">
        <v>1644</v>
      </c>
      <c r="D120" s="15" t="s">
        <v>1753</v>
      </c>
      <c r="E120" s="15" t="s" cm="1">
        <v>1639</v>
      </c>
      <c r="F120" s="12" t="s">
        <v>1636</v>
      </c>
      <c r="G120" s="12" t="s">
        <v>872</v>
      </c>
      <c r="H120" s="12" t="s">
        <v>58</v>
      </c>
      <c r="I120" s="12" t="s">
        <v>57</v>
      </c>
    </row>
    <row r="121" spans="1:9" ht="15.5" x14ac:dyDescent="0.35">
      <c r="A121" s="14" t="s">
        <v>752</v>
      </c>
      <c r="B121" s="15" t="s" cm="1">
        <v>986</v>
      </c>
      <c r="C121" s="15" t="s" cm="1">
        <v>1644</v>
      </c>
      <c r="D121" s="15" t="s">
        <v>1742</v>
      </c>
      <c r="E121" s="15" t="s" cm="1">
        <v>1639</v>
      </c>
      <c r="F121" s="12" t="s">
        <v>1636</v>
      </c>
      <c r="G121" s="12" t="s">
        <v>24</v>
      </c>
      <c r="H121" s="12" t="s">
        <v>58</v>
      </c>
      <c r="I121" s="12" t="s">
        <v>57</v>
      </c>
    </row>
    <row r="122" spans="1:9" ht="15.5" x14ac:dyDescent="0.35">
      <c r="A122" s="14" t="s">
        <v>750</v>
      </c>
      <c r="B122" s="15" t="s" cm="1">
        <v>986</v>
      </c>
      <c r="C122" s="15" t="s" cm="1">
        <v>1644</v>
      </c>
      <c r="D122" s="15" t="s">
        <v>1742</v>
      </c>
      <c r="E122" s="15" t="s" cm="1">
        <v>1639</v>
      </c>
      <c r="F122" s="12" t="s">
        <v>1636</v>
      </c>
      <c r="G122" s="12" t="s">
        <v>24</v>
      </c>
      <c r="H122" s="12" t="s">
        <v>58</v>
      </c>
      <c r="I122" s="12" t="s">
        <v>57</v>
      </c>
    </row>
    <row r="123" spans="1:9" ht="15.5" x14ac:dyDescent="0.35">
      <c r="A123" s="14" t="s">
        <v>503</v>
      </c>
      <c r="B123" s="15" t="s" cm="1">
        <v>89</v>
      </c>
      <c r="C123" s="15" t="s" cm="1">
        <v>1644</v>
      </c>
      <c r="D123" s="15" t="s">
        <v>1754</v>
      </c>
      <c r="E123" s="15" t="s" cm="1">
        <v>1639</v>
      </c>
      <c r="F123" s="12" t="s">
        <v>1638</v>
      </c>
      <c r="G123" s="12" t="s">
        <v>24</v>
      </c>
      <c r="H123" s="12" t="s">
        <v>184</v>
      </c>
      <c r="I123" s="12" t="s">
        <v>91</v>
      </c>
    </row>
    <row r="124" spans="1:9" ht="15.5" x14ac:dyDescent="0.35">
      <c r="A124" s="14" t="s">
        <v>25</v>
      </c>
      <c r="B124" s="15" t="s" cm="1">
        <v>19</v>
      </c>
      <c r="C124" s="15" t="s" cm="1">
        <v>1644</v>
      </c>
      <c r="D124" s="15" t="s">
        <v>1755</v>
      </c>
      <c r="E124" s="15" t="s" cm="1">
        <v>1635</v>
      </c>
      <c r="F124" s="12" t="s">
        <v>1693</v>
      </c>
      <c r="G124" s="12" t="s">
        <v>864</v>
      </c>
      <c r="H124" s="12" t="s">
        <v>29</v>
      </c>
      <c r="I124" s="12" t="s">
        <v>28</v>
      </c>
    </row>
    <row r="125" spans="1:9" ht="15.5" x14ac:dyDescent="0.35">
      <c r="A125" s="14" t="s">
        <v>529</v>
      </c>
      <c r="B125" s="15" t="s" cm="1">
        <v>986</v>
      </c>
      <c r="C125" s="15" t="s" cm="1">
        <v>1644</v>
      </c>
      <c r="D125" s="15" t="s">
        <v>1756</v>
      </c>
      <c r="E125" s="15" t="s" cm="1">
        <v>1639</v>
      </c>
      <c r="F125" s="12" t="s">
        <v>1636</v>
      </c>
      <c r="G125" s="12" t="s">
        <v>24</v>
      </c>
      <c r="H125" s="12" t="s">
        <v>92</v>
      </c>
      <c r="I125" s="12" t="s">
        <v>91</v>
      </c>
    </row>
    <row r="126" spans="1:9" ht="15.5" x14ac:dyDescent="0.35">
      <c r="A126" s="14" t="s">
        <v>748</v>
      </c>
      <c r="B126" s="15" t="s" cm="1">
        <v>986</v>
      </c>
      <c r="C126" s="15" t="s" cm="1">
        <v>1644</v>
      </c>
      <c r="D126" s="15" t="s">
        <v>1742</v>
      </c>
      <c r="E126" s="15" t="s" cm="1">
        <v>1635</v>
      </c>
      <c r="F126" s="12" t="s">
        <v>1638</v>
      </c>
      <c r="G126" s="12" t="s">
        <v>24</v>
      </c>
      <c r="H126" s="12" t="s">
        <v>58</v>
      </c>
      <c r="I126" s="12" t="s">
        <v>57</v>
      </c>
    </row>
    <row r="127" spans="1:9" ht="15.5" x14ac:dyDescent="0.35">
      <c r="A127" s="14" t="s">
        <v>712</v>
      </c>
      <c r="B127" s="15" t="s" cm="1">
        <v>19</v>
      </c>
      <c r="C127" s="15" t="s" cm="1">
        <v>1644</v>
      </c>
      <c r="D127" s="15" t="s">
        <v>1757</v>
      </c>
      <c r="E127" s="15" t="s" cm="1">
        <v>1635</v>
      </c>
      <c r="F127" s="12" t="s">
        <v>1664</v>
      </c>
      <c r="G127" s="12" t="s">
        <v>24</v>
      </c>
      <c r="H127" s="12" t="s">
        <v>595</v>
      </c>
      <c r="I127" s="12" t="s">
        <v>594</v>
      </c>
    </row>
    <row r="128" spans="1:9" ht="15.5" x14ac:dyDescent="0.35">
      <c r="A128" s="14" t="s">
        <v>690</v>
      </c>
      <c r="B128" s="15" t="s" cm="1">
        <v>986</v>
      </c>
      <c r="C128" s="15" t="s" cm="1">
        <v>1644</v>
      </c>
      <c r="D128" s="15" t="s">
        <v>1758</v>
      </c>
      <c r="E128" s="15" t="s" cm="1">
        <v>1639</v>
      </c>
      <c r="F128" s="12" t="s">
        <v>1636</v>
      </c>
      <c r="G128" s="12" t="s">
        <v>24</v>
      </c>
      <c r="H128" s="12" t="s">
        <v>58</v>
      </c>
      <c r="I128" s="12" t="s">
        <v>57</v>
      </c>
    </row>
    <row r="129" spans="1:9" ht="15.5" x14ac:dyDescent="0.35">
      <c r="A129" s="14" t="s">
        <v>434</v>
      </c>
      <c r="B129" s="15" t="s" cm="1">
        <v>89</v>
      </c>
      <c r="C129" s="15" t="s" cm="1">
        <v>1644</v>
      </c>
      <c r="D129" s="15" t="s">
        <v>1759</v>
      </c>
      <c r="E129" s="15" t="s" cm="1">
        <v>1635</v>
      </c>
      <c r="F129" s="12" t="s">
        <v>1638</v>
      </c>
      <c r="G129" s="12" t="s">
        <v>24</v>
      </c>
      <c r="H129" s="12" t="s">
        <v>92</v>
      </c>
      <c r="I129" s="12" t="s">
        <v>91</v>
      </c>
    </row>
    <row r="130" spans="1:9" ht="15.5" x14ac:dyDescent="0.35">
      <c r="A130" s="14" t="s">
        <v>432</v>
      </c>
      <c r="B130" s="15" t="s" cm="1">
        <v>89</v>
      </c>
      <c r="C130" s="15" t="s" cm="1">
        <v>1644</v>
      </c>
      <c r="D130" s="15" t="s">
        <v>1760</v>
      </c>
      <c r="E130" s="15" t="s" cm="1">
        <v>1635</v>
      </c>
      <c r="F130" s="12" t="s">
        <v>1638</v>
      </c>
      <c r="G130" s="12" t="s">
        <v>24</v>
      </c>
      <c r="H130" s="12" t="s">
        <v>92</v>
      </c>
      <c r="I130" s="12" t="s">
        <v>91</v>
      </c>
    </row>
    <row r="131" spans="1:9" ht="15.5" x14ac:dyDescent="0.35">
      <c r="A131" s="14" t="s">
        <v>464</v>
      </c>
      <c r="B131" s="15" t="s" cm="1">
        <v>89</v>
      </c>
      <c r="C131" s="15" t="s" cm="1">
        <v>1644</v>
      </c>
      <c r="D131" s="15" t="s">
        <v>1761</v>
      </c>
      <c r="E131" s="15" t="s" cm="1">
        <v>1639</v>
      </c>
      <c r="F131" s="12" t="s">
        <v>1638</v>
      </c>
      <c r="G131" s="12" t="s">
        <v>24</v>
      </c>
      <c r="H131" s="12" t="s">
        <v>92</v>
      </c>
      <c r="I131" s="12" t="s">
        <v>91</v>
      </c>
    </row>
    <row r="132" spans="1:9" ht="15.5" x14ac:dyDescent="0.35">
      <c r="A132" s="14" t="s">
        <v>450</v>
      </c>
      <c r="B132" s="15" t="s" cm="1">
        <v>89</v>
      </c>
      <c r="C132" s="15" t="s" cm="1">
        <v>1644</v>
      </c>
      <c r="D132" s="15" t="s">
        <v>1762</v>
      </c>
      <c r="E132" s="15" t="s" cm="1">
        <v>1639</v>
      </c>
      <c r="F132" s="12" t="s">
        <v>1638</v>
      </c>
      <c r="G132" s="12" t="s">
        <v>24</v>
      </c>
      <c r="H132" s="12" t="s">
        <v>92</v>
      </c>
      <c r="I132" s="12" t="s">
        <v>91</v>
      </c>
    </row>
    <row r="133" spans="1:9" ht="15.5" x14ac:dyDescent="0.35">
      <c r="A133" s="14" t="s">
        <v>430</v>
      </c>
      <c r="B133" s="15" t="s" cm="1">
        <v>89</v>
      </c>
      <c r="C133" s="15" t="s" cm="1">
        <v>1644</v>
      </c>
      <c r="D133" s="15" t="s">
        <v>1763</v>
      </c>
      <c r="E133" s="15" t="s" cm="1">
        <v>1639</v>
      </c>
      <c r="F133" s="12" t="s">
        <v>1638</v>
      </c>
      <c r="G133" s="12" t="s">
        <v>24</v>
      </c>
      <c r="H133" s="12" t="s">
        <v>92</v>
      </c>
      <c r="I133" s="12" t="s">
        <v>91</v>
      </c>
    </row>
    <row r="134" spans="1:9" ht="15.5" x14ac:dyDescent="0.35">
      <c r="A134" s="14" t="s">
        <v>438</v>
      </c>
      <c r="B134" s="15" t="s" cm="1">
        <v>89</v>
      </c>
      <c r="C134" s="15" t="s" cm="1">
        <v>1644</v>
      </c>
      <c r="D134" s="15" t="s">
        <v>1764</v>
      </c>
      <c r="E134" s="15" t="s" cm="1">
        <v>1639</v>
      </c>
      <c r="F134" s="12" t="s">
        <v>1638</v>
      </c>
      <c r="G134" s="12" t="s">
        <v>24</v>
      </c>
      <c r="H134" s="12" t="s">
        <v>58</v>
      </c>
      <c r="I134" s="12" t="s">
        <v>57</v>
      </c>
    </row>
    <row r="135" spans="1:9" ht="15.5" x14ac:dyDescent="0.35">
      <c r="A135" s="14" t="s">
        <v>440</v>
      </c>
      <c r="B135" s="15" t="s" cm="1">
        <v>89</v>
      </c>
      <c r="C135" s="15" t="s" cm="1">
        <v>1644</v>
      </c>
      <c r="D135" s="15" t="s">
        <v>1765</v>
      </c>
      <c r="E135" s="15" t="s" cm="1">
        <v>1639</v>
      </c>
      <c r="F135" s="12" t="s">
        <v>1638</v>
      </c>
      <c r="G135" s="12" t="s">
        <v>24</v>
      </c>
      <c r="H135" s="12" t="s">
        <v>58</v>
      </c>
      <c r="I135" s="12" t="s">
        <v>57</v>
      </c>
    </row>
    <row r="136" spans="1:9" ht="15.5" x14ac:dyDescent="0.35">
      <c r="A136" s="14" t="s">
        <v>46</v>
      </c>
      <c r="B136" s="15" t="s" cm="1">
        <v>19</v>
      </c>
      <c r="C136" s="15" t="s" cm="1">
        <v>1644</v>
      </c>
      <c r="D136" s="15" t="s">
        <v>1766</v>
      </c>
      <c r="E136" s="15" t="s" cm="1">
        <v>1653</v>
      </c>
      <c r="F136" s="12" t="s">
        <v>24</v>
      </c>
      <c r="G136" s="12" t="s">
        <v>869</v>
      </c>
      <c r="H136" s="12" t="s">
        <v>48</v>
      </c>
      <c r="I136" s="12" t="s">
        <v>40</v>
      </c>
    </row>
    <row r="137" spans="1:9" ht="15.5" x14ac:dyDescent="0.35">
      <c r="A137" s="14" t="s">
        <v>38</v>
      </c>
      <c r="B137" s="15" t="s" cm="1">
        <v>19</v>
      </c>
      <c r="C137" s="15" t="s" cm="1">
        <v>1644</v>
      </c>
      <c r="D137" s="15" t="s">
        <v>1767</v>
      </c>
      <c r="E137" s="15" t="s" cm="1">
        <v>1653</v>
      </c>
      <c r="F137" s="12" t="s">
        <v>24</v>
      </c>
      <c r="G137" s="12" t="s">
        <v>869</v>
      </c>
      <c r="H137" s="12" t="s">
        <v>41</v>
      </c>
      <c r="I137" s="12" t="s">
        <v>40</v>
      </c>
    </row>
    <row r="138" spans="1:9" ht="15.5" x14ac:dyDescent="0.35">
      <c r="A138" s="14" t="s">
        <v>30</v>
      </c>
      <c r="B138" s="15" t="s" cm="1">
        <v>19</v>
      </c>
      <c r="C138" s="15" t="s" cm="1">
        <v>1644</v>
      </c>
      <c r="D138" s="15" t="s">
        <v>1768</v>
      </c>
      <c r="E138" s="15" t="s" cm="1">
        <v>1635</v>
      </c>
      <c r="F138" s="12" t="s">
        <v>1664</v>
      </c>
      <c r="G138" s="12" t="s">
        <v>865</v>
      </c>
      <c r="H138" s="12" t="s">
        <v>23</v>
      </c>
      <c r="I138" s="12" t="s">
        <v>22</v>
      </c>
    </row>
    <row r="139" spans="1:9" ht="15.5" x14ac:dyDescent="0.35">
      <c r="A139" s="14" t="s">
        <v>444</v>
      </c>
      <c r="B139" s="15" t="s" cm="1">
        <v>19</v>
      </c>
      <c r="C139" s="15" t="s" cm="1">
        <v>1644</v>
      </c>
      <c r="D139" s="15" t="s">
        <v>1769</v>
      </c>
      <c r="E139" s="15" t="s" cm="1">
        <v>1639</v>
      </c>
      <c r="F139" s="12" t="s">
        <v>1638</v>
      </c>
      <c r="G139" s="12" t="s">
        <v>24</v>
      </c>
      <c r="H139" s="12" t="s">
        <v>184</v>
      </c>
      <c r="I139" s="12" t="s">
        <v>91</v>
      </c>
    </row>
    <row r="140" spans="1:9" ht="15.5" x14ac:dyDescent="0.35">
      <c r="A140" s="14" t="s">
        <v>442</v>
      </c>
      <c r="B140" s="15" t="s" cm="1">
        <v>19</v>
      </c>
      <c r="C140" s="15" t="s" cm="1">
        <v>1644</v>
      </c>
      <c r="D140" s="15" t="s">
        <v>1770</v>
      </c>
      <c r="E140" s="15" t="s" cm="1">
        <v>1639</v>
      </c>
      <c r="F140" s="12" t="s">
        <v>1638</v>
      </c>
      <c r="G140" s="12" t="s">
        <v>24</v>
      </c>
      <c r="H140" s="12" t="s">
        <v>184</v>
      </c>
      <c r="I140" s="12" t="s">
        <v>91</v>
      </c>
    </row>
    <row r="141" spans="1:9" ht="15.5" x14ac:dyDescent="0.35">
      <c r="A141" s="14" t="s">
        <v>436</v>
      </c>
      <c r="B141" s="15" t="s" cm="1">
        <v>19</v>
      </c>
      <c r="C141" s="15" t="s" cm="1">
        <v>1644</v>
      </c>
      <c r="D141" s="15" t="s">
        <v>1771</v>
      </c>
      <c r="E141" s="15" t="s" cm="1">
        <v>1639</v>
      </c>
      <c r="F141" s="12" t="s">
        <v>1638</v>
      </c>
      <c r="G141" s="12" t="s">
        <v>24</v>
      </c>
      <c r="H141" s="12" t="s">
        <v>184</v>
      </c>
      <c r="I141" s="12" t="s">
        <v>91</v>
      </c>
    </row>
    <row r="142" spans="1:9" ht="15.5" x14ac:dyDescent="0.35">
      <c r="A142" s="14" t="s">
        <v>428</v>
      </c>
      <c r="B142" s="15" t="s" cm="1">
        <v>19</v>
      </c>
      <c r="C142" s="15" t="s" cm="1">
        <v>1644</v>
      </c>
      <c r="D142" s="15" t="s">
        <v>1772</v>
      </c>
      <c r="E142" s="15" t="s" cm="1">
        <v>1639</v>
      </c>
      <c r="F142" s="12" t="s">
        <v>1638</v>
      </c>
      <c r="G142" s="12" t="s">
        <v>24</v>
      </c>
      <c r="H142" s="12" t="s">
        <v>184</v>
      </c>
      <c r="I142" s="12" t="s">
        <v>91</v>
      </c>
    </row>
    <row r="143" spans="1:9" ht="15.5" x14ac:dyDescent="0.35">
      <c r="A143" s="14" t="s">
        <v>688</v>
      </c>
      <c r="B143" s="15" t="s" cm="1">
        <v>19</v>
      </c>
      <c r="C143" s="15" t="s" cm="1">
        <v>1644</v>
      </c>
      <c r="D143" s="15" t="s">
        <v>1773</v>
      </c>
      <c r="E143" s="15" t="s" cm="1">
        <v>1639</v>
      </c>
      <c r="F143" s="12" t="s">
        <v>1638</v>
      </c>
      <c r="G143" s="12" t="s">
        <v>24</v>
      </c>
      <c r="H143" s="12" t="s">
        <v>29</v>
      </c>
      <c r="I143" s="12" t="s">
        <v>28</v>
      </c>
    </row>
    <row r="144" spans="1:9" ht="15.5" x14ac:dyDescent="0.35">
      <c r="A144" s="14" t="s">
        <v>460</v>
      </c>
      <c r="B144" s="15" t="s" cm="1">
        <v>19</v>
      </c>
      <c r="C144" s="15" t="s" cm="1">
        <v>1644</v>
      </c>
      <c r="D144" s="15" t="s">
        <v>1774</v>
      </c>
      <c r="E144" s="15" t="s" cm="1">
        <v>1639</v>
      </c>
      <c r="F144" s="12" t="s">
        <v>1638</v>
      </c>
      <c r="G144" s="12" t="s">
        <v>24</v>
      </c>
      <c r="H144" s="12" t="s">
        <v>184</v>
      </c>
      <c r="I144" s="12" t="s">
        <v>91</v>
      </c>
    </row>
    <row r="145" spans="1:9" ht="15.5" x14ac:dyDescent="0.35">
      <c r="A145" s="14" t="s">
        <v>458</v>
      </c>
      <c r="B145" s="15" t="s" cm="1">
        <v>19</v>
      </c>
      <c r="C145" s="15" t="s" cm="1">
        <v>1644</v>
      </c>
      <c r="D145" s="15" t="s">
        <v>1775</v>
      </c>
      <c r="E145" s="15" t="s" cm="1">
        <v>1639</v>
      </c>
      <c r="F145" s="12" t="s">
        <v>1638</v>
      </c>
      <c r="G145" s="12" t="s">
        <v>24</v>
      </c>
      <c r="H145" s="12" t="s">
        <v>184</v>
      </c>
      <c r="I145" s="12" t="s">
        <v>91</v>
      </c>
    </row>
    <row r="146" spans="1:9" ht="15.5" x14ac:dyDescent="0.35">
      <c r="A146" s="14" t="s">
        <v>456</v>
      </c>
      <c r="B146" s="15" t="s" cm="1">
        <v>19</v>
      </c>
      <c r="C146" s="15" t="s" cm="1">
        <v>1644</v>
      </c>
      <c r="D146" s="15" t="s">
        <v>1776</v>
      </c>
      <c r="E146" s="15" t="s" cm="1">
        <v>1639</v>
      </c>
      <c r="F146" s="12" t="s">
        <v>1638</v>
      </c>
      <c r="G146" s="12" t="s">
        <v>24</v>
      </c>
      <c r="H146" s="12" t="s">
        <v>184</v>
      </c>
      <c r="I146" s="12" t="s">
        <v>91</v>
      </c>
    </row>
    <row r="147" spans="1:9" ht="15.5" x14ac:dyDescent="0.35">
      <c r="A147" s="14" t="s">
        <v>454</v>
      </c>
      <c r="B147" s="15" t="s" cm="1">
        <v>19</v>
      </c>
      <c r="C147" s="15" t="s" cm="1">
        <v>1644</v>
      </c>
      <c r="D147" s="15" t="s">
        <v>1777</v>
      </c>
      <c r="E147" s="15" t="s" cm="1">
        <v>1639</v>
      </c>
      <c r="F147" s="12" t="s">
        <v>1638</v>
      </c>
      <c r="G147" s="12" t="s">
        <v>24</v>
      </c>
      <c r="H147" s="12" t="s">
        <v>92</v>
      </c>
      <c r="I147" s="12" t="s">
        <v>91</v>
      </c>
    </row>
    <row r="148" spans="1:9" ht="15.5" x14ac:dyDescent="0.35">
      <c r="A148" s="14" t="s">
        <v>452</v>
      </c>
      <c r="B148" s="15" t="s" cm="1">
        <v>19</v>
      </c>
      <c r="C148" s="15" t="s" cm="1">
        <v>1644</v>
      </c>
      <c r="D148" s="15" t="s">
        <v>1778</v>
      </c>
      <c r="E148" s="15" t="s" cm="1">
        <v>1639</v>
      </c>
      <c r="F148" s="12" t="s">
        <v>1638</v>
      </c>
      <c r="G148" s="12" t="s">
        <v>24</v>
      </c>
      <c r="H148" s="12" t="s">
        <v>184</v>
      </c>
      <c r="I148" s="12" t="s">
        <v>91</v>
      </c>
    </row>
    <row r="149" spans="1:9" ht="15.5" x14ac:dyDescent="0.35">
      <c r="A149" s="14" t="s">
        <v>448</v>
      </c>
      <c r="B149" s="15" t="s" cm="1">
        <v>19</v>
      </c>
      <c r="C149" s="15" t="s" cm="1">
        <v>1644</v>
      </c>
      <c r="D149" s="15" t="s">
        <v>1779</v>
      </c>
      <c r="E149" s="15" t="s" cm="1">
        <v>1639</v>
      </c>
      <c r="F149" s="12" t="s">
        <v>1638</v>
      </c>
      <c r="G149" s="12" t="s">
        <v>24</v>
      </c>
      <c r="H149" s="12" t="s">
        <v>184</v>
      </c>
      <c r="I149" s="12" t="s">
        <v>91</v>
      </c>
    </row>
    <row r="150" spans="1:9" ht="15.5" x14ac:dyDescent="0.35">
      <c r="A150" s="14" t="s">
        <v>694</v>
      </c>
      <c r="B150" s="15" t="s" cm="1">
        <v>19</v>
      </c>
      <c r="C150" s="15" t="s" cm="1">
        <v>1644</v>
      </c>
      <c r="D150" s="15" t="s">
        <v>1670</v>
      </c>
      <c r="E150" s="15" t="s" cm="1">
        <v>1635</v>
      </c>
      <c r="F150" s="12" t="s">
        <v>1693</v>
      </c>
      <c r="G150" s="12" t="s">
        <v>24</v>
      </c>
      <c r="H150" s="12" t="s">
        <v>595</v>
      </c>
      <c r="I150" s="12" t="s">
        <v>594</v>
      </c>
    </row>
    <row r="151" spans="1:9" ht="15.5" x14ac:dyDescent="0.35">
      <c r="A151" s="14" t="s">
        <v>722</v>
      </c>
      <c r="B151" s="15" t="s" cm="1">
        <v>19</v>
      </c>
      <c r="C151" s="15" t="s" cm="1">
        <v>1644</v>
      </c>
      <c r="D151" s="15" t="s">
        <v>1780</v>
      </c>
      <c r="E151" s="15" t="s" cm="1">
        <v>1635</v>
      </c>
      <c r="F151" s="12" t="s">
        <v>1638</v>
      </c>
      <c r="G151" s="12" t="s">
        <v>24</v>
      </c>
      <c r="H151" s="12" t="s">
        <v>595</v>
      </c>
      <c r="I151" s="12" t="s">
        <v>594</v>
      </c>
    </row>
    <row r="152" spans="1:9" ht="15.5" x14ac:dyDescent="0.35">
      <c r="A152" s="14" t="s">
        <v>425</v>
      </c>
      <c r="B152" s="15" t="s" cm="1">
        <v>19</v>
      </c>
      <c r="C152" s="15" t="s" cm="1">
        <v>1644</v>
      </c>
      <c r="D152" s="15" t="s">
        <v>1781</v>
      </c>
      <c r="E152" s="15" t="s" cm="1">
        <v>1635</v>
      </c>
      <c r="F152" s="12" t="s">
        <v>1638</v>
      </c>
      <c r="G152" s="12" t="s">
        <v>24</v>
      </c>
      <c r="H152" s="12" t="s">
        <v>184</v>
      </c>
      <c r="I152" s="12" t="s">
        <v>91</v>
      </c>
    </row>
    <row r="153" spans="1:9" ht="15.5" x14ac:dyDescent="0.35">
      <c r="A153" s="14" t="s">
        <v>738</v>
      </c>
      <c r="B153" s="15" t="s" cm="1">
        <v>19</v>
      </c>
      <c r="C153" s="15" t="s" cm="1">
        <v>1644</v>
      </c>
      <c r="D153" s="15" t="s">
        <v>1782</v>
      </c>
      <c r="E153" s="15" t="s" cm="1">
        <v>1635</v>
      </c>
      <c r="F153" s="12" t="s">
        <v>1638</v>
      </c>
      <c r="G153" s="12" t="s">
        <v>24</v>
      </c>
      <c r="H153" s="12" t="s">
        <v>45</v>
      </c>
      <c r="I153" s="12" t="s">
        <v>44</v>
      </c>
    </row>
    <row r="154" spans="1:9" ht="15.5" x14ac:dyDescent="0.35">
      <c r="A154" s="14" t="s">
        <v>736</v>
      </c>
      <c r="B154" s="15" t="s" cm="1">
        <v>19</v>
      </c>
      <c r="C154" s="15" t="s" cm="1">
        <v>1644</v>
      </c>
      <c r="D154" s="15" t="s">
        <v>1783</v>
      </c>
      <c r="E154" s="15" t="s" cm="1">
        <v>1635</v>
      </c>
      <c r="F154" s="12" t="s">
        <v>1638</v>
      </c>
      <c r="G154" s="12" t="s">
        <v>24</v>
      </c>
      <c r="H154" s="12" t="s">
        <v>45</v>
      </c>
      <c r="I154" s="12" t="s">
        <v>44</v>
      </c>
    </row>
    <row r="155" spans="1:9" ht="15.5" x14ac:dyDescent="0.35">
      <c r="A155" s="14" t="s">
        <v>734</v>
      </c>
      <c r="B155" s="15" t="s" cm="1">
        <v>19</v>
      </c>
      <c r="C155" s="15" t="s" cm="1">
        <v>1644</v>
      </c>
      <c r="D155" s="15" t="s">
        <v>1784</v>
      </c>
      <c r="E155" s="15" t="s" cm="1">
        <v>1635</v>
      </c>
      <c r="F155" s="12" t="s">
        <v>1638</v>
      </c>
      <c r="G155" s="12" t="s">
        <v>24</v>
      </c>
      <c r="H155" s="12" t="s">
        <v>595</v>
      </c>
      <c r="I155" s="12" t="s">
        <v>594</v>
      </c>
    </row>
    <row r="156" spans="1:9" ht="15.5" x14ac:dyDescent="0.35">
      <c r="A156" s="14" t="s">
        <v>732</v>
      </c>
      <c r="B156" s="15" t="s" cm="1">
        <v>19</v>
      </c>
      <c r="C156" s="15" t="s" cm="1">
        <v>1644</v>
      </c>
      <c r="D156" s="15" t="s">
        <v>1785</v>
      </c>
      <c r="E156" s="15" t="s" cm="1">
        <v>1635</v>
      </c>
      <c r="F156" s="12" t="s">
        <v>1638</v>
      </c>
      <c r="G156" s="12" t="s">
        <v>24</v>
      </c>
      <c r="H156" s="12" t="s">
        <v>595</v>
      </c>
      <c r="I156" s="12" t="s">
        <v>594</v>
      </c>
    </row>
    <row r="157" spans="1:9" ht="15.5" x14ac:dyDescent="0.35">
      <c r="A157" s="14" t="s">
        <v>730</v>
      </c>
      <c r="B157" s="15" t="s" cm="1">
        <v>19</v>
      </c>
      <c r="C157" s="15" t="s" cm="1">
        <v>1644</v>
      </c>
      <c r="D157" s="15" t="s">
        <v>1786</v>
      </c>
      <c r="E157" s="15" t="s" cm="1">
        <v>1635</v>
      </c>
      <c r="F157" s="12" t="s">
        <v>1638</v>
      </c>
      <c r="G157" s="12" t="s">
        <v>24</v>
      </c>
      <c r="H157" s="12" t="s">
        <v>595</v>
      </c>
      <c r="I157" s="12" t="s">
        <v>594</v>
      </c>
    </row>
    <row r="158" spans="1:9" ht="15.5" x14ac:dyDescent="0.35">
      <c r="A158" s="14" t="s">
        <v>728</v>
      </c>
      <c r="B158" s="15" t="s" cm="1">
        <v>19</v>
      </c>
      <c r="C158" s="15" t="s" cm="1">
        <v>1644</v>
      </c>
      <c r="D158" s="15" t="s">
        <v>1787</v>
      </c>
      <c r="E158" s="15" t="s" cm="1">
        <v>1635</v>
      </c>
      <c r="F158" s="12" t="s">
        <v>1638</v>
      </c>
      <c r="G158" s="12" t="s">
        <v>24</v>
      </c>
      <c r="H158" s="12" t="s">
        <v>599</v>
      </c>
      <c r="I158" s="12" t="s">
        <v>598</v>
      </c>
    </row>
    <row r="159" spans="1:9" ht="15.5" x14ac:dyDescent="0.35">
      <c r="A159" s="14" t="s">
        <v>726</v>
      </c>
      <c r="B159" s="15" t="s" cm="1">
        <v>19</v>
      </c>
      <c r="C159" s="15" t="s" cm="1">
        <v>1644</v>
      </c>
      <c r="D159" s="15" t="s">
        <v>1788</v>
      </c>
      <c r="E159" s="15" t="s" cm="1">
        <v>1635</v>
      </c>
      <c r="F159" s="12" t="s">
        <v>1638</v>
      </c>
      <c r="G159" s="12" t="s">
        <v>24</v>
      </c>
      <c r="H159" s="12" t="s">
        <v>45</v>
      </c>
      <c r="I159" s="12" t="s">
        <v>44</v>
      </c>
    </row>
    <row r="160" spans="1:9" ht="15.5" x14ac:dyDescent="0.35">
      <c r="A160" s="14" t="s">
        <v>36</v>
      </c>
      <c r="B160" s="15" t="s" cm="1">
        <v>986</v>
      </c>
      <c r="C160" s="15" t="s" cm="1">
        <v>1644</v>
      </c>
      <c r="D160" s="15" t="s">
        <v>1789</v>
      </c>
      <c r="E160" s="15" t="s" cm="1">
        <v>1639</v>
      </c>
      <c r="F160" s="12" t="s">
        <v>1636</v>
      </c>
      <c r="G160" s="12" t="s">
        <v>867</v>
      </c>
      <c r="H160" s="12" t="s">
        <v>29</v>
      </c>
      <c r="I160" s="12" t="s">
        <v>28</v>
      </c>
    </row>
    <row r="161" spans="1:9" ht="15.5" x14ac:dyDescent="0.35">
      <c r="A161" s="14" t="s">
        <v>742</v>
      </c>
      <c r="B161" s="15" t="s" cm="1">
        <v>986</v>
      </c>
      <c r="C161" s="15" t="s" cm="1">
        <v>1644</v>
      </c>
      <c r="D161" s="15" t="s">
        <v>1790</v>
      </c>
      <c r="E161" s="15" t="s" cm="1">
        <v>1635</v>
      </c>
      <c r="F161" s="12" t="s">
        <v>1636</v>
      </c>
      <c r="G161" s="12" t="s">
        <v>24</v>
      </c>
      <c r="H161" s="12" t="s">
        <v>45</v>
      </c>
      <c r="I161" s="12" t="s">
        <v>44</v>
      </c>
    </row>
    <row r="162" spans="1:9" ht="15.5" x14ac:dyDescent="0.35">
      <c r="A162" s="14" t="s">
        <v>32</v>
      </c>
      <c r="B162" s="15" t="s" cm="1">
        <v>986</v>
      </c>
      <c r="C162" s="15" t="s" cm="1">
        <v>1644</v>
      </c>
      <c r="D162" s="15" t="s">
        <v>1791</v>
      </c>
      <c r="E162" s="15" t="s" cm="1">
        <v>1639</v>
      </c>
      <c r="F162" s="12" t="s">
        <v>1636</v>
      </c>
      <c r="G162" s="12" t="s">
        <v>866</v>
      </c>
      <c r="H162" s="12" t="s">
        <v>35</v>
      </c>
      <c r="I162" s="12" t="s">
        <v>34</v>
      </c>
    </row>
    <row r="163" spans="1:9" ht="15.5" x14ac:dyDescent="0.35">
      <c r="A163" s="14" t="s">
        <v>165</v>
      </c>
      <c r="B163" s="15" t="s" cm="1">
        <v>986</v>
      </c>
      <c r="C163" s="15" t="s" cm="1">
        <v>1644</v>
      </c>
      <c r="D163" s="15" t="s">
        <v>1792</v>
      </c>
      <c r="E163" s="15" t="s" cm="1">
        <v>1639</v>
      </c>
      <c r="F163" s="12" t="s">
        <v>1636</v>
      </c>
      <c r="G163" s="12" t="s">
        <v>24</v>
      </c>
      <c r="H163" s="12" t="s">
        <v>45</v>
      </c>
      <c r="I163" s="12" t="s">
        <v>44</v>
      </c>
    </row>
    <row r="164" spans="1:9" ht="15.5" x14ac:dyDescent="0.35">
      <c r="A164" s="14" t="s">
        <v>1071</v>
      </c>
      <c r="B164" s="15" t="s" cm="1">
        <v>19</v>
      </c>
      <c r="C164" s="15" t="s" cm="1">
        <v>1644</v>
      </c>
      <c r="D164" s="15" t="s">
        <v>1793</v>
      </c>
      <c r="E164" s="15" t="s" cm="1">
        <v>1639</v>
      </c>
      <c r="F164" s="12" t="s">
        <v>1638</v>
      </c>
      <c r="G164" s="12" t="s">
        <v>899</v>
      </c>
      <c r="H164" s="12" t="s">
        <v>130</v>
      </c>
      <c r="I164" s="12" t="s">
        <v>22</v>
      </c>
    </row>
    <row r="165" spans="1:9" ht="15.5" x14ac:dyDescent="0.35">
      <c r="A165" s="14" t="s">
        <v>332</v>
      </c>
      <c r="B165" s="15" t="s" cm="1">
        <v>986</v>
      </c>
      <c r="C165" s="15" t="s" cm="1">
        <v>21</v>
      </c>
      <c r="D165" s="15" t="s">
        <v>1794</v>
      </c>
      <c r="E165" s="15" t="s" cm="1">
        <v>1635</v>
      </c>
      <c r="F165" s="12" t="s">
        <v>1643</v>
      </c>
      <c r="G165" s="12" t="s">
        <v>934</v>
      </c>
      <c r="H165" s="12" t="s">
        <v>58</v>
      </c>
      <c r="I165" s="12" t="s">
        <v>57</v>
      </c>
    </row>
    <row r="166" spans="1:9" ht="15.5" x14ac:dyDescent="0.35">
      <c r="A166" s="14" t="s">
        <v>334</v>
      </c>
      <c r="B166" s="15" t="s" cm="1">
        <v>986</v>
      </c>
      <c r="C166" s="15" t="s" cm="1">
        <v>21</v>
      </c>
      <c r="D166" s="15" t="s">
        <v>335</v>
      </c>
      <c r="E166" s="15" t="s" cm="1">
        <v>1635</v>
      </c>
      <c r="F166" s="12" t="s">
        <v>1643</v>
      </c>
      <c r="G166" s="12" t="s">
        <v>935</v>
      </c>
      <c r="H166" s="12" t="s">
        <v>58</v>
      </c>
      <c r="I166" s="12" t="s">
        <v>57</v>
      </c>
    </row>
    <row r="167" spans="1:9" ht="15.5" x14ac:dyDescent="0.35">
      <c r="A167" s="14" t="s">
        <v>323</v>
      </c>
      <c r="B167" s="15" t="s" cm="1">
        <v>986</v>
      </c>
      <c r="C167" s="15" t="s" cm="1">
        <v>21</v>
      </c>
      <c r="D167" s="15" t="s">
        <v>324</v>
      </c>
      <c r="E167" s="15" t="s" cm="1">
        <v>1635</v>
      </c>
      <c r="F167" s="12" t="s">
        <v>1643</v>
      </c>
      <c r="G167" s="12" t="s">
        <v>930</v>
      </c>
      <c r="H167" s="12" t="s">
        <v>29</v>
      </c>
      <c r="I167" s="12" t="s">
        <v>28</v>
      </c>
    </row>
    <row r="168" spans="1:9" ht="15.5" x14ac:dyDescent="0.35">
      <c r="A168" s="14" t="s">
        <v>403</v>
      </c>
      <c r="B168" s="15" t="s" cm="1">
        <v>986</v>
      </c>
      <c r="C168" s="15" t="s" cm="1">
        <v>21</v>
      </c>
      <c r="D168" s="15" t="s">
        <v>404</v>
      </c>
      <c r="E168" s="15" t="s" cm="1">
        <v>1635</v>
      </c>
      <c r="F168" s="12" t="s">
        <v>1664</v>
      </c>
      <c r="G168" s="12" t="s">
        <v>950</v>
      </c>
      <c r="H168" s="12" t="s">
        <v>23</v>
      </c>
      <c r="I168" s="12" t="s">
        <v>22</v>
      </c>
    </row>
    <row r="169" spans="1:9" ht="15.5" x14ac:dyDescent="0.35">
      <c r="A169" s="14" t="s">
        <v>336</v>
      </c>
      <c r="B169" s="15" t="s" cm="1">
        <v>986</v>
      </c>
      <c r="C169" s="15" t="s" cm="1">
        <v>21</v>
      </c>
      <c r="D169" s="15" t="s">
        <v>1795</v>
      </c>
      <c r="E169" s="15" t="s" cm="1">
        <v>1637</v>
      </c>
      <c r="F169" s="12" t="s">
        <v>1636</v>
      </c>
      <c r="G169" s="12" t="s">
        <v>936</v>
      </c>
      <c r="H169" s="12" t="s">
        <v>58</v>
      </c>
      <c r="I169" s="12" t="s">
        <v>57</v>
      </c>
    </row>
    <row r="170" spans="1:9" ht="15.5" x14ac:dyDescent="0.35">
      <c r="A170" s="14" t="s">
        <v>468</v>
      </c>
      <c r="B170" s="15" t="s" cm="1">
        <v>986</v>
      </c>
      <c r="C170" s="15" t="s" cm="1">
        <v>21</v>
      </c>
      <c r="D170" s="15" t="s">
        <v>1795</v>
      </c>
      <c r="E170" s="15" t="s" cm="1">
        <v>1637</v>
      </c>
      <c r="F170" s="12" t="s">
        <v>1636</v>
      </c>
      <c r="G170" s="12" t="s">
        <v>951</v>
      </c>
      <c r="H170" s="12" t="s">
        <v>58</v>
      </c>
      <c r="I170" s="12" t="s">
        <v>57</v>
      </c>
    </row>
    <row r="171" spans="1:9" ht="15.5" x14ac:dyDescent="0.35">
      <c r="A171" s="14" t="s">
        <v>171</v>
      </c>
      <c r="B171" s="15" t="s" cm="1">
        <v>19</v>
      </c>
      <c r="C171" s="15" t="s" cm="1">
        <v>21</v>
      </c>
      <c r="D171" s="15" t="s">
        <v>1796</v>
      </c>
      <c r="E171" s="15" t="s" cm="1">
        <v>1653</v>
      </c>
      <c r="F171" s="12" t="s">
        <v>24</v>
      </c>
      <c r="G171" s="12" t="s">
        <v>869</v>
      </c>
      <c r="H171" s="12" t="s">
        <v>1056</v>
      </c>
      <c r="I171" s="12" t="s">
        <v>22</v>
      </c>
    </row>
    <row r="172" spans="1:9" ht="15.5" x14ac:dyDescent="0.35">
      <c r="A172" s="14" t="s">
        <v>181</v>
      </c>
      <c r="B172" s="15" t="s" cm="1">
        <v>986</v>
      </c>
      <c r="C172" s="15" t="s" cm="1">
        <v>21</v>
      </c>
      <c r="D172" s="15" t="s">
        <v>180</v>
      </c>
      <c r="E172" s="15" t="s" cm="1">
        <v>1635</v>
      </c>
      <c r="F172" s="12" t="s">
        <v>1664</v>
      </c>
      <c r="G172" s="12" t="s">
        <v>898</v>
      </c>
      <c r="H172" s="12" t="s">
        <v>35</v>
      </c>
      <c r="I172" s="12" t="s">
        <v>34</v>
      </c>
    </row>
    <row r="173" spans="1:9" ht="15.5" x14ac:dyDescent="0.35">
      <c r="A173" s="14" t="s">
        <v>179</v>
      </c>
      <c r="B173" s="15" t="s" cm="1">
        <v>986</v>
      </c>
      <c r="C173" s="15" t="s" cm="1">
        <v>21</v>
      </c>
      <c r="D173" s="15" t="s">
        <v>180</v>
      </c>
      <c r="E173" s="15" t="s" cm="1">
        <v>1635</v>
      </c>
      <c r="F173" s="12" t="s">
        <v>1664</v>
      </c>
      <c r="G173" s="12" t="s">
        <v>897</v>
      </c>
      <c r="H173" s="12" t="s">
        <v>35</v>
      </c>
      <c r="I173" s="12" t="s">
        <v>34</v>
      </c>
    </row>
    <row r="174" spans="1:9" ht="15.5" x14ac:dyDescent="0.35">
      <c r="A174" s="14" t="s">
        <v>330</v>
      </c>
      <c r="B174" s="15" t="s" cm="1">
        <v>986</v>
      </c>
      <c r="C174" s="15" t="s" cm="1">
        <v>21</v>
      </c>
      <c r="D174" s="15" t="s">
        <v>331</v>
      </c>
      <c r="E174" s="15" t="s" cm="1">
        <v>1639</v>
      </c>
      <c r="F174" s="12" t="s">
        <v>1636</v>
      </c>
      <c r="G174" s="12" t="s">
        <v>866</v>
      </c>
      <c r="H174" s="12" t="s">
        <v>52</v>
      </c>
      <c r="I174" s="12" t="s">
        <v>51</v>
      </c>
    </row>
    <row r="175" spans="1:9" ht="15.5" x14ac:dyDescent="0.35">
      <c r="A175" s="14" t="s">
        <v>177</v>
      </c>
      <c r="B175" s="15" t="s" cm="1">
        <v>89</v>
      </c>
      <c r="C175" s="15" t="s" cm="1">
        <v>21</v>
      </c>
      <c r="D175" s="15" t="s">
        <v>178</v>
      </c>
      <c r="E175" s="15" t="s" cm="1">
        <v>1635</v>
      </c>
      <c r="F175" s="12" t="s">
        <v>1643</v>
      </c>
      <c r="G175" s="12" t="s">
        <v>896</v>
      </c>
      <c r="H175" s="12" t="s">
        <v>35</v>
      </c>
      <c r="I175" s="12" t="s">
        <v>34</v>
      </c>
    </row>
    <row r="176" spans="1:9" ht="15.5" x14ac:dyDescent="0.35">
      <c r="A176" s="14" t="s">
        <v>136</v>
      </c>
      <c r="B176" s="15" t="s" cm="1">
        <v>986</v>
      </c>
      <c r="C176" s="15" t="s" cm="1">
        <v>21</v>
      </c>
      <c r="D176" s="15" t="s">
        <v>137</v>
      </c>
      <c r="E176" s="15" t="s" cm="1">
        <v>1639</v>
      </c>
      <c r="F176" s="12" t="s">
        <v>1636</v>
      </c>
      <c r="G176" s="12" t="s">
        <v>24</v>
      </c>
      <c r="H176" s="12" t="s">
        <v>52</v>
      </c>
      <c r="I176" s="12" t="s">
        <v>51</v>
      </c>
    </row>
    <row r="177" spans="1:9" ht="15.5" x14ac:dyDescent="0.35">
      <c r="A177" s="14" t="s">
        <v>175</v>
      </c>
      <c r="B177" s="15" t="s" cm="1">
        <v>986</v>
      </c>
      <c r="C177" s="15" t="s" cm="1">
        <v>21</v>
      </c>
      <c r="D177" s="15" t="s">
        <v>176</v>
      </c>
      <c r="E177" s="15" t="s" cm="1">
        <v>1635</v>
      </c>
      <c r="F177" s="12" t="s">
        <v>1643</v>
      </c>
      <c r="G177" s="12" t="s">
        <v>895</v>
      </c>
      <c r="H177" s="12" t="s">
        <v>162</v>
      </c>
      <c r="I177" s="12" t="s">
        <v>161</v>
      </c>
    </row>
    <row r="178" spans="1:9" ht="15.5" x14ac:dyDescent="0.35">
      <c r="A178" s="14" t="s">
        <v>211</v>
      </c>
      <c r="B178" s="15" t="s" cm="1">
        <v>89</v>
      </c>
      <c r="C178" s="15" t="s" cm="1">
        <v>21</v>
      </c>
      <c r="D178" s="15" t="s">
        <v>1797</v>
      </c>
      <c r="E178" s="15" t="s" cm="1">
        <v>1635</v>
      </c>
      <c r="F178" s="12" t="s">
        <v>1664</v>
      </c>
      <c r="G178" s="12" t="s">
        <v>905</v>
      </c>
      <c r="H178" s="12" t="s">
        <v>29</v>
      </c>
      <c r="I178" s="12" t="s">
        <v>28</v>
      </c>
    </row>
    <row r="179" spans="1:9" ht="15.5" x14ac:dyDescent="0.35">
      <c r="A179" s="14" t="s">
        <v>128</v>
      </c>
      <c r="B179" s="15" t="s" cm="1">
        <v>986</v>
      </c>
      <c r="C179" s="15" t="s" cm="1">
        <v>21</v>
      </c>
      <c r="D179" s="15" t="s">
        <v>1798</v>
      </c>
      <c r="E179" s="15" t="s" cm="1">
        <v>1639</v>
      </c>
      <c r="F179" s="12" t="s">
        <v>1636</v>
      </c>
      <c r="G179" s="12" t="s">
        <v>24</v>
      </c>
      <c r="H179" s="12" t="s">
        <v>1056</v>
      </c>
      <c r="I179" s="12" t="s">
        <v>22</v>
      </c>
    </row>
    <row r="180" spans="1:9" ht="15.5" x14ac:dyDescent="0.35">
      <c r="A180" s="14" t="s">
        <v>106</v>
      </c>
      <c r="B180" s="15" t="s" cm="1">
        <v>986</v>
      </c>
      <c r="C180" s="15" t="s" cm="1">
        <v>21</v>
      </c>
      <c r="D180" s="15" t="s">
        <v>108</v>
      </c>
      <c r="E180" s="15" t="s" cm="1">
        <v>1639</v>
      </c>
      <c r="F180" s="12" t="s">
        <v>1636</v>
      </c>
      <c r="G180" s="12" t="s">
        <v>24</v>
      </c>
      <c r="H180" s="12" t="s">
        <v>58</v>
      </c>
      <c r="I180" s="12" t="s">
        <v>57</v>
      </c>
    </row>
    <row r="181" spans="1:9" ht="15.5" x14ac:dyDescent="0.35">
      <c r="A181" s="14" t="s">
        <v>150</v>
      </c>
      <c r="B181" s="15" t="s" cm="1">
        <v>986</v>
      </c>
      <c r="C181" s="15" t="s" cm="1">
        <v>21</v>
      </c>
      <c r="D181" s="15" t="s">
        <v>1799</v>
      </c>
      <c r="E181" s="15" t="s" cm="1">
        <v>1635</v>
      </c>
      <c r="F181" s="12" t="s">
        <v>1638</v>
      </c>
      <c r="G181" s="12" t="s">
        <v>892</v>
      </c>
      <c r="H181" s="12" t="s">
        <v>112</v>
      </c>
      <c r="I181" s="12" t="s">
        <v>111</v>
      </c>
    </row>
    <row r="182" spans="1:9" ht="15.5" x14ac:dyDescent="0.35">
      <c r="A182" s="14" t="s">
        <v>257</v>
      </c>
      <c r="B182" s="15" t="s" cm="1">
        <v>986</v>
      </c>
      <c r="C182" s="15" t="s" cm="1">
        <v>21</v>
      </c>
      <c r="D182" s="15" t="s">
        <v>258</v>
      </c>
      <c r="E182" s="15" t="s" cm="1">
        <v>1639</v>
      </c>
      <c r="F182" s="12" t="s">
        <v>1636</v>
      </c>
      <c r="G182" s="12" t="s">
        <v>24</v>
      </c>
      <c r="H182" s="12" t="s">
        <v>130</v>
      </c>
      <c r="I182" s="12" t="s">
        <v>22</v>
      </c>
    </row>
    <row r="183" spans="1:9" ht="15.5" x14ac:dyDescent="0.35">
      <c r="A183" s="14" t="s">
        <v>255</v>
      </c>
      <c r="B183" s="15" t="s" cm="1">
        <v>986</v>
      </c>
      <c r="C183" s="15" t="s" cm="1">
        <v>21</v>
      </c>
      <c r="D183" s="15" t="s">
        <v>1800</v>
      </c>
      <c r="E183" s="15" t="s" cm="1">
        <v>1653</v>
      </c>
      <c r="F183" s="12" t="s">
        <v>24</v>
      </c>
      <c r="G183" s="12" t="s">
        <v>995</v>
      </c>
      <c r="H183" s="12" t="s">
        <v>45</v>
      </c>
      <c r="I183" s="12" t="s">
        <v>44</v>
      </c>
    </row>
    <row r="184" spans="1:9" ht="15.5" x14ac:dyDescent="0.35">
      <c r="A184" s="14" t="s">
        <v>328</v>
      </c>
      <c r="B184" s="15" t="s" cm="1">
        <v>19</v>
      </c>
      <c r="C184" s="15" t="s" cm="1">
        <v>21</v>
      </c>
      <c r="D184" s="15" t="s">
        <v>329</v>
      </c>
      <c r="E184" s="15" t="s" cm="1">
        <v>1639</v>
      </c>
      <c r="F184" s="12" t="s">
        <v>1638</v>
      </c>
      <c r="G184" s="12" t="s">
        <v>933</v>
      </c>
      <c r="H184" s="12" t="s">
        <v>112</v>
      </c>
      <c r="I184" s="12" t="s">
        <v>111</v>
      </c>
    </row>
    <row r="185" spans="1:9" ht="15.5" x14ac:dyDescent="0.35">
      <c r="A185" s="14" t="s">
        <v>163</v>
      </c>
      <c r="B185" s="15" t="s" cm="1">
        <v>986</v>
      </c>
      <c r="C185" s="15" t="s" cm="1">
        <v>21</v>
      </c>
      <c r="D185" s="15" t="s">
        <v>1801</v>
      </c>
      <c r="E185" s="15" t="s" cm="1">
        <v>1639</v>
      </c>
      <c r="F185" s="12" t="s">
        <v>1636</v>
      </c>
      <c r="G185" s="12" t="s">
        <v>24</v>
      </c>
      <c r="H185" s="12" t="s">
        <v>130</v>
      </c>
      <c r="I185" s="12" t="s">
        <v>22</v>
      </c>
    </row>
    <row r="186" spans="1:9" ht="15.5" x14ac:dyDescent="0.35">
      <c r="A186" s="14" t="s">
        <v>167</v>
      </c>
      <c r="B186" s="15" t="s" cm="1">
        <v>19</v>
      </c>
      <c r="C186" s="15" t="s" cm="1">
        <v>21</v>
      </c>
      <c r="D186" s="15" t="s">
        <v>168</v>
      </c>
      <c r="E186" s="15" t="s" cm="1">
        <v>1635</v>
      </c>
      <c r="F186" s="12" t="s">
        <v>1638</v>
      </c>
      <c r="G186" s="12" t="s">
        <v>884</v>
      </c>
      <c r="H186" s="12" t="s">
        <v>52</v>
      </c>
      <c r="I186" s="12" t="s">
        <v>51</v>
      </c>
    </row>
    <row r="187" spans="1:9" ht="15.5" x14ac:dyDescent="0.35">
      <c r="A187" s="14" t="s">
        <v>75</v>
      </c>
      <c r="B187" s="15" t="s" cm="1">
        <v>986</v>
      </c>
      <c r="C187" s="15" t="s" cm="1">
        <v>21</v>
      </c>
      <c r="D187" s="15" t="s">
        <v>1802</v>
      </c>
      <c r="E187" s="15" t="s" cm="1">
        <v>1635</v>
      </c>
      <c r="F187" s="12" t="s">
        <v>1693</v>
      </c>
      <c r="G187" s="12" t="s">
        <v>876</v>
      </c>
      <c r="H187" s="12" t="s">
        <v>23</v>
      </c>
      <c r="I187" s="12" t="s">
        <v>22</v>
      </c>
    </row>
    <row r="188" spans="1:9" ht="15.5" x14ac:dyDescent="0.35">
      <c r="A188" s="14" t="s">
        <v>355</v>
      </c>
      <c r="B188" s="15" t="s" cm="1">
        <v>986</v>
      </c>
      <c r="C188" s="15" t="s" cm="1">
        <v>21</v>
      </c>
      <c r="D188" s="15" t="s">
        <v>1803</v>
      </c>
      <c r="E188" s="15" t="s" cm="1">
        <v>1637</v>
      </c>
      <c r="F188" s="12" t="s">
        <v>1636</v>
      </c>
      <c r="G188" s="12" t="s">
        <v>940</v>
      </c>
      <c r="H188" s="12" t="s">
        <v>35</v>
      </c>
      <c r="I188" s="12" t="s">
        <v>34</v>
      </c>
    </row>
    <row r="189" spans="1:9" ht="15.5" x14ac:dyDescent="0.35">
      <c r="A189" s="14" t="s">
        <v>104</v>
      </c>
      <c r="B189" s="15" t="s" cm="1">
        <v>986</v>
      </c>
      <c r="C189" s="15" t="s" cm="1">
        <v>21</v>
      </c>
      <c r="D189" s="15" t="s">
        <v>1804</v>
      </c>
      <c r="E189" s="15" t="s" cm="1">
        <v>1635</v>
      </c>
      <c r="F189" s="12" t="s">
        <v>1664</v>
      </c>
      <c r="G189" s="12" t="s">
        <v>879</v>
      </c>
      <c r="H189" s="12" t="s">
        <v>35</v>
      </c>
      <c r="I189" s="12" t="s">
        <v>34</v>
      </c>
    </row>
    <row r="190" spans="1:9" ht="15.5" x14ac:dyDescent="0.35">
      <c r="A190" s="14" t="s">
        <v>146</v>
      </c>
      <c r="B190" s="15" t="s" cm="1">
        <v>986</v>
      </c>
      <c r="C190" s="15" t="s" cm="1">
        <v>21</v>
      </c>
      <c r="D190" s="15" t="s">
        <v>1805</v>
      </c>
      <c r="E190" s="15" t="s" cm="1">
        <v>1635</v>
      </c>
      <c r="F190" s="12" t="s">
        <v>1664</v>
      </c>
      <c r="G190" s="12" t="s">
        <v>890</v>
      </c>
      <c r="H190" s="12" t="s">
        <v>23</v>
      </c>
      <c r="I190" s="12" t="s">
        <v>22</v>
      </c>
    </row>
    <row r="191" spans="1:9" ht="15.5" x14ac:dyDescent="0.35">
      <c r="A191" s="14" t="s">
        <v>392</v>
      </c>
      <c r="B191" s="15" t="s" cm="1">
        <v>986</v>
      </c>
      <c r="C191" s="15" t="s" cm="1">
        <v>21</v>
      </c>
      <c r="D191" s="15" t="s">
        <v>393</v>
      </c>
      <c r="E191" s="15" t="s" cm="1">
        <v>1639</v>
      </c>
      <c r="F191" s="12" t="s">
        <v>1638</v>
      </c>
      <c r="G191" s="12" t="s">
        <v>948</v>
      </c>
      <c r="H191" s="12" t="s">
        <v>130</v>
      </c>
      <c r="I191" s="12" t="s">
        <v>22</v>
      </c>
    </row>
    <row r="192" spans="1:9" ht="15.5" x14ac:dyDescent="0.35">
      <c r="A192" s="14" t="s">
        <v>115</v>
      </c>
      <c r="B192" s="15" t="s" cm="1">
        <v>986</v>
      </c>
      <c r="C192" s="15" t="s" cm="1">
        <v>21</v>
      </c>
      <c r="D192" s="15" t="s">
        <v>116</v>
      </c>
      <c r="E192" s="15" t="s" cm="1">
        <v>1639</v>
      </c>
      <c r="F192" s="12" t="s">
        <v>1638</v>
      </c>
      <c r="G192" s="12" t="s">
        <v>881</v>
      </c>
      <c r="H192" s="12" t="s">
        <v>117</v>
      </c>
      <c r="I192" s="12" t="s">
        <v>34</v>
      </c>
    </row>
    <row r="193" spans="1:9" ht="15.5" x14ac:dyDescent="0.35">
      <c r="A193" s="14" t="s">
        <v>221</v>
      </c>
      <c r="B193" s="15" t="s" cm="1">
        <v>986</v>
      </c>
      <c r="C193" s="15" t="s" cm="1">
        <v>21</v>
      </c>
      <c r="D193" s="15" t="s">
        <v>1806</v>
      </c>
      <c r="E193" s="15" t="s" cm="1">
        <v>1639</v>
      </c>
      <c r="F193" s="12" t="s">
        <v>1638</v>
      </c>
      <c r="G193" s="12" t="s">
        <v>881</v>
      </c>
      <c r="H193" s="12" t="s">
        <v>52</v>
      </c>
      <c r="I193" s="12" t="s">
        <v>51</v>
      </c>
    </row>
    <row r="194" spans="1:9" ht="15.5" x14ac:dyDescent="0.35">
      <c r="A194" s="14" t="s">
        <v>142</v>
      </c>
      <c r="B194" s="15" t="s" cm="1">
        <v>986</v>
      </c>
      <c r="C194" s="15" t="s" cm="1">
        <v>21</v>
      </c>
      <c r="D194" s="15" t="s">
        <v>1807</v>
      </c>
      <c r="E194" s="15" t="s" cm="1">
        <v>1635</v>
      </c>
      <c r="F194" s="12" t="s">
        <v>1693</v>
      </c>
      <c r="G194" s="12" t="s">
        <v>888</v>
      </c>
      <c r="H194" s="12" t="s">
        <v>29</v>
      </c>
      <c r="I194" s="12" t="s">
        <v>28</v>
      </c>
    </row>
    <row r="195" spans="1:9" ht="15.5" x14ac:dyDescent="0.35">
      <c r="A195" s="14" t="s">
        <v>217</v>
      </c>
      <c r="B195" s="15" t="s" cm="1">
        <v>986</v>
      </c>
      <c r="C195" s="15" t="s" cm="1">
        <v>21</v>
      </c>
      <c r="D195" s="15" t="s">
        <v>218</v>
      </c>
      <c r="E195" s="15" t="s" cm="1">
        <v>1635</v>
      </c>
      <c r="F195" s="12" t="s">
        <v>1641</v>
      </c>
      <c r="G195" s="12" t="s">
        <v>889</v>
      </c>
      <c r="H195" s="12" t="s">
        <v>52</v>
      </c>
      <c r="I195" s="12" t="s">
        <v>51</v>
      </c>
    </row>
    <row r="196" spans="1:9" ht="15.5" x14ac:dyDescent="0.35">
      <c r="A196" s="14" t="s">
        <v>305</v>
      </c>
      <c r="B196" s="15" t="s" cm="1">
        <v>986</v>
      </c>
      <c r="C196" s="15" t="s" cm="1">
        <v>21</v>
      </c>
      <c r="D196" s="15" t="s">
        <v>1808</v>
      </c>
      <c r="E196" s="15" t="s" cm="1">
        <v>1635</v>
      </c>
      <c r="F196" s="12" t="s">
        <v>1641</v>
      </c>
      <c r="G196" s="12" t="s">
        <v>926</v>
      </c>
      <c r="H196" s="12" t="s">
        <v>29</v>
      </c>
      <c r="I196" s="12" t="s">
        <v>28</v>
      </c>
    </row>
    <row r="197" spans="1:9" ht="15.5" x14ac:dyDescent="0.35">
      <c r="A197" s="14" t="s">
        <v>215</v>
      </c>
      <c r="B197" s="15" t="s" cm="1">
        <v>986</v>
      </c>
      <c r="C197" s="15" t="s" cm="1">
        <v>21</v>
      </c>
      <c r="D197" s="15" t="s">
        <v>1809</v>
      </c>
      <c r="E197" s="15" t="s" cm="1">
        <v>1635</v>
      </c>
      <c r="F197" s="12" t="s">
        <v>1641</v>
      </c>
      <c r="G197" s="12" t="s">
        <v>889</v>
      </c>
      <c r="H197" s="12" t="s">
        <v>52</v>
      </c>
      <c r="I197" s="12" t="s">
        <v>51</v>
      </c>
    </row>
    <row r="198" spans="1:9" ht="15.5" x14ac:dyDescent="0.35">
      <c r="A198" s="14" t="s">
        <v>303</v>
      </c>
      <c r="B198" s="15" t="s" cm="1">
        <v>986</v>
      </c>
      <c r="C198" s="15" t="s" cm="1">
        <v>21</v>
      </c>
      <c r="D198" s="15" t="s">
        <v>1810</v>
      </c>
      <c r="E198" s="15" t="s" cm="1">
        <v>1635</v>
      </c>
      <c r="F198" s="12" t="s">
        <v>1641</v>
      </c>
      <c r="G198" s="12" t="s">
        <v>925</v>
      </c>
      <c r="H198" s="12" t="s">
        <v>45</v>
      </c>
      <c r="I198" s="12" t="s">
        <v>44</v>
      </c>
    </row>
    <row r="199" spans="1:9" ht="15.5" x14ac:dyDescent="0.35">
      <c r="A199" s="14" t="s">
        <v>243</v>
      </c>
      <c r="B199" s="15" t="s" cm="1">
        <v>986</v>
      </c>
      <c r="C199" s="15" t="s" cm="1">
        <v>21</v>
      </c>
      <c r="D199" s="15" t="s">
        <v>244</v>
      </c>
      <c r="E199" s="15" t="s" cm="1">
        <v>1635</v>
      </c>
      <c r="F199" s="12" t="s">
        <v>1643</v>
      </c>
      <c r="G199" s="12" t="s">
        <v>909</v>
      </c>
      <c r="H199" s="12" t="s">
        <v>117</v>
      </c>
      <c r="I199" s="12" t="s">
        <v>34</v>
      </c>
    </row>
    <row r="200" spans="1:9" ht="15.5" x14ac:dyDescent="0.35">
      <c r="A200" s="14" t="s">
        <v>124</v>
      </c>
      <c r="B200" s="15" t="s" cm="1">
        <v>986</v>
      </c>
      <c r="C200" s="15" t="s" cm="1">
        <v>21</v>
      </c>
      <c r="D200" s="15" t="s">
        <v>1811</v>
      </c>
      <c r="E200" s="15" t="s" cm="1">
        <v>1637</v>
      </c>
      <c r="F200" s="12" t="s">
        <v>1643</v>
      </c>
      <c r="G200" s="12" t="s">
        <v>883</v>
      </c>
      <c r="H200" s="12" t="s">
        <v>23</v>
      </c>
      <c r="I200" s="12" t="s">
        <v>22</v>
      </c>
    </row>
    <row r="201" spans="1:9" ht="15.5" x14ac:dyDescent="0.35">
      <c r="A201" s="14" t="s">
        <v>299</v>
      </c>
      <c r="B201" s="15" t="s" cm="1">
        <v>986</v>
      </c>
      <c r="C201" s="15" t="s" cm="1">
        <v>21</v>
      </c>
      <c r="D201" s="15" t="s">
        <v>1812</v>
      </c>
      <c r="E201" s="15" t="s" cm="1">
        <v>1635</v>
      </c>
      <c r="F201" s="12" t="s">
        <v>1643</v>
      </c>
      <c r="G201" s="12" t="s">
        <v>923</v>
      </c>
      <c r="H201" s="12" t="s">
        <v>45</v>
      </c>
      <c r="I201" s="12" t="s">
        <v>44</v>
      </c>
    </row>
    <row r="202" spans="1:9" ht="15.5" x14ac:dyDescent="0.35">
      <c r="A202" s="14" t="s">
        <v>378</v>
      </c>
      <c r="B202" s="15" t="s" cm="1">
        <v>986</v>
      </c>
      <c r="C202" s="15" t="s" cm="1">
        <v>21</v>
      </c>
      <c r="D202" s="15" t="s">
        <v>1813</v>
      </c>
      <c r="E202" s="15" t="s" cm="1">
        <v>1635</v>
      </c>
      <c r="F202" s="12" t="s">
        <v>1636</v>
      </c>
      <c r="G202" s="12" t="s">
        <v>944</v>
      </c>
      <c r="H202" s="12" t="s">
        <v>45</v>
      </c>
      <c r="I202" s="12" t="s">
        <v>44</v>
      </c>
    </row>
    <row r="203" spans="1:9" ht="15.5" x14ac:dyDescent="0.35">
      <c r="A203" s="14" t="s">
        <v>307</v>
      </c>
      <c r="B203" s="15" t="s" cm="1">
        <v>986</v>
      </c>
      <c r="C203" s="15" t="s" cm="1">
        <v>21</v>
      </c>
      <c r="D203" s="15" t="s">
        <v>1814</v>
      </c>
      <c r="E203" s="15" t="s" cm="1">
        <v>1635</v>
      </c>
      <c r="F203" s="12" t="s">
        <v>1638</v>
      </c>
      <c r="G203" s="12" t="s">
        <v>878</v>
      </c>
      <c r="H203" s="12" t="s">
        <v>23</v>
      </c>
      <c r="I203" s="12" t="s">
        <v>22</v>
      </c>
    </row>
    <row r="204" spans="1:9" ht="15.5" x14ac:dyDescent="0.35">
      <c r="A204" s="14" t="s">
        <v>131</v>
      </c>
      <c r="B204" s="15" t="s" cm="1">
        <v>986</v>
      </c>
      <c r="C204" s="15" t="s" cm="1">
        <v>21</v>
      </c>
      <c r="D204" s="15" t="s">
        <v>132</v>
      </c>
      <c r="E204" s="15" t="s" cm="1">
        <v>1635</v>
      </c>
      <c r="F204" s="12" t="s">
        <v>1638</v>
      </c>
      <c r="G204" s="12" t="s">
        <v>884</v>
      </c>
      <c r="H204" s="12" t="s">
        <v>35</v>
      </c>
      <c r="I204" s="12" t="s">
        <v>34</v>
      </c>
    </row>
    <row r="205" spans="1:9" ht="15.5" x14ac:dyDescent="0.35">
      <c r="A205" s="14" t="s">
        <v>71</v>
      </c>
      <c r="B205" s="15" t="s" cm="1">
        <v>986</v>
      </c>
      <c r="C205" s="15" t="s" cm="1">
        <v>21</v>
      </c>
      <c r="D205" s="15" t="s">
        <v>1640</v>
      </c>
      <c r="E205" s="15" t="s" cm="1">
        <v>1635</v>
      </c>
      <c r="F205" s="12" t="s">
        <v>1638</v>
      </c>
      <c r="G205" s="12" t="s">
        <v>875</v>
      </c>
      <c r="H205" s="12" t="s">
        <v>35</v>
      </c>
      <c r="I205" s="12" t="s">
        <v>34</v>
      </c>
    </row>
    <row r="206" spans="1:9" ht="15.5" x14ac:dyDescent="0.35">
      <c r="A206" s="14" t="s">
        <v>353</v>
      </c>
      <c r="B206" s="15" t="s" cm="1">
        <v>986</v>
      </c>
      <c r="C206" s="15" t="s" cm="1">
        <v>21</v>
      </c>
      <c r="D206" s="15" t="s">
        <v>354</v>
      </c>
      <c r="E206" s="15" t="s" cm="1">
        <v>1637</v>
      </c>
      <c r="F206" s="12" t="s">
        <v>1636</v>
      </c>
      <c r="G206" s="12" t="s">
        <v>939</v>
      </c>
      <c r="H206" s="12" t="s">
        <v>196</v>
      </c>
      <c r="I206" s="12" t="s">
        <v>195</v>
      </c>
    </row>
    <row r="207" spans="1:9" ht="15.5" x14ac:dyDescent="0.35">
      <c r="A207" s="14" t="s">
        <v>138</v>
      </c>
      <c r="B207" s="15" t="s" cm="1">
        <v>986</v>
      </c>
      <c r="C207" s="15" t="s" cm="1">
        <v>21</v>
      </c>
      <c r="D207" s="15" t="s">
        <v>139</v>
      </c>
      <c r="E207" s="15" t="s" cm="1">
        <v>1635</v>
      </c>
      <c r="F207" s="12" t="s">
        <v>1636</v>
      </c>
      <c r="G207" s="12" t="s">
        <v>886</v>
      </c>
      <c r="H207" s="12" t="s">
        <v>29</v>
      </c>
      <c r="I207" s="12" t="s">
        <v>28</v>
      </c>
    </row>
    <row r="208" spans="1:9" ht="15.5" x14ac:dyDescent="0.35">
      <c r="A208" s="14" t="s">
        <v>301</v>
      </c>
      <c r="B208" s="15" t="s" cm="1">
        <v>986</v>
      </c>
      <c r="C208" s="15" t="s" cm="1">
        <v>21</v>
      </c>
      <c r="D208" s="15" t="s">
        <v>1815</v>
      </c>
      <c r="E208" s="15" t="s" cm="1">
        <v>1635</v>
      </c>
      <c r="F208" s="12" t="s">
        <v>1664</v>
      </c>
      <c r="G208" s="12" t="s">
        <v>924</v>
      </c>
      <c r="H208" s="12" t="s">
        <v>45</v>
      </c>
      <c r="I208" s="12" t="s">
        <v>44</v>
      </c>
    </row>
    <row r="209" spans="1:9" ht="15.5" x14ac:dyDescent="0.35">
      <c r="A209" s="14" t="s">
        <v>319</v>
      </c>
      <c r="B209" s="15" t="s" cm="1">
        <v>986</v>
      </c>
      <c r="C209" s="15" t="s" cm="1">
        <v>21</v>
      </c>
      <c r="D209" s="15" t="s">
        <v>1816</v>
      </c>
      <c r="E209" s="15" t="s" cm="1">
        <v>1637</v>
      </c>
      <c r="F209" s="12" t="s">
        <v>1638</v>
      </c>
      <c r="G209" s="12" t="s">
        <v>929</v>
      </c>
      <c r="H209" s="12" t="s">
        <v>35</v>
      </c>
      <c r="I209" s="12" t="s">
        <v>34</v>
      </c>
    </row>
    <row r="210" spans="1:9" ht="15.5" x14ac:dyDescent="0.35">
      <c r="A210" s="14" t="s">
        <v>283</v>
      </c>
      <c r="B210" s="15" t="s" cm="1">
        <v>986</v>
      </c>
      <c r="C210" s="15" t="s" cm="1">
        <v>21</v>
      </c>
      <c r="D210" s="15" t="s">
        <v>284</v>
      </c>
      <c r="E210" s="15" t="s" cm="1">
        <v>1637</v>
      </c>
      <c r="F210" s="12" t="s">
        <v>1636</v>
      </c>
      <c r="G210" s="12" t="s">
        <v>921</v>
      </c>
      <c r="H210" s="12" t="s">
        <v>52</v>
      </c>
      <c r="I210" s="12" t="s">
        <v>51</v>
      </c>
    </row>
    <row r="211" spans="1:9" ht="15.5" x14ac:dyDescent="0.35">
      <c r="A211" s="14" t="s">
        <v>368</v>
      </c>
      <c r="B211" s="15" t="s" cm="1">
        <v>986</v>
      </c>
      <c r="C211" s="15" t="s" cm="1">
        <v>21</v>
      </c>
      <c r="D211" s="15" t="s">
        <v>1817</v>
      </c>
      <c r="E211" s="15" t="s" cm="1">
        <v>1637</v>
      </c>
      <c r="F211" s="12" t="s">
        <v>1636</v>
      </c>
      <c r="G211" s="12" t="s">
        <v>940</v>
      </c>
      <c r="H211" s="12" t="s">
        <v>196</v>
      </c>
      <c r="I211" s="12" t="s">
        <v>195</v>
      </c>
    </row>
    <row r="212" spans="1:9" ht="15.5" x14ac:dyDescent="0.35">
      <c r="A212" s="14" t="s">
        <v>321</v>
      </c>
      <c r="B212" s="15" t="s" cm="1">
        <v>986</v>
      </c>
      <c r="C212" s="15" t="s" cm="1">
        <v>21</v>
      </c>
      <c r="D212" s="15" t="s">
        <v>1818</v>
      </c>
      <c r="E212" s="15" t="s" cm="1">
        <v>1635</v>
      </c>
      <c r="F212" s="12" t="s">
        <v>1638</v>
      </c>
      <c r="G212" s="12" t="s">
        <v>928</v>
      </c>
      <c r="H212" s="12" t="s">
        <v>35</v>
      </c>
      <c r="I212" s="12" t="s">
        <v>34</v>
      </c>
    </row>
    <row r="213" spans="1:9" ht="15.5" x14ac:dyDescent="0.35">
      <c r="A213" s="14" t="s">
        <v>466</v>
      </c>
      <c r="B213" s="15" t="s" cm="1">
        <v>986</v>
      </c>
      <c r="C213" s="15" t="s" cm="1">
        <v>21</v>
      </c>
      <c r="D213" s="15" t="s">
        <v>1819</v>
      </c>
      <c r="E213" s="15" t="s" cm="1">
        <v>1637</v>
      </c>
      <c r="F213" s="12" t="s">
        <v>1636</v>
      </c>
      <c r="G213" s="12" t="s">
        <v>939</v>
      </c>
      <c r="H213" s="12" t="s">
        <v>58</v>
      </c>
      <c r="I213" s="12" t="s">
        <v>57</v>
      </c>
    </row>
    <row r="214" spans="1:9" ht="15.5" x14ac:dyDescent="0.35">
      <c r="A214" s="14" t="s">
        <v>265</v>
      </c>
      <c r="B214" s="15" t="s" cm="1">
        <v>986</v>
      </c>
      <c r="C214" s="15" t="s" cm="1">
        <v>21</v>
      </c>
      <c r="D214" s="15" t="s">
        <v>266</v>
      </c>
      <c r="E214" s="15" t="s" cm="1">
        <v>1637</v>
      </c>
      <c r="F214" s="12" t="s">
        <v>1638</v>
      </c>
      <c r="G214" s="12" t="s">
        <v>915</v>
      </c>
      <c r="H214" s="12" t="s">
        <v>35</v>
      </c>
      <c r="I214" s="12" t="s">
        <v>34</v>
      </c>
    </row>
    <row r="215" spans="1:9" ht="15.5" x14ac:dyDescent="0.35">
      <c r="A215" s="14" t="s">
        <v>263</v>
      </c>
      <c r="B215" s="15" t="s" cm="1">
        <v>986</v>
      </c>
      <c r="C215" s="15" t="s" cm="1">
        <v>21</v>
      </c>
      <c r="D215" s="15" t="s">
        <v>1820</v>
      </c>
      <c r="E215" s="15" t="s" cm="1">
        <v>1639</v>
      </c>
      <c r="F215" s="12" t="s">
        <v>1638</v>
      </c>
      <c r="G215" s="12" t="s">
        <v>914</v>
      </c>
      <c r="H215" s="12" t="s">
        <v>130</v>
      </c>
      <c r="I215" s="12" t="s">
        <v>22</v>
      </c>
    </row>
    <row r="216" spans="1:9" ht="15.5" x14ac:dyDescent="0.35">
      <c r="A216" s="14" t="s">
        <v>317</v>
      </c>
      <c r="B216" s="15" t="s" cm="1">
        <v>986</v>
      </c>
      <c r="C216" s="15" t="s" cm="1">
        <v>21</v>
      </c>
      <c r="D216" s="15" t="s">
        <v>318</v>
      </c>
      <c r="E216" s="15" t="s" cm="1">
        <v>1635</v>
      </c>
      <c r="F216" s="12" t="s">
        <v>1638</v>
      </c>
      <c r="G216" s="12" t="s">
        <v>928</v>
      </c>
      <c r="H216" s="12" t="s">
        <v>29</v>
      </c>
      <c r="I216" s="12" t="s">
        <v>28</v>
      </c>
    </row>
    <row r="217" spans="1:9" ht="15.5" x14ac:dyDescent="0.35">
      <c r="A217" s="14" t="s">
        <v>390</v>
      </c>
      <c r="B217" s="15" t="s" cm="1">
        <v>986</v>
      </c>
      <c r="C217" s="15" t="s" cm="1">
        <v>21</v>
      </c>
      <c r="D217" s="15" t="s">
        <v>1821</v>
      </c>
      <c r="E217" s="15" t="s" cm="1">
        <v>1635</v>
      </c>
      <c r="F217" s="12" t="s">
        <v>1638</v>
      </c>
      <c r="G217" s="12" t="s">
        <v>947</v>
      </c>
      <c r="H217" s="12" t="s">
        <v>35</v>
      </c>
      <c r="I217" s="12" t="s">
        <v>34</v>
      </c>
    </row>
    <row r="218" spans="1:9" ht="15.5" x14ac:dyDescent="0.35">
      <c r="A218" s="14" t="s">
        <v>394</v>
      </c>
      <c r="B218" s="15" t="s" cm="1">
        <v>986</v>
      </c>
      <c r="C218" s="15" t="s" cm="1">
        <v>21</v>
      </c>
      <c r="D218" s="15" t="s">
        <v>1822</v>
      </c>
      <c r="E218" s="15" t="s" cm="1">
        <v>1637</v>
      </c>
      <c r="F218" s="12" t="s">
        <v>1636</v>
      </c>
      <c r="G218" s="12" t="s">
        <v>940</v>
      </c>
      <c r="H218" s="12" t="s">
        <v>196</v>
      </c>
      <c r="I218" s="12" t="s">
        <v>195</v>
      </c>
    </row>
    <row r="219" spans="1:9" ht="15.5" x14ac:dyDescent="0.35">
      <c r="A219" s="14" t="s">
        <v>372</v>
      </c>
      <c r="B219" s="15" t="s" cm="1">
        <v>986</v>
      </c>
      <c r="C219" s="15" t="s" cm="1">
        <v>21</v>
      </c>
      <c r="D219" s="15" t="s">
        <v>1823</v>
      </c>
      <c r="E219" s="15" t="s" cm="1">
        <v>1637</v>
      </c>
      <c r="F219" s="12" t="s">
        <v>1636</v>
      </c>
      <c r="G219" s="12" t="s">
        <v>940</v>
      </c>
      <c r="H219" s="12" t="s">
        <v>58</v>
      </c>
      <c r="I219" s="12" t="s">
        <v>57</v>
      </c>
    </row>
    <row r="220" spans="1:9" ht="15.5" x14ac:dyDescent="0.35">
      <c r="A220" s="14" t="s">
        <v>223</v>
      </c>
      <c r="B220" s="15" t="s" cm="1">
        <v>986</v>
      </c>
      <c r="C220" s="15" t="s" cm="1">
        <v>21</v>
      </c>
      <c r="D220" s="15" t="s">
        <v>224</v>
      </c>
      <c r="E220" s="15" t="s" cm="1">
        <v>1635</v>
      </c>
      <c r="F220" s="12" t="s">
        <v>1641</v>
      </c>
      <c r="G220" s="12" t="s">
        <v>906</v>
      </c>
      <c r="H220" s="12" t="s">
        <v>58</v>
      </c>
      <c r="I220" s="12" t="s">
        <v>57</v>
      </c>
    </row>
    <row r="221" spans="1:9" ht="15.5" x14ac:dyDescent="0.35">
      <c r="A221" s="14" t="s">
        <v>399</v>
      </c>
      <c r="B221" s="15" t="s" cm="1">
        <v>986</v>
      </c>
      <c r="C221" s="15" t="s" cm="1">
        <v>21</v>
      </c>
      <c r="D221" s="15" t="s">
        <v>1824</v>
      </c>
      <c r="E221" s="15" t="s" cm="1">
        <v>1635</v>
      </c>
      <c r="F221" s="12" t="s">
        <v>1643</v>
      </c>
      <c r="G221" s="12" t="s">
        <v>24</v>
      </c>
      <c r="H221" s="12" t="s">
        <v>23</v>
      </c>
      <c r="I221" s="12" t="s">
        <v>22</v>
      </c>
    </row>
    <row r="222" spans="1:9" ht="15.5" x14ac:dyDescent="0.35">
      <c r="A222" s="14" t="s">
        <v>360</v>
      </c>
      <c r="B222" s="15" t="s" cm="1">
        <v>986</v>
      </c>
      <c r="C222" s="15" t="s" cm="1">
        <v>21</v>
      </c>
      <c r="D222" s="15" t="s">
        <v>361</v>
      </c>
      <c r="E222" s="15" t="s" cm="1">
        <v>1635</v>
      </c>
      <c r="F222" s="12" t="s">
        <v>1693</v>
      </c>
      <c r="G222" s="12" t="s">
        <v>24</v>
      </c>
      <c r="H222" s="12" t="s">
        <v>112</v>
      </c>
      <c r="I222" s="12" t="s">
        <v>111</v>
      </c>
    </row>
    <row r="223" spans="1:9" ht="15.5" x14ac:dyDescent="0.35">
      <c r="A223" s="14" t="s">
        <v>370</v>
      </c>
      <c r="B223" s="15" t="s" cm="1">
        <v>986</v>
      </c>
      <c r="C223" s="15" t="s" cm="1">
        <v>21</v>
      </c>
      <c r="D223" s="15" t="s">
        <v>1825</v>
      </c>
      <c r="E223" s="15" t="s" cm="1">
        <v>1637</v>
      </c>
      <c r="F223" s="12" t="s">
        <v>1636</v>
      </c>
      <c r="G223" s="12" t="s">
        <v>940</v>
      </c>
      <c r="H223" s="12" t="s">
        <v>184</v>
      </c>
      <c r="I223" s="12" t="s">
        <v>91</v>
      </c>
    </row>
    <row r="224" spans="1:9" ht="15.5" x14ac:dyDescent="0.35">
      <c r="A224" s="14" t="s">
        <v>366</v>
      </c>
      <c r="B224" s="15" t="s" cm="1">
        <v>986</v>
      </c>
      <c r="C224" s="15" t="s" cm="1">
        <v>21</v>
      </c>
      <c r="D224" s="15" t="s">
        <v>1826</v>
      </c>
      <c r="E224" s="15" t="s" cm="1">
        <v>1637</v>
      </c>
      <c r="F224" s="12" t="s">
        <v>1636</v>
      </c>
      <c r="G224" s="12" t="s">
        <v>940</v>
      </c>
      <c r="H224" s="12" t="s">
        <v>92</v>
      </c>
      <c r="I224" s="12" t="s">
        <v>91</v>
      </c>
    </row>
    <row r="225" spans="1:9" ht="15.5" x14ac:dyDescent="0.35">
      <c r="A225" s="14" t="s">
        <v>472</v>
      </c>
      <c r="B225" s="15" t="s" cm="1">
        <v>986</v>
      </c>
      <c r="C225" s="15" t="s" cm="1">
        <v>21</v>
      </c>
      <c r="D225" s="15" t="s">
        <v>1827</v>
      </c>
      <c r="E225" s="15" t="s" cm="1">
        <v>1695</v>
      </c>
      <c r="F225" s="12" t="s">
        <v>24</v>
      </c>
      <c r="G225" s="12" t="s">
        <v>24</v>
      </c>
      <c r="H225" s="12" t="s">
        <v>58</v>
      </c>
      <c r="I225" s="12" t="s">
        <v>57</v>
      </c>
    </row>
    <row r="226" spans="1:9" ht="15.5" x14ac:dyDescent="0.35">
      <c r="A226" s="14" t="s">
        <v>207</v>
      </c>
      <c r="B226" s="15" t="s" cm="1">
        <v>986</v>
      </c>
      <c r="C226" s="15" t="s" cm="1">
        <v>21</v>
      </c>
      <c r="D226" s="15" t="s">
        <v>1828</v>
      </c>
      <c r="E226" s="15" t="s" cm="1">
        <v>1639</v>
      </c>
      <c r="F226" s="12" t="s">
        <v>1636</v>
      </c>
      <c r="G226" s="12" t="s">
        <v>24</v>
      </c>
      <c r="H226" s="12" t="s">
        <v>58</v>
      </c>
      <c r="I226" s="12" t="s">
        <v>57</v>
      </c>
    </row>
    <row r="227" spans="1:9" ht="15.5" x14ac:dyDescent="0.35">
      <c r="A227" s="14" t="s">
        <v>421</v>
      </c>
      <c r="B227" s="15" t="s" cm="1">
        <v>986</v>
      </c>
      <c r="C227" s="15" t="s" cm="1">
        <v>21</v>
      </c>
      <c r="D227" s="15" t="s">
        <v>422</v>
      </c>
      <c r="E227" s="15" t="s" cm="1">
        <v>1637</v>
      </c>
      <c r="F227" s="12" t="s">
        <v>1638</v>
      </c>
      <c r="G227" s="12" t="s">
        <v>941</v>
      </c>
      <c r="H227" s="12" t="s">
        <v>58</v>
      </c>
      <c r="I227" s="12" t="s">
        <v>57</v>
      </c>
    </row>
    <row r="228" spans="1:9" ht="15.5" x14ac:dyDescent="0.35">
      <c r="A228" s="14" t="s">
        <v>109</v>
      </c>
      <c r="B228" s="15" t="s" cm="1">
        <v>986</v>
      </c>
      <c r="C228" s="15" t="s" cm="1">
        <v>21</v>
      </c>
      <c r="D228" s="15" t="s">
        <v>1829</v>
      </c>
      <c r="E228" s="15" t="s" cm="1">
        <v>1639</v>
      </c>
      <c r="F228" s="12" t="s">
        <v>1636</v>
      </c>
      <c r="G228" s="12" t="s">
        <v>880</v>
      </c>
      <c r="H228" s="12" t="s">
        <v>112</v>
      </c>
      <c r="I228" s="12" t="s">
        <v>111</v>
      </c>
    </row>
    <row r="229" spans="1:9" ht="15.5" x14ac:dyDescent="0.35">
      <c r="A229" s="14" t="s">
        <v>413</v>
      </c>
      <c r="B229" s="15" t="s" cm="1">
        <v>986</v>
      </c>
      <c r="C229" s="15" t="s" cm="1">
        <v>21</v>
      </c>
      <c r="D229" s="15" t="s">
        <v>1830</v>
      </c>
      <c r="E229" s="15" t="s" cm="1">
        <v>1637</v>
      </c>
      <c r="F229" s="12" t="s">
        <v>1638</v>
      </c>
      <c r="G229" s="12" t="s">
        <v>941</v>
      </c>
      <c r="H229" s="12" t="s">
        <v>92</v>
      </c>
      <c r="I229" s="12" t="s">
        <v>91</v>
      </c>
    </row>
    <row r="230" spans="1:9" ht="15.5" x14ac:dyDescent="0.35">
      <c r="A230" s="14" t="s">
        <v>122</v>
      </c>
      <c r="B230" s="15" t="s" cm="1">
        <v>986</v>
      </c>
      <c r="C230" s="15" t="s" cm="1">
        <v>21</v>
      </c>
      <c r="D230" s="15" t="s">
        <v>1831</v>
      </c>
      <c r="E230" s="15" t="s" cm="1">
        <v>1639</v>
      </c>
      <c r="F230" s="12" t="s">
        <v>1636</v>
      </c>
      <c r="G230" s="12" t="s">
        <v>880</v>
      </c>
      <c r="H230" s="12" t="s">
        <v>112</v>
      </c>
      <c r="I230" s="12" t="s">
        <v>111</v>
      </c>
    </row>
    <row r="231" spans="1:9" ht="15.5" x14ac:dyDescent="0.35">
      <c r="A231" s="14" t="s">
        <v>273</v>
      </c>
      <c r="B231" s="15" t="s" cm="1">
        <v>986</v>
      </c>
      <c r="C231" s="15" t="s" cm="1">
        <v>21</v>
      </c>
      <c r="D231" s="15" t="s">
        <v>274</v>
      </c>
      <c r="E231" s="15" t="s" cm="1">
        <v>1639</v>
      </c>
      <c r="F231" s="12" t="s">
        <v>1636</v>
      </c>
      <c r="G231" s="12" t="s">
        <v>912</v>
      </c>
      <c r="H231" s="12" t="s">
        <v>35</v>
      </c>
      <c r="I231" s="12" t="s">
        <v>34</v>
      </c>
    </row>
    <row r="232" spans="1:9" ht="15.5" x14ac:dyDescent="0.35">
      <c r="A232" s="14" t="s">
        <v>251</v>
      </c>
      <c r="B232" s="15" t="s" cm="1">
        <v>986</v>
      </c>
      <c r="C232" s="15" t="s" cm="1">
        <v>21</v>
      </c>
      <c r="D232" s="15" t="s">
        <v>1832</v>
      </c>
      <c r="E232" s="15" t="s" cm="1">
        <v>1639</v>
      </c>
      <c r="F232" s="12" t="s">
        <v>1636</v>
      </c>
      <c r="G232" s="12" t="s">
        <v>912</v>
      </c>
      <c r="H232" s="12" t="s">
        <v>35</v>
      </c>
      <c r="I232" s="12" t="s">
        <v>34</v>
      </c>
    </row>
    <row r="233" spans="1:9" ht="15.5" x14ac:dyDescent="0.35">
      <c r="A233" s="14" t="s">
        <v>279</v>
      </c>
      <c r="B233" s="15" t="s" cm="1">
        <v>986</v>
      </c>
      <c r="C233" s="15" t="s" cm="1">
        <v>21</v>
      </c>
      <c r="D233" s="15" t="s">
        <v>280</v>
      </c>
      <c r="E233" s="15" t="s" cm="1">
        <v>1639</v>
      </c>
      <c r="F233" s="12" t="s">
        <v>1636</v>
      </c>
      <c r="G233" s="12" t="s">
        <v>919</v>
      </c>
      <c r="H233" s="12" t="s">
        <v>162</v>
      </c>
      <c r="I233" s="12" t="s">
        <v>161</v>
      </c>
    </row>
    <row r="234" spans="1:9" ht="15.5" x14ac:dyDescent="0.35">
      <c r="A234" s="14" t="s">
        <v>133</v>
      </c>
      <c r="B234" s="15" t="s" cm="1">
        <v>986</v>
      </c>
      <c r="C234" s="15" t="s" cm="1">
        <v>21</v>
      </c>
      <c r="D234" s="15" t="s">
        <v>135</v>
      </c>
      <c r="E234" s="15" t="s" cm="1">
        <v>1639</v>
      </c>
      <c r="F234" s="12" t="s">
        <v>1636</v>
      </c>
      <c r="G234" s="12" t="s">
        <v>885</v>
      </c>
      <c r="H234" s="12" t="s">
        <v>130</v>
      </c>
      <c r="I234" s="12" t="s">
        <v>22</v>
      </c>
    </row>
    <row r="235" spans="1:9" ht="15.5" x14ac:dyDescent="0.35">
      <c r="A235" s="14" t="s">
        <v>275</v>
      </c>
      <c r="B235" s="15" t="s" cm="1">
        <v>986</v>
      </c>
      <c r="C235" s="15" t="s" cm="1">
        <v>21</v>
      </c>
      <c r="D235" s="15" t="s">
        <v>276</v>
      </c>
      <c r="E235" s="15" t="s" cm="1">
        <v>1639</v>
      </c>
      <c r="F235" s="12" t="s">
        <v>1636</v>
      </c>
      <c r="G235" s="12" t="s">
        <v>917</v>
      </c>
      <c r="H235" s="12" t="s">
        <v>130</v>
      </c>
      <c r="I235" s="12" t="s">
        <v>22</v>
      </c>
    </row>
    <row r="236" spans="1:9" ht="15.5" x14ac:dyDescent="0.35">
      <c r="A236" s="14" t="s">
        <v>351</v>
      </c>
      <c r="B236" s="15" t="s" cm="1">
        <v>986</v>
      </c>
      <c r="C236" s="15" t="s" cm="1">
        <v>21</v>
      </c>
      <c r="D236" s="15" t="s">
        <v>1833</v>
      </c>
      <c r="E236" s="15" t="s" cm="1">
        <v>1639</v>
      </c>
      <c r="F236" s="12" t="s">
        <v>1636</v>
      </c>
      <c r="G236" s="12" t="s">
        <v>893</v>
      </c>
      <c r="H236" s="12" t="s">
        <v>52</v>
      </c>
      <c r="I236" s="12" t="s">
        <v>51</v>
      </c>
    </row>
    <row r="237" spans="1:9" ht="15.5" x14ac:dyDescent="0.35">
      <c r="A237" s="14" t="s">
        <v>407</v>
      </c>
      <c r="B237" s="15" t="s" cm="1">
        <v>986</v>
      </c>
      <c r="C237" s="15" t="s" cm="1">
        <v>21</v>
      </c>
      <c r="D237" s="15" t="s">
        <v>1834</v>
      </c>
      <c r="E237" s="15" t="s" cm="1">
        <v>1639</v>
      </c>
      <c r="F237" s="12" t="s">
        <v>1636</v>
      </c>
      <c r="G237" s="12" t="s">
        <v>949</v>
      </c>
      <c r="H237" s="12" t="s">
        <v>130</v>
      </c>
      <c r="I237" s="12" t="s">
        <v>22</v>
      </c>
    </row>
    <row r="238" spans="1:9" ht="15.5" x14ac:dyDescent="0.35">
      <c r="A238" s="14" t="s">
        <v>230</v>
      </c>
      <c r="B238" s="15" t="s" cm="1">
        <v>986</v>
      </c>
      <c r="C238" s="15" t="s" cm="1">
        <v>21</v>
      </c>
      <c r="D238" s="15" t="s">
        <v>231</v>
      </c>
      <c r="E238" s="15" t="s" cm="1">
        <v>1635</v>
      </c>
      <c r="F238" s="12" t="s">
        <v>1638</v>
      </c>
      <c r="G238" s="12" t="s">
        <v>907</v>
      </c>
      <c r="H238" s="12" t="s">
        <v>184</v>
      </c>
      <c r="I238" s="12" t="s">
        <v>91</v>
      </c>
    </row>
    <row r="239" spans="1:9" ht="15.5" x14ac:dyDescent="0.35">
      <c r="A239" s="14" t="s">
        <v>253</v>
      </c>
      <c r="B239" s="15" t="s" cm="1">
        <v>986</v>
      </c>
      <c r="C239" s="15" t="s" cm="1">
        <v>21</v>
      </c>
      <c r="D239" s="15" t="s">
        <v>1835</v>
      </c>
      <c r="E239" s="15" t="s" cm="1">
        <v>1639</v>
      </c>
      <c r="F239" s="12" t="s">
        <v>1636</v>
      </c>
      <c r="G239" s="12" t="s">
        <v>24</v>
      </c>
      <c r="H239" s="12" t="s">
        <v>117</v>
      </c>
      <c r="I239" s="12" t="s">
        <v>34</v>
      </c>
    </row>
    <row r="240" spans="1:9" ht="15.5" x14ac:dyDescent="0.35">
      <c r="A240" s="14" t="s">
        <v>315</v>
      </c>
      <c r="B240" s="15" t="s" cm="1">
        <v>986</v>
      </c>
      <c r="C240" s="15" t="s" cm="1">
        <v>21</v>
      </c>
      <c r="D240" s="15" t="s">
        <v>316</v>
      </c>
      <c r="E240" s="15" t="s" cm="1">
        <v>1639</v>
      </c>
      <c r="F240" s="12" t="s">
        <v>1636</v>
      </c>
      <c r="G240" s="12" t="s">
        <v>24</v>
      </c>
      <c r="H240" s="12" t="s">
        <v>29</v>
      </c>
      <c r="I240" s="12" t="s">
        <v>28</v>
      </c>
    </row>
    <row r="241" spans="1:9" ht="15.5" x14ac:dyDescent="0.35">
      <c r="A241" s="14" t="s">
        <v>295</v>
      </c>
      <c r="B241" s="15" t="s" cm="1">
        <v>986</v>
      </c>
      <c r="C241" s="15" t="s" cm="1">
        <v>21</v>
      </c>
      <c r="D241" s="15" t="s">
        <v>296</v>
      </c>
      <c r="E241" s="15" t="s" cm="1">
        <v>1639</v>
      </c>
      <c r="F241" s="12" t="s">
        <v>1636</v>
      </c>
      <c r="G241" s="12" t="s">
        <v>24</v>
      </c>
      <c r="H241" s="12" t="s">
        <v>130</v>
      </c>
      <c r="I241" s="12" t="s">
        <v>22</v>
      </c>
    </row>
    <row r="242" spans="1:9" ht="15.5" x14ac:dyDescent="0.35">
      <c r="A242" s="14" t="s">
        <v>386</v>
      </c>
      <c r="B242" s="15" t="s" cm="1">
        <v>986</v>
      </c>
      <c r="C242" s="15" t="s" cm="1">
        <v>21</v>
      </c>
      <c r="D242" s="15" t="s">
        <v>387</v>
      </c>
      <c r="E242" s="15" t="s" cm="1">
        <v>1635</v>
      </c>
      <c r="F242" s="12" t="s">
        <v>1636</v>
      </c>
      <c r="G242" s="12" t="s">
        <v>24</v>
      </c>
      <c r="H242" s="12" t="s">
        <v>45</v>
      </c>
      <c r="I242" s="12" t="s">
        <v>44</v>
      </c>
    </row>
    <row r="243" spans="1:9" ht="15.5" x14ac:dyDescent="0.35">
      <c r="A243" s="14" t="s">
        <v>227</v>
      </c>
      <c r="B243" s="15" t="s" cm="1">
        <v>986</v>
      </c>
      <c r="C243" s="15" t="s" cm="1">
        <v>21</v>
      </c>
      <c r="D243" s="15" t="s">
        <v>1836</v>
      </c>
      <c r="E243" s="15" t="s" cm="1">
        <v>1635</v>
      </c>
      <c r="F243" s="12" t="s">
        <v>1638</v>
      </c>
      <c r="G243" s="12" t="s">
        <v>24</v>
      </c>
      <c r="H243" s="12" t="s">
        <v>45</v>
      </c>
      <c r="I243" s="12" t="s">
        <v>44</v>
      </c>
    </row>
    <row r="244" spans="1:9" ht="15.5" x14ac:dyDescent="0.35">
      <c r="A244" s="14" t="s">
        <v>225</v>
      </c>
      <c r="B244" s="15" t="s" cm="1">
        <v>986</v>
      </c>
      <c r="C244" s="15" t="s" cm="1">
        <v>21</v>
      </c>
      <c r="D244" s="15" t="s">
        <v>1837</v>
      </c>
      <c r="E244" s="15" t="s" cm="1">
        <v>1635</v>
      </c>
      <c r="F244" s="12" t="s">
        <v>1636</v>
      </c>
      <c r="G244" s="12" t="s">
        <v>24</v>
      </c>
      <c r="H244" s="12" t="s">
        <v>45</v>
      </c>
      <c r="I244" s="12" t="s">
        <v>44</v>
      </c>
    </row>
    <row r="245" spans="1:9" ht="15.5" x14ac:dyDescent="0.35">
      <c r="A245" s="14" t="s">
        <v>293</v>
      </c>
      <c r="B245" s="15" t="s" cm="1">
        <v>986</v>
      </c>
      <c r="C245" s="15" t="s" cm="1">
        <v>21</v>
      </c>
      <c r="D245" s="15" t="s">
        <v>1838</v>
      </c>
      <c r="E245" s="15" t="s" cm="1">
        <v>1635</v>
      </c>
      <c r="F245" s="12" t="s">
        <v>1636</v>
      </c>
      <c r="G245" s="12" t="s">
        <v>24</v>
      </c>
      <c r="H245" s="12" t="s">
        <v>29</v>
      </c>
      <c r="I245" s="12" t="s">
        <v>28</v>
      </c>
    </row>
    <row r="246" spans="1:9" ht="15.5" x14ac:dyDescent="0.35">
      <c r="A246" s="14" t="s">
        <v>405</v>
      </c>
      <c r="B246" s="15" t="s" cm="1">
        <v>986</v>
      </c>
      <c r="C246" s="15" t="s" cm="1">
        <v>21</v>
      </c>
      <c r="D246" s="15" t="s">
        <v>1839</v>
      </c>
      <c r="E246" s="15" t="s" cm="1">
        <v>1635</v>
      </c>
      <c r="F246" s="12" t="s">
        <v>1638</v>
      </c>
      <c r="G246" s="12" t="s">
        <v>24</v>
      </c>
      <c r="H246" s="12" t="s">
        <v>196</v>
      </c>
      <c r="I246" s="12" t="s">
        <v>195</v>
      </c>
    </row>
    <row r="247" spans="1:9" ht="15.5" x14ac:dyDescent="0.35">
      <c r="A247" s="14" t="s">
        <v>237</v>
      </c>
      <c r="B247" s="15" t="s" cm="1">
        <v>986</v>
      </c>
      <c r="C247" s="15" t="s" cm="1">
        <v>21</v>
      </c>
      <c r="D247" s="15" t="s">
        <v>238</v>
      </c>
      <c r="E247" s="15" t="s" cm="1">
        <v>1639</v>
      </c>
      <c r="F247" s="12" t="s">
        <v>1636</v>
      </c>
      <c r="G247" s="12" t="s">
        <v>885</v>
      </c>
      <c r="H247" s="12" t="s">
        <v>35</v>
      </c>
      <c r="I247" s="12" t="s">
        <v>34</v>
      </c>
    </row>
    <row r="248" spans="1:9" ht="15.5" x14ac:dyDescent="0.35">
      <c r="A248" s="14" t="s">
        <v>209</v>
      </c>
      <c r="B248" s="15" t="s" cm="1">
        <v>986</v>
      </c>
      <c r="C248" s="15" t="s" cm="1">
        <v>21</v>
      </c>
      <c r="D248" s="15" t="s">
        <v>1840</v>
      </c>
      <c r="E248" s="15" t="s" cm="1">
        <v>1639</v>
      </c>
      <c r="F248" s="12" t="s">
        <v>1636</v>
      </c>
      <c r="G248" s="12" t="s">
        <v>904</v>
      </c>
      <c r="H248" s="12" t="s">
        <v>117</v>
      </c>
      <c r="I248" s="12" t="s">
        <v>34</v>
      </c>
    </row>
    <row r="249" spans="1:9" ht="15.5" x14ac:dyDescent="0.35">
      <c r="A249" s="14" t="s">
        <v>326</v>
      </c>
      <c r="B249" s="15" t="s" cm="1">
        <v>986</v>
      </c>
      <c r="C249" s="15" t="s" cm="1">
        <v>21</v>
      </c>
      <c r="D249" s="15" t="s">
        <v>1841</v>
      </c>
      <c r="E249" s="15" t="s" cm="1">
        <v>1639</v>
      </c>
      <c r="F249" s="12" t="s">
        <v>1636</v>
      </c>
      <c r="G249" s="12" t="s">
        <v>932</v>
      </c>
      <c r="H249" s="12" t="s">
        <v>112</v>
      </c>
      <c r="I249" s="12" t="s">
        <v>111</v>
      </c>
    </row>
    <row r="250" spans="1:9" ht="15.5" x14ac:dyDescent="0.35">
      <c r="A250" s="14" t="s">
        <v>411</v>
      </c>
      <c r="B250" s="15" t="s" cm="1">
        <v>986</v>
      </c>
      <c r="C250" s="15" t="s" cm="1">
        <v>21</v>
      </c>
      <c r="D250" s="15" t="s">
        <v>1842</v>
      </c>
      <c r="E250" s="15" t="s" cm="1">
        <v>1639</v>
      </c>
      <c r="F250" s="12" t="s">
        <v>1636</v>
      </c>
      <c r="G250" s="12" t="s">
        <v>932</v>
      </c>
      <c r="H250" s="12" t="s">
        <v>130</v>
      </c>
      <c r="I250" s="12" t="s">
        <v>22</v>
      </c>
    </row>
    <row r="251" spans="1:9" ht="15.5" x14ac:dyDescent="0.35">
      <c r="A251" s="14" t="s">
        <v>199</v>
      </c>
      <c r="B251" s="15" t="s" cm="1">
        <v>986</v>
      </c>
      <c r="C251" s="15" t="s" cm="1">
        <v>21</v>
      </c>
      <c r="D251" s="15" t="s">
        <v>1843</v>
      </c>
      <c r="E251" s="15" t="s" cm="1">
        <v>1639</v>
      </c>
      <c r="F251" s="12" t="s">
        <v>1636</v>
      </c>
      <c r="G251" s="12" t="s">
        <v>901</v>
      </c>
      <c r="H251" s="12" t="s">
        <v>58</v>
      </c>
      <c r="I251" s="12" t="s">
        <v>57</v>
      </c>
    </row>
    <row r="252" spans="1:9" ht="15.5" x14ac:dyDescent="0.35">
      <c r="A252" s="14" t="s">
        <v>203</v>
      </c>
      <c r="B252" s="15" t="s" cm="1">
        <v>986</v>
      </c>
      <c r="C252" s="15" t="s" cm="1">
        <v>21</v>
      </c>
      <c r="D252" s="15" t="s">
        <v>204</v>
      </c>
      <c r="E252" s="15" t="s" cm="1">
        <v>1639</v>
      </c>
      <c r="F252" s="12" t="s">
        <v>1636</v>
      </c>
      <c r="G252" s="12" t="s">
        <v>902</v>
      </c>
      <c r="H252" s="12" t="s">
        <v>52</v>
      </c>
      <c r="I252" s="12" t="s">
        <v>51</v>
      </c>
    </row>
    <row r="253" spans="1:9" ht="15.5" x14ac:dyDescent="0.35">
      <c r="A253" s="14" t="s">
        <v>269</v>
      </c>
      <c r="B253" s="15" t="s" cm="1">
        <v>986</v>
      </c>
      <c r="C253" s="15" t="s" cm="1">
        <v>21</v>
      </c>
      <c r="D253" s="15" t="s">
        <v>270</v>
      </c>
      <c r="E253" s="15" t="s" cm="1">
        <v>1639</v>
      </c>
      <c r="F253" s="12" t="s">
        <v>1636</v>
      </c>
      <c r="G253" s="12" t="s">
        <v>916</v>
      </c>
      <c r="H253" s="12" t="s">
        <v>112</v>
      </c>
      <c r="I253" s="12" t="s">
        <v>111</v>
      </c>
    </row>
    <row r="254" spans="1:9" ht="15.5" x14ac:dyDescent="0.35">
      <c r="A254" s="14" t="s">
        <v>169</v>
      </c>
      <c r="B254" s="15" t="s" cm="1">
        <v>986</v>
      </c>
      <c r="C254" s="15" t="s" cm="1">
        <v>21</v>
      </c>
      <c r="D254" s="15" t="s">
        <v>170</v>
      </c>
      <c r="E254" s="15" t="s" cm="1">
        <v>1639</v>
      </c>
      <c r="F254" s="12" t="s">
        <v>1636</v>
      </c>
      <c r="G254" s="12" t="s">
        <v>894</v>
      </c>
      <c r="H254" s="12" t="s">
        <v>117</v>
      </c>
      <c r="I254" s="12" t="s">
        <v>34</v>
      </c>
    </row>
    <row r="255" spans="1:9" ht="15.5" x14ac:dyDescent="0.35">
      <c r="A255" s="14" t="s">
        <v>287</v>
      </c>
      <c r="B255" s="15" t="s" cm="1">
        <v>986</v>
      </c>
      <c r="C255" s="15" t="s" cm="1">
        <v>21</v>
      </c>
      <c r="D255" s="15" t="s">
        <v>288</v>
      </c>
      <c r="E255" s="15" t="s" cm="1">
        <v>1639</v>
      </c>
      <c r="F255" s="12" t="s">
        <v>1636</v>
      </c>
      <c r="G255" s="12" t="s">
        <v>922</v>
      </c>
      <c r="H255" s="12" t="s">
        <v>29</v>
      </c>
      <c r="I255" s="12" t="s">
        <v>28</v>
      </c>
    </row>
    <row r="256" spans="1:9" ht="15.5" x14ac:dyDescent="0.35">
      <c r="A256" s="14" t="s">
        <v>259</v>
      </c>
      <c r="B256" s="15" t="s" cm="1">
        <v>986</v>
      </c>
      <c r="C256" s="15" t="s" cm="1">
        <v>21</v>
      </c>
      <c r="D256" s="15" t="s">
        <v>1844</v>
      </c>
      <c r="E256" s="15" t="s" cm="1">
        <v>1639</v>
      </c>
      <c r="F256" s="12" t="s">
        <v>1636</v>
      </c>
      <c r="G256" s="12" t="s">
        <v>913</v>
      </c>
      <c r="H256" s="12" t="s">
        <v>29</v>
      </c>
      <c r="I256" s="12" t="s">
        <v>28</v>
      </c>
    </row>
    <row r="257" spans="1:9" ht="15.5" x14ac:dyDescent="0.35">
      <c r="A257" s="14" t="s">
        <v>388</v>
      </c>
      <c r="B257" s="15" t="s" cm="1">
        <v>986</v>
      </c>
      <c r="C257" s="15" t="s" cm="1">
        <v>21</v>
      </c>
      <c r="D257" s="15" t="s">
        <v>389</v>
      </c>
      <c r="E257" s="15" t="s" cm="1">
        <v>1639</v>
      </c>
      <c r="F257" s="12" t="s">
        <v>1636</v>
      </c>
      <c r="G257" s="12" t="s">
        <v>912</v>
      </c>
      <c r="H257" s="12" t="s">
        <v>29</v>
      </c>
      <c r="I257" s="12" t="s">
        <v>28</v>
      </c>
    </row>
    <row r="258" spans="1:9" ht="15.5" x14ac:dyDescent="0.35">
      <c r="A258" s="14" t="s">
        <v>401</v>
      </c>
      <c r="B258" s="15" t="s" cm="1">
        <v>986</v>
      </c>
      <c r="C258" s="15" t="s" cm="1">
        <v>21</v>
      </c>
      <c r="D258" s="15" t="s">
        <v>402</v>
      </c>
      <c r="E258" s="15" t="s" cm="1">
        <v>1639</v>
      </c>
      <c r="F258" s="12" t="s">
        <v>1636</v>
      </c>
      <c r="G258" s="12" t="s">
        <v>911</v>
      </c>
      <c r="H258" s="12" t="s">
        <v>130</v>
      </c>
      <c r="I258" s="12" t="s">
        <v>22</v>
      </c>
    </row>
    <row r="259" spans="1:9" ht="15.5" x14ac:dyDescent="0.35">
      <c r="A259" s="14" t="s">
        <v>338</v>
      </c>
      <c r="B259" s="15" t="s" cm="1">
        <v>986</v>
      </c>
      <c r="C259" s="15" t="s" cm="1">
        <v>21</v>
      </c>
      <c r="D259" s="15" t="s">
        <v>1845</v>
      </c>
      <c r="E259" s="15" t="s" cm="1">
        <v>1639</v>
      </c>
      <c r="F259" s="12" t="s">
        <v>1636</v>
      </c>
      <c r="G259" s="12" t="s">
        <v>937</v>
      </c>
      <c r="H259" s="12" t="s">
        <v>117</v>
      </c>
      <c r="I259" s="12" t="s">
        <v>34</v>
      </c>
    </row>
    <row r="260" spans="1:9" ht="15.5" x14ac:dyDescent="0.35">
      <c r="A260" s="14" t="s">
        <v>245</v>
      </c>
      <c r="B260" s="15" t="s" cm="1">
        <v>986</v>
      </c>
      <c r="C260" s="15" t="s" cm="1">
        <v>21</v>
      </c>
      <c r="D260" s="15" t="s">
        <v>246</v>
      </c>
      <c r="E260" s="15" t="s" cm="1">
        <v>1639</v>
      </c>
      <c r="F260" s="12" t="s">
        <v>1636</v>
      </c>
      <c r="G260" s="12" t="s">
        <v>904</v>
      </c>
      <c r="H260" s="12" t="s">
        <v>29</v>
      </c>
      <c r="I260" s="12" t="s">
        <v>28</v>
      </c>
    </row>
    <row r="261" spans="1:9" ht="15.5" x14ac:dyDescent="0.35">
      <c r="A261" s="14" t="s">
        <v>249</v>
      </c>
      <c r="B261" s="15" t="s" cm="1">
        <v>986</v>
      </c>
      <c r="C261" s="15" t="s" cm="1">
        <v>21</v>
      </c>
      <c r="D261" s="15" t="s">
        <v>250</v>
      </c>
      <c r="E261" s="15" t="s" cm="1">
        <v>1639</v>
      </c>
      <c r="F261" s="12" t="s">
        <v>1636</v>
      </c>
      <c r="G261" s="12" t="s">
        <v>911</v>
      </c>
      <c r="H261" s="12" t="s">
        <v>117</v>
      </c>
      <c r="I261" s="12" t="s">
        <v>34</v>
      </c>
    </row>
    <row r="262" spans="1:9" ht="15.5" x14ac:dyDescent="0.35">
      <c r="A262" s="14" t="s">
        <v>313</v>
      </c>
      <c r="B262" s="15" t="s" cm="1">
        <v>986</v>
      </c>
      <c r="C262" s="15" t="s" cm="1">
        <v>21</v>
      </c>
      <c r="D262" s="15" t="s">
        <v>314</v>
      </c>
      <c r="E262" s="15" t="s" cm="1">
        <v>1639</v>
      </c>
      <c r="F262" s="12" t="s">
        <v>1636</v>
      </c>
      <c r="G262" s="12" t="s">
        <v>927</v>
      </c>
      <c r="H262" s="12" t="s">
        <v>196</v>
      </c>
      <c r="I262" s="12" t="s">
        <v>195</v>
      </c>
    </row>
    <row r="263" spans="1:9" ht="15.5" x14ac:dyDescent="0.35">
      <c r="A263" s="14" t="s">
        <v>232</v>
      </c>
      <c r="B263" s="15" t="s" cm="1">
        <v>89</v>
      </c>
      <c r="C263" s="15" t="s" cm="1">
        <v>21</v>
      </c>
      <c r="D263" s="15" t="s">
        <v>233</v>
      </c>
      <c r="E263" s="15" t="s" cm="1">
        <v>1639</v>
      </c>
      <c r="F263" s="12" t="s">
        <v>1636</v>
      </c>
      <c r="G263" s="12" t="s">
        <v>24</v>
      </c>
      <c r="H263" s="12" t="s">
        <v>130</v>
      </c>
      <c r="I263" s="12" t="s">
        <v>22</v>
      </c>
    </row>
    <row r="264" spans="1:9" ht="15.5" x14ac:dyDescent="0.35">
      <c r="A264" s="14" t="s">
        <v>281</v>
      </c>
      <c r="B264" s="15" t="s" cm="1">
        <v>89</v>
      </c>
      <c r="C264" s="15" t="s" cm="1">
        <v>21</v>
      </c>
      <c r="D264" s="15" t="s">
        <v>282</v>
      </c>
      <c r="E264" s="15" t="s" cm="1">
        <v>1639</v>
      </c>
      <c r="F264" s="12" t="s">
        <v>1638</v>
      </c>
      <c r="G264" s="12" t="s">
        <v>920</v>
      </c>
      <c r="H264" s="12" t="s">
        <v>35</v>
      </c>
      <c r="I264" s="12" t="s">
        <v>34</v>
      </c>
    </row>
    <row r="265" spans="1:9" ht="15.5" x14ac:dyDescent="0.35">
      <c r="A265" s="14" t="s">
        <v>297</v>
      </c>
      <c r="B265" s="15" t="s" cm="1">
        <v>89</v>
      </c>
      <c r="C265" s="15" t="s" cm="1">
        <v>21</v>
      </c>
      <c r="D265" s="15" t="s">
        <v>1846</v>
      </c>
      <c r="E265" s="15" t="s" cm="1">
        <v>1639</v>
      </c>
      <c r="F265" s="12" t="s">
        <v>1636</v>
      </c>
      <c r="G265" s="12" t="s">
        <v>894</v>
      </c>
      <c r="H265" s="12" t="s">
        <v>112</v>
      </c>
      <c r="I265" s="12" t="s">
        <v>111</v>
      </c>
    </row>
    <row r="266" spans="1:9" ht="15.5" x14ac:dyDescent="0.35">
      <c r="A266" s="14" t="s">
        <v>309</v>
      </c>
      <c r="B266" s="15" t="s" cm="1">
        <v>986</v>
      </c>
      <c r="C266" s="15" t="s" cm="1">
        <v>21</v>
      </c>
      <c r="D266" s="15" t="s">
        <v>1847</v>
      </c>
      <c r="E266" s="15" t="s" cm="1">
        <v>1639</v>
      </c>
      <c r="F266" s="12" t="s">
        <v>1636</v>
      </c>
      <c r="G266" s="12" t="s">
        <v>904</v>
      </c>
      <c r="H266" s="12" t="s">
        <v>29</v>
      </c>
      <c r="I266" s="12" t="s">
        <v>28</v>
      </c>
    </row>
    <row r="267" spans="1:9" ht="15.5" x14ac:dyDescent="0.35">
      <c r="A267" s="14" t="s">
        <v>285</v>
      </c>
      <c r="B267" s="15" t="s" cm="1">
        <v>986</v>
      </c>
      <c r="C267" s="15" t="s" cm="1">
        <v>21</v>
      </c>
      <c r="D267" s="15" t="s">
        <v>286</v>
      </c>
      <c r="E267" s="15" t="s" cm="1">
        <v>1639</v>
      </c>
      <c r="F267" s="12" t="s">
        <v>1636</v>
      </c>
      <c r="G267" s="12" t="s">
        <v>922</v>
      </c>
      <c r="H267" s="12" t="s">
        <v>112</v>
      </c>
      <c r="I267" s="12" t="s">
        <v>111</v>
      </c>
    </row>
    <row r="268" spans="1:9" ht="15.5" x14ac:dyDescent="0.35">
      <c r="A268" s="14" t="s">
        <v>271</v>
      </c>
      <c r="B268" s="15" t="s" cm="1">
        <v>986</v>
      </c>
      <c r="C268" s="15" t="s" cm="1">
        <v>21</v>
      </c>
      <c r="D268" s="15" t="s">
        <v>272</v>
      </c>
      <c r="E268" s="15" t="s" cm="1">
        <v>1639</v>
      </c>
      <c r="F268" s="12" t="s">
        <v>1636</v>
      </c>
      <c r="G268" s="12" t="s">
        <v>904</v>
      </c>
      <c r="H268" s="12" t="s">
        <v>112</v>
      </c>
      <c r="I268" s="12" t="s">
        <v>111</v>
      </c>
    </row>
    <row r="269" spans="1:9" ht="15.5" x14ac:dyDescent="0.35">
      <c r="A269" s="14" t="s">
        <v>325</v>
      </c>
      <c r="B269" s="15" t="s" cm="1">
        <v>986</v>
      </c>
      <c r="C269" s="15" t="s" cm="1">
        <v>21</v>
      </c>
      <c r="D269" s="15" t="s">
        <v>204</v>
      </c>
      <c r="E269" s="15" t="s" cm="1">
        <v>1639</v>
      </c>
      <c r="F269" s="12" t="s">
        <v>1636</v>
      </c>
      <c r="G269" s="12" t="s">
        <v>931</v>
      </c>
      <c r="H269" s="12" t="s">
        <v>52</v>
      </c>
      <c r="I269" s="12" t="s">
        <v>51</v>
      </c>
    </row>
    <row r="270" spans="1:9" ht="15.5" x14ac:dyDescent="0.35">
      <c r="A270" s="14" t="s">
        <v>213</v>
      </c>
      <c r="B270" s="15" t="s" cm="1">
        <v>986</v>
      </c>
      <c r="C270" s="15" t="s" cm="1">
        <v>21</v>
      </c>
      <c r="D270" s="15" t="s">
        <v>214</v>
      </c>
      <c r="E270" s="15" t="s" cm="1">
        <v>1639</v>
      </c>
      <c r="F270" s="12" t="s">
        <v>1636</v>
      </c>
      <c r="G270" s="12" t="s">
        <v>866</v>
      </c>
      <c r="H270" s="12" t="s">
        <v>29</v>
      </c>
      <c r="I270" s="12" t="s">
        <v>28</v>
      </c>
    </row>
    <row r="271" spans="1:9" ht="15.5" x14ac:dyDescent="0.35">
      <c r="A271" s="14" t="s">
        <v>126</v>
      </c>
      <c r="B271" s="15" t="s" cm="1">
        <v>986</v>
      </c>
      <c r="C271" s="15" t="s" cm="1">
        <v>21</v>
      </c>
      <c r="D271" s="15" t="s">
        <v>1848</v>
      </c>
      <c r="E271" s="15" t="s" cm="1">
        <v>1639</v>
      </c>
      <c r="F271" s="12" t="s">
        <v>1636</v>
      </c>
      <c r="G271" s="12" t="s">
        <v>871</v>
      </c>
      <c r="H271" s="12" t="s">
        <v>117</v>
      </c>
      <c r="I271" s="12" t="s">
        <v>34</v>
      </c>
    </row>
    <row r="272" spans="1:9" ht="15.5" x14ac:dyDescent="0.35">
      <c r="A272" s="14" t="s">
        <v>423</v>
      </c>
      <c r="B272" s="15" t="s" cm="1">
        <v>986</v>
      </c>
      <c r="C272" s="15" t="s" cm="1">
        <v>21</v>
      </c>
      <c r="D272" s="15" t="s">
        <v>1849</v>
      </c>
      <c r="E272" s="15" t="s" cm="1">
        <v>1637</v>
      </c>
      <c r="F272" s="12" t="s">
        <v>1638</v>
      </c>
      <c r="G272" s="12" t="s">
        <v>941</v>
      </c>
      <c r="H272" s="12" t="s">
        <v>35</v>
      </c>
      <c r="I272" s="12" t="s">
        <v>34</v>
      </c>
    </row>
    <row r="273" spans="1:9" ht="15.5" x14ac:dyDescent="0.35">
      <c r="A273" s="14" t="s">
        <v>376</v>
      </c>
      <c r="B273" s="15" t="s" cm="1">
        <v>986</v>
      </c>
      <c r="C273" s="15" t="s" cm="1">
        <v>21</v>
      </c>
      <c r="D273" s="15" t="s">
        <v>1850</v>
      </c>
      <c r="E273" s="15" t="s" cm="1">
        <v>1635</v>
      </c>
      <c r="F273" s="12" t="s">
        <v>1638</v>
      </c>
      <c r="G273" s="12" t="s">
        <v>943</v>
      </c>
      <c r="H273" s="12" t="s">
        <v>45</v>
      </c>
      <c r="I273" s="12" t="s">
        <v>44</v>
      </c>
    </row>
    <row r="274" spans="1:9" ht="15.5" x14ac:dyDescent="0.35">
      <c r="A274" s="14" t="s">
        <v>415</v>
      </c>
      <c r="B274" s="15" t="s" cm="1">
        <v>986</v>
      </c>
      <c r="C274" s="15" t="s" cm="1">
        <v>21</v>
      </c>
      <c r="D274" s="15" t="s">
        <v>416</v>
      </c>
      <c r="E274" s="15" t="s" cm="1">
        <v>1637</v>
      </c>
      <c r="F274" s="12" t="s">
        <v>1638</v>
      </c>
      <c r="G274" s="12" t="s">
        <v>941</v>
      </c>
      <c r="H274" s="12" t="s">
        <v>58</v>
      </c>
      <c r="I274" s="12" t="s">
        <v>57</v>
      </c>
    </row>
    <row r="275" spans="1:9" ht="15.5" x14ac:dyDescent="0.35">
      <c r="A275" s="14" t="s">
        <v>234</v>
      </c>
      <c r="B275" s="15" t="s" cm="1">
        <v>986</v>
      </c>
      <c r="C275" s="15" t="s" cm="1">
        <v>21</v>
      </c>
      <c r="D275" s="15" t="s">
        <v>1851</v>
      </c>
      <c r="E275" s="15" t="s" cm="1">
        <v>1639</v>
      </c>
      <c r="F275" s="12" t="s">
        <v>1649</v>
      </c>
      <c r="G275" s="12" t="s">
        <v>908</v>
      </c>
      <c r="H275" s="12" t="s">
        <v>236</v>
      </c>
      <c r="I275" s="12" t="s">
        <v>195</v>
      </c>
    </row>
    <row r="276" spans="1:9" ht="15.5" x14ac:dyDescent="0.35">
      <c r="A276" s="14" t="s">
        <v>417</v>
      </c>
      <c r="B276" s="15" t="s" cm="1">
        <v>986</v>
      </c>
      <c r="C276" s="15" t="s" cm="1">
        <v>21</v>
      </c>
      <c r="D276" s="15" t="s">
        <v>1852</v>
      </c>
      <c r="E276" s="15" t="s" cm="1">
        <v>1637</v>
      </c>
      <c r="F276" s="12" t="s">
        <v>1638</v>
      </c>
      <c r="G276" s="12" t="s">
        <v>941</v>
      </c>
      <c r="H276" s="12" t="s">
        <v>196</v>
      </c>
      <c r="I276" s="12" t="s">
        <v>195</v>
      </c>
    </row>
    <row r="277" spans="1:9" ht="15.5" x14ac:dyDescent="0.35">
      <c r="A277" s="14" t="s">
        <v>140</v>
      </c>
      <c r="B277" s="15" t="s" cm="1">
        <v>986</v>
      </c>
      <c r="C277" s="15" t="s" cm="1">
        <v>21</v>
      </c>
      <c r="D277" s="15" t="s">
        <v>141</v>
      </c>
      <c r="E277" s="15" t="s" cm="1">
        <v>1639</v>
      </c>
      <c r="F277" s="12" t="s">
        <v>1636</v>
      </c>
      <c r="G277" s="12" t="s">
        <v>887</v>
      </c>
      <c r="H277" s="12" t="s">
        <v>29</v>
      </c>
      <c r="I277" s="12" t="s">
        <v>28</v>
      </c>
    </row>
    <row r="278" spans="1:9" ht="15.5" x14ac:dyDescent="0.35">
      <c r="A278" s="14" t="s">
        <v>397</v>
      </c>
      <c r="B278" s="15" t="s" cm="1">
        <v>986</v>
      </c>
      <c r="C278" s="15" t="s" cm="1">
        <v>21</v>
      </c>
      <c r="D278" s="15" t="s">
        <v>1853</v>
      </c>
      <c r="E278" s="15" t="s" cm="1">
        <v>1639</v>
      </c>
      <c r="F278" s="12" t="s">
        <v>1636</v>
      </c>
      <c r="G278" s="12" t="s">
        <v>949</v>
      </c>
      <c r="H278" s="12" t="s">
        <v>35</v>
      </c>
      <c r="I278" s="12" t="s">
        <v>34</v>
      </c>
    </row>
    <row r="279" spans="1:9" ht="15.5" x14ac:dyDescent="0.35">
      <c r="A279" s="14" t="s">
        <v>247</v>
      </c>
      <c r="B279" s="15" t="s" cm="1">
        <v>986</v>
      </c>
      <c r="C279" s="15" t="s" cm="1">
        <v>21</v>
      </c>
      <c r="D279" s="15" t="s">
        <v>248</v>
      </c>
      <c r="E279" s="15" t="s" cm="1">
        <v>1639</v>
      </c>
      <c r="F279" s="12" t="s">
        <v>1636</v>
      </c>
      <c r="G279" s="12" t="s">
        <v>910</v>
      </c>
      <c r="H279" s="12" t="s">
        <v>52</v>
      </c>
      <c r="I279" s="12" t="s">
        <v>51</v>
      </c>
    </row>
    <row r="280" spans="1:9" ht="15.5" x14ac:dyDescent="0.35">
      <c r="A280" s="14" t="s">
        <v>419</v>
      </c>
      <c r="B280" s="15" t="s" cm="1">
        <v>986</v>
      </c>
      <c r="C280" s="15" t="s" cm="1">
        <v>21</v>
      </c>
      <c r="D280" s="15" t="s">
        <v>1854</v>
      </c>
      <c r="E280" s="15" t="s" cm="1">
        <v>1637</v>
      </c>
      <c r="F280" s="12" t="s">
        <v>1638</v>
      </c>
      <c r="G280" s="12" t="s">
        <v>941</v>
      </c>
      <c r="H280" s="12" t="s">
        <v>35</v>
      </c>
      <c r="I280" s="12" t="s">
        <v>34</v>
      </c>
    </row>
    <row r="281" spans="1:9" ht="15.5" x14ac:dyDescent="0.35">
      <c r="A281" s="14" t="s">
        <v>289</v>
      </c>
      <c r="B281" s="15" t="s" cm="1">
        <v>986</v>
      </c>
      <c r="C281" s="15" t="s" cm="1">
        <v>21</v>
      </c>
      <c r="D281" s="15" t="s">
        <v>290</v>
      </c>
      <c r="E281" s="15" t="s" cm="1">
        <v>1639</v>
      </c>
      <c r="F281" s="12" t="s">
        <v>1636</v>
      </c>
      <c r="G281" s="12" t="s">
        <v>885</v>
      </c>
      <c r="H281" s="12" t="s">
        <v>117</v>
      </c>
      <c r="I281" s="12" t="s">
        <v>34</v>
      </c>
    </row>
    <row r="282" spans="1:9" ht="15.5" x14ac:dyDescent="0.35">
      <c r="A282" s="14" t="s">
        <v>409</v>
      </c>
      <c r="B282" s="15" t="s" cm="1">
        <v>986</v>
      </c>
      <c r="C282" s="15" t="s" cm="1">
        <v>21</v>
      </c>
      <c r="D282" s="15" t="s">
        <v>1855</v>
      </c>
      <c r="E282" s="15" t="s" cm="1">
        <v>1639</v>
      </c>
      <c r="F282" s="12" t="s">
        <v>1636</v>
      </c>
      <c r="G282" s="12" t="s">
        <v>912</v>
      </c>
      <c r="H282" s="12" t="s">
        <v>130</v>
      </c>
      <c r="I282" s="12" t="s">
        <v>22</v>
      </c>
    </row>
    <row r="283" spans="1:9" ht="15.5" x14ac:dyDescent="0.35">
      <c r="A283" s="14" t="s">
        <v>340</v>
      </c>
      <c r="B283" s="15" t="s" cm="1">
        <v>986</v>
      </c>
      <c r="C283" s="15" t="s" cm="1">
        <v>21</v>
      </c>
      <c r="D283" s="15" t="s">
        <v>1856</v>
      </c>
      <c r="E283" s="15" t="s" cm="1">
        <v>1639</v>
      </c>
      <c r="F283" s="12" t="s">
        <v>1636</v>
      </c>
      <c r="G283" s="12" t="s">
        <v>894</v>
      </c>
      <c r="H283" s="12" t="s">
        <v>35</v>
      </c>
      <c r="I283" s="12" t="s">
        <v>34</v>
      </c>
    </row>
    <row r="284" spans="1:9" ht="15.5" x14ac:dyDescent="0.35">
      <c r="A284" s="14" t="s">
        <v>311</v>
      </c>
      <c r="B284" s="15" t="s" cm="1">
        <v>986</v>
      </c>
      <c r="C284" s="15" t="s" cm="1">
        <v>21</v>
      </c>
      <c r="D284" s="15" t="s">
        <v>312</v>
      </c>
      <c r="E284" s="15" t="s" cm="1">
        <v>1639</v>
      </c>
      <c r="F284" s="12" t="s">
        <v>1636</v>
      </c>
      <c r="G284" s="12" t="s">
        <v>927</v>
      </c>
      <c r="H284" s="12" t="s">
        <v>35</v>
      </c>
      <c r="I284" s="12" t="s">
        <v>34</v>
      </c>
    </row>
    <row r="285" spans="1:9" ht="15.5" x14ac:dyDescent="0.35">
      <c r="A285" s="14" t="s">
        <v>357</v>
      </c>
      <c r="B285" s="15" t="s" cm="1">
        <v>986</v>
      </c>
      <c r="C285" s="15" t="s" cm="1">
        <v>21</v>
      </c>
      <c r="D285" s="15" t="s">
        <v>1857</v>
      </c>
      <c r="E285" s="15" t="s" cm="1">
        <v>1637</v>
      </c>
      <c r="F285" s="12" t="s">
        <v>1638</v>
      </c>
      <c r="G285" s="12" t="s">
        <v>941</v>
      </c>
      <c r="H285" s="12" t="s">
        <v>58</v>
      </c>
      <c r="I285" s="12" t="s">
        <v>57</v>
      </c>
    </row>
    <row r="286" spans="1:9" ht="15.5" x14ac:dyDescent="0.35">
      <c r="A286" s="14" t="s">
        <v>359</v>
      </c>
      <c r="B286" s="15" t="s" cm="1">
        <v>986</v>
      </c>
      <c r="C286" s="15" t="s" cm="1">
        <v>21</v>
      </c>
      <c r="D286" s="15" t="s">
        <v>1857</v>
      </c>
      <c r="E286" s="15" t="s" cm="1">
        <v>1637</v>
      </c>
      <c r="F286" s="12" t="s">
        <v>1638</v>
      </c>
      <c r="G286" s="12" t="s">
        <v>941</v>
      </c>
      <c r="H286" s="12" t="s">
        <v>58</v>
      </c>
      <c r="I286" s="12" t="s">
        <v>57</v>
      </c>
    </row>
    <row r="287" spans="1:9" ht="15.5" x14ac:dyDescent="0.35">
      <c r="A287" s="14" t="s">
        <v>374</v>
      </c>
      <c r="B287" s="15" t="s" cm="1">
        <v>986</v>
      </c>
      <c r="C287" s="15" t="s" cm="1">
        <v>21</v>
      </c>
      <c r="D287" s="15" t="s">
        <v>1858</v>
      </c>
      <c r="E287" s="15" t="s" cm="1">
        <v>1637</v>
      </c>
      <c r="F287" s="12" t="s">
        <v>1636</v>
      </c>
      <c r="G287" s="12" t="s">
        <v>936</v>
      </c>
      <c r="H287" s="12" t="s">
        <v>58</v>
      </c>
      <c r="I287" s="12" t="s">
        <v>57</v>
      </c>
    </row>
    <row r="288" spans="1:9" ht="15.5" x14ac:dyDescent="0.35">
      <c r="A288" s="14" t="s">
        <v>68</v>
      </c>
      <c r="B288" s="15" t="s" cm="1">
        <v>19</v>
      </c>
      <c r="C288" s="15" t="s" cm="1">
        <v>21</v>
      </c>
      <c r="D288" s="15" t="s">
        <v>69</v>
      </c>
      <c r="E288" s="15" t="s" cm="1">
        <v>1653</v>
      </c>
      <c r="F288" s="12" t="s">
        <v>24</v>
      </c>
      <c r="G288" s="12" t="s">
        <v>995</v>
      </c>
      <c r="H288" s="12" t="s">
        <v>52</v>
      </c>
      <c r="I288" s="12" t="s">
        <v>51</v>
      </c>
    </row>
    <row r="289" spans="1:9" ht="15.5" x14ac:dyDescent="0.35">
      <c r="A289" s="14" t="s">
        <v>197</v>
      </c>
      <c r="B289" s="15" t="s" cm="1">
        <v>19</v>
      </c>
      <c r="C289" s="15" t="s" cm="1">
        <v>21</v>
      </c>
      <c r="D289" s="15" t="s">
        <v>1859</v>
      </c>
      <c r="E289" s="15" t="s" cm="1">
        <v>1635</v>
      </c>
      <c r="F289" s="12" t="s">
        <v>1643</v>
      </c>
      <c r="G289" s="12" t="s">
        <v>900</v>
      </c>
      <c r="H289" s="12" t="s">
        <v>23</v>
      </c>
      <c r="I289" s="12" t="s">
        <v>22</v>
      </c>
    </row>
    <row r="290" spans="1:9" ht="15.5" x14ac:dyDescent="0.35">
      <c r="A290" s="14" t="s">
        <v>382</v>
      </c>
      <c r="B290" s="15" t="s" cm="1">
        <v>89</v>
      </c>
      <c r="C290" s="15" t="s" cm="1">
        <v>21</v>
      </c>
      <c r="D290" s="15" t="s">
        <v>383</v>
      </c>
      <c r="E290" s="15" t="s" cm="1">
        <v>1635</v>
      </c>
      <c r="F290" s="12" t="s">
        <v>1649</v>
      </c>
      <c r="G290" s="12" t="s">
        <v>945</v>
      </c>
      <c r="H290" s="12" t="s">
        <v>236</v>
      </c>
      <c r="I290" s="12" t="s">
        <v>195</v>
      </c>
    </row>
    <row r="291" spans="1:9" ht="15.5" x14ac:dyDescent="0.35">
      <c r="A291" s="14" t="s">
        <v>154</v>
      </c>
      <c r="B291" s="15" t="s" cm="1">
        <v>89</v>
      </c>
      <c r="C291" s="15" t="s" cm="1">
        <v>21</v>
      </c>
      <c r="D291" s="15" t="s">
        <v>1860</v>
      </c>
      <c r="E291" s="15" t="s" cm="1">
        <v>1639</v>
      </c>
      <c r="F291" s="12" t="s">
        <v>1636</v>
      </c>
      <c r="G291" s="12" t="s">
        <v>893</v>
      </c>
      <c r="H291" s="12" t="s">
        <v>35</v>
      </c>
      <c r="I291" s="12" t="s">
        <v>34</v>
      </c>
    </row>
    <row r="292" spans="1:9" ht="15.5" x14ac:dyDescent="0.35">
      <c r="A292" s="14" t="s">
        <v>364</v>
      </c>
      <c r="B292" s="15" t="s" cm="1">
        <v>19</v>
      </c>
      <c r="C292" s="15" t="s" cm="1">
        <v>21</v>
      </c>
      <c r="D292" s="15" t="s">
        <v>1861</v>
      </c>
      <c r="E292" s="15" t="s" cm="1">
        <v>1635</v>
      </c>
      <c r="F292" s="12" t="s">
        <v>1664</v>
      </c>
      <c r="G292" s="12" t="s">
        <v>942</v>
      </c>
      <c r="H292" s="12" t="s">
        <v>92</v>
      </c>
      <c r="I292" s="12" t="s">
        <v>91</v>
      </c>
    </row>
    <row r="293" spans="1:9" ht="15.5" x14ac:dyDescent="0.35">
      <c r="A293" s="14" t="s">
        <v>72</v>
      </c>
      <c r="B293" s="15" t="s" cm="1">
        <v>19</v>
      </c>
      <c r="C293" s="15" t="s" cm="1">
        <v>21</v>
      </c>
      <c r="D293" s="15" t="s">
        <v>74</v>
      </c>
      <c r="E293" s="15" t="s" cm="1">
        <v>1635</v>
      </c>
      <c r="F293" s="12" t="s">
        <v>1693</v>
      </c>
      <c r="G293" s="12" t="s">
        <v>24</v>
      </c>
      <c r="H293" s="12" t="s">
        <v>52</v>
      </c>
      <c r="I293" s="12" t="s">
        <v>51</v>
      </c>
    </row>
    <row r="294" spans="1:9" ht="15.5" x14ac:dyDescent="0.35">
      <c r="A294" s="14" t="s">
        <v>77</v>
      </c>
      <c r="B294" s="15" t="s" cm="1">
        <v>19</v>
      </c>
      <c r="C294" s="15" t="s" cm="1">
        <v>21</v>
      </c>
      <c r="D294" s="15" t="s">
        <v>78</v>
      </c>
      <c r="E294" s="15" t="s" cm="1">
        <v>1635</v>
      </c>
      <c r="F294" s="12" t="s">
        <v>1693</v>
      </c>
      <c r="G294" s="12" t="s">
        <v>24</v>
      </c>
      <c r="H294" s="12" t="s">
        <v>58</v>
      </c>
      <c r="I294" s="12" t="s">
        <v>57</v>
      </c>
    </row>
    <row r="295" spans="1:9" ht="15.5" x14ac:dyDescent="0.35">
      <c r="A295" s="14" t="s">
        <v>113</v>
      </c>
      <c r="B295" s="15" t="s" cm="1">
        <v>19</v>
      </c>
      <c r="C295" s="15" t="s" cm="1">
        <v>21</v>
      </c>
      <c r="D295" s="15" t="s">
        <v>1862</v>
      </c>
      <c r="E295" s="15" t="s" cm="1">
        <v>1639</v>
      </c>
      <c r="F295" s="12" t="s">
        <v>1636</v>
      </c>
      <c r="G295" s="12" t="s">
        <v>24</v>
      </c>
      <c r="H295" s="12" t="s">
        <v>58</v>
      </c>
      <c r="I295" s="12" t="s">
        <v>57</v>
      </c>
    </row>
    <row r="296" spans="1:9" ht="15.5" x14ac:dyDescent="0.35">
      <c r="A296" s="14" t="s">
        <v>396</v>
      </c>
      <c r="B296" s="15" t="s" cm="1">
        <v>19</v>
      </c>
      <c r="C296" s="15" t="s" cm="1">
        <v>21</v>
      </c>
      <c r="D296" s="15" t="s">
        <v>1628</v>
      </c>
      <c r="E296" s="15" t="s" cm="1">
        <v>1635</v>
      </c>
      <c r="F296" s="12" t="s">
        <v>1649</v>
      </c>
      <c r="G296" s="12" t="s">
        <v>946</v>
      </c>
      <c r="H296" s="12" t="s">
        <v>52</v>
      </c>
      <c r="I296" s="12" t="s">
        <v>51</v>
      </c>
    </row>
    <row r="297" spans="1:9" ht="15.5" x14ac:dyDescent="0.35">
      <c r="A297" s="14" t="s">
        <v>241</v>
      </c>
      <c r="B297" s="15" t="s" cm="1">
        <v>19</v>
      </c>
      <c r="C297" s="15" t="s" cm="1">
        <v>21</v>
      </c>
      <c r="D297" s="15" t="s">
        <v>1863</v>
      </c>
      <c r="E297" s="15" t="s" cm="1">
        <v>1635</v>
      </c>
      <c r="F297" s="12" t="s">
        <v>1641</v>
      </c>
      <c r="G297" s="12" t="s">
        <v>889</v>
      </c>
      <c r="H297" s="12" t="s">
        <v>117</v>
      </c>
      <c r="I297" s="12" t="s">
        <v>34</v>
      </c>
    </row>
    <row r="298" spans="1:9" ht="15.5" x14ac:dyDescent="0.35">
      <c r="A298" s="14" t="s">
        <v>239</v>
      </c>
      <c r="B298" s="15" t="s" cm="1">
        <v>19</v>
      </c>
      <c r="C298" s="15" t="s" cm="1">
        <v>21</v>
      </c>
      <c r="D298" s="15" t="s">
        <v>240</v>
      </c>
      <c r="E298" s="15" t="s" cm="1">
        <v>1635</v>
      </c>
      <c r="F298" s="12" t="s">
        <v>1638</v>
      </c>
      <c r="G298" s="12" t="s">
        <v>878</v>
      </c>
      <c r="H298" s="12" t="s">
        <v>35</v>
      </c>
      <c r="I298" s="12" t="s">
        <v>34</v>
      </c>
    </row>
    <row r="299" spans="1:9" ht="15.5" x14ac:dyDescent="0.35">
      <c r="A299" s="14" t="s">
        <v>219</v>
      </c>
      <c r="B299" s="15" t="s" cm="1">
        <v>19</v>
      </c>
      <c r="C299" s="15" t="s" cm="1">
        <v>21</v>
      </c>
      <c r="D299" s="15" t="s">
        <v>1864</v>
      </c>
      <c r="E299" s="15" t="s" cm="1">
        <v>1639</v>
      </c>
      <c r="F299" s="12" t="s">
        <v>1638</v>
      </c>
      <c r="G299" s="12" t="s">
        <v>881</v>
      </c>
      <c r="H299" s="12" t="s">
        <v>52</v>
      </c>
      <c r="I299" s="12" t="s">
        <v>51</v>
      </c>
    </row>
    <row r="300" spans="1:9" ht="15.5" x14ac:dyDescent="0.35">
      <c r="A300" s="14" t="s">
        <v>173</v>
      </c>
      <c r="B300" s="15" t="s" cm="1">
        <v>19</v>
      </c>
      <c r="C300" s="15" t="s" cm="1">
        <v>21</v>
      </c>
      <c r="D300" s="15" t="s">
        <v>174</v>
      </c>
      <c r="E300" s="15" t="s" cm="1">
        <v>1635</v>
      </c>
      <c r="F300" s="12" t="s">
        <v>1643</v>
      </c>
      <c r="G300" s="12" t="s">
        <v>882</v>
      </c>
      <c r="H300" s="12" t="s">
        <v>29</v>
      </c>
      <c r="I300" s="12" t="s">
        <v>28</v>
      </c>
    </row>
    <row r="301" spans="1:9" ht="15.5" x14ac:dyDescent="0.35">
      <c r="A301" s="14" t="s">
        <v>384</v>
      </c>
      <c r="B301" s="15" t="s" cm="1">
        <v>19</v>
      </c>
      <c r="C301" s="15" t="s" cm="1">
        <v>21</v>
      </c>
      <c r="D301" s="15" t="s">
        <v>1865</v>
      </c>
      <c r="E301" s="15" t="s" cm="1">
        <v>1635</v>
      </c>
      <c r="F301" s="12" t="s">
        <v>1649</v>
      </c>
      <c r="G301" s="12" t="s">
        <v>946</v>
      </c>
      <c r="H301" s="12" t="s">
        <v>236</v>
      </c>
      <c r="I301" s="12" t="s">
        <v>195</v>
      </c>
    </row>
    <row r="302" spans="1:9" ht="15.5" x14ac:dyDescent="0.35">
      <c r="A302" s="14" t="s">
        <v>148</v>
      </c>
      <c r="B302" s="15" t="s" cm="1">
        <v>19</v>
      </c>
      <c r="C302" s="15" t="s" cm="1">
        <v>21</v>
      </c>
      <c r="D302" s="15" t="s">
        <v>1866</v>
      </c>
      <c r="E302" s="15" t="s" cm="1">
        <v>1635</v>
      </c>
      <c r="F302" s="12" t="s">
        <v>1638</v>
      </c>
      <c r="G302" s="12" t="s">
        <v>891</v>
      </c>
      <c r="H302" s="12" t="s">
        <v>29</v>
      </c>
      <c r="I302" s="12" t="s">
        <v>28</v>
      </c>
    </row>
    <row r="303" spans="1:9" ht="15.5" x14ac:dyDescent="0.35">
      <c r="A303" s="14" t="s">
        <v>144</v>
      </c>
      <c r="B303" s="15" t="s" cm="1">
        <v>19</v>
      </c>
      <c r="C303" s="15" t="s" cm="1">
        <v>21</v>
      </c>
      <c r="D303" s="15" t="s">
        <v>1867</v>
      </c>
      <c r="E303" s="15" t="s" cm="1">
        <v>1635</v>
      </c>
      <c r="F303" s="12" t="s">
        <v>1641</v>
      </c>
      <c r="G303" s="12" t="s">
        <v>889</v>
      </c>
      <c r="H303" s="12" t="s">
        <v>58</v>
      </c>
      <c r="I303" s="12" t="s">
        <v>57</v>
      </c>
    </row>
    <row r="304" spans="1:9" ht="15.5" x14ac:dyDescent="0.35">
      <c r="A304" s="14" t="s">
        <v>120</v>
      </c>
      <c r="B304" s="15" t="s" cm="1">
        <v>19</v>
      </c>
      <c r="C304" s="15" t="s" cm="1">
        <v>21</v>
      </c>
      <c r="D304" s="15" t="s">
        <v>121</v>
      </c>
      <c r="E304" s="15" t="s" cm="1">
        <v>1635</v>
      </c>
      <c r="F304" s="12" t="s">
        <v>1643</v>
      </c>
      <c r="G304" s="12" t="s">
        <v>882</v>
      </c>
      <c r="H304" s="12" t="s">
        <v>52</v>
      </c>
      <c r="I304" s="12" t="s">
        <v>51</v>
      </c>
    </row>
    <row r="305" spans="1:9" ht="15.5" x14ac:dyDescent="0.35">
      <c r="A305" s="14" t="s">
        <v>118</v>
      </c>
      <c r="B305" s="15" t="s" cm="1">
        <v>19</v>
      </c>
      <c r="C305" s="15" t="s" cm="1">
        <v>21</v>
      </c>
      <c r="D305" s="15" t="s">
        <v>119</v>
      </c>
      <c r="E305" s="15" t="s" cm="1">
        <v>1635</v>
      </c>
      <c r="F305" s="12" t="s">
        <v>1664</v>
      </c>
      <c r="G305" s="12" t="s">
        <v>1055</v>
      </c>
      <c r="H305" s="12" t="s">
        <v>29</v>
      </c>
      <c r="I305" s="12" t="s">
        <v>28</v>
      </c>
    </row>
    <row r="306" spans="1:9" ht="15.5" x14ac:dyDescent="0.35">
      <c r="A306" s="14" t="s">
        <v>101</v>
      </c>
      <c r="B306" s="15" t="s" cm="1">
        <v>19</v>
      </c>
      <c r="C306" s="15" t="s" cm="1">
        <v>21</v>
      </c>
      <c r="D306" s="15" t="s">
        <v>1868</v>
      </c>
      <c r="E306" s="15" t="s" cm="1">
        <v>1635</v>
      </c>
      <c r="F306" s="12" t="s">
        <v>1643</v>
      </c>
      <c r="G306" s="12" t="s">
        <v>896</v>
      </c>
      <c r="H306" s="12" t="s">
        <v>52</v>
      </c>
      <c r="I306" s="12" t="s">
        <v>51</v>
      </c>
    </row>
    <row r="307" spans="1:9" ht="15.5" x14ac:dyDescent="0.35">
      <c r="A307" s="14" t="s">
        <v>99</v>
      </c>
      <c r="B307" s="15" t="s" cm="1">
        <v>19</v>
      </c>
      <c r="C307" s="15" t="s" cm="1">
        <v>21</v>
      </c>
      <c r="D307" s="15" t="s">
        <v>1869</v>
      </c>
      <c r="E307" s="15" t="s" cm="1">
        <v>1635</v>
      </c>
      <c r="F307" s="12" t="s">
        <v>1638</v>
      </c>
      <c r="G307" s="12" t="s">
        <v>878</v>
      </c>
      <c r="H307" s="12" t="s">
        <v>35</v>
      </c>
      <c r="I307" s="12" t="s">
        <v>34</v>
      </c>
    </row>
    <row r="308" spans="1:9" ht="15.5" x14ac:dyDescent="0.35">
      <c r="A308" s="14" t="s">
        <v>277</v>
      </c>
      <c r="B308" s="15" t="s" cm="1">
        <v>19</v>
      </c>
      <c r="C308" s="15" t="s" cm="1">
        <v>21</v>
      </c>
      <c r="D308" s="15" t="s">
        <v>1870</v>
      </c>
      <c r="E308" s="15" t="s" cm="1">
        <v>1639</v>
      </c>
      <c r="F308" s="12" t="s">
        <v>1649</v>
      </c>
      <c r="G308" s="12" t="s">
        <v>918</v>
      </c>
      <c r="H308" s="12" t="s">
        <v>35</v>
      </c>
      <c r="I308" s="12" t="s">
        <v>34</v>
      </c>
    </row>
    <row r="309" spans="1:9" ht="15.5" x14ac:dyDescent="0.35">
      <c r="A309" s="14" t="s">
        <v>261</v>
      </c>
      <c r="B309" s="15" t="s" cm="1">
        <v>19</v>
      </c>
      <c r="C309" s="15" t="s" cm="1">
        <v>21</v>
      </c>
      <c r="D309" s="15" t="s">
        <v>1871</v>
      </c>
      <c r="E309" s="15" t="s" cm="1">
        <v>1639</v>
      </c>
      <c r="F309" s="12" t="s">
        <v>1636</v>
      </c>
      <c r="G309" s="12" t="s">
        <v>913</v>
      </c>
      <c r="H309" s="12" t="s">
        <v>29</v>
      </c>
      <c r="I309" s="12" t="s">
        <v>28</v>
      </c>
    </row>
    <row r="310" spans="1:9" ht="15.5" x14ac:dyDescent="0.35">
      <c r="A310" s="14" t="s">
        <v>205</v>
      </c>
      <c r="B310" s="15" t="s" cm="1">
        <v>19</v>
      </c>
      <c r="C310" s="15" t="s" cm="1">
        <v>21</v>
      </c>
      <c r="D310" s="15" t="s">
        <v>206</v>
      </c>
      <c r="E310" s="15" t="s" cm="1">
        <v>1639</v>
      </c>
      <c r="F310" s="12" t="s">
        <v>1636</v>
      </c>
      <c r="G310" s="12" t="s">
        <v>903</v>
      </c>
      <c r="H310" s="12" t="s">
        <v>52</v>
      </c>
      <c r="I310" s="12" t="s">
        <v>51</v>
      </c>
    </row>
    <row r="311" spans="1:9" ht="15.5" x14ac:dyDescent="0.35">
      <c r="A311" s="14" t="s">
        <v>156</v>
      </c>
      <c r="B311" s="15" t="s" cm="1">
        <v>19</v>
      </c>
      <c r="C311" s="15" t="s" cm="1">
        <v>21</v>
      </c>
      <c r="D311" s="15" t="s">
        <v>1872</v>
      </c>
      <c r="E311" s="15" t="s" cm="1">
        <v>1635</v>
      </c>
      <c r="F311" s="12" t="s">
        <v>1649</v>
      </c>
      <c r="G311" s="12" t="s">
        <v>24</v>
      </c>
      <c r="H311" s="12" t="s">
        <v>45</v>
      </c>
      <c r="I311" s="12" t="s">
        <v>44</v>
      </c>
    </row>
    <row r="312" spans="1:9" ht="15.5" x14ac:dyDescent="0.35">
      <c r="A312" s="14" t="s">
        <v>152</v>
      </c>
      <c r="B312" s="15" t="s" cm="1">
        <v>19</v>
      </c>
      <c r="C312" s="15" t="s" cm="1">
        <v>21</v>
      </c>
      <c r="D312" s="15" t="s">
        <v>1873</v>
      </c>
      <c r="E312" s="15" t="s" cm="1">
        <v>1639</v>
      </c>
      <c r="F312" s="12" t="s">
        <v>1636</v>
      </c>
      <c r="G312" s="12" t="s">
        <v>880</v>
      </c>
      <c r="H312" s="12" t="s">
        <v>58</v>
      </c>
      <c r="I312" s="12" t="s">
        <v>57</v>
      </c>
    </row>
    <row r="313" spans="1:9" ht="15.5" x14ac:dyDescent="0.35">
      <c r="A313" s="14" t="s">
        <v>380</v>
      </c>
      <c r="B313" s="15" t="s" cm="1">
        <v>19</v>
      </c>
      <c r="C313" s="15" t="s" cm="1">
        <v>21</v>
      </c>
      <c r="D313" s="15" t="s">
        <v>1874</v>
      </c>
      <c r="E313" s="15" t="s" cm="1">
        <v>1639</v>
      </c>
      <c r="F313" s="12" t="s">
        <v>1649</v>
      </c>
      <c r="G313" s="12" t="s">
        <v>908</v>
      </c>
      <c r="H313" s="12" t="s">
        <v>130</v>
      </c>
      <c r="I313" s="12" t="s">
        <v>22</v>
      </c>
    </row>
    <row r="314" spans="1:9" ht="15.5" x14ac:dyDescent="0.35">
      <c r="A314" s="14" t="s">
        <v>362</v>
      </c>
      <c r="B314" s="15" t="s" cm="1">
        <v>19</v>
      </c>
      <c r="C314" s="15" t="s" cm="1">
        <v>21</v>
      </c>
      <c r="D314" s="15" t="s">
        <v>363</v>
      </c>
      <c r="E314" s="15" t="s" cm="1">
        <v>1639</v>
      </c>
      <c r="F314" s="12" t="s">
        <v>1649</v>
      </c>
      <c r="G314" s="12" t="s">
        <v>908</v>
      </c>
      <c r="H314" s="12" t="s">
        <v>130</v>
      </c>
      <c r="I314" s="12" t="s">
        <v>22</v>
      </c>
    </row>
    <row r="315" spans="1:9" ht="15.5" x14ac:dyDescent="0.35">
      <c r="A315" s="14" t="s">
        <v>348</v>
      </c>
      <c r="B315" s="15" t="s" cm="1">
        <v>19</v>
      </c>
      <c r="C315" s="15" t="s" cm="1">
        <v>21</v>
      </c>
      <c r="D315" s="15" t="s">
        <v>1875</v>
      </c>
      <c r="E315" s="15" t="s" cm="1">
        <v>1639</v>
      </c>
      <c r="F315" s="12" t="s">
        <v>1649</v>
      </c>
      <c r="G315" s="12" t="s">
        <v>24</v>
      </c>
      <c r="H315" s="12" t="s">
        <v>236</v>
      </c>
      <c r="I315" s="12" t="s">
        <v>195</v>
      </c>
    </row>
    <row r="316" spans="1:9" ht="15.5" x14ac:dyDescent="0.35">
      <c r="A316" s="14" t="s">
        <v>346</v>
      </c>
      <c r="B316" s="15" t="s" cm="1">
        <v>19</v>
      </c>
      <c r="C316" s="15" t="s" cm="1">
        <v>21</v>
      </c>
      <c r="D316" s="15" t="s">
        <v>347</v>
      </c>
      <c r="E316" s="15" t="s" cm="1">
        <v>1639</v>
      </c>
      <c r="F316" s="12" t="s">
        <v>1649</v>
      </c>
      <c r="G316" s="12" t="s">
        <v>938</v>
      </c>
      <c r="H316" s="12" t="s">
        <v>130</v>
      </c>
      <c r="I316" s="12" t="s">
        <v>22</v>
      </c>
    </row>
    <row r="317" spans="1:9" ht="15.5" x14ac:dyDescent="0.35">
      <c r="A317" s="14" t="s">
        <v>344</v>
      </c>
      <c r="B317" s="15" t="s" cm="1">
        <v>19</v>
      </c>
      <c r="C317" s="15" t="s" cm="1">
        <v>21</v>
      </c>
      <c r="D317" s="15" t="s">
        <v>345</v>
      </c>
      <c r="E317" s="15" t="s" cm="1">
        <v>1639</v>
      </c>
      <c r="F317" s="12" t="s">
        <v>1649</v>
      </c>
      <c r="G317" s="12" t="s">
        <v>938</v>
      </c>
      <c r="H317" s="12" t="s">
        <v>130</v>
      </c>
      <c r="I317" s="12" t="s">
        <v>22</v>
      </c>
    </row>
    <row r="318" spans="1:9" ht="15.5" x14ac:dyDescent="0.35">
      <c r="A318" s="14" t="s">
        <v>342</v>
      </c>
      <c r="B318" s="15" t="s" cm="1">
        <v>19</v>
      </c>
      <c r="C318" s="15" t="s" cm="1">
        <v>21</v>
      </c>
      <c r="D318" s="15" t="s">
        <v>343</v>
      </c>
      <c r="E318" s="15" t="s" cm="1">
        <v>1639</v>
      </c>
      <c r="F318" s="12" t="s">
        <v>1649</v>
      </c>
      <c r="G318" s="12" t="s">
        <v>938</v>
      </c>
      <c r="H318" s="12" t="s">
        <v>236</v>
      </c>
      <c r="I318" s="12" t="s">
        <v>195</v>
      </c>
    </row>
    <row r="319" spans="1:9" ht="15.5" x14ac:dyDescent="0.35">
      <c r="A319" s="14" t="s">
        <v>291</v>
      </c>
      <c r="B319" s="15" t="s" cm="1">
        <v>19</v>
      </c>
      <c r="C319" s="15" t="s" cm="1">
        <v>21</v>
      </c>
      <c r="D319" s="15" t="s">
        <v>292</v>
      </c>
      <c r="E319" s="15" t="s" cm="1">
        <v>1639</v>
      </c>
      <c r="F319" s="12" t="s">
        <v>1636</v>
      </c>
      <c r="G319" s="12" t="s">
        <v>893</v>
      </c>
      <c r="H319" s="12" t="s">
        <v>130</v>
      </c>
      <c r="I319" s="12" t="s">
        <v>22</v>
      </c>
    </row>
    <row r="320" spans="1:9" ht="15.5" x14ac:dyDescent="0.35">
      <c r="A320" s="14" t="s">
        <v>193</v>
      </c>
      <c r="B320" s="15" t="s" cm="1">
        <v>19</v>
      </c>
      <c r="C320" s="15" t="s" cm="1">
        <v>21</v>
      </c>
      <c r="D320" s="15" t="s">
        <v>1876</v>
      </c>
      <c r="E320" s="15" t="s" cm="1">
        <v>1639</v>
      </c>
      <c r="F320" s="12" t="s">
        <v>1638</v>
      </c>
      <c r="G320" s="12" t="s">
        <v>899</v>
      </c>
      <c r="H320" s="12" t="s">
        <v>196</v>
      </c>
      <c r="I320" s="12" t="s">
        <v>195</v>
      </c>
    </row>
    <row r="321" spans="1:9" ht="15.5" x14ac:dyDescent="0.35">
      <c r="A321" s="14" t="s">
        <v>267</v>
      </c>
      <c r="B321" s="15" t="s" cm="1">
        <v>19</v>
      </c>
      <c r="C321" s="15" t="s" cm="1">
        <v>21</v>
      </c>
      <c r="D321" s="15" t="s">
        <v>268</v>
      </c>
      <c r="E321" s="15" t="s" cm="1">
        <v>1639</v>
      </c>
      <c r="F321" s="12" t="s">
        <v>1636</v>
      </c>
      <c r="G321" s="12" t="s">
        <v>24</v>
      </c>
      <c r="H321" s="12" t="s">
        <v>130</v>
      </c>
      <c r="I321" s="12" t="s">
        <v>22</v>
      </c>
    </row>
    <row r="322" spans="1:9" ht="15.5" x14ac:dyDescent="0.35">
      <c r="A322" s="14" t="s">
        <v>159</v>
      </c>
      <c r="B322" s="15" t="s" cm="1">
        <v>19</v>
      </c>
      <c r="C322" s="15" t="s" cm="1">
        <v>21</v>
      </c>
      <c r="D322" s="15" t="s">
        <v>1877</v>
      </c>
      <c r="E322" s="15" t="s" cm="1">
        <v>1639</v>
      </c>
      <c r="F322" s="12" t="s">
        <v>1636</v>
      </c>
      <c r="G322" s="12" t="s">
        <v>24</v>
      </c>
      <c r="H322" s="12" t="s">
        <v>162</v>
      </c>
      <c r="I322" s="12" t="s">
        <v>161</v>
      </c>
    </row>
    <row r="323" spans="1:9" ht="15.5" x14ac:dyDescent="0.35">
      <c r="A323" s="14" t="s">
        <v>470</v>
      </c>
      <c r="B323" s="15" t="s" cm="1">
        <v>19</v>
      </c>
      <c r="C323" s="15" t="s" cm="1">
        <v>21</v>
      </c>
      <c r="D323" s="15" t="s">
        <v>1878</v>
      </c>
      <c r="E323" s="15" t="s" cm="1">
        <v>1639</v>
      </c>
      <c r="F323" s="12" t="s">
        <v>1638</v>
      </c>
      <c r="G323" s="12" t="s">
        <v>952</v>
      </c>
      <c r="H323" s="12" t="s">
        <v>92</v>
      </c>
      <c r="I323" s="12" t="s">
        <v>91</v>
      </c>
    </row>
    <row r="324" spans="1:9" ht="15.5" x14ac:dyDescent="0.35">
      <c r="A324" s="14" t="s">
        <v>533</v>
      </c>
      <c r="B324" s="15" t="s" cm="1">
        <v>19</v>
      </c>
      <c r="C324" s="15" t="s" cm="1">
        <v>21</v>
      </c>
      <c r="D324" s="15" t="s">
        <v>534</v>
      </c>
      <c r="E324" s="15" t="s" cm="1">
        <v>1639</v>
      </c>
      <c r="F324" s="12" t="s">
        <v>1638</v>
      </c>
      <c r="G324" s="12" t="s">
        <v>920</v>
      </c>
      <c r="H324" s="12" t="s">
        <v>58</v>
      </c>
      <c r="I324" s="12" t="s">
        <v>57</v>
      </c>
    </row>
    <row r="325" spans="1:9" ht="15.5" x14ac:dyDescent="0.35">
      <c r="A325" s="14" t="s">
        <v>767</v>
      </c>
      <c r="B325" s="15" t="s" cm="1">
        <v>19</v>
      </c>
      <c r="C325" s="15" t="s" cm="1">
        <v>21</v>
      </c>
      <c r="D325" s="15" t="s">
        <v>1879</v>
      </c>
      <c r="E325" s="15" t="s" cm="1">
        <v>1635</v>
      </c>
      <c r="F325" s="12" t="s">
        <v>1693</v>
      </c>
      <c r="G325" s="12" t="s">
        <v>24</v>
      </c>
      <c r="H325" s="12" t="s">
        <v>23</v>
      </c>
      <c r="I325" s="12" t="s">
        <v>22</v>
      </c>
    </row>
    <row r="326" spans="1:9" ht="15.5" x14ac:dyDescent="0.35">
      <c r="A326" s="14" t="s">
        <v>477</v>
      </c>
      <c r="B326" s="15" t="s" cm="1">
        <v>19</v>
      </c>
      <c r="C326" s="15" t="s" cm="1">
        <v>21</v>
      </c>
      <c r="D326" s="15" t="s">
        <v>1880</v>
      </c>
      <c r="E326" s="15" t="s" cm="1">
        <v>1635</v>
      </c>
      <c r="F326" s="12" t="s">
        <v>1643</v>
      </c>
      <c r="G326" s="12" t="s">
        <v>953</v>
      </c>
      <c r="H326" s="12" t="s">
        <v>196</v>
      </c>
      <c r="I326" s="12" t="s">
        <v>195</v>
      </c>
    </row>
    <row r="327" spans="1:9" ht="15.5" x14ac:dyDescent="0.35">
      <c r="A327" s="14" t="s">
        <v>777</v>
      </c>
      <c r="B327" s="15" t="s" cm="1">
        <v>19</v>
      </c>
      <c r="C327" s="15" t="s" cm="1">
        <v>21</v>
      </c>
      <c r="D327" s="15" t="s">
        <v>778</v>
      </c>
      <c r="E327" s="15" t="s" cm="1">
        <v>1635</v>
      </c>
      <c r="F327" s="12" t="s">
        <v>1641</v>
      </c>
      <c r="G327" s="12" t="s">
        <v>926</v>
      </c>
      <c r="H327" s="12" t="s">
        <v>92</v>
      </c>
      <c r="I327" s="12" t="s">
        <v>91</v>
      </c>
    </row>
    <row r="328" spans="1:9" ht="15.5" x14ac:dyDescent="0.35">
      <c r="A328" s="14" t="s">
        <v>475</v>
      </c>
      <c r="B328" s="15" t="s" cm="1">
        <v>89</v>
      </c>
      <c r="C328" s="15" t="s" cm="1">
        <v>21</v>
      </c>
      <c r="D328" s="15" t="s">
        <v>1881</v>
      </c>
      <c r="E328" s="15" t="s" cm="1">
        <v>1639</v>
      </c>
      <c r="F328" s="12" t="s">
        <v>1638</v>
      </c>
      <c r="G328" s="12" t="s">
        <v>899</v>
      </c>
      <c r="H328" s="12" t="s">
        <v>196</v>
      </c>
      <c r="I328" s="12" t="s">
        <v>195</v>
      </c>
    </row>
    <row r="329" spans="1:9" ht="15.5" x14ac:dyDescent="0.35">
      <c r="A329" s="14" t="s">
        <v>569</v>
      </c>
      <c r="B329" s="15" t="s" cm="1">
        <v>19</v>
      </c>
      <c r="C329" s="15" t="s" cm="1">
        <v>21</v>
      </c>
      <c r="D329" s="15" t="s">
        <v>1882</v>
      </c>
      <c r="E329" s="15" t="s" cm="1">
        <v>1635</v>
      </c>
      <c r="F329" s="12" t="s">
        <v>1693</v>
      </c>
      <c r="G329" s="12" t="s">
        <v>962</v>
      </c>
      <c r="H329" s="12" t="s">
        <v>196</v>
      </c>
      <c r="I329" s="12" t="s">
        <v>195</v>
      </c>
    </row>
    <row r="330" spans="1:9" ht="15.5" x14ac:dyDescent="0.35">
      <c r="A330" s="14" t="s">
        <v>95</v>
      </c>
      <c r="B330" s="15" t="s" cm="1">
        <v>19</v>
      </c>
      <c r="C330" s="15" t="s" cm="1">
        <v>21</v>
      </c>
      <c r="D330" s="15" t="s">
        <v>96</v>
      </c>
      <c r="E330" s="15" t="s" cm="1">
        <v>1635</v>
      </c>
      <c r="F330" s="12" t="s">
        <v>1693</v>
      </c>
      <c r="G330" s="12" t="s">
        <v>877</v>
      </c>
      <c r="H330" s="12" t="s">
        <v>52</v>
      </c>
      <c r="I330" s="12" t="s">
        <v>51</v>
      </c>
    </row>
    <row r="331" spans="1:9" ht="15.5" x14ac:dyDescent="0.35">
      <c r="A331" s="14" t="s">
        <v>762</v>
      </c>
      <c r="B331" s="15" t="s" cm="1">
        <v>986</v>
      </c>
      <c r="C331" s="15" t="s" cm="1">
        <v>21</v>
      </c>
      <c r="D331" s="15" t="s">
        <v>763</v>
      </c>
      <c r="E331" s="15" t="s" cm="1">
        <v>1639</v>
      </c>
      <c r="F331" s="12" t="s">
        <v>1636</v>
      </c>
      <c r="G331" s="12" t="s">
        <v>24</v>
      </c>
      <c r="H331" s="12" t="s">
        <v>58</v>
      </c>
      <c r="I331" s="12" t="s">
        <v>57</v>
      </c>
    </row>
    <row r="332" spans="1:9" ht="15.5" x14ac:dyDescent="0.35">
      <c r="A332" s="14" t="s">
        <v>840</v>
      </c>
      <c r="B332" s="15" t="s" cm="1">
        <v>986</v>
      </c>
      <c r="C332" s="15" t="s" cm="1">
        <v>21</v>
      </c>
      <c r="D332" s="15" t="s">
        <v>1883</v>
      </c>
      <c r="E332" s="15" t="s" cm="1">
        <v>1639</v>
      </c>
      <c r="F332" s="12" t="s">
        <v>1636</v>
      </c>
      <c r="G332" s="12" t="s">
        <v>872</v>
      </c>
      <c r="H332" s="12" t="s">
        <v>58</v>
      </c>
      <c r="I332" s="12" t="s">
        <v>57</v>
      </c>
    </row>
    <row r="333" spans="1:9" ht="15.5" x14ac:dyDescent="0.35">
      <c r="A333" s="14" t="s">
        <v>835</v>
      </c>
      <c r="B333" s="15" t="s" cm="1">
        <v>986</v>
      </c>
      <c r="C333" s="15" t="s" cm="1">
        <v>21</v>
      </c>
      <c r="D333" s="15" t="s">
        <v>836</v>
      </c>
      <c r="E333" s="15" t="s" cm="1">
        <v>1639</v>
      </c>
      <c r="F333" s="12" t="s">
        <v>1636</v>
      </c>
      <c r="G333" s="12" t="s">
        <v>974</v>
      </c>
      <c r="H333" s="12" t="s">
        <v>58</v>
      </c>
      <c r="I333" s="12" t="s">
        <v>57</v>
      </c>
    </row>
    <row r="334" spans="1:9" ht="15.5" x14ac:dyDescent="0.35">
      <c r="A334" s="14" t="s">
        <v>837</v>
      </c>
      <c r="B334" s="15" t="s" cm="1">
        <v>986</v>
      </c>
      <c r="C334" s="15" t="s" cm="1">
        <v>21</v>
      </c>
      <c r="D334" s="15" t="s">
        <v>836</v>
      </c>
      <c r="E334" s="15" t="s" cm="1">
        <v>1639</v>
      </c>
      <c r="F334" s="12" t="s">
        <v>1636</v>
      </c>
      <c r="G334" s="12" t="s">
        <v>872</v>
      </c>
      <c r="H334" s="12" t="s">
        <v>58</v>
      </c>
      <c r="I334" s="12" t="s">
        <v>57</v>
      </c>
    </row>
    <row r="335" spans="1:9" ht="15.5" x14ac:dyDescent="0.35">
      <c r="A335" s="14" t="s">
        <v>833</v>
      </c>
      <c r="B335" s="15" t="s" cm="1">
        <v>986</v>
      </c>
      <c r="C335" s="15" t="s" cm="1">
        <v>21</v>
      </c>
      <c r="D335" s="15" t="s">
        <v>1884</v>
      </c>
      <c r="E335" s="15" t="s" cm="1">
        <v>1639</v>
      </c>
      <c r="F335" s="12" t="s">
        <v>1636</v>
      </c>
      <c r="G335" s="12" t="s">
        <v>974</v>
      </c>
      <c r="H335" s="12" t="s">
        <v>58</v>
      </c>
      <c r="I335" s="12" t="s">
        <v>57</v>
      </c>
    </row>
    <row r="336" spans="1:9" ht="15.5" x14ac:dyDescent="0.35">
      <c r="A336" s="14" t="s">
        <v>838</v>
      </c>
      <c r="B336" s="15" t="s" cm="1">
        <v>986</v>
      </c>
      <c r="C336" s="15" t="s" cm="1">
        <v>21</v>
      </c>
      <c r="D336" s="15" t="s">
        <v>1885</v>
      </c>
      <c r="E336" s="15" t="s" cm="1">
        <v>1639</v>
      </c>
      <c r="F336" s="12" t="s">
        <v>1636</v>
      </c>
      <c r="G336" s="12" t="s">
        <v>974</v>
      </c>
      <c r="H336" s="12" t="s">
        <v>184</v>
      </c>
      <c r="I336" s="12" t="s">
        <v>91</v>
      </c>
    </row>
    <row r="337" spans="1:9" ht="15.5" x14ac:dyDescent="0.35">
      <c r="A337" s="14" t="s">
        <v>831</v>
      </c>
      <c r="B337" s="15" t="s" cm="1">
        <v>986</v>
      </c>
      <c r="C337" s="15" t="s" cm="1">
        <v>21</v>
      </c>
      <c r="D337" s="15" t="s">
        <v>832</v>
      </c>
      <c r="E337" s="15" t="s" cm="1">
        <v>1639</v>
      </c>
      <c r="F337" s="12" t="s">
        <v>1636</v>
      </c>
      <c r="G337" s="12" t="s">
        <v>974</v>
      </c>
      <c r="H337" s="12" t="s">
        <v>58</v>
      </c>
      <c r="I337" s="12" t="s">
        <v>57</v>
      </c>
    </row>
    <row r="338" spans="1:9" ht="15.5" x14ac:dyDescent="0.35">
      <c r="A338" s="14" t="s">
        <v>855</v>
      </c>
      <c r="B338" s="15" t="s" cm="1">
        <v>986</v>
      </c>
      <c r="C338" s="15" t="s" cm="1">
        <v>21</v>
      </c>
      <c r="D338" s="15" t="s">
        <v>852</v>
      </c>
      <c r="E338" s="15" t="s" cm="1">
        <v>1639</v>
      </c>
      <c r="F338" s="12" t="s">
        <v>1636</v>
      </c>
      <c r="G338" s="12" t="s">
        <v>872</v>
      </c>
      <c r="H338" s="12" t="s">
        <v>58</v>
      </c>
      <c r="I338" s="12" t="s">
        <v>57</v>
      </c>
    </row>
    <row r="339" spans="1:9" ht="15.5" x14ac:dyDescent="0.35">
      <c r="A339" s="14" t="s">
        <v>809</v>
      </c>
      <c r="B339" s="15" t="s" cm="1">
        <v>986</v>
      </c>
      <c r="C339" s="15" t="s" cm="1">
        <v>21</v>
      </c>
      <c r="D339" s="15" t="s">
        <v>810</v>
      </c>
      <c r="E339" s="15" t="s" cm="1">
        <v>1639</v>
      </c>
      <c r="F339" s="12" t="s">
        <v>1636</v>
      </c>
      <c r="G339" s="12" t="s">
        <v>960</v>
      </c>
      <c r="H339" s="12" t="s">
        <v>58</v>
      </c>
      <c r="I339" s="12" t="s">
        <v>57</v>
      </c>
    </row>
    <row r="340" spans="1:9" ht="15.5" x14ac:dyDescent="0.35">
      <c r="A340" s="14" t="s">
        <v>519</v>
      </c>
      <c r="B340" s="15" t="s" cm="1">
        <v>986</v>
      </c>
      <c r="C340" s="15" t="s" cm="1">
        <v>21</v>
      </c>
      <c r="D340" s="15" t="s">
        <v>520</v>
      </c>
      <c r="E340" s="15" t="s" cm="1">
        <v>1635</v>
      </c>
      <c r="F340" s="12" t="s">
        <v>1638</v>
      </c>
      <c r="G340" s="12" t="s">
        <v>959</v>
      </c>
      <c r="H340" s="12" t="s">
        <v>196</v>
      </c>
      <c r="I340" s="12" t="s">
        <v>195</v>
      </c>
    </row>
    <row r="341" spans="1:9" ht="15.5" x14ac:dyDescent="0.35">
      <c r="A341" s="14" t="s">
        <v>513</v>
      </c>
      <c r="B341" s="15" t="s" cm="1">
        <v>986</v>
      </c>
      <c r="C341" s="15" t="s" cm="1">
        <v>21</v>
      </c>
      <c r="D341" s="15" t="s">
        <v>1886</v>
      </c>
      <c r="E341" s="15" t="s" cm="1">
        <v>1635</v>
      </c>
      <c r="F341" s="12" t="s">
        <v>1638</v>
      </c>
      <c r="G341" s="12" t="s">
        <v>956</v>
      </c>
      <c r="H341" s="12" t="s">
        <v>58</v>
      </c>
      <c r="I341" s="12" t="s">
        <v>57</v>
      </c>
    </row>
    <row r="342" spans="1:9" ht="15.5" x14ac:dyDescent="0.35">
      <c r="A342" s="14" t="s">
        <v>515</v>
      </c>
      <c r="B342" s="15" t="s" cm="1">
        <v>986</v>
      </c>
      <c r="C342" s="15" t="s" cm="1">
        <v>21</v>
      </c>
      <c r="D342" s="15" t="s">
        <v>1887</v>
      </c>
      <c r="E342" s="15" t="s" cm="1">
        <v>1635</v>
      </c>
      <c r="F342" s="12" t="s">
        <v>1638</v>
      </c>
      <c r="G342" s="12" t="s">
        <v>957</v>
      </c>
      <c r="H342" s="12" t="s">
        <v>58</v>
      </c>
      <c r="I342" s="12" t="s">
        <v>57</v>
      </c>
    </row>
    <row r="343" spans="1:9" ht="15.5" x14ac:dyDescent="0.35">
      <c r="A343" s="14" t="s">
        <v>771</v>
      </c>
      <c r="B343" s="15" t="s" cm="1">
        <v>986</v>
      </c>
      <c r="C343" s="15" t="s" cm="1">
        <v>21</v>
      </c>
      <c r="D343" s="15" t="s">
        <v>772</v>
      </c>
      <c r="E343" s="15" t="s" cm="1">
        <v>1635</v>
      </c>
      <c r="F343" s="12" t="s">
        <v>1641</v>
      </c>
      <c r="G343" s="12" t="s">
        <v>863</v>
      </c>
      <c r="H343" s="12" t="s">
        <v>196</v>
      </c>
      <c r="I343" s="12" t="s">
        <v>195</v>
      </c>
    </row>
    <row r="344" spans="1:9" ht="15.5" x14ac:dyDescent="0.35">
      <c r="A344" s="14" t="s">
        <v>790</v>
      </c>
      <c r="B344" s="15" t="s" cm="1">
        <v>986</v>
      </c>
      <c r="C344" s="15" t="s" cm="1">
        <v>21</v>
      </c>
      <c r="D344" s="15" t="s">
        <v>772</v>
      </c>
      <c r="E344" s="15" t="s" cm="1">
        <v>1635</v>
      </c>
      <c r="F344" s="12" t="s">
        <v>1641</v>
      </c>
      <c r="G344" s="12" t="s">
        <v>965</v>
      </c>
      <c r="H344" s="12" t="s">
        <v>196</v>
      </c>
      <c r="I344" s="12" t="s">
        <v>195</v>
      </c>
    </row>
    <row r="345" spans="1:9" ht="15.5" x14ac:dyDescent="0.35">
      <c r="A345" s="14" t="s">
        <v>784</v>
      </c>
      <c r="B345" s="15" t="s" cm="1">
        <v>986</v>
      </c>
      <c r="C345" s="15" t="s" cm="1">
        <v>21</v>
      </c>
      <c r="D345" s="15" t="s">
        <v>1888</v>
      </c>
      <c r="E345" s="15" t="s" cm="1">
        <v>1635</v>
      </c>
      <c r="F345" s="12" t="s">
        <v>1641</v>
      </c>
      <c r="G345" s="12" t="s">
        <v>926</v>
      </c>
      <c r="H345" s="12" t="s">
        <v>196</v>
      </c>
      <c r="I345" s="12" t="s">
        <v>195</v>
      </c>
    </row>
    <row r="346" spans="1:9" ht="15.5" x14ac:dyDescent="0.35">
      <c r="A346" s="14" t="s">
        <v>775</v>
      </c>
      <c r="B346" s="15" t="s" cm="1">
        <v>986</v>
      </c>
      <c r="C346" s="15" t="s" cm="1">
        <v>21</v>
      </c>
      <c r="D346" s="15" t="s">
        <v>1889</v>
      </c>
      <c r="E346" s="15" t="s" cm="1">
        <v>1635</v>
      </c>
      <c r="F346" s="12" t="s">
        <v>1641</v>
      </c>
      <c r="G346" s="12" t="s">
        <v>926</v>
      </c>
      <c r="H346" s="12" t="s">
        <v>92</v>
      </c>
      <c r="I346" s="12" t="s">
        <v>91</v>
      </c>
    </row>
    <row r="347" spans="1:9" ht="15.5" x14ac:dyDescent="0.35">
      <c r="A347" s="14" t="s">
        <v>805</v>
      </c>
      <c r="B347" s="15" t="s" cm="1">
        <v>986</v>
      </c>
      <c r="C347" s="15" t="s" cm="1">
        <v>21</v>
      </c>
      <c r="D347" s="15" t="s">
        <v>1890</v>
      </c>
      <c r="E347" s="15" t="s" cm="1">
        <v>1639</v>
      </c>
      <c r="F347" s="12" t="s">
        <v>1636</v>
      </c>
      <c r="G347" s="12" t="s">
        <v>970</v>
      </c>
      <c r="H347" s="12" t="s">
        <v>92</v>
      </c>
      <c r="I347" s="12" t="s">
        <v>91</v>
      </c>
    </row>
    <row r="348" spans="1:9" ht="15.5" x14ac:dyDescent="0.35">
      <c r="A348" s="14" t="s">
        <v>817</v>
      </c>
      <c r="B348" s="15" t="s" cm="1">
        <v>986</v>
      </c>
      <c r="C348" s="15" t="s" cm="1">
        <v>21</v>
      </c>
      <c r="D348" s="15" t="s">
        <v>1891</v>
      </c>
      <c r="E348" s="15" t="s" cm="1">
        <v>1639</v>
      </c>
      <c r="F348" s="12" t="s">
        <v>1636</v>
      </c>
      <c r="G348" s="12" t="s">
        <v>971</v>
      </c>
      <c r="H348" s="12" t="s">
        <v>58</v>
      </c>
      <c r="I348" s="12" t="s">
        <v>57</v>
      </c>
    </row>
    <row r="349" spans="1:9" ht="15.5" x14ac:dyDescent="0.35">
      <c r="A349" s="14" t="s">
        <v>811</v>
      </c>
      <c r="B349" s="15" t="s" cm="1">
        <v>986</v>
      </c>
      <c r="C349" s="15" t="s" cm="1">
        <v>21</v>
      </c>
      <c r="D349" s="15" t="s">
        <v>812</v>
      </c>
      <c r="E349" s="15" t="s" cm="1">
        <v>1639</v>
      </c>
      <c r="F349" s="12" t="s">
        <v>1636</v>
      </c>
      <c r="G349" s="12" t="s">
        <v>960</v>
      </c>
      <c r="H349" s="12" t="s">
        <v>58</v>
      </c>
      <c r="I349" s="12" t="s">
        <v>57</v>
      </c>
    </row>
    <row r="350" spans="1:9" ht="15.5" x14ac:dyDescent="0.35">
      <c r="A350" s="14" t="s">
        <v>813</v>
      </c>
      <c r="B350" s="15" t="s" cm="1">
        <v>986</v>
      </c>
      <c r="C350" s="15" t="s" cm="1">
        <v>21</v>
      </c>
      <c r="D350" s="15" t="s">
        <v>763</v>
      </c>
      <c r="E350" s="15" t="s" cm="1">
        <v>1639</v>
      </c>
      <c r="F350" s="12" t="s">
        <v>1636</v>
      </c>
      <c r="G350" s="12" t="s">
        <v>960</v>
      </c>
      <c r="H350" s="12" t="s">
        <v>58</v>
      </c>
      <c r="I350" s="12" t="s">
        <v>57</v>
      </c>
    </row>
    <row r="351" spans="1:9" ht="15.5" x14ac:dyDescent="0.35">
      <c r="A351" s="14" t="s">
        <v>523</v>
      </c>
      <c r="B351" s="15" t="s" cm="1">
        <v>986</v>
      </c>
      <c r="C351" s="15" t="s" cm="1">
        <v>21</v>
      </c>
      <c r="D351" s="15" t="s">
        <v>524</v>
      </c>
      <c r="E351" s="15" t="s" cm="1">
        <v>1639</v>
      </c>
      <c r="F351" s="12" t="s">
        <v>1636</v>
      </c>
      <c r="G351" s="12" t="s">
        <v>960</v>
      </c>
      <c r="H351" s="12" t="s">
        <v>92</v>
      </c>
      <c r="I351" s="12" t="s">
        <v>91</v>
      </c>
    </row>
    <row r="352" spans="1:9" ht="15.5" x14ac:dyDescent="0.35">
      <c r="A352" s="14" t="s">
        <v>608</v>
      </c>
      <c r="B352" s="15" t="s" cm="1">
        <v>986</v>
      </c>
      <c r="C352" s="15" t="s" cm="1">
        <v>21</v>
      </c>
      <c r="D352" s="15" t="s">
        <v>1892</v>
      </c>
      <c r="E352" s="15" t="s" cm="1">
        <v>1639</v>
      </c>
      <c r="F352" s="12" t="s">
        <v>1638</v>
      </c>
      <c r="G352" s="12" t="s">
        <v>24</v>
      </c>
      <c r="H352" s="12" t="s">
        <v>35</v>
      </c>
      <c r="I352" s="12" t="s">
        <v>34</v>
      </c>
    </row>
    <row r="353" spans="1:9" ht="15.5" x14ac:dyDescent="0.35">
      <c r="A353" s="14" t="s">
        <v>793</v>
      </c>
      <c r="B353" s="15" t="s" cm="1">
        <v>986</v>
      </c>
      <c r="C353" s="15" t="s" cm="1">
        <v>21</v>
      </c>
      <c r="D353" s="15" t="s">
        <v>794</v>
      </c>
      <c r="E353" s="15" t="s" cm="1">
        <v>1639</v>
      </c>
      <c r="F353" s="12" t="s">
        <v>1636</v>
      </c>
      <c r="G353" s="12" t="s">
        <v>966</v>
      </c>
      <c r="H353" s="12" t="s">
        <v>58</v>
      </c>
      <c r="I353" s="12" t="s">
        <v>57</v>
      </c>
    </row>
    <row r="354" spans="1:9" ht="15.5" x14ac:dyDescent="0.35">
      <c r="A354" s="14" t="s">
        <v>803</v>
      </c>
      <c r="B354" s="15" t="s" cm="1">
        <v>986</v>
      </c>
      <c r="C354" s="15" t="s" cm="1">
        <v>21</v>
      </c>
      <c r="D354" s="15" t="s">
        <v>1893</v>
      </c>
      <c r="E354" s="15" t="s" cm="1">
        <v>1639</v>
      </c>
      <c r="F354" s="12" t="s">
        <v>1636</v>
      </c>
      <c r="G354" s="12" t="s">
        <v>969</v>
      </c>
      <c r="H354" s="12" t="s">
        <v>58</v>
      </c>
      <c r="I354" s="12" t="s">
        <v>57</v>
      </c>
    </row>
    <row r="355" spans="1:9" ht="15.5" x14ac:dyDescent="0.35">
      <c r="A355" s="14" t="s">
        <v>580</v>
      </c>
      <c r="B355" s="15" t="s" cm="1">
        <v>986</v>
      </c>
      <c r="C355" s="15" t="s" cm="1">
        <v>21</v>
      </c>
      <c r="D355" s="15" t="s">
        <v>1894</v>
      </c>
      <c r="E355" s="15" t="s" cm="1">
        <v>1639</v>
      </c>
      <c r="F355" s="12" t="s">
        <v>1636</v>
      </c>
      <c r="G355" s="12" t="s">
        <v>880</v>
      </c>
      <c r="H355" s="12" t="s">
        <v>58</v>
      </c>
      <c r="I355" s="12" t="s">
        <v>57</v>
      </c>
    </row>
    <row r="356" spans="1:9" ht="15.5" x14ac:dyDescent="0.35">
      <c r="A356" s="14" t="s">
        <v>801</v>
      </c>
      <c r="B356" s="15" t="s" cm="1">
        <v>986</v>
      </c>
      <c r="C356" s="15" t="s" cm="1">
        <v>21</v>
      </c>
      <c r="D356" s="15" t="s">
        <v>1895</v>
      </c>
      <c r="E356" s="15" t="s" cm="1">
        <v>1639</v>
      </c>
      <c r="F356" s="12" t="s">
        <v>1636</v>
      </c>
      <c r="G356" s="12" t="s">
        <v>969</v>
      </c>
      <c r="H356" s="12" t="s">
        <v>58</v>
      </c>
      <c r="I356" s="12" t="s">
        <v>57</v>
      </c>
    </row>
    <row r="357" spans="1:9" ht="15.5" x14ac:dyDescent="0.35">
      <c r="A357" s="14" t="s">
        <v>606</v>
      </c>
      <c r="B357" s="15" t="s" cm="1">
        <v>986</v>
      </c>
      <c r="C357" s="15" t="s" cm="1">
        <v>21</v>
      </c>
      <c r="D357" s="15" t="s">
        <v>607</v>
      </c>
      <c r="E357" s="15" t="s" cm="1">
        <v>1639</v>
      </c>
      <c r="F357" s="12" t="s">
        <v>1636</v>
      </c>
      <c r="G357" s="12" t="s">
        <v>949</v>
      </c>
      <c r="H357" s="12" t="s">
        <v>196</v>
      </c>
      <c r="I357" s="12" t="s">
        <v>195</v>
      </c>
    </row>
    <row r="358" spans="1:9" ht="15.5" x14ac:dyDescent="0.35">
      <c r="A358" s="14" t="s">
        <v>807</v>
      </c>
      <c r="B358" s="15" t="s" cm="1">
        <v>986</v>
      </c>
      <c r="C358" s="15" t="s" cm="1">
        <v>21</v>
      </c>
      <c r="D358" s="15" t="s">
        <v>1896</v>
      </c>
      <c r="E358" s="15" t="s" cm="1">
        <v>1639</v>
      </c>
      <c r="F358" s="12" t="s">
        <v>1636</v>
      </c>
      <c r="G358" s="12" t="s">
        <v>949</v>
      </c>
      <c r="H358" s="12" t="s">
        <v>58</v>
      </c>
      <c r="I358" s="12" t="s">
        <v>57</v>
      </c>
    </row>
    <row r="359" spans="1:9" ht="15.5" x14ac:dyDescent="0.35">
      <c r="A359" s="14" t="s">
        <v>819</v>
      </c>
      <c r="B359" s="15" t="s" cm="1">
        <v>986</v>
      </c>
      <c r="C359" s="15" t="s" cm="1">
        <v>21</v>
      </c>
      <c r="D359" s="15" t="s">
        <v>1897</v>
      </c>
      <c r="E359" s="15" t="s" cm="1">
        <v>1639</v>
      </c>
      <c r="F359" s="12" t="s">
        <v>1636</v>
      </c>
      <c r="G359" s="12" t="s">
        <v>901</v>
      </c>
      <c r="H359" s="12" t="s">
        <v>58</v>
      </c>
      <c r="I359" s="12" t="s">
        <v>57</v>
      </c>
    </row>
    <row r="360" spans="1:9" ht="15.5" x14ac:dyDescent="0.35">
      <c r="A360" s="14" t="s">
        <v>821</v>
      </c>
      <c r="B360" s="15" t="s" cm="1">
        <v>986</v>
      </c>
      <c r="C360" s="15" t="s" cm="1">
        <v>21</v>
      </c>
      <c r="D360" s="15" t="s">
        <v>822</v>
      </c>
      <c r="E360" s="15" t="s" cm="1">
        <v>1639</v>
      </c>
      <c r="F360" s="12" t="s">
        <v>1636</v>
      </c>
      <c r="G360" s="12" t="s">
        <v>901</v>
      </c>
      <c r="H360" s="12" t="s">
        <v>58</v>
      </c>
      <c r="I360" s="12" t="s">
        <v>57</v>
      </c>
    </row>
    <row r="361" spans="1:9" ht="15.5" x14ac:dyDescent="0.35">
      <c r="A361" s="14" t="s">
        <v>829</v>
      </c>
      <c r="B361" s="15" t="s" cm="1">
        <v>986</v>
      </c>
      <c r="C361" s="15" t="s" cm="1">
        <v>21</v>
      </c>
      <c r="D361" s="15" t="s">
        <v>1898</v>
      </c>
      <c r="E361" s="15" t="s" cm="1">
        <v>1639</v>
      </c>
      <c r="F361" s="12" t="s">
        <v>1636</v>
      </c>
      <c r="G361" s="12" t="s">
        <v>973</v>
      </c>
      <c r="H361" s="12" t="s">
        <v>58</v>
      </c>
      <c r="I361" s="12" t="s">
        <v>57</v>
      </c>
    </row>
    <row r="362" spans="1:9" ht="15.5" x14ac:dyDescent="0.35">
      <c r="A362" s="14" t="s">
        <v>823</v>
      </c>
      <c r="B362" s="15" t="s" cm="1">
        <v>986</v>
      </c>
      <c r="C362" s="15" t="s" cm="1">
        <v>21</v>
      </c>
      <c r="D362" s="15" t="s">
        <v>824</v>
      </c>
      <c r="E362" s="15" t="s" cm="1">
        <v>1639</v>
      </c>
      <c r="F362" s="12" t="s">
        <v>1636</v>
      </c>
      <c r="G362" s="12" t="s">
        <v>867</v>
      </c>
      <c r="H362" s="12" t="s">
        <v>58</v>
      </c>
      <c r="I362" s="12" t="s">
        <v>57</v>
      </c>
    </row>
    <row r="363" spans="1:9" ht="15.5" x14ac:dyDescent="0.35">
      <c r="A363" s="14" t="s">
        <v>827</v>
      </c>
      <c r="B363" s="15" t="s" cm="1">
        <v>986</v>
      </c>
      <c r="C363" s="15" t="s" cm="1">
        <v>21</v>
      </c>
      <c r="D363" s="15" t="s">
        <v>1899</v>
      </c>
      <c r="E363" s="15" t="s" cm="1">
        <v>1639</v>
      </c>
      <c r="F363" s="12" t="s">
        <v>1636</v>
      </c>
      <c r="G363" s="12" t="s">
        <v>972</v>
      </c>
      <c r="H363" s="12" t="s">
        <v>92</v>
      </c>
      <c r="I363" s="12" t="s">
        <v>91</v>
      </c>
    </row>
    <row r="364" spans="1:9" ht="15.5" x14ac:dyDescent="0.35">
      <c r="A364" s="14" t="s">
        <v>842</v>
      </c>
      <c r="B364" s="15" t="s" cm="1">
        <v>986</v>
      </c>
      <c r="C364" s="15" t="s" cm="1">
        <v>21</v>
      </c>
      <c r="D364" s="15" t="s">
        <v>1900</v>
      </c>
      <c r="E364" s="15" t="s" cm="1">
        <v>1639</v>
      </c>
      <c r="F364" s="12" t="s">
        <v>1636</v>
      </c>
      <c r="G364" s="12" t="s">
        <v>872</v>
      </c>
      <c r="H364" s="12" t="s">
        <v>58</v>
      </c>
      <c r="I364" s="12" t="s">
        <v>57</v>
      </c>
    </row>
    <row r="365" spans="1:9" ht="15.5" x14ac:dyDescent="0.35">
      <c r="A365" s="14" t="s">
        <v>844</v>
      </c>
      <c r="B365" s="15" t="s" cm="1">
        <v>986</v>
      </c>
      <c r="C365" s="15" t="s" cm="1">
        <v>21</v>
      </c>
      <c r="D365" s="15" t="s">
        <v>1900</v>
      </c>
      <c r="E365" s="15" t="s" cm="1">
        <v>1639</v>
      </c>
      <c r="F365" s="12" t="s">
        <v>1636</v>
      </c>
      <c r="G365" s="12" t="s">
        <v>872</v>
      </c>
      <c r="H365" s="12" t="s">
        <v>58</v>
      </c>
      <c r="I365" s="12" t="s">
        <v>57</v>
      </c>
    </row>
    <row r="366" spans="1:9" ht="15.5" x14ac:dyDescent="0.35">
      <c r="A366" s="14" t="s">
        <v>845</v>
      </c>
      <c r="B366" s="15" t="s" cm="1">
        <v>986</v>
      </c>
      <c r="C366" s="15" t="s" cm="1">
        <v>21</v>
      </c>
      <c r="D366" s="15" t="s">
        <v>846</v>
      </c>
      <c r="E366" s="15" t="s" cm="1">
        <v>1639</v>
      </c>
      <c r="F366" s="12" t="s">
        <v>1636</v>
      </c>
      <c r="G366" s="12" t="s">
        <v>872</v>
      </c>
      <c r="H366" s="12" t="s">
        <v>58</v>
      </c>
      <c r="I366" s="12" t="s">
        <v>57</v>
      </c>
    </row>
    <row r="367" spans="1:9" ht="15.5" x14ac:dyDescent="0.35">
      <c r="A367" s="14" t="s">
        <v>847</v>
      </c>
      <c r="B367" s="15" t="s" cm="1">
        <v>986</v>
      </c>
      <c r="C367" s="15" t="s" cm="1">
        <v>21</v>
      </c>
      <c r="D367" s="15" t="s">
        <v>1901</v>
      </c>
      <c r="E367" s="15" t="s" cm="1">
        <v>1639</v>
      </c>
      <c r="F367" s="12" t="s">
        <v>1636</v>
      </c>
      <c r="G367" s="12" t="s">
        <v>872</v>
      </c>
      <c r="H367" s="12" t="s">
        <v>58</v>
      </c>
      <c r="I367" s="12" t="s">
        <v>57</v>
      </c>
    </row>
    <row r="368" spans="1:9" ht="15.5" x14ac:dyDescent="0.35">
      <c r="A368" s="14" t="s">
        <v>851</v>
      </c>
      <c r="B368" s="15" t="s" cm="1">
        <v>986</v>
      </c>
      <c r="C368" s="15" t="s" cm="1">
        <v>21</v>
      </c>
      <c r="D368" s="15" t="s">
        <v>852</v>
      </c>
      <c r="E368" s="15" t="s" cm="1">
        <v>1639</v>
      </c>
      <c r="F368" s="12" t="s">
        <v>1636</v>
      </c>
      <c r="G368" s="12" t="s">
        <v>872</v>
      </c>
      <c r="H368" s="12" t="s">
        <v>58</v>
      </c>
      <c r="I368" s="12" t="s">
        <v>57</v>
      </c>
    </row>
    <row r="369" spans="1:9" ht="15.5" x14ac:dyDescent="0.35">
      <c r="A369" s="14" t="s">
        <v>849</v>
      </c>
      <c r="B369" s="15" t="s" cm="1">
        <v>986</v>
      </c>
      <c r="C369" s="15" t="s" cm="1">
        <v>21</v>
      </c>
      <c r="D369" s="15" t="s">
        <v>1902</v>
      </c>
      <c r="E369" s="15" t="s" cm="1">
        <v>1639</v>
      </c>
      <c r="F369" s="12" t="s">
        <v>1636</v>
      </c>
      <c r="G369" s="12" t="s">
        <v>872</v>
      </c>
      <c r="H369" s="12" t="s">
        <v>58</v>
      </c>
      <c r="I369" s="12" t="s">
        <v>57</v>
      </c>
    </row>
    <row r="370" spans="1:9" ht="15.5" x14ac:dyDescent="0.35">
      <c r="A370" s="14" t="s">
        <v>479</v>
      </c>
      <c r="B370" s="15" t="s" cm="1">
        <v>986</v>
      </c>
      <c r="C370" s="15" t="s" cm="1">
        <v>21</v>
      </c>
      <c r="D370" s="15" t="s">
        <v>1903</v>
      </c>
      <c r="E370" s="15" t="s" cm="1">
        <v>1639</v>
      </c>
      <c r="F370" s="12" t="s">
        <v>1636</v>
      </c>
      <c r="G370" s="12" t="s">
        <v>24</v>
      </c>
      <c r="H370" s="12" t="s">
        <v>58</v>
      </c>
      <c r="I370" s="12" t="s">
        <v>57</v>
      </c>
    </row>
    <row r="371" spans="1:9" ht="15.5" x14ac:dyDescent="0.35">
      <c r="A371" s="14" t="s">
        <v>521</v>
      </c>
      <c r="B371" s="15" t="s" cm="1">
        <v>986</v>
      </c>
      <c r="C371" s="15" t="s" cm="1">
        <v>21</v>
      </c>
      <c r="D371" s="15" t="s">
        <v>1904</v>
      </c>
      <c r="E371" s="15" t="s" cm="1">
        <v>1639</v>
      </c>
      <c r="F371" s="12" t="s">
        <v>1636</v>
      </c>
      <c r="G371" s="12" t="s">
        <v>866</v>
      </c>
      <c r="H371" s="12" t="s">
        <v>35</v>
      </c>
      <c r="I371" s="12" t="s">
        <v>34</v>
      </c>
    </row>
    <row r="372" spans="1:9" ht="15.5" x14ac:dyDescent="0.35">
      <c r="A372" s="14" t="s">
        <v>576</v>
      </c>
      <c r="B372" s="15" t="s" cm="1">
        <v>986</v>
      </c>
      <c r="C372" s="15" t="s" cm="1">
        <v>21</v>
      </c>
      <c r="D372" s="15" t="s">
        <v>1905</v>
      </c>
      <c r="E372" s="15" t="s" cm="1">
        <v>1635</v>
      </c>
      <c r="F372" s="15" t="s">
        <v>1693</v>
      </c>
      <c r="G372" s="15" t="s">
        <v>864</v>
      </c>
      <c r="H372" s="15" t="s">
        <v>196</v>
      </c>
      <c r="I372" s="15" t="s">
        <v>195</v>
      </c>
    </row>
    <row r="373" spans="1:9" ht="15.5" x14ac:dyDescent="0.35">
      <c r="A373" s="14" t="s">
        <v>578</v>
      </c>
      <c r="B373" s="15" t="s" cm="1">
        <v>986</v>
      </c>
      <c r="C373" s="15" t="s" cm="1">
        <v>21</v>
      </c>
      <c r="D373" s="15" t="s">
        <v>579</v>
      </c>
      <c r="E373" s="15" t="s" cm="1">
        <v>1635</v>
      </c>
      <c r="F373" s="15" t="s">
        <v>1693</v>
      </c>
      <c r="G373" s="15" t="s">
        <v>864</v>
      </c>
      <c r="H373" s="15" t="s">
        <v>58</v>
      </c>
      <c r="I373" s="15" t="s">
        <v>57</v>
      </c>
    </row>
    <row r="374" spans="1:9" ht="15.5" x14ac:dyDescent="0.35">
      <c r="A374" s="14" t="s">
        <v>574</v>
      </c>
      <c r="B374" s="15" t="s" cm="1">
        <v>986</v>
      </c>
      <c r="C374" s="15" t="s" cm="1">
        <v>21</v>
      </c>
      <c r="D374" s="15" t="s">
        <v>575</v>
      </c>
      <c r="E374" s="15" t="s" cm="1">
        <v>1635</v>
      </c>
      <c r="F374" s="15" t="s">
        <v>1693</v>
      </c>
      <c r="G374" s="15" t="s">
        <v>864</v>
      </c>
      <c r="H374" s="15" t="s">
        <v>196</v>
      </c>
      <c r="I374" s="15" t="s">
        <v>195</v>
      </c>
    </row>
    <row r="375" spans="1:9" ht="15.5" x14ac:dyDescent="0.35">
      <c r="A375" s="14" t="s">
        <v>570</v>
      </c>
      <c r="B375" s="15" t="s" cm="1">
        <v>986</v>
      </c>
      <c r="C375" s="15" t="s" cm="1">
        <v>21</v>
      </c>
      <c r="D375" s="15" t="s">
        <v>1906</v>
      </c>
      <c r="E375" s="15" t="s" cm="1">
        <v>1635</v>
      </c>
      <c r="F375" s="15" t="s">
        <v>1693</v>
      </c>
      <c r="G375" s="15" t="s">
        <v>963</v>
      </c>
      <c r="H375" s="15" t="s">
        <v>58</v>
      </c>
      <c r="I375" s="15" t="s">
        <v>57</v>
      </c>
    </row>
    <row r="376" spans="1:9" ht="15.5" x14ac:dyDescent="0.35">
      <c r="A376" s="14" t="s">
        <v>795</v>
      </c>
      <c r="B376" s="15" t="s" cm="1">
        <v>986</v>
      </c>
      <c r="C376" s="15" t="s" cm="1">
        <v>21</v>
      </c>
      <c r="D376" s="15" t="s">
        <v>796</v>
      </c>
      <c r="E376" s="15" t="s" cm="1">
        <v>1639</v>
      </c>
      <c r="F376" s="15" t="s">
        <v>1636</v>
      </c>
      <c r="G376" s="15" t="s">
        <v>24</v>
      </c>
      <c r="H376" s="15" t="s">
        <v>58</v>
      </c>
      <c r="I376" s="15" t="s">
        <v>57</v>
      </c>
    </row>
    <row r="377" spans="1:9" ht="15.5" x14ac:dyDescent="0.35">
      <c r="A377" s="14" t="s">
        <v>853</v>
      </c>
      <c r="B377" s="15" t="s" cm="1">
        <v>986</v>
      </c>
      <c r="C377" s="15" t="s" cm="1">
        <v>21</v>
      </c>
      <c r="D377" s="15" t="s">
        <v>854</v>
      </c>
      <c r="E377" s="15" t="s" cm="1">
        <v>1639</v>
      </c>
      <c r="F377" s="15" t="s">
        <v>1636</v>
      </c>
      <c r="G377" s="15" t="s">
        <v>872</v>
      </c>
      <c r="H377" s="15" t="s">
        <v>92</v>
      </c>
      <c r="I377" s="15" t="s">
        <v>91</v>
      </c>
    </row>
    <row r="378" spans="1:9" ht="15.5" x14ac:dyDescent="0.35">
      <c r="A378" s="14" t="s">
        <v>786</v>
      </c>
      <c r="B378" s="15" t="s" cm="1">
        <v>986</v>
      </c>
      <c r="C378" s="15" t="s" cm="1">
        <v>21</v>
      </c>
      <c r="D378" s="15" t="s">
        <v>1907</v>
      </c>
      <c r="E378" s="15" t="s" cm="1">
        <v>1635</v>
      </c>
      <c r="F378" s="15" t="s">
        <v>1641</v>
      </c>
      <c r="G378" s="15" t="s">
        <v>926</v>
      </c>
      <c r="H378" s="15" t="s">
        <v>58</v>
      </c>
      <c r="I378" s="15" t="s">
        <v>57</v>
      </c>
    </row>
    <row r="379" spans="1:9" ht="15.5" x14ac:dyDescent="0.35">
      <c r="A379" s="14" t="s">
        <v>788</v>
      </c>
      <c r="B379" s="15" t="s" cm="1">
        <v>986</v>
      </c>
      <c r="C379" s="15" t="s" cm="1">
        <v>21</v>
      </c>
      <c r="D379" s="15" t="s">
        <v>789</v>
      </c>
      <c r="E379" s="15" t="s" cm="1">
        <v>1635</v>
      </c>
      <c r="F379" s="15" t="s">
        <v>1641</v>
      </c>
      <c r="G379" s="15" t="s">
        <v>926</v>
      </c>
      <c r="H379" s="15" t="s">
        <v>58</v>
      </c>
      <c r="I379" s="15" t="s">
        <v>57</v>
      </c>
    </row>
    <row r="380" spans="1:9" ht="15.5" x14ac:dyDescent="0.35">
      <c r="A380" s="14" t="s">
        <v>779</v>
      </c>
      <c r="B380" s="15" t="s" cm="1">
        <v>986</v>
      </c>
      <c r="C380" s="15" t="s" cm="1">
        <v>21</v>
      </c>
      <c r="D380" s="15" t="s">
        <v>780</v>
      </c>
      <c r="E380" s="15" t="s" cm="1">
        <v>1635</v>
      </c>
      <c r="F380" s="15" t="s">
        <v>1641</v>
      </c>
      <c r="G380" s="15" t="s">
        <v>926</v>
      </c>
      <c r="H380" s="15" t="s">
        <v>58</v>
      </c>
      <c r="I380" s="15" t="s">
        <v>57</v>
      </c>
    </row>
    <row r="381" spans="1:9" ht="15.5" x14ac:dyDescent="0.35">
      <c r="A381" s="14" t="s">
        <v>791</v>
      </c>
      <c r="B381" s="15" t="s" cm="1">
        <v>986</v>
      </c>
      <c r="C381" s="15" t="s" cm="1">
        <v>21</v>
      </c>
      <c r="D381" s="15" t="s">
        <v>792</v>
      </c>
      <c r="E381" s="15" t="s" cm="1">
        <v>1635</v>
      </c>
      <c r="F381" s="15" t="s">
        <v>1641</v>
      </c>
      <c r="G381" s="15" t="s">
        <v>926</v>
      </c>
      <c r="H381" s="15" t="s">
        <v>92</v>
      </c>
      <c r="I381" s="15" t="s">
        <v>91</v>
      </c>
    </row>
    <row r="382" spans="1:9" ht="15.5" x14ac:dyDescent="0.35">
      <c r="A382" s="14" t="s">
        <v>773</v>
      </c>
      <c r="B382" s="15" t="s" cm="1">
        <v>986</v>
      </c>
      <c r="C382" s="15" t="s" cm="1">
        <v>21</v>
      </c>
      <c r="D382" s="15" t="s">
        <v>774</v>
      </c>
      <c r="E382" s="15" t="s" cm="1">
        <v>1635</v>
      </c>
      <c r="F382" s="15" t="s">
        <v>1641</v>
      </c>
      <c r="G382" s="15" t="s">
        <v>863</v>
      </c>
      <c r="H382" s="15" t="s">
        <v>58</v>
      </c>
      <c r="I382" s="15" t="s">
        <v>57</v>
      </c>
    </row>
    <row r="383" spans="1:9" ht="15.5" x14ac:dyDescent="0.35">
      <c r="A383" s="14" t="s">
        <v>563</v>
      </c>
      <c r="B383" s="15" t="s" cm="1">
        <v>986</v>
      </c>
      <c r="C383" s="15" t="s" cm="1">
        <v>21</v>
      </c>
      <c r="D383" s="15" t="s">
        <v>1908</v>
      </c>
      <c r="E383" s="15" t="s" cm="1">
        <v>1635</v>
      </c>
      <c r="F383" s="15" t="s">
        <v>1664</v>
      </c>
      <c r="G383" s="15" t="s">
        <v>942</v>
      </c>
      <c r="H383" s="15" t="s">
        <v>196</v>
      </c>
      <c r="I383" s="15" t="s">
        <v>195</v>
      </c>
    </row>
    <row r="384" spans="1:9" ht="15.5" x14ac:dyDescent="0.35">
      <c r="A384" s="14" t="s">
        <v>565</v>
      </c>
      <c r="B384" s="15" t="s" cm="1">
        <v>986</v>
      </c>
      <c r="C384" s="15" t="s" cm="1">
        <v>21</v>
      </c>
      <c r="D384" s="15" t="s">
        <v>1909</v>
      </c>
      <c r="E384" s="15" t="s" cm="1">
        <v>1635</v>
      </c>
      <c r="F384" s="15" t="s">
        <v>1664</v>
      </c>
      <c r="G384" s="15" t="s">
        <v>961</v>
      </c>
      <c r="H384" s="15" t="s">
        <v>184</v>
      </c>
      <c r="I384" s="15" t="s">
        <v>91</v>
      </c>
    </row>
    <row r="385" spans="1:9" ht="15.5" x14ac:dyDescent="0.35">
      <c r="A385" s="14" t="s">
        <v>517</v>
      </c>
      <c r="B385" s="15" t="s" cm="1">
        <v>986</v>
      </c>
      <c r="C385" s="15" t="s" cm="1">
        <v>21</v>
      </c>
      <c r="D385" s="15" t="s">
        <v>518</v>
      </c>
      <c r="E385" s="15" t="s" cm="1">
        <v>1635</v>
      </c>
      <c r="F385" s="15" t="s">
        <v>1638</v>
      </c>
      <c r="G385" s="15" t="s">
        <v>958</v>
      </c>
      <c r="H385" s="15" t="s">
        <v>58</v>
      </c>
      <c r="I385" s="15" t="s">
        <v>57</v>
      </c>
    </row>
    <row r="386" spans="1:9" ht="15.5" x14ac:dyDescent="0.35">
      <c r="A386" s="14" t="s">
        <v>783</v>
      </c>
      <c r="B386" s="15" t="s" cm="1">
        <v>986</v>
      </c>
      <c r="C386" s="15" t="s" cm="1">
        <v>21</v>
      </c>
      <c r="D386" s="15" t="s">
        <v>782</v>
      </c>
      <c r="E386" s="15" t="s" cm="1">
        <v>1635</v>
      </c>
      <c r="F386" s="15" t="s">
        <v>1641</v>
      </c>
      <c r="G386" s="15" t="s">
        <v>926</v>
      </c>
      <c r="H386" s="15" t="s">
        <v>58</v>
      </c>
      <c r="I386" s="15" t="s">
        <v>57</v>
      </c>
    </row>
    <row r="387" spans="1:9" ht="15.5" x14ac:dyDescent="0.35">
      <c r="A387" s="14" t="s">
        <v>781</v>
      </c>
      <c r="B387" s="15" t="s" cm="1">
        <v>986</v>
      </c>
      <c r="C387" s="15" t="s" cm="1">
        <v>21</v>
      </c>
      <c r="D387" s="15" t="s">
        <v>782</v>
      </c>
      <c r="E387" s="15" t="s" cm="1">
        <v>1635</v>
      </c>
      <c r="F387" s="15" t="s">
        <v>1641</v>
      </c>
      <c r="G387" s="15" t="s">
        <v>926</v>
      </c>
      <c r="H387" s="15" t="s">
        <v>58</v>
      </c>
      <c r="I387" s="15" t="s">
        <v>57</v>
      </c>
    </row>
    <row r="388" spans="1:9" ht="15.5" x14ac:dyDescent="0.35">
      <c r="A388" s="14" t="s">
        <v>509</v>
      </c>
      <c r="B388" s="15" t="s" cm="1">
        <v>986</v>
      </c>
      <c r="C388" s="15" t="s" cm="1">
        <v>21</v>
      </c>
      <c r="D388" s="15" t="s">
        <v>510</v>
      </c>
      <c r="E388" s="15" t="s" cm="1">
        <v>1635</v>
      </c>
      <c r="F388" s="15" t="s">
        <v>1638</v>
      </c>
      <c r="G388" s="15" t="s">
        <v>954</v>
      </c>
      <c r="H388" s="15" t="s">
        <v>58</v>
      </c>
      <c r="I388" s="15" t="s">
        <v>57</v>
      </c>
    </row>
    <row r="389" spans="1:9" ht="15.5" x14ac:dyDescent="0.35">
      <c r="A389" s="14" t="s">
        <v>561</v>
      </c>
      <c r="B389" s="15" t="s" cm="1">
        <v>986</v>
      </c>
      <c r="C389" s="15" t="s" cm="1">
        <v>21</v>
      </c>
      <c r="D389" s="15" t="s">
        <v>1910</v>
      </c>
      <c r="E389" s="15" t="s" cm="1">
        <v>1639</v>
      </c>
      <c r="F389" s="15" t="s">
        <v>1638</v>
      </c>
      <c r="G389" s="15" t="s">
        <v>24</v>
      </c>
      <c r="H389" s="15" t="s">
        <v>58</v>
      </c>
      <c r="I389" s="15" t="s">
        <v>57</v>
      </c>
    </row>
    <row r="390" spans="1:9" ht="15.5" x14ac:dyDescent="0.35">
      <c r="A390" s="14" t="s">
        <v>676</v>
      </c>
      <c r="B390" s="15" t="s" cm="1">
        <v>986</v>
      </c>
      <c r="C390" s="15" t="s" cm="1">
        <v>21</v>
      </c>
      <c r="D390" s="15" t="s">
        <v>677</v>
      </c>
      <c r="E390" s="15" t="s" cm="1">
        <v>1639</v>
      </c>
      <c r="F390" s="15" t="s">
        <v>1636</v>
      </c>
      <c r="G390" s="15" t="s">
        <v>885</v>
      </c>
      <c r="H390" s="15" t="s">
        <v>58</v>
      </c>
      <c r="I390" s="15" t="s">
        <v>57</v>
      </c>
    </row>
    <row r="391" spans="1:9" ht="15.5" x14ac:dyDescent="0.35">
      <c r="A391" s="14" t="s">
        <v>670</v>
      </c>
      <c r="B391" s="15" t="s" cm="1">
        <v>986</v>
      </c>
      <c r="C391" s="15" t="s" cm="1">
        <v>21</v>
      </c>
      <c r="D391" s="15" t="s">
        <v>1911</v>
      </c>
      <c r="E391" s="15" t="s" cm="1">
        <v>1639</v>
      </c>
      <c r="F391" s="15" t="s">
        <v>1636</v>
      </c>
      <c r="G391" s="15" t="s">
        <v>894</v>
      </c>
      <c r="H391" s="15" t="s">
        <v>58</v>
      </c>
      <c r="I391" s="15" t="s">
        <v>57</v>
      </c>
    </row>
    <row r="392" spans="1:9" ht="15.5" x14ac:dyDescent="0.35">
      <c r="A392" s="14" t="s">
        <v>815</v>
      </c>
      <c r="B392" s="15" t="s" cm="1">
        <v>986</v>
      </c>
      <c r="C392" s="15" t="s" cm="1">
        <v>21</v>
      </c>
      <c r="D392" s="15" t="s">
        <v>1912</v>
      </c>
      <c r="E392" s="15" t="s" cm="1">
        <v>1639</v>
      </c>
      <c r="F392" s="15" t="s">
        <v>1636</v>
      </c>
      <c r="G392" s="15" t="s">
        <v>960</v>
      </c>
      <c r="H392" s="15" t="s">
        <v>58</v>
      </c>
      <c r="I392" s="15" t="s">
        <v>57</v>
      </c>
    </row>
    <row r="393" spans="1:9" ht="15.5" x14ac:dyDescent="0.35">
      <c r="A393" s="14" t="s">
        <v>680</v>
      </c>
      <c r="B393" s="15" t="s" cm="1">
        <v>986</v>
      </c>
      <c r="C393" s="15" t="s" cm="1">
        <v>21</v>
      </c>
      <c r="D393" s="15" t="s">
        <v>1913</v>
      </c>
      <c r="E393" s="15" t="s" cm="1">
        <v>1639</v>
      </c>
      <c r="F393" s="15" t="s">
        <v>1636</v>
      </c>
      <c r="G393" s="15" t="s">
        <v>937</v>
      </c>
      <c r="H393" s="15" t="s">
        <v>196</v>
      </c>
      <c r="I393" s="15" t="s">
        <v>195</v>
      </c>
    </row>
    <row r="394" spans="1:9" ht="15.5" x14ac:dyDescent="0.35">
      <c r="A394" s="14" t="s">
        <v>682</v>
      </c>
      <c r="B394" s="15" t="s" cm="1">
        <v>986</v>
      </c>
      <c r="C394" s="15" t="s" cm="1">
        <v>21</v>
      </c>
      <c r="D394" s="15" t="s">
        <v>683</v>
      </c>
      <c r="E394" s="15" t="s" cm="1">
        <v>1639</v>
      </c>
      <c r="F394" s="15" t="s">
        <v>1636</v>
      </c>
      <c r="G394" s="15" t="s">
        <v>937</v>
      </c>
      <c r="H394" s="15" t="s">
        <v>58</v>
      </c>
      <c r="I394" s="15" t="s">
        <v>57</v>
      </c>
    </row>
    <row r="395" spans="1:9" ht="15.5" x14ac:dyDescent="0.35">
      <c r="A395" s="14" t="s">
        <v>678</v>
      </c>
      <c r="B395" s="15" t="s" cm="1">
        <v>986</v>
      </c>
      <c r="C395" s="15" t="s" cm="1">
        <v>21</v>
      </c>
      <c r="D395" s="15" t="s">
        <v>1914</v>
      </c>
      <c r="E395" s="15" t="s" cm="1">
        <v>1639</v>
      </c>
      <c r="F395" s="15" t="s">
        <v>1636</v>
      </c>
      <c r="G395" s="15" t="s">
        <v>885</v>
      </c>
      <c r="H395" s="15" t="s">
        <v>196</v>
      </c>
      <c r="I395" s="15" t="s">
        <v>195</v>
      </c>
    </row>
    <row r="396" spans="1:9" ht="15.5" x14ac:dyDescent="0.35">
      <c r="A396" s="14" t="s">
        <v>825</v>
      </c>
      <c r="B396" s="15" t="s" cm="1">
        <v>986</v>
      </c>
      <c r="C396" s="15" t="s" cm="1">
        <v>21</v>
      </c>
      <c r="D396" s="15" t="s">
        <v>1915</v>
      </c>
      <c r="E396" s="15" t="s" cm="1">
        <v>1639</v>
      </c>
      <c r="F396" s="15" t="s">
        <v>1636</v>
      </c>
      <c r="G396" s="15" t="s">
        <v>885</v>
      </c>
      <c r="H396" s="15" t="s">
        <v>35</v>
      </c>
      <c r="I396" s="15" t="s">
        <v>34</v>
      </c>
    </row>
    <row r="397" spans="1:9" ht="15.5" x14ac:dyDescent="0.35">
      <c r="A397" s="14" t="s">
        <v>672</v>
      </c>
      <c r="B397" s="15" t="s" cm="1">
        <v>986</v>
      </c>
      <c r="C397" s="15" t="s" cm="1">
        <v>21</v>
      </c>
      <c r="D397" s="15" t="s">
        <v>673</v>
      </c>
      <c r="E397" s="15" t="s" cm="1">
        <v>1639</v>
      </c>
      <c r="F397" s="15" t="s">
        <v>1636</v>
      </c>
      <c r="G397" s="15" t="s">
        <v>894</v>
      </c>
      <c r="H397" s="15" t="s">
        <v>196</v>
      </c>
      <c r="I397" s="15" t="s">
        <v>195</v>
      </c>
    </row>
    <row r="398" spans="1:9" ht="15.5" x14ac:dyDescent="0.35">
      <c r="A398" s="14" t="s">
        <v>674</v>
      </c>
      <c r="B398" s="15" t="s" cm="1">
        <v>986</v>
      </c>
      <c r="C398" s="15" t="s" cm="1">
        <v>21</v>
      </c>
      <c r="D398" s="15" t="s">
        <v>675</v>
      </c>
      <c r="E398" s="15" t="s" cm="1">
        <v>1639</v>
      </c>
      <c r="F398" s="15" t="s">
        <v>1636</v>
      </c>
      <c r="G398" s="15" t="s">
        <v>894</v>
      </c>
      <c r="H398" s="15" t="s">
        <v>58</v>
      </c>
      <c r="I398" s="15" t="s">
        <v>57</v>
      </c>
    </row>
    <row r="399" spans="1:9" ht="15.5" x14ac:dyDescent="0.35">
      <c r="A399" s="14" t="s">
        <v>765</v>
      </c>
      <c r="B399" s="15" t="s" cm="1">
        <v>986</v>
      </c>
      <c r="C399" s="15" t="s" cm="1">
        <v>21</v>
      </c>
      <c r="D399" s="15" t="s">
        <v>1916</v>
      </c>
      <c r="E399" s="15" t="s" cm="1">
        <v>1639</v>
      </c>
      <c r="F399" s="15" t="s">
        <v>1636</v>
      </c>
      <c r="G399" s="15" t="s">
        <v>866</v>
      </c>
      <c r="H399" s="15" t="s">
        <v>184</v>
      </c>
      <c r="I399" s="15" t="s">
        <v>91</v>
      </c>
    </row>
    <row r="400" spans="1:9" ht="15.5" x14ac:dyDescent="0.35">
      <c r="A400" s="14" t="s">
        <v>531</v>
      </c>
      <c r="B400" s="15" t="s" cm="1">
        <v>986</v>
      </c>
      <c r="C400" s="15" t="s" cm="1">
        <v>21</v>
      </c>
      <c r="D400" s="15" t="s">
        <v>1917</v>
      </c>
      <c r="E400" s="15" t="s" cm="1">
        <v>1639</v>
      </c>
      <c r="F400" s="15" t="s">
        <v>1638</v>
      </c>
      <c r="G400" s="15" t="s">
        <v>24</v>
      </c>
      <c r="H400" s="15" t="s">
        <v>184</v>
      </c>
      <c r="I400" s="15" t="s">
        <v>91</v>
      </c>
    </row>
    <row r="401" spans="1:9" ht="15.5" x14ac:dyDescent="0.35">
      <c r="A401" s="14" t="s">
        <v>567</v>
      </c>
      <c r="B401" s="15" t="s" cm="1">
        <v>986</v>
      </c>
      <c r="C401" s="15" t="s" cm="1">
        <v>21</v>
      </c>
      <c r="D401" s="15" t="s">
        <v>1001</v>
      </c>
      <c r="E401" s="15" t="s" cm="1">
        <v>1635</v>
      </c>
      <c r="F401" s="15" t="s">
        <v>1693</v>
      </c>
      <c r="G401" s="15" t="s">
        <v>962</v>
      </c>
      <c r="H401" s="15" t="s">
        <v>196</v>
      </c>
      <c r="I401" s="15" t="s">
        <v>195</v>
      </c>
    </row>
    <row r="402" spans="1:9" ht="15.5" x14ac:dyDescent="0.35">
      <c r="A402" s="14" t="s">
        <v>511</v>
      </c>
      <c r="B402" s="15" t="s" cm="1">
        <v>986</v>
      </c>
      <c r="C402" s="15" t="s" cm="1">
        <v>21</v>
      </c>
      <c r="D402" s="15" t="s">
        <v>1918</v>
      </c>
      <c r="E402" s="15" t="s" cm="1">
        <v>1635</v>
      </c>
      <c r="F402" s="15" t="s">
        <v>1638</v>
      </c>
      <c r="G402" s="15" t="s">
        <v>955</v>
      </c>
      <c r="H402" s="15" t="s">
        <v>92</v>
      </c>
      <c r="I402" s="15" t="s">
        <v>91</v>
      </c>
    </row>
    <row r="403" spans="1:9" ht="15.5" x14ac:dyDescent="0.35">
      <c r="A403" s="14" t="s">
        <v>797</v>
      </c>
      <c r="B403" s="15" t="s" cm="1">
        <v>986</v>
      </c>
      <c r="C403" s="15" t="s" cm="1">
        <v>21</v>
      </c>
      <c r="D403" s="15" t="s">
        <v>798</v>
      </c>
      <c r="E403" s="15" t="s" cm="1">
        <v>1639</v>
      </c>
      <c r="F403" s="15" t="s">
        <v>1636</v>
      </c>
      <c r="G403" s="15" t="s">
        <v>967</v>
      </c>
      <c r="H403" s="15" t="s">
        <v>58</v>
      </c>
      <c r="I403" s="15" t="s">
        <v>57</v>
      </c>
    </row>
    <row r="404" spans="1:9" ht="15.5" x14ac:dyDescent="0.35">
      <c r="A404" s="14" t="s">
        <v>799</v>
      </c>
      <c r="B404" s="15" t="s" cm="1">
        <v>986</v>
      </c>
      <c r="C404" s="15" t="s" cm="1">
        <v>21</v>
      </c>
      <c r="D404" s="15" t="s">
        <v>800</v>
      </c>
      <c r="E404" s="15" t="s" cm="1">
        <v>1639</v>
      </c>
      <c r="F404" s="15" t="s">
        <v>1636</v>
      </c>
      <c r="G404" s="15" t="s">
        <v>968</v>
      </c>
      <c r="H404" s="15" t="s">
        <v>58</v>
      </c>
      <c r="I404" s="15" t="s">
        <v>57</v>
      </c>
    </row>
    <row r="405" spans="1:9" ht="15.5" x14ac:dyDescent="0.35">
      <c r="A405" s="14" t="s">
        <v>856</v>
      </c>
      <c r="B405" s="15" t="s" cm="1">
        <v>986</v>
      </c>
      <c r="C405" s="15" t="s" cm="1">
        <v>21</v>
      </c>
      <c r="D405" s="15" t="s">
        <v>854</v>
      </c>
      <c r="E405" s="15" t="s" cm="1">
        <v>1639</v>
      </c>
      <c r="F405" s="15" t="s">
        <v>1636</v>
      </c>
      <c r="G405" s="15" t="s">
        <v>872</v>
      </c>
      <c r="H405" s="15" t="s">
        <v>92</v>
      </c>
      <c r="I405" s="15" t="s">
        <v>91</v>
      </c>
    </row>
    <row r="406" spans="1:9" ht="15.5" x14ac:dyDescent="0.35">
      <c r="A406" s="14" t="s">
        <v>572</v>
      </c>
      <c r="B406" s="15" t="s" cm="1">
        <v>986</v>
      </c>
      <c r="C406" s="15" t="s" cm="1">
        <v>21</v>
      </c>
      <c r="D406" s="15" t="s">
        <v>1919</v>
      </c>
      <c r="E406" s="15" t="s" cm="1">
        <v>1635</v>
      </c>
      <c r="F406" s="15" t="s">
        <v>1693</v>
      </c>
      <c r="G406" s="15" t="s">
        <v>864</v>
      </c>
      <c r="H406" s="15" t="s">
        <v>196</v>
      </c>
      <c r="I406" s="15" t="s">
        <v>195</v>
      </c>
    </row>
    <row r="407" spans="1:9" ht="15.5" x14ac:dyDescent="0.35">
      <c r="A407" s="14" t="s">
        <v>769</v>
      </c>
      <c r="B407" s="15" t="s" cm="1">
        <v>89</v>
      </c>
      <c r="C407" s="15" t="s" cm="1">
        <v>21</v>
      </c>
      <c r="D407" s="15" t="s">
        <v>1920</v>
      </c>
      <c r="E407" s="15" t="s" cm="1">
        <v>1635</v>
      </c>
      <c r="F407" s="15" t="s">
        <v>1693</v>
      </c>
      <c r="G407" s="15" t="s">
        <v>24</v>
      </c>
      <c r="H407" s="15" t="s">
        <v>595</v>
      </c>
      <c r="I407" s="15" t="s">
        <v>594</v>
      </c>
    </row>
    <row r="408" spans="1:9" ht="15.5" x14ac:dyDescent="0.35">
      <c r="A408" s="14" t="s">
        <v>684</v>
      </c>
      <c r="B408" s="15" t="s" cm="1">
        <v>986</v>
      </c>
      <c r="C408" s="15" t="s" cm="1">
        <v>21</v>
      </c>
      <c r="D408" s="15" t="s">
        <v>685</v>
      </c>
      <c r="E408" s="15" t="s" cm="1">
        <v>1639</v>
      </c>
      <c r="F408" s="15" t="s">
        <v>1636</v>
      </c>
      <c r="G408" s="15" t="s">
        <v>964</v>
      </c>
      <c r="H408" s="15" t="s">
        <v>58</v>
      </c>
      <c r="I408" s="15" t="s">
        <v>57</v>
      </c>
    </row>
    <row r="409" spans="1:9" ht="15.5" x14ac:dyDescent="0.35">
      <c r="A409" s="14" t="s">
        <v>97</v>
      </c>
      <c r="B409" s="15" t="s" cm="1">
        <v>19</v>
      </c>
      <c r="C409" s="15" t="s" cm="1">
        <v>21</v>
      </c>
      <c r="D409" s="15" t="s">
        <v>1921</v>
      </c>
      <c r="E409" s="15" t="s" cm="1">
        <v>1635</v>
      </c>
      <c r="F409" s="15" t="s">
        <v>1693</v>
      </c>
      <c r="G409" s="15" t="s">
        <v>877</v>
      </c>
      <c r="H409" s="15" t="s">
        <v>35</v>
      </c>
      <c r="I409" s="15" t="s">
        <v>34</v>
      </c>
    </row>
    <row r="410" spans="1:9" ht="15.5" x14ac:dyDescent="0.35">
      <c r="A410" s="14" t="s">
        <v>93</v>
      </c>
      <c r="B410" s="15" t="s" cm="1">
        <v>19</v>
      </c>
      <c r="C410" s="15" t="s" cm="1">
        <v>21</v>
      </c>
      <c r="D410" s="15" t="s">
        <v>1922</v>
      </c>
      <c r="E410" s="15" t="s" cm="1">
        <v>1635</v>
      </c>
      <c r="F410" s="15" t="s">
        <v>1693</v>
      </c>
      <c r="G410" s="15" t="s">
        <v>877</v>
      </c>
      <c r="H410" s="15" t="s">
        <v>58</v>
      </c>
      <c r="I410" s="15" t="s">
        <v>57</v>
      </c>
    </row>
    <row r="411" spans="1:9" ht="15.5" x14ac:dyDescent="0.35">
      <c r="A411" s="14" t="s">
        <v>86</v>
      </c>
      <c r="B411" s="15" t="s" cm="1">
        <v>19</v>
      </c>
      <c r="C411" s="15" t="s" cm="1">
        <v>21</v>
      </c>
      <c r="D411" s="15" t="s">
        <v>87</v>
      </c>
      <c r="E411" s="15" t="s" cm="1">
        <v>1635</v>
      </c>
      <c r="F411" s="15" t="s">
        <v>1693</v>
      </c>
      <c r="G411" s="15" t="s">
        <v>877</v>
      </c>
      <c r="H411" s="15" t="s">
        <v>29</v>
      </c>
      <c r="I411" s="15" t="s">
        <v>28</v>
      </c>
    </row>
    <row r="412" spans="1:9" ht="15.5" x14ac:dyDescent="0.35">
      <c r="A412" s="14" t="s">
        <v>84</v>
      </c>
      <c r="B412" s="15" t="s" cm="1">
        <v>19</v>
      </c>
      <c r="C412" s="15" t="s" cm="1">
        <v>21</v>
      </c>
      <c r="D412" s="15" t="s">
        <v>85</v>
      </c>
      <c r="E412" s="15" t="s" cm="1">
        <v>1635</v>
      </c>
      <c r="F412" s="15" t="s">
        <v>1693</v>
      </c>
      <c r="G412" s="15" t="s">
        <v>877</v>
      </c>
      <c r="H412" s="15" t="s">
        <v>52</v>
      </c>
      <c r="I412" s="15" t="s">
        <v>51</v>
      </c>
    </row>
    <row r="413" spans="1:9" ht="15.5" x14ac:dyDescent="0.35">
      <c r="A413" s="14" t="s">
        <v>82</v>
      </c>
      <c r="B413" s="15" t="s" cm="1">
        <v>19</v>
      </c>
      <c r="C413" s="15" t="s" cm="1">
        <v>21</v>
      </c>
      <c r="D413" s="15" t="s">
        <v>1923</v>
      </c>
      <c r="E413" s="15" t="s" cm="1">
        <v>1635</v>
      </c>
      <c r="F413" s="15" t="s">
        <v>1693</v>
      </c>
      <c r="G413" s="15" t="s">
        <v>877</v>
      </c>
      <c r="H413" s="15" t="s">
        <v>35</v>
      </c>
      <c r="I413" s="15" t="s">
        <v>34</v>
      </c>
    </row>
    <row r="414" spans="1:9" ht="15.5" x14ac:dyDescent="0.35">
      <c r="A414" s="14" t="s">
        <v>79</v>
      </c>
      <c r="B414" s="15" t="s" cm="1">
        <v>19</v>
      </c>
      <c r="C414" s="15" t="s" cm="1">
        <v>21</v>
      </c>
      <c r="D414" s="15" t="s">
        <v>80</v>
      </c>
      <c r="E414" s="15" t="s" cm="1">
        <v>1635</v>
      </c>
      <c r="F414" s="15" t="s">
        <v>1693</v>
      </c>
      <c r="G414" s="15" t="s">
        <v>877</v>
      </c>
      <c r="H414" s="15" t="s">
        <v>52</v>
      </c>
      <c r="I414" s="15" t="s">
        <v>51</v>
      </c>
    </row>
    <row r="415" spans="1:9" ht="15.5" x14ac:dyDescent="0.35">
      <c r="A415" s="14" t="s">
        <v>88</v>
      </c>
      <c r="B415" s="15" t="s" cm="1">
        <v>89</v>
      </c>
      <c r="C415" s="15" t="s" cm="1">
        <v>21</v>
      </c>
      <c r="D415" s="15" t="s">
        <v>90</v>
      </c>
      <c r="E415" s="15" t="s" cm="1">
        <v>1635</v>
      </c>
      <c r="F415" s="15" t="s">
        <v>1693</v>
      </c>
      <c r="G415" s="15" t="s">
        <v>877</v>
      </c>
      <c r="H415" s="15" t="s">
        <v>92</v>
      </c>
      <c r="I415" s="15" t="s">
        <v>91</v>
      </c>
    </row>
    <row r="416" spans="1:9" ht="15.5" x14ac:dyDescent="0.35">
      <c r="A416" s="14" t="s">
        <v>1110</v>
      </c>
      <c r="B416" s="15" t="s" cm="1">
        <v>19</v>
      </c>
      <c r="C416" s="15" t="s" cm="1">
        <v>21</v>
      </c>
      <c r="D416" s="15" t="s">
        <v>1111</v>
      </c>
      <c r="E416" s="15" t="s" cm="1">
        <v>1635</v>
      </c>
      <c r="F416" s="15" t="s">
        <v>1638</v>
      </c>
      <c r="G416" s="15" t="s">
        <v>947</v>
      </c>
      <c r="H416" s="15" t="s">
        <v>196</v>
      </c>
      <c r="I416" s="15" t="s">
        <v>195</v>
      </c>
    </row>
    <row r="417" spans="1:9" ht="15.5" x14ac:dyDescent="0.35">
      <c r="A417" s="14" t="s">
        <v>1112</v>
      </c>
      <c r="B417" s="15" t="s" cm="1">
        <v>19</v>
      </c>
      <c r="C417" s="15" t="s" cm="1">
        <v>21</v>
      </c>
      <c r="D417" s="15" t="s">
        <v>1924</v>
      </c>
      <c r="E417" s="15" t="s" cm="1">
        <v>1635</v>
      </c>
      <c r="F417" s="15" t="s">
        <v>1693</v>
      </c>
      <c r="G417" s="15" t="s">
        <v>1113</v>
      </c>
      <c r="H417" s="15" t="s">
        <v>52</v>
      </c>
      <c r="I417" s="15" t="s">
        <v>51</v>
      </c>
    </row>
    <row r="418" spans="1:9" ht="15.5" x14ac:dyDescent="0.35">
      <c r="A418" s="14" t="s">
        <v>1082</v>
      </c>
      <c r="B418" s="15" t="s" cm="1">
        <v>19</v>
      </c>
      <c r="C418" s="15" t="s" cm="1">
        <v>21</v>
      </c>
      <c r="D418" s="15" t="s">
        <v>1925</v>
      </c>
      <c r="E418" s="15" t="s" cm="1">
        <v>1639</v>
      </c>
      <c r="F418" s="15" t="s">
        <v>1638</v>
      </c>
      <c r="G418" s="15" t="s">
        <v>1080</v>
      </c>
      <c r="H418" s="15" t="s">
        <v>29</v>
      </c>
      <c r="I418" s="15" t="s">
        <v>28</v>
      </c>
    </row>
    <row r="419" spans="1:9" ht="15.5" x14ac:dyDescent="0.35">
      <c r="A419" s="14" t="s">
        <v>1115</v>
      </c>
      <c r="B419" s="15" t="s" cm="1">
        <v>19</v>
      </c>
      <c r="C419" s="15" t="s" cm="1">
        <v>21</v>
      </c>
      <c r="D419" s="15" t="s">
        <v>1116</v>
      </c>
      <c r="E419" s="15" t="s" cm="1">
        <v>1635</v>
      </c>
      <c r="F419" s="15" t="s">
        <v>1638</v>
      </c>
      <c r="G419" s="15" t="s">
        <v>24</v>
      </c>
      <c r="H419" s="15" t="s">
        <v>52</v>
      </c>
      <c r="I419" s="15" t="s">
        <v>51</v>
      </c>
    </row>
    <row r="420" spans="1:9" ht="15.5" x14ac:dyDescent="0.35">
      <c r="A420" s="14" t="s">
        <v>1117</v>
      </c>
      <c r="B420" s="15" t="s" cm="1">
        <v>19</v>
      </c>
      <c r="C420" s="15" t="s" cm="1">
        <v>21</v>
      </c>
      <c r="D420" s="15" t="s">
        <v>1118</v>
      </c>
      <c r="E420" s="15" t="s" cm="1">
        <v>1635</v>
      </c>
      <c r="F420" s="15" t="s">
        <v>1638</v>
      </c>
      <c r="G420" s="15" t="s">
        <v>24</v>
      </c>
      <c r="H420" s="15" t="s">
        <v>52</v>
      </c>
      <c r="I420" s="15" t="s">
        <v>51</v>
      </c>
    </row>
    <row r="421" spans="1:9" ht="15.5" x14ac:dyDescent="0.35">
      <c r="A421" s="14" t="s">
        <v>1119</v>
      </c>
      <c r="B421" s="15" t="s" cm="1">
        <v>19</v>
      </c>
      <c r="C421" s="15" t="s" cm="1">
        <v>21</v>
      </c>
      <c r="D421" s="15" t="s">
        <v>1926</v>
      </c>
      <c r="E421" s="15" t="s" cm="1">
        <v>1653</v>
      </c>
      <c r="F421" s="15" t="s">
        <v>24</v>
      </c>
      <c r="G421" s="15" t="s">
        <v>1120</v>
      </c>
      <c r="H421" s="15" t="s">
        <v>130</v>
      </c>
      <c r="I421" s="15" t="s">
        <v>22</v>
      </c>
    </row>
    <row r="422" spans="1:9" ht="15.5" x14ac:dyDescent="0.35">
      <c r="A422" s="14" t="s">
        <v>1122</v>
      </c>
      <c r="B422" s="15" t="s" cm="1">
        <v>19</v>
      </c>
      <c r="C422" s="15" t="s" cm="1">
        <v>21</v>
      </c>
      <c r="D422" s="15" t="s">
        <v>1927</v>
      </c>
      <c r="E422" s="15" t="s" cm="1">
        <v>1635</v>
      </c>
      <c r="F422" s="15" t="s">
        <v>1638</v>
      </c>
      <c r="G422" s="15" t="s">
        <v>875</v>
      </c>
      <c r="H422" s="15" t="s">
        <v>112</v>
      </c>
      <c r="I422" s="15" t="s">
        <v>111</v>
      </c>
    </row>
    <row r="423" spans="1:9" ht="15.5" x14ac:dyDescent="0.35">
      <c r="A423" s="14" t="s">
        <v>1124</v>
      </c>
      <c r="B423" s="15" t="s" cm="1">
        <v>19</v>
      </c>
      <c r="C423" s="15" t="s" cm="1">
        <v>21</v>
      </c>
      <c r="D423" s="15" t="s">
        <v>1125</v>
      </c>
      <c r="E423" s="15" t="s" cm="1">
        <v>1635</v>
      </c>
      <c r="F423" s="15" t="s">
        <v>1638</v>
      </c>
      <c r="G423" s="15" t="s">
        <v>875</v>
      </c>
      <c r="H423" s="15" t="s">
        <v>162</v>
      </c>
      <c r="I423" s="15" t="s">
        <v>161</v>
      </c>
    </row>
    <row r="424" spans="1:9" ht="15.5" x14ac:dyDescent="0.35">
      <c r="A424" s="14" t="s">
        <v>1126</v>
      </c>
      <c r="B424" s="15" t="s" cm="1">
        <v>19</v>
      </c>
      <c r="C424" s="15" t="s" cm="1">
        <v>21</v>
      </c>
      <c r="D424" s="15" t="s">
        <v>1127</v>
      </c>
      <c r="E424" s="15" t="s" cm="1">
        <v>1635</v>
      </c>
      <c r="F424" s="15" t="s">
        <v>1638</v>
      </c>
      <c r="G424" s="15" t="s">
        <v>875</v>
      </c>
      <c r="H424" s="15" t="s">
        <v>112</v>
      </c>
      <c r="I424" s="15" t="s">
        <v>111</v>
      </c>
    </row>
    <row r="425" spans="1:9" ht="15.5" x14ac:dyDescent="0.35">
      <c r="A425" s="14" t="s">
        <v>1128</v>
      </c>
      <c r="B425" s="15" t="s" cm="1">
        <v>19</v>
      </c>
      <c r="C425" s="15" t="s" cm="1">
        <v>21</v>
      </c>
      <c r="D425" s="15" t="s">
        <v>1130</v>
      </c>
      <c r="E425" s="15" t="s" cm="1">
        <v>1635</v>
      </c>
      <c r="F425" s="15" t="s">
        <v>1638</v>
      </c>
      <c r="G425" s="15" t="s">
        <v>1129</v>
      </c>
      <c r="H425" s="15" t="s">
        <v>35</v>
      </c>
      <c r="I425" s="15" t="s">
        <v>34</v>
      </c>
    </row>
    <row r="426" spans="1:9" ht="15.5" x14ac:dyDescent="0.35">
      <c r="A426" s="14" t="s">
        <v>1131</v>
      </c>
      <c r="B426" s="15" t="s" cm="1">
        <v>19</v>
      </c>
      <c r="C426" s="15" t="s" cm="1">
        <v>21</v>
      </c>
      <c r="D426" s="15" t="s">
        <v>1928</v>
      </c>
      <c r="E426" s="15" t="s" cm="1">
        <v>1635</v>
      </c>
      <c r="F426" s="15" t="s">
        <v>1638</v>
      </c>
      <c r="G426" s="15" t="s">
        <v>1129</v>
      </c>
      <c r="H426" s="15" t="s">
        <v>52</v>
      </c>
      <c r="I426" s="15" t="s">
        <v>51</v>
      </c>
    </row>
    <row r="427" spans="1:9" ht="15.5" x14ac:dyDescent="0.35">
      <c r="A427" s="14" t="s">
        <v>1132</v>
      </c>
      <c r="B427" s="15" t="s" cm="1">
        <v>19</v>
      </c>
      <c r="C427" s="15" t="s" cm="1">
        <v>21</v>
      </c>
      <c r="D427" s="15" t="s">
        <v>1133</v>
      </c>
      <c r="E427" s="15" t="s" cm="1">
        <v>1635</v>
      </c>
      <c r="F427" s="15" t="s">
        <v>1638</v>
      </c>
      <c r="G427" s="15" t="s">
        <v>1129</v>
      </c>
      <c r="H427" s="15" t="s">
        <v>52</v>
      </c>
      <c r="I427" s="15" t="s">
        <v>51</v>
      </c>
    </row>
    <row r="428" spans="1:9" ht="15.5" x14ac:dyDescent="0.35">
      <c r="A428" s="16" t="s">
        <v>1134</v>
      </c>
      <c r="B428" s="15" t="s" cm="1">
        <v>19</v>
      </c>
      <c r="C428" s="15" t="s" cm="1">
        <v>21</v>
      </c>
      <c r="D428" s="15" t="s">
        <v>1135</v>
      </c>
      <c r="E428" s="15" t="s" cm="1">
        <v>1635</v>
      </c>
      <c r="F428" s="15" t="s">
        <v>1638</v>
      </c>
      <c r="G428" s="15" t="s">
        <v>892</v>
      </c>
      <c r="H428" s="15" t="s">
        <v>196</v>
      </c>
      <c r="I428" s="15" t="s">
        <v>195</v>
      </c>
    </row>
    <row r="429" spans="1:9" ht="15.5" x14ac:dyDescent="0.35">
      <c r="A429" s="16" t="s">
        <v>1136</v>
      </c>
      <c r="B429" s="15" t="s" cm="1">
        <v>19</v>
      </c>
      <c r="C429" s="15" t="s" cm="1">
        <v>21</v>
      </c>
      <c r="D429" s="15" t="s">
        <v>1137</v>
      </c>
      <c r="E429" s="15" t="s" cm="1">
        <v>1635</v>
      </c>
      <c r="F429" s="15" t="s">
        <v>1638</v>
      </c>
      <c r="G429" s="15" t="s">
        <v>892</v>
      </c>
      <c r="H429" s="15" t="s">
        <v>52</v>
      </c>
      <c r="I429" s="15" t="s">
        <v>51</v>
      </c>
    </row>
    <row r="430" spans="1:9" ht="15.5" x14ac:dyDescent="0.35">
      <c r="A430" s="16" t="s">
        <v>1138</v>
      </c>
      <c r="B430" s="15" t="s" cm="1">
        <v>19</v>
      </c>
      <c r="C430" s="15" t="s" cm="1">
        <v>21</v>
      </c>
      <c r="D430" s="15" t="s">
        <v>1139</v>
      </c>
      <c r="E430" s="15" t="s" cm="1">
        <v>1635</v>
      </c>
      <c r="F430" s="15" t="s">
        <v>1638</v>
      </c>
      <c r="G430" s="15" t="s">
        <v>875</v>
      </c>
      <c r="H430" s="15" t="s">
        <v>58</v>
      </c>
      <c r="I430" s="15" t="s">
        <v>57</v>
      </c>
    </row>
    <row r="431" spans="1:9" ht="15.5" x14ac:dyDescent="0.35">
      <c r="A431" s="16" t="s">
        <v>1140</v>
      </c>
      <c r="B431" s="15" t="s" cm="1">
        <v>19</v>
      </c>
      <c r="C431" s="15" t="s" cm="1">
        <v>21</v>
      </c>
      <c r="D431" s="15" t="s">
        <v>1929</v>
      </c>
      <c r="E431" s="15" t="s" cm="1">
        <v>1635</v>
      </c>
      <c r="F431" s="15" t="s">
        <v>1638</v>
      </c>
      <c r="G431" s="15" t="s">
        <v>1141</v>
      </c>
      <c r="H431" s="15" t="s">
        <v>52</v>
      </c>
      <c r="I431" s="15" t="s">
        <v>51</v>
      </c>
    </row>
    <row r="432" spans="1:9" ht="15.5" x14ac:dyDescent="0.35">
      <c r="A432" s="16" t="s">
        <v>1143</v>
      </c>
      <c r="B432" s="15" t="s" cm="1">
        <v>19</v>
      </c>
      <c r="C432" s="15" t="s" cm="1">
        <v>21</v>
      </c>
      <c r="D432" s="15" t="s">
        <v>1028</v>
      </c>
      <c r="E432" s="15" t="s" cm="1">
        <v>1639</v>
      </c>
      <c r="F432" s="15" t="s">
        <v>1638</v>
      </c>
      <c r="G432" s="15" t="s">
        <v>881</v>
      </c>
      <c r="H432" s="15" t="s">
        <v>1083</v>
      </c>
      <c r="I432" s="15" t="s">
        <v>51</v>
      </c>
    </row>
    <row r="433" spans="1:9" ht="15.5" x14ac:dyDescent="0.35">
      <c r="A433" s="16" t="s">
        <v>1144</v>
      </c>
      <c r="B433" s="15" t="s" cm="1">
        <v>19</v>
      </c>
      <c r="C433" s="15" t="s" cm="1">
        <v>21</v>
      </c>
      <c r="D433" s="15" t="s">
        <v>1145</v>
      </c>
      <c r="E433" s="15" t="s" cm="1">
        <v>1635</v>
      </c>
      <c r="F433" s="15" t="s">
        <v>1693</v>
      </c>
      <c r="G433" s="15" t="s">
        <v>24</v>
      </c>
      <c r="H433" s="15" t="s">
        <v>52</v>
      </c>
      <c r="I433" s="15" t="s">
        <v>51</v>
      </c>
    </row>
    <row r="434" spans="1:9" ht="15.5" x14ac:dyDescent="0.35">
      <c r="A434" s="16" t="s">
        <v>1146</v>
      </c>
      <c r="B434" s="15" t="s" cm="1">
        <v>19</v>
      </c>
      <c r="C434" s="15" t="s" cm="1">
        <v>21</v>
      </c>
      <c r="D434" s="15" t="s">
        <v>1147</v>
      </c>
      <c r="E434" s="15" t="s" cm="1">
        <v>1635</v>
      </c>
      <c r="F434" s="15" t="s">
        <v>1693</v>
      </c>
      <c r="G434" s="15" t="s">
        <v>24</v>
      </c>
      <c r="H434" s="15" t="s">
        <v>52</v>
      </c>
      <c r="I434" s="15" t="s">
        <v>51</v>
      </c>
    </row>
    <row r="435" spans="1:9" ht="15.5" x14ac:dyDescent="0.35">
      <c r="A435" s="16" t="s">
        <v>1148</v>
      </c>
      <c r="B435" s="15" t="s" cm="1">
        <v>19</v>
      </c>
      <c r="C435" s="15" t="s" cm="1">
        <v>21</v>
      </c>
      <c r="D435" s="15" t="s">
        <v>1147</v>
      </c>
      <c r="E435" s="15" t="s" cm="1">
        <v>1635</v>
      </c>
      <c r="F435" s="15" t="s">
        <v>1693</v>
      </c>
      <c r="G435" s="15" t="s">
        <v>24</v>
      </c>
      <c r="H435" s="15" t="s">
        <v>52</v>
      </c>
      <c r="I435" s="15" t="s">
        <v>51</v>
      </c>
    </row>
    <row r="436" spans="1:9" ht="15.5" x14ac:dyDescent="0.35">
      <c r="A436" s="16" t="s">
        <v>1149</v>
      </c>
      <c r="B436" s="15" t="s" cm="1">
        <v>19</v>
      </c>
      <c r="C436" s="15" t="s" cm="1">
        <v>21</v>
      </c>
      <c r="D436" s="15" t="s">
        <v>1150</v>
      </c>
      <c r="E436" s="15" t="s" cm="1">
        <v>1635</v>
      </c>
      <c r="F436" s="15" t="s">
        <v>1693</v>
      </c>
      <c r="G436" s="15" t="s">
        <v>24</v>
      </c>
      <c r="H436" s="15" t="s">
        <v>35</v>
      </c>
      <c r="I436" s="15" t="s">
        <v>34</v>
      </c>
    </row>
    <row r="437" spans="1:9" ht="15.5" x14ac:dyDescent="0.35">
      <c r="A437" s="16" t="s">
        <v>1151</v>
      </c>
      <c r="B437" s="15" t="s" cm="1">
        <v>19</v>
      </c>
      <c r="C437" s="15" t="s" cm="1">
        <v>21</v>
      </c>
      <c r="D437" s="15" t="s">
        <v>1153</v>
      </c>
      <c r="E437" s="15" t="s" cm="1">
        <v>1639</v>
      </c>
      <c r="F437" s="15" t="s">
        <v>1636</v>
      </c>
      <c r="G437" s="15" t="s">
        <v>1152</v>
      </c>
      <c r="H437" s="15" t="s">
        <v>130</v>
      </c>
      <c r="I437" s="15" t="s">
        <v>22</v>
      </c>
    </row>
    <row r="438" spans="1:9" ht="15.5" x14ac:dyDescent="0.35">
      <c r="A438" s="16" t="s">
        <v>1154</v>
      </c>
      <c r="B438" s="15" t="s" cm="1">
        <v>19</v>
      </c>
      <c r="C438" s="15" t="s" cm="1">
        <v>21</v>
      </c>
      <c r="D438" s="15" t="s">
        <v>1156</v>
      </c>
      <c r="E438" s="15" t="s" cm="1">
        <v>1639</v>
      </c>
      <c r="F438" s="15" t="s">
        <v>1636</v>
      </c>
      <c r="G438" s="15" t="s">
        <v>1155</v>
      </c>
      <c r="H438" s="15" t="s">
        <v>130</v>
      </c>
      <c r="I438" s="15" t="s">
        <v>22</v>
      </c>
    </row>
    <row r="439" spans="1:9" ht="15.5" x14ac:dyDescent="0.35">
      <c r="A439" s="16" t="s">
        <v>1157</v>
      </c>
      <c r="B439" s="15" t="s" cm="1">
        <v>19</v>
      </c>
      <c r="C439" s="15" t="s" cm="1">
        <v>21</v>
      </c>
      <c r="D439" s="15" t="s">
        <v>1930</v>
      </c>
      <c r="E439" s="15" t="s" cm="1">
        <v>1639</v>
      </c>
      <c r="F439" s="15" t="s">
        <v>1636</v>
      </c>
      <c r="G439" s="15" t="s">
        <v>1155</v>
      </c>
      <c r="H439" s="15" t="s">
        <v>52</v>
      </c>
      <c r="I439" s="15" t="s">
        <v>51</v>
      </c>
    </row>
    <row r="440" spans="1:9" ht="15.5" x14ac:dyDescent="0.35">
      <c r="A440" s="16" t="s">
        <v>1159</v>
      </c>
      <c r="B440" s="15" t="s" cm="1">
        <v>19</v>
      </c>
      <c r="C440" s="15" t="s" cm="1">
        <v>21</v>
      </c>
      <c r="D440" s="15" t="s">
        <v>1160</v>
      </c>
      <c r="E440" s="15" t="s" cm="1">
        <v>1639</v>
      </c>
      <c r="F440" s="15" t="s">
        <v>1636</v>
      </c>
      <c r="G440" s="15" t="s">
        <v>1155</v>
      </c>
      <c r="H440" s="15" t="s">
        <v>184</v>
      </c>
      <c r="I440" s="15" t="s">
        <v>91</v>
      </c>
    </row>
    <row r="441" spans="1:9" ht="15.5" x14ac:dyDescent="0.35">
      <c r="A441" s="16" t="s">
        <v>1161</v>
      </c>
      <c r="B441" s="15" t="s" cm="1">
        <v>19</v>
      </c>
      <c r="C441" s="15" t="s" cm="1">
        <v>21</v>
      </c>
      <c r="D441" s="15" t="s">
        <v>1162</v>
      </c>
      <c r="E441" s="15" t="s" cm="1">
        <v>1639</v>
      </c>
      <c r="F441" s="15" t="s">
        <v>1636</v>
      </c>
      <c r="G441" s="15" t="s">
        <v>1155</v>
      </c>
      <c r="H441" s="15" t="s">
        <v>29</v>
      </c>
      <c r="I441" s="15" t="s">
        <v>28</v>
      </c>
    </row>
    <row r="442" spans="1:9" ht="15.5" x14ac:dyDescent="0.35">
      <c r="A442" s="16" t="s">
        <v>1163</v>
      </c>
      <c r="B442" s="15" t="s" cm="1">
        <v>19</v>
      </c>
      <c r="C442" s="15" t="s" cm="1">
        <v>21</v>
      </c>
      <c r="D442" s="15" t="s">
        <v>78</v>
      </c>
      <c r="E442" s="15" t="s" cm="1">
        <v>1639</v>
      </c>
      <c r="F442" s="15" t="s">
        <v>1636</v>
      </c>
      <c r="G442" s="15" t="s">
        <v>1164</v>
      </c>
      <c r="H442" s="15" t="s">
        <v>58</v>
      </c>
      <c r="I442" s="15" t="s">
        <v>57</v>
      </c>
    </row>
    <row r="443" spans="1:9" ht="15.5" x14ac:dyDescent="0.35">
      <c r="A443" s="16" t="s">
        <v>1165</v>
      </c>
      <c r="B443" s="15" t="s" cm="1">
        <v>19</v>
      </c>
      <c r="C443" s="15" t="s" cm="1">
        <v>21</v>
      </c>
      <c r="D443" s="15" t="s">
        <v>1167</v>
      </c>
      <c r="E443" s="15" t="s" cm="1">
        <v>1639</v>
      </c>
      <c r="F443" s="15" t="s">
        <v>1636</v>
      </c>
      <c r="G443" s="15" t="s">
        <v>1166</v>
      </c>
      <c r="H443" s="15" t="s">
        <v>58</v>
      </c>
      <c r="I443" s="15" t="s">
        <v>57</v>
      </c>
    </row>
    <row r="444" spans="1:9" ht="15.5" x14ac:dyDescent="0.35">
      <c r="A444" s="16" t="s">
        <v>1168</v>
      </c>
      <c r="B444" s="15" t="s" cm="1">
        <v>19</v>
      </c>
      <c r="C444" s="15" t="s" cm="1">
        <v>21</v>
      </c>
      <c r="D444" s="15" t="s">
        <v>1631</v>
      </c>
      <c r="E444" s="15" t="s" cm="1">
        <v>1639</v>
      </c>
      <c r="F444" s="15" t="s">
        <v>1636</v>
      </c>
      <c r="G444" s="15" t="s">
        <v>997</v>
      </c>
      <c r="H444" s="15" t="s">
        <v>130</v>
      </c>
      <c r="I444" s="15" t="s">
        <v>22</v>
      </c>
    </row>
    <row r="445" spans="1:9" ht="15.5" x14ac:dyDescent="0.35">
      <c r="A445" s="16" t="s">
        <v>1169</v>
      </c>
      <c r="B445" s="15" t="s" cm="1">
        <v>19</v>
      </c>
      <c r="C445" s="15" t="s" cm="1">
        <v>21</v>
      </c>
      <c r="D445" s="15" t="s">
        <v>1170</v>
      </c>
      <c r="E445" s="15" t="s" cm="1">
        <v>1635</v>
      </c>
      <c r="F445" s="15" t="s">
        <v>1693</v>
      </c>
      <c r="G445" s="15" t="s">
        <v>1113</v>
      </c>
      <c r="H445" s="15" t="s">
        <v>52</v>
      </c>
      <c r="I445" s="15" t="s">
        <v>51</v>
      </c>
    </row>
    <row r="446" spans="1:9" ht="15.5" x14ac:dyDescent="0.35">
      <c r="A446" s="16" t="s">
        <v>1171</v>
      </c>
      <c r="B446" s="15" t="s" cm="1">
        <v>19</v>
      </c>
      <c r="C446" s="15" t="s" cm="1">
        <v>21</v>
      </c>
      <c r="D446" s="15" t="s">
        <v>1172</v>
      </c>
      <c r="E446" s="15" t="s" cm="1">
        <v>1635</v>
      </c>
      <c r="F446" s="15" t="s">
        <v>1693</v>
      </c>
      <c r="G446" s="15" t="s">
        <v>1113</v>
      </c>
      <c r="H446" s="15" t="s">
        <v>52</v>
      </c>
      <c r="I446" s="15" t="s">
        <v>51</v>
      </c>
    </row>
    <row r="447" spans="1:9" ht="15.5" x14ac:dyDescent="0.35">
      <c r="A447" s="16" t="s">
        <v>1173</v>
      </c>
      <c r="B447" s="15" t="s" cm="1">
        <v>19</v>
      </c>
      <c r="C447" s="15" t="s" cm="1">
        <v>21</v>
      </c>
      <c r="D447" s="15" t="s">
        <v>1174</v>
      </c>
      <c r="E447" s="15" t="s" cm="1">
        <v>1635</v>
      </c>
      <c r="F447" s="15" t="s">
        <v>1693</v>
      </c>
      <c r="G447" s="15" t="s">
        <v>876</v>
      </c>
      <c r="H447" s="15" t="s">
        <v>52</v>
      </c>
      <c r="I447" s="15" t="s">
        <v>51</v>
      </c>
    </row>
    <row r="448" spans="1:9" ht="15.5" x14ac:dyDescent="0.35">
      <c r="A448" s="16" t="s">
        <v>1175</v>
      </c>
      <c r="B448" s="15" t="s" cm="1">
        <v>19</v>
      </c>
      <c r="C448" s="15" t="s" cm="1">
        <v>21</v>
      </c>
      <c r="D448" s="15" t="s">
        <v>1176</v>
      </c>
      <c r="E448" s="15" t="s" cm="1">
        <v>1635</v>
      </c>
      <c r="F448" s="15" t="s">
        <v>1693</v>
      </c>
      <c r="G448" s="15" t="s">
        <v>876</v>
      </c>
      <c r="H448" s="15" t="s">
        <v>52</v>
      </c>
      <c r="I448" s="15" t="s">
        <v>51</v>
      </c>
    </row>
    <row r="449" spans="1:9" ht="15.5" x14ac:dyDescent="0.35">
      <c r="A449" s="16" t="s">
        <v>1177</v>
      </c>
      <c r="B449" s="15" t="s" cm="1">
        <v>19</v>
      </c>
      <c r="C449" s="15" t="s" cm="1">
        <v>21</v>
      </c>
      <c r="D449" s="15" t="s">
        <v>1178</v>
      </c>
      <c r="E449" s="15" t="s" cm="1">
        <v>1635</v>
      </c>
      <c r="F449" s="15" t="s">
        <v>1693</v>
      </c>
      <c r="G449" s="15" t="s">
        <v>876</v>
      </c>
      <c r="H449" s="15" t="s">
        <v>52</v>
      </c>
      <c r="I449" s="15" t="s">
        <v>51</v>
      </c>
    </row>
    <row r="450" spans="1:9" ht="15.5" x14ac:dyDescent="0.35">
      <c r="A450" s="16" t="s">
        <v>1179</v>
      </c>
      <c r="B450" s="15" t="s" cm="1">
        <v>19</v>
      </c>
      <c r="C450" s="15" t="s" cm="1">
        <v>21</v>
      </c>
      <c r="D450" s="15" t="s">
        <v>1178</v>
      </c>
      <c r="E450" s="15" t="s" cm="1">
        <v>1635</v>
      </c>
      <c r="F450" s="15" t="s">
        <v>1693</v>
      </c>
      <c r="G450" s="15" t="s">
        <v>876</v>
      </c>
      <c r="H450" s="15" t="s">
        <v>52</v>
      </c>
      <c r="I450" s="15" t="s">
        <v>51</v>
      </c>
    </row>
    <row r="451" spans="1:9" ht="15.5" x14ac:dyDescent="0.35">
      <c r="A451" s="16" t="s">
        <v>1180</v>
      </c>
      <c r="B451" s="15" t="s" cm="1">
        <v>19</v>
      </c>
      <c r="C451" s="15" t="s" cm="1">
        <v>21</v>
      </c>
      <c r="D451" s="15" t="s">
        <v>1931</v>
      </c>
      <c r="E451" s="15" t="s" cm="1">
        <v>1635</v>
      </c>
      <c r="F451" s="15" t="s">
        <v>1693</v>
      </c>
      <c r="G451" s="15" t="s">
        <v>876</v>
      </c>
      <c r="H451" s="15" t="s">
        <v>52</v>
      </c>
      <c r="I451" s="15" t="s">
        <v>51</v>
      </c>
    </row>
    <row r="452" spans="1:9" ht="15.5" x14ac:dyDescent="0.35">
      <c r="A452" s="16" t="s">
        <v>1182</v>
      </c>
      <c r="B452" s="15" t="s" cm="1">
        <v>19</v>
      </c>
      <c r="C452" s="15" t="s" cm="1">
        <v>21</v>
      </c>
      <c r="D452" s="15" t="s">
        <v>1932</v>
      </c>
      <c r="E452" s="15" t="s" cm="1">
        <v>1635</v>
      </c>
      <c r="F452" s="15" t="s">
        <v>1693</v>
      </c>
      <c r="G452" s="15" t="s">
        <v>876</v>
      </c>
      <c r="H452" s="15" t="s">
        <v>52</v>
      </c>
      <c r="I452" s="15" t="s">
        <v>51</v>
      </c>
    </row>
    <row r="453" spans="1:9" ht="15.5" x14ac:dyDescent="0.35">
      <c r="A453" s="16" t="s">
        <v>1184</v>
      </c>
      <c r="B453" s="15" t="s" cm="1">
        <v>19</v>
      </c>
      <c r="C453" s="15" t="s" cm="1">
        <v>21</v>
      </c>
      <c r="D453" s="15" t="s">
        <v>1176</v>
      </c>
      <c r="E453" s="15" t="s" cm="1">
        <v>1635</v>
      </c>
      <c r="F453" s="15" t="s">
        <v>1693</v>
      </c>
      <c r="G453" s="15" t="s">
        <v>876</v>
      </c>
      <c r="H453" s="15" t="s">
        <v>52</v>
      </c>
      <c r="I453" s="15" t="s">
        <v>51</v>
      </c>
    </row>
    <row r="454" spans="1:9" ht="15.5" x14ac:dyDescent="0.35">
      <c r="A454" s="16" t="s">
        <v>1185</v>
      </c>
      <c r="B454" s="15" t="s" cm="1">
        <v>19</v>
      </c>
      <c r="C454" s="15" t="s" cm="1">
        <v>21</v>
      </c>
      <c r="D454" s="15" t="s">
        <v>1186</v>
      </c>
      <c r="E454" s="15" t="s" cm="1">
        <v>1635</v>
      </c>
      <c r="F454" s="15" t="s">
        <v>1693</v>
      </c>
      <c r="G454" s="15" t="s">
        <v>876</v>
      </c>
      <c r="H454" s="15" t="s">
        <v>52</v>
      </c>
      <c r="I454" s="15" t="s">
        <v>51</v>
      </c>
    </row>
    <row r="455" spans="1:9" ht="15.5" x14ac:dyDescent="0.35">
      <c r="A455" s="16" t="s">
        <v>1187</v>
      </c>
      <c r="B455" s="15" t="s" cm="1">
        <v>19</v>
      </c>
      <c r="C455" s="15" t="s" cm="1">
        <v>21</v>
      </c>
      <c r="D455" s="15" t="s">
        <v>1176</v>
      </c>
      <c r="E455" s="15" t="s" cm="1">
        <v>1635</v>
      </c>
      <c r="F455" s="15" t="s">
        <v>1693</v>
      </c>
      <c r="G455" s="15" t="s">
        <v>876</v>
      </c>
      <c r="H455" s="15" t="s">
        <v>52</v>
      </c>
      <c r="I455" s="15" t="s">
        <v>51</v>
      </c>
    </row>
    <row r="456" spans="1:9" ht="15.5" x14ac:dyDescent="0.35">
      <c r="A456" s="16" t="s">
        <v>1188</v>
      </c>
      <c r="B456" s="15" t="s" cm="1">
        <v>19</v>
      </c>
      <c r="C456" s="15" t="s" cm="1">
        <v>21</v>
      </c>
      <c r="D456" s="15" t="s">
        <v>1189</v>
      </c>
      <c r="E456" s="15" t="s" cm="1">
        <v>1635</v>
      </c>
      <c r="F456" s="15" t="s">
        <v>1693</v>
      </c>
      <c r="G456" s="15" t="s">
        <v>876</v>
      </c>
      <c r="H456" s="15" t="s">
        <v>52</v>
      </c>
      <c r="I456" s="15" t="s">
        <v>51</v>
      </c>
    </row>
    <row r="457" spans="1:9" ht="15.5" x14ac:dyDescent="0.35">
      <c r="A457" s="16" t="s">
        <v>1190</v>
      </c>
      <c r="B457" s="15" t="s" cm="1">
        <v>19</v>
      </c>
      <c r="C457" s="15" t="s" cm="1">
        <v>21</v>
      </c>
      <c r="D457" s="15" t="s">
        <v>1186</v>
      </c>
      <c r="E457" s="15" t="s" cm="1">
        <v>1635</v>
      </c>
      <c r="F457" s="15" t="s">
        <v>1693</v>
      </c>
      <c r="G457" s="15" t="s">
        <v>876</v>
      </c>
      <c r="H457" s="15" t="s">
        <v>52</v>
      </c>
      <c r="I457" s="15" t="s">
        <v>51</v>
      </c>
    </row>
    <row r="458" spans="1:9" ht="15.5" x14ac:dyDescent="0.35">
      <c r="A458" s="16" t="s">
        <v>1191</v>
      </c>
      <c r="B458" s="15" t="s" cm="1">
        <v>19</v>
      </c>
      <c r="C458" s="15" t="s" cm="1">
        <v>21</v>
      </c>
      <c r="D458" s="15" t="s">
        <v>1933</v>
      </c>
      <c r="E458" s="15" t="s" cm="1">
        <v>1635</v>
      </c>
      <c r="F458" s="15" t="s">
        <v>1693</v>
      </c>
      <c r="G458" s="15" t="s">
        <v>876</v>
      </c>
      <c r="H458" s="15" t="s">
        <v>29</v>
      </c>
      <c r="I458" s="15" t="s">
        <v>28</v>
      </c>
    </row>
    <row r="459" spans="1:9" ht="15.5" x14ac:dyDescent="0.35">
      <c r="A459" s="16" t="s">
        <v>1193</v>
      </c>
      <c r="B459" s="15" t="s" cm="1">
        <v>19</v>
      </c>
      <c r="C459" s="15" t="s" cm="1">
        <v>21</v>
      </c>
      <c r="D459" s="15" t="s">
        <v>1194</v>
      </c>
      <c r="E459" s="15" t="s" cm="1">
        <v>1635</v>
      </c>
      <c r="F459" s="15" t="s">
        <v>1693</v>
      </c>
      <c r="G459" s="15" t="s">
        <v>876</v>
      </c>
      <c r="H459" s="15" t="s">
        <v>52</v>
      </c>
      <c r="I459" s="15" t="s">
        <v>51</v>
      </c>
    </row>
    <row r="460" spans="1:9" ht="15.5" x14ac:dyDescent="0.35">
      <c r="A460" s="16" t="s">
        <v>1195</v>
      </c>
      <c r="B460" s="15" t="s" cm="1">
        <v>19</v>
      </c>
      <c r="C460" s="15" t="s" cm="1">
        <v>21</v>
      </c>
      <c r="D460" s="15" t="s">
        <v>1934</v>
      </c>
      <c r="E460" s="15" t="s" cm="1">
        <v>1635</v>
      </c>
      <c r="F460" s="15" t="s">
        <v>1693</v>
      </c>
      <c r="G460" s="15" t="s">
        <v>963</v>
      </c>
      <c r="H460" s="15" t="s">
        <v>23</v>
      </c>
      <c r="I460" s="15" t="s">
        <v>22</v>
      </c>
    </row>
    <row r="461" spans="1:9" ht="15.5" x14ac:dyDescent="0.35">
      <c r="A461" s="16" t="s">
        <v>1197</v>
      </c>
      <c r="B461" s="15" t="s" cm="1">
        <v>19</v>
      </c>
      <c r="C461" s="15" t="s" cm="1">
        <v>21</v>
      </c>
      <c r="D461" s="15" t="s">
        <v>1198</v>
      </c>
      <c r="E461" s="15" t="s" cm="1">
        <v>1635</v>
      </c>
      <c r="F461" s="15" t="s">
        <v>1693</v>
      </c>
      <c r="G461" s="15" t="s">
        <v>963</v>
      </c>
      <c r="H461" s="15" t="s">
        <v>52</v>
      </c>
      <c r="I461" s="15" t="s">
        <v>51</v>
      </c>
    </row>
    <row r="462" spans="1:9" ht="15.5" x14ac:dyDescent="0.35">
      <c r="A462" s="16" t="s">
        <v>1199</v>
      </c>
      <c r="B462" s="15" t="s" cm="1">
        <v>19</v>
      </c>
      <c r="C462" s="15" t="s" cm="1">
        <v>21</v>
      </c>
      <c r="D462" s="15" t="s">
        <v>78</v>
      </c>
      <c r="E462" s="15" t="s" cm="1">
        <v>1635</v>
      </c>
      <c r="F462" s="15" t="s">
        <v>1693</v>
      </c>
      <c r="G462" s="15" t="s">
        <v>864</v>
      </c>
      <c r="H462" s="15" t="s">
        <v>58</v>
      </c>
      <c r="I462" s="15" t="s">
        <v>57</v>
      </c>
    </row>
    <row r="463" spans="1:9" ht="15.5" x14ac:dyDescent="0.35">
      <c r="A463" s="16" t="s">
        <v>1200</v>
      </c>
      <c r="B463" s="15" t="s" cm="1">
        <v>19</v>
      </c>
      <c r="C463" s="15" t="s" cm="1">
        <v>21</v>
      </c>
      <c r="D463" s="15" t="s">
        <v>1201</v>
      </c>
      <c r="E463" s="15" t="s" cm="1">
        <v>1635</v>
      </c>
      <c r="F463" s="15" t="s">
        <v>1693</v>
      </c>
      <c r="G463" s="15" t="s">
        <v>864</v>
      </c>
      <c r="H463" s="15" t="s">
        <v>52</v>
      </c>
      <c r="I463" s="15" t="s">
        <v>51</v>
      </c>
    </row>
    <row r="464" spans="1:9" ht="15.5" x14ac:dyDescent="0.35">
      <c r="A464" s="16" t="s">
        <v>1202</v>
      </c>
      <c r="B464" s="15" t="s" cm="1">
        <v>19</v>
      </c>
      <c r="C464" s="15" t="s" cm="1">
        <v>21</v>
      </c>
      <c r="D464" s="15" t="s">
        <v>1204</v>
      </c>
      <c r="E464" s="15" t="s" cm="1">
        <v>1635</v>
      </c>
      <c r="F464" s="15" t="s">
        <v>1693</v>
      </c>
      <c r="G464" s="15" t="s">
        <v>1203</v>
      </c>
      <c r="H464" s="15" t="s">
        <v>52</v>
      </c>
      <c r="I464" s="15" t="s">
        <v>51</v>
      </c>
    </row>
    <row r="465" spans="1:9" ht="15.5" x14ac:dyDescent="0.35">
      <c r="A465" s="16" t="s">
        <v>1205</v>
      </c>
      <c r="B465" s="15" t="s" cm="1">
        <v>19</v>
      </c>
      <c r="C465" s="15" t="s" cm="1">
        <v>21</v>
      </c>
      <c r="D465" s="15" t="s">
        <v>78</v>
      </c>
      <c r="E465" s="15" t="s" cm="1">
        <v>1635</v>
      </c>
      <c r="F465" s="15" t="s">
        <v>1641</v>
      </c>
      <c r="G465" s="15" t="s">
        <v>965</v>
      </c>
      <c r="H465" s="15" t="s">
        <v>58</v>
      </c>
      <c r="I465" s="15" t="s">
        <v>57</v>
      </c>
    </row>
    <row r="466" spans="1:9" ht="15.5" x14ac:dyDescent="0.35">
      <c r="A466" s="16" t="s">
        <v>1207</v>
      </c>
      <c r="B466" s="15" t="s" cm="1">
        <v>19</v>
      </c>
      <c r="C466" s="15" t="s" cm="1">
        <v>21</v>
      </c>
      <c r="D466" s="15" t="s">
        <v>1208</v>
      </c>
      <c r="E466" s="15" t="s" cm="1">
        <v>1635</v>
      </c>
      <c r="F466" s="15" t="s">
        <v>1641</v>
      </c>
      <c r="G466" s="15" t="s">
        <v>965</v>
      </c>
      <c r="H466" s="15" t="s">
        <v>196</v>
      </c>
      <c r="I466" s="15" t="s">
        <v>195</v>
      </c>
    </row>
    <row r="467" spans="1:9" ht="15.5" x14ac:dyDescent="0.35">
      <c r="A467" s="16" t="s">
        <v>1209</v>
      </c>
      <c r="B467" s="15" t="s" cm="1">
        <v>19</v>
      </c>
      <c r="C467" s="15" t="s" cm="1">
        <v>21</v>
      </c>
      <c r="D467" s="15" t="s">
        <v>1210</v>
      </c>
      <c r="E467" s="15" t="s" cm="1">
        <v>1635</v>
      </c>
      <c r="F467" s="15" t="s">
        <v>1641</v>
      </c>
      <c r="G467" s="15" t="s">
        <v>965</v>
      </c>
      <c r="H467" s="15" t="s">
        <v>29</v>
      </c>
      <c r="I467" s="15" t="s">
        <v>28</v>
      </c>
    </row>
    <row r="468" spans="1:9" ht="15.5" x14ac:dyDescent="0.35">
      <c r="A468" s="16" t="s">
        <v>1211</v>
      </c>
      <c r="B468" s="15" t="s" cm="1">
        <v>19</v>
      </c>
      <c r="C468" s="15" t="s" cm="1">
        <v>21</v>
      </c>
      <c r="D468" s="15" t="s">
        <v>1210</v>
      </c>
      <c r="E468" s="15" t="s" cm="1">
        <v>1635</v>
      </c>
      <c r="F468" s="15" t="s">
        <v>1641</v>
      </c>
      <c r="G468" s="15" t="s">
        <v>926</v>
      </c>
      <c r="H468" s="15" t="s">
        <v>29</v>
      </c>
      <c r="I468" s="15" t="s">
        <v>28</v>
      </c>
    </row>
    <row r="469" spans="1:9" ht="15.5" x14ac:dyDescent="0.35">
      <c r="A469" s="16" t="s">
        <v>1212</v>
      </c>
      <c r="B469" s="15" t="s" cm="1">
        <v>19</v>
      </c>
      <c r="C469" s="15" t="s" cm="1">
        <v>21</v>
      </c>
      <c r="D469" s="15" t="s">
        <v>1201</v>
      </c>
      <c r="E469" s="15" t="s" cm="1">
        <v>1635</v>
      </c>
      <c r="F469" s="15" t="s">
        <v>1641</v>
      </c>
      <c r="G469" s="15" t="s">
        <v>926</v>
      </c>
      <c r="H469" s="15" t="s">
        <v>52</v>
      </c>
      <c r="I469" s="15" t="s">
        <v>51</v>
      </c>
    </row>
    <row r="470" spans="1:9" ht="15.5" x14ac:dyDescent="0.35">
      <c r="A470" s="16" t="s">
        <v>1214</v>
      </c>
      <c r="B470" s="15" t="s" cm="1">
        <v>19</v>
      </c>
      <c r="C470" s="15" t="s" cm="1">
        <v>21</v>
      </c>
      <c r="D470" s="15" t="s">
        <v>1210</v>
      </c>
      <c r="E470" s="15" t="s" cm="1">
        <v>1635</v>
      </c>
      <c r="F470" s="15" t="s">
        <v>1641</v>
      </c>
      <c r="G470" s="15" t="s">
        <v>863</v>
      </c>
      <c r="H470" s="15" t="s">
        <v>52</v>
      </c>
      <c r="I470" s="15" t="s">
        <v>51</v>
      </c>
    </row>
    <row r="471" spans="1:9" ht="15.5" x14ac:dyDescent="0.35">
      <c r="A471" s="16" t="s">
        <v>1215</v>
      </c>
      <c r="B471" s="15" t="s" cm="1">
        <v>19</v>
      </c>
      <c r="C471" s="15" t="s" cm="1">
        <v>21</v>
      </c>
      <c r="D471" s="15" t="s">
        <v>1217</v>
      </c>
      <c r="E471" s="15" t="s" cm="1">
        <v>1635</v>
      </c>
      <c r="F471" s="15" t="s">
        <v>1641</v>
      </c>
      <c r="G471" s="15" t="s">
        <v>1216</v>
      </c>
      <c r="H471" s="15" t="s">
        <v>52</v>
      </c>
      <c r="I471" s="15" t="s">
        <v>51</v>
      </c>
    </row>
    <row r="472" spans="1:9" ht="15.5" x14ac:dyDescent="0.35">
      <c r="A472" s="16" t="s">
        <v>1218</v>
      </c>
      <c r="B472" s="15" t="s" cm="1">
        <v>19</v>
      </c>
      <c r="C472" s="15" t="s" cm="1">
        <v>21</v>
      </c>
      <c r="D472" s="15" t="s">
        <v>1935</v>
      </c>
      <c r="E472" s="15" t="s" cm="1">
        <v>1635</v>
      </c>
      <c r="F472" s="15" t="s">
        <v>1643</v>
      </c>
      <c r="G472" s="15" t="s">
        <v>882</v>
      </c>
      <c r="H472" s="15" t="s">
        <v>29</v>
      </c>
      <c r="I472" s="15" t="s">
        <v>28</v>
      </c>
    </row>
    <row r="473" spans="1:9" ht="15.5" x14ac:dyDescent="0.35">
      <c r="A473" s="16" t="s">
        <v>1220</v>
      </c>
      <c r="B473" s="15" t="s" cm="1">
        <v>19</v>
      </c>
      <c r="C473" s="15" t="s" cm="1">
        <v>21</v>
      </c>
      <c r="D473" s="15" t="s">
        <v>1936</v>
      </c>
      <c r="E473" s="15" t="s" cm="1">
        <v>1635</v>
      </c>
      <c r="F473" s="15" t="s">
        <v>1643</v>
      </c>
      <c r="G473" s="15" t="s">
        <v>882</v>
      </c>
      <c r="H473" s="15" t="s">
        <v>52</v>
      </c>
      <c r="I473" s="15" t="s">
        <v>51</v>
      </c>
    </row>
    <row r="474" spans="1:9" ht="15.5" x14ac:dyDescent="0.35">
      <c r="A474" s="16" t="s">
        <v>1222</v>
      </c>
      <c r="B474" s="15" t="s" cm="1">
        <v>19</v>
      </c>
      <c r="C474" s="15" t="s" cm="1">
        <v>21</v>
      </c>
      <c r="D474" s="15" t="s">
        <v>1937</v>
      </c>
      <c r="E474" s="15" t="s" cm="1">
        <v>1635</v>
      </c>
      <c r="F474" s="15" t="s">
        <v>1693</v>
      </c>
      <c r="G474" s="15" t="s">
        <v>1223</v>
      </c>
      <c r="H474" s="15" t="s">
        <v>52</v>
      </c>
      <c r="I474" s="15" t="s">
        <v>51</v>
      </c>
    </row>
    <row r="475" spans="1:9" ht="15.5" x14ac:dyDescent="0.35">
      <c r="A475" s="16" t="s">
        <v>1225</v>
      </c>
      <c r="B475" s="15" t="s" cm="1">
        <v>19</v>
      </c>
      <c r="C475" s="15" t="s" cm="1">
        <v>21</v>
      </c>
      <c r="D475" s="15" t="s">
        <v>1226</v>
      </c>
      <c r="E475" s="15" t="s" cm="1">
        <v>1635</v>
      </c>
      <c r="F475" s="15" t="s">
        <v>1693</v>
      </c>
      <c r="G475" s="15" t="s">
        <v>1223</v>
      </c>
      <c r="H475" s="15" t="s">
        <v>58</v>
      </c>
      <c r="I475" s="15" t="s">
        <v>57</v>
      </c>
    </row>
    <row r="476" spans="1:9" ht="15.5" x14ac:dyDescent="0.35">
      <c r="A476" s="16" t="s">
        <v>1227</v>
      </c>
      <c r="B476" s="15" t="s" cm="1">
        <v>19</v>
      </c>
      <c r="C476" s="15" t="s" cm="1">
        <v>21</v>
      </c>
      <c r="D476" s="15" t="s">
        <v>1178</v>
      </c>
      <c r="E476" s="15" t="s" cm="1">
        <v>1635</v>
      </c>
      <c r="F476" s="15" t="s">
        <v>1693</v>
      </c>
      <c r="G476" s="15" t="s">
        <v>1228</v>
      </c>
      <c r="H476" s="15" t="s">
        <v>52</v>
      </c>
      <c r="I476" s="15" t="s">
        <v>51</v>
      </c>
    </row>
    <row r="477" spans="1:9" ht="15.5" x14ac:dyDescent="0.35">
      <c r="A477" s="16" t="s">
        <v>1229</v>
      </c>
      <c r="B477" s="15" t="s" cm="1">
        <v>19</v>
      </c>
      <c r="C477" s="15" t="s" cm="1">
        <v>21</v>
      </c>
      <c r="D477" s="15" t="s">
        <v>1938</v>
      </c>
      <c r="E477" s="15" t="s" cm="1">
        <v>1635</v>
      </c>
      <c r="F477" s="15" t="s">
        <v>1693</v>
      </c>
      <c r="G477" s="15" t="s">
        <v>1228</v>
      </c>
      <c r="H477" s="15" t="s">
        <v>52</v>
      </c>
      <c r="I477" s="15" t="s">
        <v>51</v>
      </c>
    </row>
    <row r="478" spans="1:9" ht="15.5" x14ac:dyDescent="0.35">
      <c r="A478" s="16" t="s">
        <v>1231</v>
      </c>
      <c r="B478" s="15" t="s" cm="1">
        <v>19</v>
      </c>
      <c r="C478" s="15" t="s" cm="1">
        <v>21</v>
      </c>
      <c r="D478" s="15" t="s">
        <v>1939</v>
      </c>
      <c r="E478" s="15" t="s" cm="1">
        <v>1635</v>
      </c>
      <c r="F478" s="15" t="s">
        <v>1693</v>
      </c>
      <c r="G478" s="15" t="s">
        <v>1228</v>
      </c>
      <c r="H478" s="15" t="s">
        <v>52</v>
      </c>
      <c r="I478" s="15" t="s">
        <v>51</v>
      </c>
    </row>
    <row r="479" spans="1:9" ht="15.5" x14ac:dyDescent="0.35">
      <c r="A479" s="16" t="s">
        <v>1233</v>
      </c>
      <c r="B479" s="15" t="s" cm="1">
        <v>19</v>
      </c>
      <c r="C479" s="15" t="s" cm="1">
        <v>21</v>
      </c>
      <c r="D479" s="15" t="s">
        <v>1234</v>
      </c>
      <c r="E479" s="15" t="s" cm="1">
        <v>1635</v>
      </c>
      <c r="F479" s="15" t="s">
        <v>1693</v>
      </c>
      <c r="G479" s="15" t="s">
        <v>1228</v>
      </c>
      <c r="H479" s="15" t="s">
        <v>52</v>
      </c>
      <c r="I479" s="15" t="s">
        <v>51</v>
      </c>
    </row>
    <row r="480" spans="1:9" ht="15.5" x14ac:dyDescent="0.35">
      <c r="A480" s="16" t="s">
        <v>1235</v>
      </c>
      <c r="B480" s="15" t="s" cm="1">
        <v>19</v>
      </c>
      <c r="C480" s="15" t="s" cm="1">
        <v>21</v>
      </c>
      <c r="D480" s="15" t="s">
        <v>1236</v>
      </c>
      <c r="E480" s="15" t="s" cm="1">
        <v>1635</v>
      </c>
      <c r="F480" s="15" t="s">
        <v>1693</v>
      </c>
      <c r="G480" s="15" t="s">
        <v>1228</v>
      </c>
      <c r="H480" s="15" t="s">
        <v>52</v>
      </c>
      <c r="I480" s="15" t="s">
        <v>51</v>
      </c>
    </row>
    <row r="481" spans="1:9" ht="15.5" x14ac:dyDescent="0.35">
      <c r="A481" s="16" t="s">
        <v>1237</v>
      </c>
      <c r="B481" s="15" t="s" cm="1">
        <v>19</v>
      </c>
      <c r="C481" s="15" t="s" cm="1">
        <v>21</v>
      </c>
      <c r="D481" s="15" t="s">
        <v>1238</v>
      </c>
      <c r="E481" s="15" t="s" cm="1">
        <v>1635</v>
      </c>
      <c r="F481" s="15" t="s">
        <v>1693</v>
      </c>
      <c r="G481" s="15" t="s">
        <v>888</v>
      </c>
      <c r="H481" s="15" t="s">
        <v>52</v>
      </c>
      <c r="I481" s="15" t="s">
        <v>51</v>
      </c>
    </row>
    <row r="482" spans="1:9" ht="15.5" x14ac:dyDescent="0.35">
      <c r="A482" s="16" t="s">
        <v>1239</v>
      </c>
      <c r="B482" s="15" t="s" cm="1">
        <v>19</v>
      </c>
      <c r="C482" s="15" t="s" cm="1">
        <v>21</v>
      </c>
      <c r="D482" s="15" t="s">
        <v>1240</v>
      </c>
      <c r="E482" s="15" t="s" cm="1">
        <v>1635</v>
      </c>
      <c r="F482" s="15" t="s">
        <v>1693</v>
      </c>
      <c r="G482" s="15" t="s">
        <v>888</v>
      </c>
      <c r="H482" s="15" t="s">
        <v>52</v>
      </c>
      <c r="I482" s="15" t="s">
        <v>51</v>
      </c>
    </row>
    <row r="483" spans="1:9" ht="15.5" x14ac:dyDescent="0.35">
      <c r="A483" s="16" t="s">
        <v>1241</v>
      </c>
      <c r="B483" s="15" t="s" cm="1">
        <v>19</v>
      </c>
      <c r="C483" s="15" t="s" cm="1">
        <v>21</v>
      </c>
      <c r="D483" s="15" t="s">
        <v>1234</v>
      </c>
      <c r="E483" s="15" t="s" cm="1">
        <v>1635</v>
      </c>
      <c r="F483" s="15" t="s">
        <v>1693</v>
      </c>
      <c r="G483" s="15" t="s">
        <v>888</v>
      </c>
      <c r="H483" s="15" t="s">
        <v>52</v>
      </c>
      <c r="I483" s="15" t="s">
        <v>51</v>
      </c>
    </row>
    <row r="484" spans="1:9" ht="15.5" x14ac:dyDescent="0.35">
      <c r="A484" s="16" t="s">
        <v>1242</v>
      </c>
      <c r="B484" s="15" t="s" cm="1">
        <v>19</v>
      </c>
      <c r="C484" s="15" t="s" cm="1">
        <v>21</v>
      </c>
      <c r="D484" s="15" t="s">
        <v>1238</v>
      </c>
      <c r="E484" s="15" t="s" cm="1">
        <v>1635</v>
      </c>
      <c r="F484" s="15" t="s">
        <v>1693</v>
      </c>
      <c r="G484" s="15" t="s">
        <v>1243</v>
      </c>
      <c r="H484" s="15" t="s">
        <v>52</v>
      </c>
      <c r="I484" s="15" t="s">
        <v>51</v>
      </c>
    </row>
    <row r="485" spans="1:9" ht="15.5" x14ac:dyDescent="0.35">
      <c r="A485" s="16" t="s">
        <v>1244</v>
      </c>
      <c r="B485" s="15" t="s" cm="1">
        <v>19</v>
      </c>
      <c r="C485" s="15" t="s" cm="1">
        <v>21</v>
      </c>
      <c r="D485" s="15" t="s">
        <v>1940</v>
      </c>
      <c r="E485" s="15" t="s" cm="1">
        <v>1635</v>
      </c>
      <c r="F485" s="15" t="s">
        <v>1693</v>
      </c>
      <c r="G485" s="15" t="s">
        <v>1243</v>
      </c>
      <c r="H485" s="15" t="s">
        <v>52</v>
      </c>
      <c r="I485" s="15" t="s">
        <v>51</v>
      </c>
    </row>
    <row r="486" spans="1:9" ht="15.5" x14ac:dyDescent="0.35">
      <c r="A486" s="16" t="s">
        <v>1246</v>
      </c>
      <c r="B486" s="15" t="s" cm="1">
        <v>19</v>
      </c>
      <c r="C486" s="15" t="s" cm="1">
        <v>21</v>
      </c>
      <c r="D486" s="15" t="s">
        <v>1940</v>
      </c>
      <c r="E486" s="15" t="s" cm="1">
        <v>1635</v>
      </c>
      <c r="F486" s="15" t="s">
        <v>1693</v>
      </c>
      <c r="G486" s="15" t="s">
        <v>1243</v>
      </c>
      <c r="H486" s="15" t="s">
        <v>52</v>
      </c>
      <c r="I486" s="15" t="s">
        <v>51</v>
      </c>
    </row>
    <row r="487" spans="1:9" ht="15.5" x14ac:dyDescent="0.35">
      <c r="A487" s="16" t="s">
        <v>1247</v>
      </c>
      <c r="B487" s="15" t="s" cm="1">
        <v>19</v>
      </c>
      <c r="C487" s="15" t="s" cm="1">
        <v>21</v>
      </c>
      <c r="D487" s="15" t="s">
        <v>1248</v>
      </c>
      <c r="E487" s="15" t="s" cm="1">
        <v>1635</v>
      </c>
      <c r="F487" s="15" t="s">
        <v>1693</v>
      </c>
      <c r="G487" s="15" t="s">
        <v>1243</v>
      </c>
      <c r="H487" s="15" t="s">
        <v>52</v>
      </c>
      <c r="I487" s="15" t="s">
        <v>51</v>
      </c>
    </row>
    <row r="488" spans="1:9" ht="15.5" x14ac:dyDescent="0.35">
      <c r="A488" s="16" t="s">
        <v>1249</v>
      </c>
      <c r="B488" s="15" t="s" cm="1">
        <v>19</v>
      </c>
      <c r="C488" s="15" t="s" cm="1">
        <v>21</v>
      </c>
      <c r="D488" s="15" t="s">
        <v>1251</v>
      </c>
      <c r="E488" s="15" t="s" cm="1">
        <v>1635</v>
      </c>
      <c r="F488" s="15" t="s">
        <v>1693</v>
      </c>
      <c r="G488" s="15" t="s">
        <v>1250</v>
      </c>
      <c r="H488" s="15" t="s">
        <v>52</v>
      </c>
      <c r="I488" s="15" t="s">
        <v>51</v>
      </c>
    </row>
    <row r="489" spans="1:9" ht="15.5" x14ac:dyDescent="0.35">
      <c r="A489" s="16" t="s">
        <v>1252</v>
      </c>
      <c r="B489" s="15" t="s" cm="1">
        <v>19</v>
      </c>
      <c r="C489" s="15" t="s" cm="1">
        <v>21</v>
      </c>
      <c r="D489" s="15" t="s">
        <v>1253</v>
      </c>
      <c r="E489" s="15" t="s" cm="1">
        <v>1635</v>
      </c>
      <c r="F489" s="15" t="s">
        <v>1693</v>
      </c>
      <c r="G489" s="15" t="s">
        <v>1250</v>
      </c>
      <c r="H489" s="15" t="s">
        <v>52</v>
      </c>
      <c r="I489" s="15" t="s">
        <v>51</v>
      </c>
    </row>
    <row r="490" spans="1:9" ht="15.5" x14ac:dyDescent="0.35">
      <c r="A490" s="16" t="s">
        <v>1254</v>
      </c>
      <c r="B490" s="15" t="s" cm="1">
        <v>19</v>
      </c>
      <c r="C490" s="15" t="s" cm="1">
        <v>21</v>
      </c>
      <c r="D490" s="15" t="s">
        <v>1255</v>
      </c>
      <c r="E490" s="15" t="s" cm="1">
        <v>1635</v>
      </c>
      <c r="F490" s="15" t="s">
        <v>1693</v>
      </c>
      <c r="G490" s="15" t="s">
        <v>1250</v>
      </c>
      <c r="H490" s="15" t="s">
        <v>52</v>
      </c>
      <c r="I490" s="15" t="s">
        <v>51</v>
      </c>
    </row>
    <row r="491" spans="1:9" ht="15.5" x14ac:dyDescent="0.35">
      <c r="A491" s="16" t="s">
        <v>1256</v>
      </c>
      <c r="B491" s="15" t="s" cm="1">
        <v>19</v>
      </c>
      <c r="C491" s="15" t="s" cm="1">
        <v>21</v>
      </c>
      <c r="D491" s="15" t="s">
        <v>1941</v>
      </c>
      <c r="E491" s="15" t="s" cm="1">
        <v>1639</v>
      </c>
      <c r="F491" s="15" t="s">
        <v>1638</v>
      </c>
      <c r="G491" s="15" t="s">
        <v>1074</v>
      </c>
      <c r="H491" s="15" t="s">
        <v>52</v>
      </c>
      <c r="I491" s="15" t="s">
        <v>51</v>
      </c>
    </row>
    <row r="492" spans="1:9" ht="15.5" x14ac:dyDescent="0.35">
      <c r="A492" s="16" t="s">
        <v>1258</v>
      </c>
      <c r="B492" s="15" t="s" cm="1">
        <v>19</v>
      </c>
      <c r="C492" s="15" t="s" cm="1">
        <v>21</v>
      </c>
      <c r="D492" s="15" t="s">
        <v>1259</v>
      </c>
      <c r="E492" s="15" t="s" cm="1">
        <v>1639</v>
      </c>
      <c r="F492" s="15" t="s">
        <v>1638</v>
      </c>
      <c r="G492" s="15" t="s">
        <v>1074</v>
      </c>
      <c r="H492" s="15" t="s">
        <v>52</v>
      </c>
      <c r="I492" s="15" t="s">
        <v>51</v>
      </c>
    </row>
    <row r="493" spans="1:9" ht="15.5" x14ac:dyDescent="0.35">
      <c r="A493" s="16" t="s">
        <v>1260</v>
      </c>
      <c r="B493" s="15" t="s" cm="1">
        <v>19</v>
      </c>
      <c r="C493" s="15" t="s" cm="1">
        <v>21</v>
      </c>
      <c r="D493" s="15" t="s">
        <v>1261</v>
      </c>
      <c r="E493" s="15" t="s" cm="1">
        <v>1639</v>
      </c>
      <c r="F493" s="15" t="s">
        <v>1636</v>
      </c>
      <c r="G493" s="15" t="s">
        <v>885</v>
      </c>
      <c r="H493" s="15" t="s">
        <v>1263</v>
      </c>
      <c r="I493" s="15" t="s">
        <v>1262</v>
      </c>
    </row>
    <row r="494" spans="1:9" ht="15.5" x14ac:dyDescent="0.35">
      <c r="A494" s="16" t="s">
        <v>1264</v>
      </c>
      <c r="B494" s="15" t="s" cm="1">
        <v>19</v>
      </c>
      <c r="C494" s="15" t="s" cm="1">
        <v>21</v>
      </c>
      <c r="D494" s="15" t="s">
        <v>1942</v>
      </c>
      <c r="E494" s="15" t="s" cm="1">
        <v>1639</v>
      </c>
      <c r="F494" s="15" t="s">
        <v>1636</v>
      </c>
      <c r="G494" s="15" t="s">
        <v>885</v>
      </c>
      <c r="H494" s="15" t="s">
        <v>1263</v>
      </c>
      <c r="I494" s="15" t="s">
        <v>1262</v>
      </c>
    </row>
    <row r="495" spans="1:9" ht="15.5" x14ac:dyDescent="0.35">
      <c r="A495" s="16" t="s">
        <v>1266</v>
      </c>
      <c r="B495" s="15" t="s" cm="1">
        <v>19</v>
      </c>
      <c r="C495" s="15" t="s" cm="1">
        <v>21</v>
      </c>
      <c r="D495" s="15" t="s">
        <v>1943</v>
      </c>
      <c r="E495" s="15" t="s" cm="1">
        <v>1639</v>
      </c>
      <c r="F495" s="15" t="s">
        <v>1636</v>
      </c>
      <c r="G495" s="15" t="s">
        <v>885</v>
      </c>
      <c r="H495" s="15" t="s">
        <v>1263</v>
      </c>
      <c r="I495" s="15" t="s">
        <v>1262</v>
      </c>
    </row>
    <row r="496" spans="1:9" ht="15.5" x14ac:dyDescent="0.35">
      <c r="A496" s="16" t="s">
        <v>1268</v>
      </c>
      <c r="B496" s="15" t="s" cm="1">
        <v>19</v>
      </c>
      <c r="C496" s="15" t="s" cm="1">
        <v>21</v>
      </c>
      <c r="D496" s="15" t="s">
        <v>1944</v>
      </c>
      <c r="E496" s="15" t="s" cm="1">
        <v>1639</v>
      </c>
      <c r="F496" s="15" t="s">
        <v>1636</v>
      </c>
      <c r="G496" s="15" t="s">
        <v>885</v>
      </c>
      <c r="H496" s="15" t="s">
        <v>1263</v>
      </c>
      <c r="I496" s="15" t="s">
        <v>1262</v>
      </c>
    </row>
    <row r="497" spans="1:9" ht="15.5" x14ac:dyDescent="0.35">
      <c r="A497" s="16" t="s">
        <v>1270</v>
      </c>
      <c r="B497" s="15" t="s" cm="1">
        <v>19</v>
      </c>
      <c r="C497" s="15" t="s" cm="1">
        <v>21</v>
      </c>
      <c r="D497" s="15" t="s">
        <v>1271</v>
      </c>
      <c r="E497" s="15" t="s" cm="1">
        <v>1639</v>
      </c>
      <c r="F497" s="15" t="s">
        <v>1636</v>
      </c>
      <c r="G497" s="15" t="s">
        <v>885</v>
      </c>
      <c r="H497" s="15" t="s">
        <v>1263</v>
      </c>
      <c r="I497" s="15" t="s">
        <v>1262</v>
      </c>
    </row>
    <row r="498" spans="1:9" ht="15.5" x14ac:dyDescent="0.35">
      <c r="A498" s="16" t="s">
        <v>1272</v>
      </c>
      <c r="B498" s="15" t="s" cm="1">
        <v>19</v>
      </c>
      <c r="C498" s="15" t="s" cm="1">
        <v>21</v>
      </c>
      <c r="D498" s="15" t="s">
        <v>1273</v>
      </c>
      <c r="E498" s="15" t="s" cm="1">
        <v>1639</v>
      </c>
      <c r="F498" s="15" t="s">
        <v>1636</v>
      </c>
      <c r="G498" s="15" t="s">
        <v>885</v>
      </c>
      <c r="H498" s="15" t="s">
        <v>1263</v>
      </c>
      <c r="I498" s="15" t="s">
        <v>1262</v>
      </c>
    </row>
    <row r="499" spans="1:9" ht="15.5" x14ac:dyDescent="0.35">
      <c r="A499" s="16" t="s">
        <v>1274</v>
      </c>
      <c r="B499" s="15" t="s" cm="1">
        <v>19</v>
      </c>
      <c r="C499" s="15" t="s" cm="1">
        <v>21</v>
      </c>
      <c r="D499" s="15" t="s">
        <v>1275</v>
      </c>
      <c r="E499" s="15" t="s" cm="1">
        <v>1639</v>
      </c>
      <c r="F499" s="15" t="s">
        <v>1636</v>
      </c>
      <c r="G499" s="15" t="s">
        <v>885</v>
      </c>
      <c r="H499" s="15" t="s">
        <v>1263</v>
      </c>
      <c r="I499" s="15" t="s">
        <v>1262</v>
      </c>
    </row>
    <row r="500" spans="1:9" ht="15.5" x14ac:dyDescent="0.35">
      <c r="A500" s="16" t="s">
        <v>1276</v>
      </c>
      <c r="B500" s="15" t="s" cm="1">
        <v>19</v>
      </c>
      <c r="C500" s="15" t="s" cm="1">
        <v>21</v>
      </c>
      <c r="D500" s="15" t="s">
        <v>1945</v>
      </c>
      <c r="E500" s="15" t="s" cm="1">
        <v>1639</v>
      </c>
      <c r="F500" s="15" t="s">
        <v>1636</v>
      </c>
      <c r="G500" s="15" t="s">
        <v>885</v>
      </c>
      <c r="H500" s="15" t="s">
        <v>1263</v>
      </c>
      <c r="I500" s="15" t="s">
        <v>1262</v>
      </c>
    </row>
    <row r="501" spans="1:9" ht="15.5" x14ac:dyDescent="0.35">
      <c r="A501" s="16" t="s">
        <v>1278</v>
      </c>
      <c r="B501" s="15" t="s" cm="1">
        <v>19</v>
      </c>
      <c r="C501" s="15" t="s" cm="1">
        <v>21</v>
      </c>
      <c r="D501" s="15" t="s">
        <v>1279</v>
      </c>
      <c r="E501" s="15" t="s" cm="1">
        <v>1639</v>
      </c>
      <c r="F501" s="15" t="s">
        <v>1636</v>
      </c>
      <c r="G501" s="15" t="s">
        <v>885</v>
      </c>
      <c r="H501" s="15" t="s">
        <v>1263</v>
      </c>
      <c r="I501" s="15" t="s">
        <v>1262</v>
      </c>
    </row>
    <row r="502" spans="1:9" ht="15.5" x14ac:dyDescent="0.35">
      <c r="A502" s="16" t="s">
        <v>1280</v>
      </c>
      <c r="B502" s="15" t="s" cm="1">
        <v>19</v>
      </c>
      <c r="C502" s="15" t="s" cm="1">
        <v>21</v>
      </c>
      <c r="D502" s="15" t="s">
        <v>1946</v>
      </c>
      <c r="E502" s="15" t="s" cm="1">
        <v>1639</v>
      </c>
      <c r="F502" s="15" t="s">
        <v>1636</v>
      </c>
      <c r="G502" s="15" t="s">
        <v>885</v>
      </c>
      <c r="H502" s="15" t="s">
        <v>1263</v>
      </c>
      <c r="I502" s="15" t="s">
        <v>1262</v>
      </c>
    </row>
    <row r="503" spans="1:9" ht="15.5" x14ac:dyDescent="0.35">
      <c r="A503" s="16" t="s">
        <v>1282</v>
      </c>
      <c r="B503" s="15" t="s" cm="1">
        <v>19</v>
      </c>
      <c r="C503" s="15" t="s" cm="1">
        <v>21</v>
      </c>
      <c r="D503" s="15" t="s">
        <v>1947</v>
      </c>
      <c r="E503" s="15" t="s" cm="1">
        <v>1639</v>
      </c>
      <c r="F503" s="15" t="s">
        <v>1636</v>
      </c>
      <c r="G503" s="15" t="s">
        <v>885</v>
      </c>
      <c r="H503" s="15" t="s">
        <v>1263</v>
      </c>
      <c r="I503" s="15" t="s">
        <v>1262</v>
      </c>
    </row>
    <row r="504" spans="1:9" ht="15.5" x14ac:dyDescent="0.35">
      <c r="A504" s="16" t="s">
        <v>1284</v>
      </c>
      <c r="B504" s="15" t="s" cm="1">
        <v>19</v>
      </c>
      <c r="C504" s="15" t="s" cm="1">
        <v>21</v>
      </c>
      <c r="D504" s="15" t="s">
        <v>1285</v>
      </c>
      <c r="E504" s="15" t="s" cm="1">
        <v>1639</v>
      </c>
      <c r="F504" s="15" t="s">
        <v>1636</v>
      </c>
      <c r="G504" s="15" t="s">
        <v>885</v>
      </c>
      <c r="H504" s="15" t="s">
        <v>1263</v>
      </c>
      <c r="I504" s="15" t="s">
        <v>1262</v>
      </c>
    </row>
    <row r="505" spans="1:9" ht="15.5" x14ac:dyDescent="0.35">
      <c r="A505" s="16" t="s">
        <v>1286</v>
      </c>
      <c r="B505" s="15" t="s" cm="1">
        <v>19</v>
      </c>
      <c r="C505" s="15" t="s" cm="1">
        <v>21</v>
      </c>
      <c r="D505" s="15" t="s">
        <v>1287</v>
      </c>
      <c r="E505" s="15" t="s" cm="1">
        <v>1639</v>
      </c>
      <c r="F505" s="15" t="s">
        <v>1636</v>
      </c>
      <c r="G505" s="15" t="s">
        <v>885</v>
      </c>
      <c r="H505" s="15" t="s">
        <v>1263</v>
      </c>
      <c r="I505" s="15" t="s">
        <v>1262</v>
      </c>
    </row>
    <row r="506" spans="1:9" ht="15.5" x14ac:dyDescent="0.35">
      <c r="A506" s="16" t="s">
        <v>1288</v>
      </c>
      <c r="B506" s="15" t="s" cm="1">
        <v>19</v>
      </c>
      <c r="C506" s="15" t="s" cm="1">
        <v>21</v>
      </c>
      <c r="D506" s="15" t="s">
        <v>1289</v>
      </c>
      <c r="E506" s="15" t="s" cm="1">
        <v>1639</v>
      </c>
      <c r="F506" s="15" t="s">
        <v>1636</v>
      </c>
      <c r="G506" s="15" t="s">
        <v>885</v>
      </c>
      <c r="H506" s="15" t="s">
        <v>1263</v>
      </c>
      <c r="I506" s="15" t="s">
        <v>1262</v>
      </c>
    </row>
    <row r="507" spans="1:9" ht="15.5" x14ac:dyDescent="0.35">
      <c r="A507" s="16" t="s">
        <v>1290</v>
      </c>
      <c r="B507" s="15" t="s" cm="1">
        <v>19</v>
      </c>
      <c r="C507" s="15" t="s" cm="1">
        <v>21</v>
      </c>
      <c r="D507" s="15" t="s">
        <v>1291</v>
      </c>
      <c r="E507" s="15" t="s" cm="1">
        <v>1639</v>
      </c>
      <c r="F507" s="15" t="s">
        <v>1636</v>
      </c>
      <c r="G507" s="15" t="s">
        <v>885</v>
      </c>
      <c r="H507" s="15" t="s">
        <v>1263</v>
      </c>
      <c r="I507" s="15" t="s">
        <v>1262</v>
      </c>
    </row>
    <row r="508" spans="1:9" ht="15.5" x14ac:dyDescent="0.35">
      <c r="A508" s="16" t="s">
        <v>1292</v>
      </c>
      <c r="B508" s="15" t="s" cm="1">
        <v>19</v>
      </c>
      <c r="C508" s="15" t="s" cm="1">
        <v>21</v>
      </c>
      <c r="D508" s="15" t="s">
        <v>1293</v>
      </c>
      <c r="E508" s="15" t="s" cm="1">
        <v>1639</v>
      </c>
      <c r="F508" s="15" t="s">
        <v>1636</v>
      </c>
      <c r="G508" s="15" t="s">
        <v>885</v>
      </c>
      <c r="H508" s="15" t="s">
        <v>1263</v>
      </c>
      <c r="I508" s="15" t="s">
        <v>1262</v>
      </c>
    </row>
    <row r="509" spans="1:9" ht="15.5" x14ac:dyDescent="0.35">
      <c r="A509" s="16" t="s">
        <v>1294</v>
      </c>
      <c r="B509" s="15" t="s" cm="1">
        <v>19</v>
      </c>
      <c r="C509" s="15" t="s" cm="1">
        <v>21</v>
      </c>
      <c r="D509" s="15" t="s">
        <v>1295</v>
      </c>
      <c r="E509" s="15" t="s" cm="1">
        <v>1639</v>
      </c>
      <c r="F509" s="15" t="s">
        <v>1636</v>
      </c>
      <c r="G509" s="15" t="s">
        <v>885</v>
      </c>
      <c r="H509" s="15" t="s">
        <v>1263</v>
      </c>
      <c r="I509" s="15" t="s">
        <v>1262</v>
      </c>
    </row>
    <row r="510" spans="1:9" ht="15.5" x14ac:dyDescent="0.35">
      <c r="A510" s="16" t="s">
        <v>1296</v>
      </c>
      <c r="B510" s="15" t="s" cm="1">
        <v>19</v>
      </c>
      <c r="C510" s="15" t="s" cm="1">
        <v>21</v>
      </c>
      <c r="D510" s="15" t="s">
        <v>1948</v>
      </c>
      <c r="E510" s="15" t="s" cm="1">
        <v>1639</v>
      </c>
      <c r="F510" s="15" t="s">
        <v>1636</v>
      </c>
      <c r="G510" s="15" t="s">
        <v>885</v>
      </c>
      <c r="H510" s="15" t="s">
        <v>1263</v>
      </c>
      <c r="I510" s="15" t="s">
        <v>1262</v>
      </c>
    </row>
    <row r="511" spans="1:9" ht="15.5" x14ac:dyDescent="0.35">
      <c r="A511" s="16" t="s">
        <v>1298</v>
      </c>
      <c r="B511" s="15" t="s" cm="1">
        <v>19</v>
      </c>
      <c r="C511" s="15" t="s" cm="1">
        <v>21</v>
      </c>
      <c r="D511" s="15" t="s">
        <v>1949</v>
      </c>
      <c r="E511" s="15" t="s" cm="1">
        <v>1639</v>
      </c>
      <c r="F511" s="15" t="s">
        <v>1636</v>
      </c>
      <c r="G511" s="15" t="s">
        <v>885</v>
      </c>
      <c r="H511" s="15" t="s">
        <v>1263</v>
      </c>
      <c r="I511" s="15" t="s">
        <v>1262</v>
      </c>
    </row>
    <row r="512" spans="1:9" ht="15.5" x14ac:dyDescent="0.35">
      <c r="A512" s="16" t="s">
        <v>1300</v>
      </c>
      <c r="B512" s="15" t="s" cm="1">
        <v>19</v>
      </c>
      <c r="C512" s="15" t="s" cm="1">
        <v>21</v>
      </c>
      <c r="D512" s="15" t="s">
        <v>1301</v>
      </c>
      <c r="E512" s="15" t="s" cm="1">
        <v>1639</v>
      </c>
      <c r="F512" s="15" t="s">
        <v>1636</v>
      </c>
      <c r="G512" s="15" t="s">
        <v>885</v>
      </c>
      <c r="H512" s="15" t="s">
        <v>1263</v>
      </c>
      <c r="I512" s="15" t="s">
        <v>1262</v>
      </c>
    </row>
    <row r="513" spans="1:9" ht="15.5" x14ac:dyDescent="0.35">
      <c r="A513" s="16" t="s">
        <v>1302</v>
      </c>
      <c r="B513" s="15" t="s" cm="1">
        <v>19</v>
      </c>
      <c r="C513" s="15" t="s" cm="1">
        <v>21</v>
      </c>
      <c r="D513" s="15" t="s">
        <v>1950</v>
      </c>
      <c r="E513" s="15" t="s" cm="1">
        <v>1639</v>
      </c>
      <c r="F513" s="15" t="s">
        <v>1636</v>
      </c>
      <c r="G513" s="15" t="s">
        <v>885</v>
      </c>
      <c r="H513" s="15" t="s">
        <v>1263</v>
      </c>
      <c r="I513" s="15" t="s">
        <v>1262</v>
      </c>
    </row>
    <row r="514" spans="1:9" ht="15.5" x14ac:dyDescent="0.35">
      <c r="A514" s="16" t="s">
        <v>1304</v>
      </c>
      <c r="B514" s="15" t="s" cm="1">
        <v>19</v>
      </c>
      <c r="C514" s="15" t="s" cm="1">
        <v>21</v>
      </c>
      <c r="D514" s="15" t="s">
        <v>1951</v>
      </c>
      <c r="E514" s="15" t="s" cm="1">
        <v>1639</v>
      </c>
      <c r="F514" s="15" t="s">
        <v>1636</v>
      </c>
      <c r="G514" s="15" t="s">
        <v>885</v>
      </c>
      <c r="H514" s="15" t="s">
        <v>1263</v>
      </c>
      <c r="I514" s="15" t="s">
        <v>1262</v>
      </c>
    </row>
    <row r="515" spans="1:9" ht="15.5" x14ac:dyDescent="0.35">
      <c r="A515" s="16" t="s">
        <v>1306</v>
      </c>
      <c r="B515" s="15" t="s" cm="1">
        <v>19</v>
      </c>
      <c r="C515" s="15" t="s" cm="1">
        <v>21</v>
      </c>
      <c r="D515" s="15" t="s">
        <v>1307</v>
      </c>
      <c r="E515" s="15" t="s" cm="1">
        <v>1639</v>
      </c>
      <c r="F515" s="15" t="s">
        <v>1636</v>
      </c>
      <c r="G515" s="15" t="s">
        <v>885</v>
      </c>
      <c r="H515" s="15" t="s">
        <v>1263</v>
      </c>
      <c r="I515" s="15" t="s">
        <v>1262</v>
      </c>
    </row>
    <row r="516" spans="1:9" ht="15.5" x14ac:dyDescent="0.35">
      <c r="A516" s="16" t="s">
        <v>1308</v>
      </c>
      <c r="B516" s="15" t="s" cm="1">
        <v>19</v>
      </c>
      <c r="C516" s="15" t="s" cm="1">
        <v>21</v>
      </c>
      <c r="D516" s="15" t="s">
        <v>1952</v>
      </c>
      <c r="E516" s="15" t="s" cm="1">
        <v>1639</v>
      </c>
      <c r="F516" s="15" t="s">
        <v>1636</v>
      </c>
      <c r="G516" s="15" t="s">
        <v>885</v>
      </c>
      <c r="H516" s="15" t="s">
        <v>1263</v>
      </c>
      <c r="I516" s="15" t="s">
        <v>1262</v>
      </c>
    </row>
    <row r="517" spans="1:9" ht="15.5" x14ac:dyDescent="0.35">
      <c r="A517" s="16" t="s">
        <v>1310</v>
      </c>
      <c r="B517" s="15" t="s" cm="1">
        <v>19</v>
      </c>
      <c r="C517" s="15" t="s" cm="1">
        <v>21</v>
      </c>
      <c r="D517" s="15" t="s">
        <v>1311</v>
      </c>
      <c r="E517" s="15" t="s" cm="1">
        <v>1639</v>
      </c>
      <c r="F517" s="15" t="s">
        <v>1636</v>
      </c>
      <c r="G517" s="15" t="s">
        <v>885</v>
      </c>
      <c r="H517" s="15" t="s">
        <v>1263</v>
      </c>
      <c r="I517" s="15" t="s">
        <v>1262</v>
      </c>
    </row>
    <row r="518" spans="1:9" ht="15.5" x14ac:dyDescent="0.35">
      <c r="A518" s="16" t="s">
        <v>1312</v>
      </c>
      <c r="B518" s="15" t="s" cm="1">
        <v>19</v>
      </c>
      <c r="C518" s="15" t="s" cm="1">
        <v>21</v>
      </c>
      <c r="D518" s="15" t="s">
        <v>1953</v>
      </c>
      <c r="E518" s="15" t="s" cm="1">
        <v>1639</v>
      </c>
      <c r="F518" s="15" t="s">
        <v>1636</v>
      </c>
      <c r="G518" s="15" t="s">
        <v>885</v>
      </c>
      <c r="H518" s="15" t="s">
        <v>1263</v>
      </c>
      <c r="I518" s="15" t="s">
        <v>1262</v>
      </c>
    </row>
    <row r="519" spans="1:9" ht="15.5" x14ac:dyDescent="0.35">
      <c r="A519" s="16" t="s">
        <v>1314</v>
      </c>
      <c r="B519" s="15" t="s" cm="1">
        <v>19</v>
      </c>
      <c r="C519" s="15" t="s" cm="1">
        <v>21</v>
      </c>
      <c r="D519" s="15" t="s">
        <v>1954</v>
      </c>
      <c r="E519" s="15" t="s" cm="1">
        <v>1639</v>
      </c>
      <c r="F519" s="15" t="s">
        <v>1636</v>
      </c>
      <c r="G519" s="15" t="s">
        <v>885</v>
      </c>
      <c r="H519" s="15" t="s">
        <v>1263</v>
      </c>
      <c r="I519" s="15" t="s">
        <v>1262</v>
      </c>
    </row>
    <row r="520" spans="1:9" ht="15.5" x14ac:dyDescent="0.35">
      <c r="A520" s="16" t="s">
        <v>1316</v>
      </c>
      <c r="B520" s="15" t="s" cm="1">
        <v>19</v>
      </c>
      <c r="C520" s="15" t="s" cm="1">
        <v>21</v>
      </c>
      <c r="D520" s="15" t="s">
        <v>1317</v>
      </c>
      <c r="E520" s="15" t="s" cm="1">
        <v>1639</v>
      </c>
      <c r="F520" s="15" t="s">
        <v>1636</v>
      </c>
      <c r="G520" s="15" t="s">
        <v>885</v>
      </c>
      <c r="H520" s="15" t="s">
        <v>1263</v>
      </c>
      <c r="I520" s="15" t="s">
        <v>1262</v>
      </c>
    </row>
    <row r="521" spans="1:9" ht="15.5" x14ac:dyDescent="0.35">
      <c r="A521" s="16" t="s">
        <v>1318</v>
      </c>
      <c r="B521" s="15" t="s" cm="1">
        <v>19</v>
      </c>
      <c r="C521" s="15" t="s" cm="1">
        <v>21</v>
      </c>
      <c r="D521" s="15" t="s">
        <v>1319</v>
      </c>
      <c r="E521" s="15" t="s" cm="1">
        <v>1639</v>
      </c>
      <c r="F521" s="15" t="s">
        <v>1636</v>
      </c>
      <c r="G521" s="15" t="s">
        <v>885</v>
      </c>
      <c r="H521" s="15" t="s">
        <v>1263</v>
      </c>
      <c r="I521" s="15" t="s">
        <v>1262</v>
      </c>
    </row>
    <row r="522" spans="1:9" ht="15.5" x14ac:dyDescent="0.35">
      <c r="A522" s="16" t="s">
        <v>1320</v>
      </c>
      <c r="B522" s="15" t="s" cm="1">
        <v>19</v>
      </c>
      <c r="C522" s="15" t="s" cm="1">
        <v>21</v>
      </c>
      <c r="D522" s="15" t="s">
        <v>1955</v>
      </c>
      <c r="E522" s="15" t="s" cm="1">
        <v>1639</v>
      </c>
      <c r="F522" s="15" t="s">
        <v>1636</v>
      </c>
      <c r="G522" s="15" t="s">
        <v>885</v>
      </c>
      <c r="H522" s="15" t="s">
        <v>1263</v>
      </c>
      <c r="I522" s="15" t="s">
        <v>1262</v>
      </c>
    </row>
    <row r="523" spans="1:9" ht="15.5" x14ac:dyDescent="0.35">
      <c r="A523" s="16" t="s">
        <v>1322</v>
      </c>
      <c r="B523" s="15" t="s" cm="1">
        <v>19</v>
      </c>
      <c r="C523" s="15" t="s" cm="1">
        <v>21</v>
      </c>
      <c r="D523" s="15" t="s">
        <v>1956</v>
      </c>
      <c r="E523" s="15" t="s" cm="1">
        <v>1639</v>
      </c>
      <c r="F523" s="15" t="s">
        <v>1638</v>
      </c>
      <c r="G523" s="15" t="s">
        <v>1074</v>
      </c>
      <c r="H523" s="15" t="s">
        <v>58</v>
      </c>
      <c r="I523" s="15" t="s">
        <v>57</v>
      </c>
    </row>
    <row r="524" spans="1:9" ht="15.5" x14ac:dyDescent="0.35">
      <c r="A524" s="16" t="s">
        <v>1324</v>
      </c>
      <c r="B524" s="15" t="s" cm="1">
        <v>19</v>
      </c>
      <c r="C524" s="15" t="s" cm="1">
        <v>21</v>
      </c>
      <c r="D524" s="15" t="s">
        <v>78</v>
      </c>
      <c r="E524" s="15" t="s" cm="1">
        <v>1639</v>
      </c>
      <c r="F524" s="15" t="s">
        <v>1638</v>
      </c>
      <c r="G524" s="15" t="s">
        <v>1325</v>
      </c>
      <c r="H524" s="15" t="s">
        <v>58</v>
      </c>
      <c r="I524" s="15" t="s">
        <v>57</v>
      </c>
    </row>
    <row r="525" spans="1:9" ht="15.5" x14ac:dyDescent="0.35">
      <c r="A525" s="16" t="s">
        <v>1326</v>
      </c>
      <c r="B525" s="15" t="s" cm="1">
        <v>19</v>
      </c>
      <c r="C525" s="15" t="s" cm="1">
        <v>21</v>
      </c>
      <c r="D525" s="15" t="s">
        <v>1327</v>
      </c>
      <c r="E525" s="15" t="s" cm="1">
        <v>1639</v>
      </c>
      <c r="F525" s="15" t="s">
        <v>1638</v>
      </c>
      <c r="G525" s="15" t="s">
        <v>1074</v>
      </c>
      <c r="H525" s="15" t="s">
        <v>52</v>
      </c>
      <c r="I525" s="15" t="s">
        <v>51</v>
      </c>
    </row>
    <row r="526" spans="1:9" ht="15.5" x14ac:dyDescent="0.35">
      <c r="A526" s="16" t="s">
        <v>1328</v>
      </c>
      <c r="B526" s="15" t="s" cm="1">
        <v>19</v>
      </c>
      <c r="C526" s="15" t="s" cm="1">
        <v>21</v>
      </c>
      <c r="D526" s="15" t="s">
        <v>1329</v>
      </c>
      <c r="E526" s="15" t="s" cm="1">
        <v>1639</v>
      </c>
      <c r="F526" s="15" t="s">
        <v>1638</v>
      </c>
      <c r="G526" s="15" t="s">
        <v>1074</v>
      </c>
      <c r="H526" s="15" t="s">
        <v>52</v>
      </c>
      <c r="I526" s="15" t="s">
        <v>51</v>
      </c>
    </row>
    <row r="527" spans="1:9" ht="15.5" x14ac:dyDescent="0.35">
      <c r="A527" s="16" t="s">
        <v>1330</v>
      </c>
      <c r="B527" s="15" t="s" cm="1">
        <v>19</v>
      </c>
      <c r="C527" s="15" t="s" cm="1">
        <v>21</v>
      </c>
      <c r="D527" s="15" t="s">
        <v>1162</v>
      </c>
      <c r="E527" s="15" t="s" cm="1">
        <v>1639</v>
      </c>
      <c r="F527" s="15" t="s">
        <v>1638</v>
      </c>
      <c r="G527" s="15" t="s">
        <v>1074</v>
      </c>
      <c r="H527" s="15" t="s">
        <v>29</v>
      </c>
      <c r="I527" s="15" t="s">
        <v>28</v>
      </c>
    </row>
    <row r="528" spans="1:9" ht="15.5" x14ac:dyDescent="0.35">
      <c r="A528" s="16" t="s">
        <v>1331</v>
      </c>
      <c r="B528" s="15" t="s" cm="1">
        <v>19</v>
      </c>
      <c r="C528" s="15" t="s" cm="1">
        <v>21</v>
      </c>
      <c r="D528" s="15" t="s">
        <v>1957</v>
      </c>
      <c r="E528" s="15" t="s" cm="1">
        <v>1639</v>
      </c>
      <c r="F528" s="15" t="s">
        <v>1638</v>
      </c>
      <c r="G528" s="15" t="s">
        <v>1074</v>
      </c>
      <c r="H528" s="15" t="s">
        <v>52</v>
      </c>
      <c r="I528" s="15" t="s">
        <v>51</v>
      </c>
    </row>
    <row r="529" spans="1:9" ht="15.5" x14ac:dyDescent="0.35">
      <c r="A529" s="16" t="s">
        <v>1333</v>
      </c>
      <c r="B529" s="15" t="s" cm="1">
        <v>19</v>
      </c>
      <c r="C529" s="15" t="s" cm="1">
        <v>21</v>
      </c>
      <c r="D529" s="15" t="s">
        <v>1334</v>
      </c>
      <c r="E529" s="15" t="s" cm="1">
        <v>1639</v>
      </c>
      <c r="F529" s="15" t="s">
        <v>1638</v>
      </c>
      <c r="G529" s="15" t="s">
        <v>1074</v>
      </c>
      <c r="H529" s="15" t="s">
        <v>52</v>
      </c>
      <c r="I529" s="15" t="s">
        <v>51</v>
      </c>
    </row>
    <row r="530" spans="1:9" ht="15.5" x14ac:dyDescent="0.35">
      <c r="A530" s="16" t="s">
        <v>1335</v>
      </c>
      <c r="B530" s="15" t="s" cm="1">
        <v>19</v>
      </c>
      <c r="C530" s="15" t="s" cm="1">
        <v>21</v>
      </c>
      <c r="D530" s="15" t="s">
        <v>1336</v>
      </c>
      <c r="E530" s="15" t="s" cm="1">
        <v>1639</v>
      </c>
      <c r="F530" s="15" t="s">
        <v>1638</v>
      </c>
      <c r="G530" s="15" t="s">
        <v>1074</v>
      </c>
      <c r="H530" s="15" t="s">
        <v>58</v>
      </c>
      <c r="I530" s="15" t="s">
        <v>57</v>
      </c>
    </row>
    <row r="531" spans="1:9" ht="15.5" x14ac:dyDescent="0.35">
      <c r="A531" s="16" t="s">
        <v>1337</v>
      </c>
      <c r="B531" s="15" t="s" cm="1">
        <v>19</v>
      </c>
      <c r="C531" s="15" t="s" cm="1">
        <v>21</v>
      </c>
      <c r="D531" s="15" t="s">
        <v>1338</v>
      </c>
      <c r="E531" s="15" t="s" cm="1">
        <v>1639</v>
      </c>
      <c r="F531" s="15" t="s">
        <v>1638</v>
      </c>
      <c r="G531" s="15" t="s">
        <v>1074</v>
      </c>
      <c r="H531" s="15" t="s">
        <v>58</v>
      </c>
      <c r="I531" s="15" t="s">
        <v>57</v>
      </c>
    </row>
    <row r="532" spans="1:9" ht="15.5" x14ac:dyDescent="0.35">
      <c r="A532" s="16" t="s">
        <v>1339</v>
      </c>
      <c r="B532" s="15" t="s" cm="1">
        <v>19</v>
      </c>
      <c r="C532" s="15" t="s" cm="1">
        <v>21</v>
      </c>
      <c r="D532" s="15" t="s">
        <v>1340</v>
      </c>
      <c r="E532" s="15" t="s" cm="1">
        <v>1639</v>
      </c>
      <c r="F532" s="15" t="s">
        <v>1636</v>
      </c>
      <c r="G532" s="15" t="s">
        <v>1155</v>
      </c>
      <c r="H532" s="15" t="s">
        <v>585</v>
      </c>
      <c r="I532" s="15" t="s">
        <v>584</v>
      </c>
    </row>
    <row r="533" spans="1:9" ht="15.5" x14ac:dyDescent="0.35">
      <c r="A533" s="16" t="s">
        <v>1341</v>
      </c>
      <c r="B533" s="15" t="s" cm="1">
        <v>19</v>
      </c>
      <c r="C533" s="15" t="s" cm="1">
        <v>21</v>
      </c>
      <c r="D533" s="15" t="s">
        <v>1958</v>
      </c>
      <c r="E533" s="15" t="s" cm="1">
        <v>1635</v>
      </c>
      <c r="F533" s="15" t="s">
        <v>1641</v>
      </c>
      <c r="G533" s="15" t="s">
        <v>926</v>
      </c>
      <c r="H533" s="15" t="s">
        <v>29</v>
      </c>
      <c r="I533" s="15" t="s">
        <v>28</v>
      </c>
    </row>
    <row r="534" spans="1:9" ht="15.5" x14ac:dyDescent="0.35">
      <c r="A534" s="16" t="s">
        <v>1343</v>
      </c>
      <c r="B534" s="15" t="s" cm="1">
        <v>19</v>
      </c>
      <c r="C534" s="15" t="s" cm="1">
        <v>21</v>
      </c>
      <c r="D534" s="15" t="s">
        <v>1345</v>
      </c>
      <c r="E534" s="15" t="s" cm="1">
        <v>1635</v>
      </c>
      <c r="F534" s="15" t="s">
        <v>1693</v>
      </c>
      <c r="G534" s="15" t="s">
        <v>1344</v>
      </c>
      <c r="H534" s="15" t="s">
        <v>52</v>
      </c>
      <c r="I534" s="15" t="s">
        <v>51</v>
      </c>
    </row>
    <row r="535" spans="1:9" ht="15.5" x14ac:dyDescent="0.35">
      <c r="A535" s="16" t="s">
        <v>1346</v>
      </c>
      <c r="B535" s="15" t="s" cm="1">
        <v>19</v>
      </c>
      <c r="C535" s="15" t="s" cm="1">
        <v>21</v>
      </c>
      <c r="D535" s="15" t="s">
        <v>1347</v>
      </c>
      <c r="E535" s="15" t="s" cm="1">
        <v>1635</v>
      </c>
      <c r="F535" s="15" t="s">
        <v>1693</v>
      </c>
      <c r="G535" s="15" t="s">
        <v>1344</v>
      </c>
      <c r="H535" s="15" t="s">
        <v>52</v>
      </c>
      <c r="I535" s="15" t="s">
        <v>51</v>
      </c>
    </row>
    <row r="536" spans="1:9" ht="15.5" x14ac:dyDescent="0.35">
      <c r="A536" s="16" t="s">
        <v>1348</v>
      </c>
      <c r="B536" s="15" t="s" cm="1">
        <v>19</v>
      </c>
      <c r="C536" s="15" t="s" cm="1">
        <v>21</v>
      </c>
      <c r="D536" s="15" t="s">
        <v>1234</v>
      </c>
      <c r="E536" s="15" t="s" cm="1">
        <v>1635</v>
      </c>
      <c r="F536" s="15" t="s">
        <v>1693</v>
      </c>
      <c r="G536" s="15" t="s">
        <v>1344</v>
      </c>
      <c r="H536" s="15" t="s">
        <v>52</v>
      </c>
      <c r="I536" s="15" t="s">
        <v>51</v>
      </c>
    </row>
    <row r="537" spans="1:9" ht="15.5" x14ac:dyDescent="0.35">
      <c r="A537" s="16" t="s">
        <v>1349</v>
      </c>
      <c r="B537" s="15" t="s" cm="1">
        <v>19</v>
      </c>
      <c r="C537" s="15" t="s" cm="1">
        <v>21</v>
      </c>
      <c r="D537" s="15" t="s">
        <v>1350</v>
      </c>
      <c r="E537" s="15" t="s" cm="1">
        <v>1635</v>
      </c>
      <c r="F537" s="15" t="s">
        <v>1693</v>
      </c>
      <c r="G537" s="15" t="s">
        <v>1344</v>
      </c>
      <c r="H537" s="15" t="s">
        <v>52</v>
      </c>
      <c r="I537" s="15" t="s">
        <v>51</v>
      </c>
    </row>
    <row r="538" spans="1:9" ht="15.5" x14ac:dyDescent="0.35">
      <c r="A538" s="16" t="s">
        <v>1351</v>
      </c>
      <c r="B538" s="15" t="s" cm="1">
        <v>19</v>
      </c>
      <c r="C538" s="15" t="s" cm="1">
        <v>21</v>
      </c>
      <c r="D538" s="15" t="s">
        <v>1353</v>
      </c>
      <c r="E538" s="15" t="s" cm="1">
        <v>1635</v>
      </c>
      <c r="F538" s="15" t="s">
        <v>1693</v>
      </c>
      <c r="G538" s="15" t="s">
        <v>1352</v>
      </c>
      <c r="H538" s="15" t="s">
        <v>35</v>
      </c>
      <c r="I538" s="15" t="s">
        <v>34</v>
      </c>
    </row>
    <row r="539" spans="1:9" ht="15.5" x14ac:dyDescent="0.35">
      <c r="A539" s="16" t="s">
        <v>1354</v>
      </c>
      <c r="B539" s="15" t="s" cm="1">
        <v>19</v>
      </c>
      <c r="C539" s="15" t="s" cm="1">
        <v>21</v>
      </c>
      <c r="D539" s="15" t="s">
        <v>1355</v>
      </c>
      <c r="E539" s="15" t="s" cm="1">
        <v>1635</v>
      </c>
      <c r="F539" s="15" t="s">
        <v>1693</v>
      </c>
      <c r="G539" s="15" t="s">
        <v>1352</v>
      </c>
      <c r="H539" s="15" t="s">
        <v>52</v>
      </c>
      <c r="I539" s="15" t="s">
        <v>51</v>
      </c>
    </row>
    <row r="540" spans="1:9" ht="15.5" x14ac:dyDescent="0.35">
      <c r="A540" s="16" t="s">
        <v>1356</v>
      </c>
      <c r="B540" s="15" t="s" cm="1">
        <v>19</v>
      </c>
      <c r="C540" s="15" t="s" cm="1">
        <v>21</v>
      </c>
      <c r="D540" s="15" t="s">
        <v>1959</v>
      </c>
      <c r="E540" s="15" t="s" cm="1">
        <v>1635</v>
      </c>
      <c r="F540" s="15" t="s">
        <v>1693</v>
      </c>
      <c r="G540" s="15" t="s">
        <v>1352</v>
      </c>
      <c r="H540" s="15" t="s">
        <v>52</v>
      </c>
      <c r="I540" s="15" t="s">
        <v>51</v>
      </c>
    </row>
    <row r="541" spans="1:9" ht="15.5" x14ac:dyDescent="0.35">
      <c r="A541" s="16" t="s">
        <v>1358</v>
      </c>
      <c r="B541" s="15" t="s" cm="1">
        <v>19</v>
      </c>
      <c r="C541" s="15" t="s" cm="1">
        <v>21</v>
      </c>
      <c r="D541" s="15" t="s">
        <v>1359</v>
      </c>
      <c r="E541" s="15" t="s" cm="1">
        <v>1635</v>
      </c>
      <c r="F541" s="15" t="s">
        <v>1693</v>
      </c>
      <c r="G541" s="15" t="s">
        <v>1352</v>
      </c>
      <c r="H541" s="15" t="s">
        <v>52</v>
      </c>
      <c r="I541" s="15" t="s">
        <v>51</v>
      </c>
    </row>
    <row r="542" spans="1:9" ht="15.5" x14ac:dyDescent="0.35">
      <c r="A542" s="16" t="s">
        <v>1360</v>
      </c>
      <c r="B542" s="15" t="s" cm="1">
        <v>19</v>
      </c>
      <c r="C542" s="15" t="s" cm="1">
        <v>21</v>
      </c>
      <c r="D542" s="15" t="s">
        <v>1353</v>
      </c>
      <c r="E542" s="15" t="s" cm="1">
        <v>1635</v>
      </c>
      <c r="F542" s="15" t="s">
        <v>1693</v>
      </c>
      <c r="G542" s="15" t="s">
        <v>1361</v>
      </c>
      <c r="H542" s="15" t="s">
        <v>35</v>
      </c>
      <c r="I542" s="15" t="s">
        <v>34</v>
      </c>
    </row>
    <row r="543" spans="1:9" ht="15.5" x14ac:dyDescent="0.35">
      <c r="A543" s="16" t="s">
        <v>1362</v>
      </c>
      <c r="B543" s="15" t="s" cm="1">
        <v>19</v>
      </c>
      <c r="C543" s="15" t="s" cm="1">
        <v>21</v>
      </c>
      <c r="D543" s="15" t="s">
        <v>1960</v>
      </c>
      <c r="E543" s="15" t="s" cm="1">
        <v>1635</v>
      </c>
      <c r="F543" s="15" t="s">
        <v>1693</v>
      </c>
      <c r="G543" s="15" t="s">
        <v>1361</v>
      </c>
      <c r="H543" s="15" t="s">
        <v>58</v>
      </c>
      <c r="I543" s="15" t="s">
        <v>57</v>
      </c>
    </row>
    <row r="544" spans="1:9" ht="15.5" x14ac:dyDescent="0.35">
      <c r="A544" s="16" t="s">
        <v>1364</v>
      </c>
      <c r="B544" s="15" t="s" cm="1">
        <v>19</v>
      </c>
      <c r="C544" s="15" t="s" cm="1">
        <v>21</v>
      </c>
      <c r="D544" s="15" t="s">
        <v>1170</v>
      </c>
      <c r="E544" s="15" t="s" cm="1">
        <v>1635</v>
      </c>
      <c r="F544" s="15" t="s">
        <v>1693</v>
      </c>
      <c r="G544" s="15" t="s">
        <v>1361</v>
      </c>
      <c r="H544" s="15" t="s">
        <v>52</v>
      </c>
      <c r="I544" s="15" t="s">
        <v>51</v>
      </c>
    </row>
    <row r="545" spans="1:9" ht="15.5" x14ac:dyDescent="0.35">
      <c r="A545" s="16" t="s">
        <v>1365</v>
      </c>
      <c r="B545" s="15" t="s" cm="1">
        <v>19</v>
      </c>
      <c r="C545" s="15" t="s" cm="1">
        <v>21</v>
      </c>
      <c r="D545" s="15" t="s">
        <v>1367</v>
      </c>
      <c r="E545" s="15" t="s" cm="1">
        <v>1635</v>
      </c>
      <c r="F545" s="15" t="s">
        <v>1693</v>
      </c>
      <c r="G545" s="15" t="s">
        <v>1366</v>
      </c>
      <c r="H545" s="15" t="s">
        <v>35</v>
      </c>
      <c r="I545" s="15" t="s">
        <v>34</v>
      </c>
    </row>
    <row r="546" spans="1:9" ht="15.5" x14ac:dyDescent="0.35">
      <c r="A546" s="16" t="s">
        <v>1368</v>
      </c>
      <c r="B546" s="15" t="s" cm="1">
        <v>19</v>
      </c>
      <c r="C546" s="15" t="s" cm="1">
        <v>21</v>
      </c>
      <c r="D546" s="15" t="s">
        <v>96</v>
      </c>
      <c r="E546" s="15" t="s" cm="1">
        <v>1635</v>
      </c>
      <c r="F546" s="15" t="s">
        <v>1693</v>
      </c>
      <c r="G546" s="15" t="s">
        <v>1366</v>
      </c>
      <c r="H546" s="15" t="s">
        <v>52</v>
      </c>
      <c r="I546" s="15" t="s">
        <v>51</v>
      </c>
    </row>
    <row r="547" spans="1:9" ht="15.5" x14ac:dyDescent="0.35">
      <c r="A547" s="16" t="s">
        <v>1369</v>
      </c>
      <c r="B547" s="15" t="s" cm="1">
        <v>19</v>
      </c>
      <c r="C547" s="15" t="s" cm="1">
        <v>21</v>
      </c>
      <c r="D547" s="15" t="s">
        <v>1371</v>
      </c>
      <c r="E547" s="15" t="s" cm="1">
        <v>1635</v>
      </c>
      <c r="F547" s="15" t="s">
        <v>1693</v>
      </c>
      <c r="G547" s="15" t="s">
        <v>1370</v>
      </c>
      <c r="H547" s="15" t="s">
        <v>52</v>
      </c>
      <c r="I547" s="15" t="s">
        <v>51</v>
      </c>
    </row>
    <row r="548" spans="1:9" ht="15.5" x14ac:dyDescent="0.35">
      <c r="A548" s="16" t="s">
        <v>1372</v>
      </c>
      <c r="B548" s="15" t="s" cm="1">
        <v>19</v>
      </c>
      <c r="C548" s="15" t="s" cm="1">
        <v>21</v>
      </c>
      <c r="D548" s="15" t="s">
        <v>1373</v>
      </c>
      <c r="E548" s="15" t="s" cm="1">
        <v>1635</v>
      </c>
      <c r="F548" s="15" t="s">
        <v>1693</v>
      </c>
      <c r="G548" s="15" t="s">
        <v>1370</v>
      </c>
      <c r="H548" s="15" t="s">
        <v>52</v>
      </c>
      <c r="I548" s="15" t="s">
        <v>51</v>
      </c>
    </row>
    <row r="549" spans="1:9" ht="15.5" x14ac:dyDescent="0.35">
      <c r="A549" s="16" t="s">
        <v>1374</v>
      </c>
      <c r="B549" s="15" t="s" cm="1">
        <v>19</v>
      </c>
      <c r="C549" s="15" t="s" cm="1">
        <v>21</v>
      </c>
      <c r="D549" s="15" t="s">
        <v>1376</v>
      </c>
      <c r="E549" s="15" t="s" cm="1">
        <v>1635</v>
      </c>
      <c r="F549" s="15" t="s">
        <v>1693</v>
      </c>
      <c r="G549" s="15" t="s">
        <v>1375</v>
      </c>
      <c r="H549" s="15" t="s">
        <v>52</v>
      </c>
      <c r="I549" s="15" t="s">
        <v>51</v>
      </c>
    </row>
    <row r="550" spans="1:9" ht="15.5" x14ac:dyDescent="0.35">
      <c r="A550" s="16" t="s">
        <v>1377</v>
      </c>
      <c r="B550" s="15" t="s" cm="1">
        <v>19</v>
      </c>
      <c r="C550" s="15" t="s" cm="1">
        <v>21</v>
      </c>
      <c r="D550" s="15" t="s">
        <v>1378</v>
      </c>
      <c r="E550" s="15" t="s" cm="1">
        <v>1635</v>
      </c>
      <c r="F550" s="15" t="s">
        <v>1693</v>
      </c>
      <c r="G550" s="15" t="s">
        <v>1375</v>
      </c>
      <c r="H550" s="15" t="s">
        <v>52</v>
      </c>
      <c r="I550" s="15" t="s">
        <v>51</v>
      </c>
    </row>
    <row r="551" spans="1:9" ht="15.5" x14ac:dyDescent="0.35">
      <c r="A551" s="16" t="s">
        <v>1379</v>
      </c>
      <c r="B551" s="15" t="s" cm="1">
        <v>19</v>
      </c>
      <c r="C551" s="15" t="s" cm="1">
        <v>21</v>
      </c>
      <c r="D551" s="15" t="s">
        <v>1327</v>
      </c>
      <c r="E551" s="15" t="s" cm="1">
        <v>1639</v>
      </c>
      <c r="F551" s="15" t="s">
        <v>1638</v>
      </c>
      <c r="G551" s="15" t="s">
        <v>1380</v>
      </c>
      <c r="H551" s="15" t="s">
        <v>52</v>
      </c>
      <c r="I551" s="15" t="s">
        <v>51</v>
      </c>
    </row>
    <row r="552" spans="1:9" ht="15.5" x14ac:dyDescent="0.35">
      <c r="A552" s="16" t="s">
        <v>1381</v>
      </c>
      <c r="B552" s="15" t="s" cm="1">
        <v>19</v>
      </c>
      <c r="C552" s="15" t="s" cm="1">
        <v>21</v>
      </c>
      <c r="D552" s="15" t="s">
        <v>1382</v>
      </c>
      <c r="E552" s="15" t="s" cm="1">
        <v>1639</v>
      </c>
      <c r="F552" s="15" t="s">
        <v>1638</v>
      </c>
      <c r="G552" s="15" t="s">
        <v>1380</v>
      </c>
      <c r="H552" s="15" t="s">
        <v>52</v>
      </c>
      <c r="I552" s="15" t="s">
        <v>51</v>
      </c>
    </row>
    <row r="553" spans="1:9" ht="15.5" x14ac:dyDescent="0.35">
      <c r="A553" s="16" t="s">
        <v>1383</v>
      </c>
      <c r="B553" s="15" t="s" cm="1">
        <v>19</v>
      </c>
      <c r="C553" s="15" t="s" cm="1">
        <v>21</v>
      </c>
      <c r="D553" s="15" t="s">
        <v>1384</v>
      </c>
      <c r="E553" s="15" t="s" cm="1">
        <v>1639</v>
      </c>
      <c r="F553" s="15" t="s">
        <v>1638</v>
      </c>
      <c r="G553" s="15" t="s">
        <v>1380</v>
      </c>
      <c r="H553" s="15" t="s">
        <v>52</v>
      </c>
      <c r="I553" s="15" t="s">
        <v>51</v>
      </c>
    </row>
    <row r="554" spans="1:9" ht="15.5" x14ac:dyDescent="0.35">
      <c r="A554" s="16" t="s">
        <v>1385</v>
      </c>
      <c r="B554" s="15" t="s" cm="1">
        <v>19</v>
      </c>
      <c r="C554" s="15" t="s" cm="1">
        <v>21</v>
      </c>
      <c r="D554" s="15" t="s">
        <v>1386</v>
      </c>
      <c r="E554" s="15" t="s" cm="1">
        <v>1635</v>
      </c>
      <c r="F554" s="15" t="s">
        <v>1693</v>
      </c>
      <c r="G554" s="15" t="s">
        <v>962</v>
      </c>
      <c r="H554" s="15" t="s">
        <v>35</v>
      </c>
      <c r="I554" s="15" t="s">
        <v>34</v>
      </c>
    </row>
    <row r="555" spans="1:9" ht="15.5" x14ac:dyDescent="0.35">
      <c r="A555" s="16" t="s">
        <v>1387</v>
      </c>
      <c r="B555" s="15" t="s" cm="1">
        <v>19</v>
      </c>
      <c r="C555" s="15" t="s" cm="1">
        <v>21</v>
      </c>
      <c r="D555" s="15" t="s">
        <v>1389</v>
      </c>
      <c r="E555" s="15" t="s" cm="1">
        <v>1635</v>
      </c>
      <c r="F555" s="15" t="s">
        <v>1693</v>
      </c>
      <c r="G555" s="15" t="s">
        <v>1388</v>
      </c>
      <c r="H555" s="15" t="s">
        <v>58</v>
      </c>
      <c r="I555" s="15" t="s">
        <v>57</v>
      </c>
    </row>
    <row r="556" spans="1:9" ht="15.5" x14ac:dyDescent="0.35">
      <c r="A556" s="16" t="s">
        <v>1390</v>
      </c>
      <c r="B556" s="15" t="s" cm="1">
        <v>19</v>
      </c>
      <c r="C556" s="15" t="s" cm="1">
        <v>21</v>
      </c>
      <c r="D556" s="15" t="s">
        <v>1961</v>
      </c>
      <c r="E556" s="15" t="s" cm="1">
        <v>1635</v>
      </c>
      <c r="F556" s="15" t="s">
        <v>1693</v>
      </c>
      <c r="G556" s="15" t="s">
        <v>1391</v>
      </c>
      <c r="H556" s="15" t="s">
        <v>52</v>
      </c>
      <c r="I556" s="15" t="s">
        <v>51</v>
      </c>
    </row>
    <row r="557" spans="1:9" ht="15.5" x14ac:dyDescent="0.35">
      <c r="A557" s="16" t="s">
        <v>1393</v>
      </c>
      <c r="B557" s="15" t="s" cm="1">
        <v>19</v>
      </c>
      <c r="C557" s="15" t="s" cm="1">
        <v>21</v>
      </c>
      <c r="D557" s="15" t="s">
        <v>1632</v>
      </c>
      <c r="E557" s="15" t="s" cm="1">
        <v>1635</v>
      </c>
      <c r="F557" s="15" t="s">
        <v>1693</v>
      </c>
      <c r="G557" s="15" t="s">
        <v>1391</v>
      </c>
      <c r="H557" s="15" t="s">
        <v>52</v>
      </c>
      <c r="I557" s="15" t="s">
        <v>51</v>
      </c>
    </row>
    <row r="558" spans="1:9" ht="15.5" x14ac:dyDescent="0.35">
      <c r="A558" s="16" t="s">
        <v>1394</v>
      </c>
      <c r="B558" s="15" t="s" cm="1">
        <v>19</v>
      </c>
      <c r="C558" s="15" t="s" cm="1">
        <v>21</v>
      </c>
      <c r="D558" s="15" t="s">
        <v>1395</v>
      </c>
      <c r="E558" s="15" t="s" cm="1">
        <v>1635</v>
      </c>
      <c r="F558" s="15" t="s">
        <v>1693</v>
      </c>
      <c r="G558" s="15" t="s">
        <v>1391</v>
      </c>
      <c r="H558" s="15" t="s">
        <v>52</v>
      </c>
      <c r="I558" s="15" t="s">
        <v>51</v>
      </c>
    </row>
    <row r="559" spans="1:9" ht="15.5" x14ac:dyDescent="0.35">
      <c r="A559" s="16" t="s">
        <v>1396</v>
      </c>
      <c r="B559" s="15" t="s" cm="1">
        <v>19</v>
      </c>
      <c r="C559" s="15" t="s" cm="1">
        <v>21</v>
      </c>
      <c r="D559" s="15" t="s">
        <v>1397</v>
      </c>
      <c r="E559" s="15" t="s" cm="1">
        <v>1635</v>
      </c>
      <c r="F559" s="15" t="s">
        <v>1693</v>
      </c>
      <c r="G559" s="15" t="s">
        <v>1391</v>
      </c>
      <c r="H559" s="15" t="s">
        <v>52</v>
      </c>
      <c r="I559" s="15" t="s">
        <v>51</v>
      </c>
    </row>
    <row r="560" spans="1:9" ht="15.5" x14ac:dyDescent="0.35">
      <c r="A560" s="16" t="s">
        <v>1398</v>
      </c>
      <c r="B560" s="15" t="s" cm="1">
        <v>19</v>
      </c>
      <c r="C560" s="15" t="s" cm="1">
        <v>21</v>
      </c>
      <c r="D560" s="15" t="s">
        <v>1621</v>
      </c>
      <c r="E560" s="15" t="s" cm="1">
        <v>1635</v>
      </c>
      <c r="F560" s="15" t="s">
        <v>1693</v>
      </c>
      <c r="G560" s="15" t="s">
        <v>1203</v>
      </c>
      <c r="H560" s="15" t="s">
        <v>58</v>
      </c>
      <c r="I560" s="15" t="s">
        <v>57</v>
      </c>
    </row>
    <row r="561" spans="1:9" ht="15.5" x14ac:dyDescent="0.35">
      <c r="A561" s="16" t="s">
        <v>1400</v>
      </c>
      <c r="B561" s="15" t="s" cm="1">
        <v>19</v>
      </c>
      <c r="C561" s="15" t="s" cm="1">
        <v>21</v>
      </c>
      <c r="D561" s="15" t="s">
        <v>1401</v>
      </c>
      <c r="E561" s="15" t="s" cm="1">
        <v>1635</v>
      </c>
      <c r="F561" s="15" t="s">
        <v>1693</v>
      </c>
      <c r="G561" s="15" t="s">
        <v>1203</v>
      </c>
      <c r="H561" s="15" t="s">
        <v>58</v>
      </c>
      <c r="I561" s="15" t="s">
        <v>57</v>
      </c>
    </row>
    <row r="562" spans="1:9" ht="15.5" x14ac:dyDescent="0.35">
      <c r="A562" s="16" t="s">
        <v>1402</v>
      </c>
      <c r="B562" s="15" t="s" cm="1">
        <v>19</v>
      </c>
      <c r="C562" s="15" t="s" cm="1">
        <v>21</v>
      </c>
      <c r="D562" s="15" t="s">
        <v>1403</v>
      </c>
      <c r="E562" s="15" t="s" cm="1">
        <v>1635</v>
      </c>
      <c r="F562" s="15" t="s">
        <v>1693</v>
      </c>
      <c r="G562" s="15" t="s">
        <v>1203</v>
      </c>
      <c r="H562" s="15" t="s">
        <v>196</v>
      </c>
      <c r="I562" s="15" t="s">
        <v>195</v>
      </c>
    </row>
    <row r="563" spans="1:9" ht="15.5" x14ac:dyDescent="0.35">
      <c r="A563" s="16" t="s">
        <v>1404</v>
      </c>
      <c r="B563" s="15" t="s" cm="1">
        <v>19</v>
      </c>
      <c r="C563" s="15" t="s" cm="1">
        <v>21</v>
      </c>
      <c r="D563" s="15" t="s">
        <v>1405</v>
      </c>
      <c r="E563" s="15" t="s" cm="1">
        <v>1635</v>
      </c>
      <c r="F563" s="15" t="s">
        <v>1641</v>
      </c>
      <c r="G563" s="15" t="s">
        <v>965</v>
      </c>
      <c r="H563" s="15" t="s">
        <v>29</v>
      </c>
      <c r="I563" s="15" t="s">
        <v>28</v>
      </c>
    </row>
    <row r="564" spans="1:9" ht="15.5" x14ac:dyDescent="0.35">
      <c r="A564" s="16" t="s">
        <v>1406</v>
      </c>
      <c r="B564" s="15" t="s" cm="1">
        <v>19</v>
      </c>
      <c r="C564" s="15" t="s" cm="1">
        <v>21</v>
      </c>
      <c r="D564" s="15" t="s">
        <v>1408</v>
      </c>
      <c r="E564" s="15" t="s" cm="1">
        <v>1635</v>
      </c>
      <c r="F564" s="15" t="s">
        <v>1638</v>
      </c>
      <c r="G564" s="15" t="s">
        <v>1407</v>
      </c>
      <c r="H564" s="15" t="s">
        <v>1263</v>
      </c>
      <c r="I564" s="15" t="s">
        <v>1262</v>
      </c>
    </row>
    <row r="565" spans="1:9" ht="15.5" x14ac:dyDescent="0.35">
      <c r="A565" s="16" t="s">
        <v>1409</v>
      </c>
      <c r="B565" s="15" t="s" cm="1">
        <v>19</v>
      </c>
      <c r="C565" s="15" t="s" cm="1">
        <v>21</v>
      </c>
      <c r="D565" s="15" t="s">
        <v>1410</v>
      </c>
      <c r="E565" s="15" t="s" cm="1">
        <v>1635</v>
      </c>
      <c r="F565" s="15" t="s">
        <v>1638</v>
      </c>
      <c r="G565" s="15" t="s">
        <v>1407</v>
      </c>
      <c r="H565" s="15" t="s">
        <v>112</v>
      </c>
      <c r="I565" s="15" t="s">
        <v>111</v>
      </c>
    </row>
    <row r="566" spans="1:9" ht="15.5" x14ac:dyDescent="0.35">
      <c r="A566" s="16" t="s">
        <v>1411</v>
      </c>
      <c r="B566" s="15" t="s" cm="1">
        <v>19</v>
      </c>
      <c r="C566" s="15" t="s" cm="1">
        <v>21</v>
      </c>
      <c r="D566" s="15" t="s">
        <v>1412</v>
      </c>
      <c r="E566" s="15" t="s" cm="1">
        <v>1635</v>
      </c>
      <c r="F566" s="15" t="s">
        <v>1638</v>
      </c>
      <c r="G566" s="15" t="s">
        <v>1407</v>
      </c>
      <c r="H566" s="15" t="s">
        <v>1263</v>
      </c>
      <c r="I566" s="15" t="s">
        <v>1262</v>
      </c>
    </row>
    <row r="567" spans="1:9" ht="15.5" x14ac:dyDescent="0.35">
      <c r="A567" s="16" t="s">
        <v>1413</v>
      </c>
      <c r="B567" s="15" t="s" cm="1">
        <v>19</v>
      </c>
      <c r="C567" s="15" t="s" cm="1">
        <v>21</v>
      </c>
      <c r="D567" s="15" t="s">
        <v>1414</v>
      </c>
      <c r="E567" s="15" t="s" cm="1">
        <v>1635</v>
      </c>
      <c r="F567" s="15" t="s">
        <v>1638</v>
      </c>
      <c r="G567" s="15" t="s">
        <v>1407</v>
      </c>
      <c r="H567" s="15" t="s">
        <v>1263</v>
      </c>
      <c r="I567" s="15" t="s">
        <v>1262</v>
      </c>
    </row>
    <row r="568" spans="1:9" ht="15.5" x14ac:dyDescent="0.35">
      <c r="A568" s="16" t="s">
        <v>1415</v>
      </c>
      <c r="B568" s="15" t="s" cm="1">
        <v>19</v>
      </c>
      <c r="C568" s="15" t="s" cm="1">
        <v>21</v>
      </c>
      <c r="D568" s="15" t="s">
        <v>1416</v>
      </c>
      <c r="E568" s="15" t="s" cm="1">
        <v>1635</v>
      </c>
      <c r="F568" s="15" t="s">
        <v>1638</v>
      </c>
      <c r="G568" s="15" t="s">
        <v>1407</v>
      </c>
      <c r="H568" s="15" t="s">
        <v>1263</v>
      </c>
      <c r="I568" s="15" t="s">
        <v>1262</v>
      </c>
    </row>
    <row r="569" spans="1:9" ht="15.5" x14ac:dyDescent="0.35">
      <c r="A569" s="16" t="s">
        <v>1417</v>
      </c>
      <c r="B569" s="15" t="s" cm="1">
        <v>19</v>
      </c>
      <c r="C569" s="15" t="s" cm="1">
        <v>21</v>
      </c>
      <c r="D569" s="15" t="s">
        <v>1418</v>
      </c>
      <c r="E569" s="15" t="s" cm="1">
        <v>1635</v>
      </c>
      <c r="F569" s="15" t="s">
        <v>1638</v>
      </c>
      <c r="G569" s="15" t="s">
        <v>1407</v>
      </c>
      <c r="H569" s="15" t="s">
        <v>1263</v>
      </c>
      <c r="I569" s="15" t="s">
        <v>1262</v>
      </c>
    </row>
    <row r="570" spans="1:9" ht="15.5" x14ac:dyDescent="0.35">
      <c r="A570" s="16" t="s">
        <v>1419</v>
      </c>
      <c r="B570" s="15" t="s" cm="1">
        <v>19</v>
      </c>
      <c r="C570" s="15" t="s" cm="1">
        <v>21</v>
      </c>
      <c r="D570" s="15" t="s">
        <v>1420</v>
      </c>
      <c r="E570" s="15" t="s" cm="1">
        <v>1635</v>
      </c>
      <c r="F570" s="15" t="s">
        <v>1638</v>
      </c>
      <c r="G570" s="15" t="s">
        <v>1407</v>
      </c>
      <c r="H570" s="15" t="s">
        <v>1263</v>
      </c>
      <c r="I570" s="15" t="s">
        <v>1262</v>
      </c>
    </row>
    <row r="571" spans="1:9" ht="15.5" x14ac:dyDescent="0.35">
      <c r="A571" s="16" t="s">
        <v>1421</v>
      </c>
      <c r="B571" s="15" t="s" cm="1">
        <v>19</v>
      </c>
      <c r="C571" s="15" t="s" cm="1">
        <v>21</v>
      </c>
      <c r="D571" s="15" t="s">
        <v>1422</v>
      </c>
      <c r="E571" s="15" t="s" cm="1">
        <v>1635</v>
      </c>
      <c r="F571" s="15" t="s">
        <v>1638</v>
      </c>
      <c r="G571" s="15" t="s">
        <v>1407</v>
      </c>
      <c r="H571" s="15" t="s">
        <v>1263</v>
      </c>
      <c r="I571" s="15" t="s">
        <v>1262</v>
      </c>
    </row>
    <row r="572" spans="1:9" ht="15.5" x14ac:dyDescent="0.35">
      <c r="A572" s="16" t="s">
        <v>1423</v>
      </c>
      <c r="B572" s="15" t="s" cm="1">
        <v>19</v>
      </c>
      <c r="C572" s="15" t="s" cm="1">
        <v>21</v>
      </c>
      <c r="D572" s="15" t="s">
        <v>1424</v>
      </c>
      <c r="E572" s="15" t="s" cm="1">
        <v>1635</v>
      </c>
      <c r="F572" s="15" t="s">
        <v>1638</v>
      </c>
      <c r="G572" s="15" t="s">
        <v>1407</v>
      </c>
      <c r="H572" s="15" t="s">
        <v>1263</v>
      </c>
      <c r="I572" s="15" t="s">
        <v>1262</v>
      </c>
    </row>
    <row r="573" spans="1:9" ht="15.5" x14ac:dyDescent="0.35">
      <c r="A573" s="16" t="s">
        <v>1425</v>
      </c>
      <c r="B573" s="15" t="s" cm="1">
        <v>19</v>
      </c>
      <c r="C573" s="15" t="s" cm="1">
        <v>21</v>
      </c>
      <c r="D573" s="15" t="s">
        <v>1426</v>
      </c>
      <c r="E573" s="15" t="s" cm="1">
        <v>1635</v>
      </c>
      <c r="F573" s="15" t="s">
        <v>1638</v>
      </c>
      <c r="G573" s="15" t="s">
        <v>1407</v>
      </c>
      <c r="H573" s="15" t="s">
        <v>1263</v>
      </c>
      <c r="I573" s="15" t="s">
        <v>1262</v>
      </c>
    </row>
    <row r="574" spans="1:9" ht="15.5" x14ac:dyDescent="0.35">
      <c r="A574" s="16" t="s">
        <v>1427</v>
      </c>
      <c r="B574" s="15" t="s" cm="1">
        <v>19</v>
      </c>
      <c r="C574" s="15" t="s" cm="1">
        <v>21</v>
      </c>
      <c r="D574" s="15" t="s">
        <v>1962</v>
      </c>
      <c r="E574" s="15" t="s" cm="1">
        <v>1635</v>
      </c>
      <c r="F574" s="15" t="s">
        <v>1638</v>
      </c>
      <c r="G574" s="15" t="s">
        <v>1407</v>
      </c>
      <c r="H574" s="15" t="s">
        <v>1263</v>
      </c>
      <c r="I574" s="15" t="s">
        <v>1262</v>
      </c>
    </row>
    <row r="575" spans="1:9" ht="15.5" x14ac:dyDescent="0.35">
      <c r="A575" s="16" t="s">
        <v>1429</v>
      </c>
      <c r="B575" s="15" t="s" cm="1">
        <v>19</v>
      </c>
      <c r="C575" s="15" t="s" cm="1">
        <v>21</v>
      </c>
      <c r="D575" s="15" t="s">
        <v>1963</v>
      </c>
      <c r="E575" s="15" t="s" cm="1">
        <v>1635</v>
      </c>
      <c r="F575" s="15" t="s">
        <v>1638</v>
      </c>
      <c r="G575" s="15" t="s">
        <v>1407</v>
      </c>
      <c r="H575" s="15" t="s">
        <v>1263</v>
      </c>
      <c r="I575" s="15" t="s">
        <v>1262</v>
      </c>
    </row>
    <row r="576" spans="1:9" ht="15.5" x14ac:dyDescent="0.35">
      <c r="A576" s="16" t="s">
        <v>1431</v>
      </c>
      <c r="B576" s="15" t="s" cm="1">
        <v>19</v>
      </c>
      <c r="C576" s="15" t="s" cm="1">
        <v>21</v>
      </c>
      <c r="D576" s="15" t="s">
        <v>1432</v>
      </c>
      <c r="E576" s="15" t="s" cm="1">
        <v>1635</v>
      </c>
      <c r="F576" s="15" t="s">
        <v>1638</v>
      </c>
      <c r="G576" s="15" t="s">
        <v>1407</v>
      </c>
      <c r="H576" s="15" t="s">
        <v>1263</v>
      </c>
      <c r="I576" s="15" t="s">
        <v>1262</v>
      </c>
    </row>
    <row r="577" spans="1:9" ht="15.5" x14ac:dyDescent="0.35">
      <c r="A577" s="16" t="s">
        <v>1433</v>
      </c>
      <c r="B577" s="15" t="s" cm="1">
        <v>19</v>
      </c>
      <c r="C577" s="15" t="s" cm="1">
        <v>21</v>
      </c>
      <c r="D577" s="15" t="s">
        <v>1434</v>
      </c>
      <c r="E577" s="15" t="s" cm="1">
        <v>1635</v>
      </c>
      <c r="F577" s="15" t="s">
        <v>1638</v>
      </c>
      <c r="G577" s="15" t="s">
        <v>1407</v>
      </c>
      <c r="H577" s="15" t="s">
        <v>1263</v>
      </c>
      <c r="I577" s="15" t="s">
        <v>1262</v>
      </c>
    </row>
    <row r="578" spans="1:9" ht="15.5" x14ac:dyDescent="0.35">
      <c r="A578" s="16" t="s">
        <v>1435</v>
      </c>
      <c r="B578" s="15" t="s" cm="1">
        <v>19</v>
      </c>
      <c r="C578" s="15" t="s" cm="1">
        <v>21</v>
      </c>
      <c r="D578" s="15" t="s">
        <v>1964</v>
      </c>
      <c r="E578" s="15" t="s" cm="1">
        <v>1635</v>
      </c>
      <c r="F578" s="15" t="s">
        <v>1638</v>
      </c>
      <c r="G578" s="15" t="s">
        <v>1407</v>
      </c>
      <c r="H578" s="15" t="s">
        <v>1263</v>
      </c>
      <c r="I578" s="15" t="s">
        <v>1262</v>
      </c>
    </row>
    <row r="579" spans="1:9" ht="15.5" x14ac:dyDescent="0.35">
      <c r="A579" s="16" t="s">
        <v>1437</v>
      </c>
      <c r="B579" s="15" t="s" cm="1">
        <v>19</v>
      </c>
      <c r="C579" s="15" t="s" cm="1">
        <v>21</v>
      </c>
      <c r="D579" s="15" t="s">
        <v>1438</v>
      </c>
      <c r="E579" s="15" t="s" cm="1">
        <v>1635</v>
      </c>
      <c r="F579" s="15" t="s">
        <v>1638</v>
      </c>
      <c r="G579" s="15" t="s">
        <v>892</v>
      </c>
      <c r="H579" s="15" t="s">
        <v>1263</v>
      </c>
      <c r="I579" s="15" t="s">
        <v>1262</v>
      </c>
    </row>
    <row r="580" spans="1:9" ht="15.5" x14ac:dyDescent="0.35">
      <c r="A580" s="16" t="s">
        <v>1439</v>
      </c>
      <c r="B580" s="15" t="s" cm="1">
        <v>19</v>
      </c>
      <c r="C580" s="15" t="s" cm="1">
        <v>21</v>
      </c>
      <c r="D580" s="15" t="s">
        <v>1965</v>
      </c>
      <c r="E580" s="15" t="s" cm="1">
        <v>1635</v>
      </c>
      <c r="F580" s="15" t="s">
        <v>1638</v>
      </c>
      <c r="G580" s="15" t="s">
        <v>892</v>
      </c>
      <c r="H580" s="15" t="s">
        <v>1263</v>
      </c>
      <c r="I580" s="15" t="s">
        <v>1262</v>
      </c>
    </row>
    <row r="581" spans="1:9" ht="15.5" x14ac:dyDescent="0.35">
      <c r="A581" s="16" t="s">
        <v>1441</v>
      </c>
      <c r="B581" s="15" t="s" cm="1">
        <v>19</v>
      </c>
      <c r="C581" s="15" t="s" cm="1">
        <v>21</v>
      </c>
      <c r="D581" s="15" t="s">
        <v>1442</v>
      </c>
      <c r="E581" s="15" t="s" cm="1">
        <v>1635</v>
      </c>
      <c r="F581" s="15" t="s">
        <v>1638</v>
      </c>
      <c r="G581" s="15" t="s">
        <v>892</v>
      </c>
      <c r="H581" s="15" t="s">
        <v>1263</v>
      </c>
      <c r="I581" s="15" t="s">
        <v>1262</v>
      </c>
    </row>
    <row r="582" spans="1:9" ht="15.5" x14ac:dyDescent="0.35">
      <c r="A582" s="16" t="s">
        <v>1443</v>
      </c>
      <c r="B582" s="15" t="s" cm="1">
        <v>19</v>
      </c>
      <c r="C582" s="15" t="s" cm="1">
        <v>21</v>
      </c>
      <c r="D582" s="15" t="s">
        <v>1444</v>
      </c>
      <c r="E582" s="15" t="s" cm="1">
        <v>1635</v>
      </c>
      <c r="F582" s="15" t="s">
        <v>1638</v>
      </c>
      <c r="G582" s="15" t="s">
        <v>892</v>
      </c>
      <c r="H582" s="15" t="s">
        <v>1263</v>
      </c>
      <c r="I582" s="15" t="s">
        <v>1262</v>
      </c>
    </row>
    <row r="583" spans="1:9" ht="15.5" x14ac:dyDescent="0.35">
      <c r="A583" s="16" t="s">
        <v>1445</v>
      </c>
      <c r="B583" s="15" t="s" cm="1">
        <v>19</v>
      </c>
      <c r="C583" s="15" t="s" cm="1">
        <v>21</v>
      </c>
      <c r="D583" s="15" t="s">
        <v>1966</v>
      </c>
      <c r="E583" s="15" t="s" cm="1">
        <v>1635</v>
      </c>
      <c r="F583" s="15" t="s">
        <v>1638</v>
      </c>
      <c r="G583" s="15" t="s">
        <v>892</v>
      </c>
      <c r="H583" s="15" t="s">
        <v>1263</v>
      </c>
      <c r="I583" s="15" t="s">
        <v>1262</v>
      </c>
    </row>
    <row r="584" spans="1:9" ht="15.5" x14ac:dyDescent="0.35">
      <c r="A584" s="16" t="s">
        <v>1447</v>
      </c>
      <c r="B584" s="15" t="s" cm="1">
        <v>19</v>
      </c>
      <c r="C584" s="15" t="s" cm="1">
        <v>21</v>
      </c>
      <c r="D584" s="15" t="s">
        <v>1448</v>
      </c>
      <c r="E584" s="15" t="s" cm="1">
        <v>1635</v>
      </c>
      <c r="F584" s="15" t="s">
        <v>1638</v>
      </c>
      <c r="G584" s="15" t="s">
        <v>892</v>
      </c>
      <c r="H584" s="15" t="s">
        <v>1263</v>
      </c>
      <c r="I584" s="15" t="s">
        <v>1262</v>
      </c>
    </row>
    <row r="585" spans="1:9" ht="15.5" x14ac:dyDescent="0.35">
      <c r="A585" s="16" t="s">
        <v>1449</v>
      </c>
      <c r="B585" s="15" t="s" cm="1">
        <v>19</v>
      </c>
      <c r="C585" s="15" t="s" cm="1">
        <v>21</v>
      </c>
      <c r="D585" s="15" t="s">
        <v>1967</v>
      </c>
      <c r="E585" s="15" t="s" cm="1">
        <v>1635</v>
      </c>
      <c r="F585" s="15" t="s">
        <v>1638</v>
      </c>
      <c r="G585" s="15" t="s">
        <v>892</v>
      </c>
      <c r="H585" s="15" t="s">
        <v>1263</v>
      </c>
      <c r="I585" s="15" t="s">
        <v>1262</v>
      </c>
    </row>
    <row r="586" spans="1:9" ht="15.5" x14ac:dyDescent="0.35">
      <c r="A586" s="16" t="s">
        <v>1451</v>
      </c>
      <c r="B586" s="15" t="s" cm="1">
        <v>19</v>
      </c>
      <c r="C586" s="15" t="s" cm="1">
        <v>21</v>
      </c>
      <c r="D586" s="15" t="s">
        <v>1452</v>
      </c>
      <c r="E586" s="15" t="s" cm="1">
        <v>1635</v>
      </c>
      <c r="F586" s="15" t="s">
        <v>1638</v>
      </c>
      <c r="G586" s="15" t="s">
        <v>892</v>
      </c>
      <c r="H586" s="15" t="s">
        <v>1263</v>
      </c>
      <c r="I586" s="15" t="s">
        <v>1262</v>
      </c>
    </row>
    <row r="587" spans="1:9" ht="15.5" x14ac:dyDescent="0.35">
      <c r="A587" s="16" t="s">
        <v>1453</v>
      </c>
      <c r="B587" s="15" t="s" cm="1">
        <v>19</v>
      </c>
      <c r="C587" s="15" t="s" cm="1">
        <v>21</v>
      </c>
      <c r="D587" s="15" t="s">
        <v>1454</v>
      </c>
      <c r="E587" s="15" t="s" cm="1">
        <v>1635</v>
      </c>
      <c r="F587" s="15" t="s">
        <v>1643</v>
      </c>
      <c r="G587" s="15" t="s">
        <v>895</v>
      </c>
      <c r="H587" s="15" t="s">
        <v>35</v>
      </c>
      <c r="I587" s="15" t="s">
        <v>34</v>
      </c>
    </row>
    <row r="588" spans="1:9" ht="15.5" x14ac:dyDescent="0.35">
      <c r="A588" s="16" t="s">
        <v>1455</v>
      </c>
      <c r="B588" s="15" t="s" cm="1">
        <v>19</v>
      </c>
      <c r="C588" s="15" t="s" cm="1">
        <v>21</v>
      </c>
      <c r="D588" s="15" t="s">
        <v>1456</v>
      </c>
      <c r="E588" s="15" t="s" cm="1">
        <v>1635</v>
      </c>
      <c r="F588" s="15" t="s">
        <v>1643</v>
      </c>
      <c r="G588" s="15" t="s">
        <v>895</v>
      </c>
      <c r="H588" s="15" t="s">
        <v>35</v>
      </c>
      <c r="I588" s="15" t="s">
        <v>34</v>
      </c>
    </row>
    <row r="589" spans="1:9" ht="15.5" x14ac:dyDescent="0.35">
      <c r="A589" s="16" t="s">
        <v>1457</v>
      </c>
      <c r="B589" s="15" t="s" cm="1">
        <v>19</v>
      </c>
      <c r="C589" s="15" t="s" cm="1">
        <v>21</v>
      </c>
      <c r="D589" s="15" t="s">
        <v>1353</v>
      </c>
      <c r="E589" s="15" t="s" cm="1">
        <v>1635</v>
      </c>
      <c r="F589" s="15" t="s">
        <v>1643</v>
      </c>
      <c r="G589" s="15" t="s">
        <v>895</v>
      </c>
      <c r="H589" s="15" t="s">
        <v>35</v>
      </c>
      <c r="I589" s="15" t="s">
        <v>34</v>
      </c>
    </row>
    <row r="590" spans="1:9" ht="15.5" x14ac:dyDescent="0.35">
      <c r="A590" s="16" t="s">
        <v>1458</v>
      </c>
      <c r="B590" s="15" t="s" cm="1">
        <v>19</v>
      </c>
      <c r="C590" s="15" t="s" cm="1">
        <v>21</v>
      </c>
      <c r="D590" s="15" t="s">
        <v>1459</v>
      </c>
      <c r="E590" s="15" t="s" cm="1">
        <v>1635</v>
      </c>
      <c r="F590" s="15" t="s">
        <v>1643</v>
      </c>
      <c r="G590" s="15" t="s">
        <v>895</v>
      </c>
      <c r="H590" s="15" t="s">
        <v>196</v>
      </c>
      <c r="I590" s="15" t="s">
        <v>195</v>
      </c>
    </row>
    <row r="591" spans="1:9" ht="15.5" x14ac:dyDescent="0.35">
      <c r="A591" s="16" t="s">
        <v>1460</v>
      </c>
      <c r="B591" s="15" t="s" cm="1">
        <v>19</v>
      </c>
      <c r="C591" s="15" t="s" cm="1">
        <v>21</v>
      </c>
      <c r="D591" s="15" t="s">
        <v>1461</v>
      </c>
      <c r="E591" s="15" t="s" cm="1">
        <v>1635</v>
      </c>
      <c r="F591" s="15" t="s">
        <v>1643</v>
      </c>
      <c r="G591" s="15" t="s">
        <v>895</v>
      </c>
      <c r="H591" s="15" t="s">
        <v>35</v>
      </c>
      <c r="I591" s="15" t="s">
        <v>34</v>
      </c>
    </row>
    <row r="592" spans="1:9" ht="15.5" x14ac:dyDescent="0.35">
      <c r="A592" s="16" t="s">
        <v>1462</v>
      </c>
      <c r="B592" s="15" t="s" cm="1">
        <v>19</v>
      </c>
      <c r="C592" s="15" t="s" cm="1">
        <v>21</v>
      </c>
      <c r="D592" s="15" t="s">
        <v>1633</v>
      </c>
      <c r="E592" s="15" t="s" cm="1">
        <v>1635</v>
      </c>
      <c r="F592" s="15" t="s">
        <v>1643</v>
      </c>
      <c r="G592" s="15" t="s">
        <v>895</v>
      </c>
      <c r="H592" s="15" t="s">
        <v>35</v>
      </c>
      <c r="I592" s="15" t="s">
        <v>34</v>
      </c>
    </row>
    <row r="593" spans="1:9" ht="15.5" x14ac:dyDescent="0.35">
      <c r="A593" s="16" t="s">
        <v>1463</v>
      </c>
      <c r="B593" s="15" t="s" cm="1">
        <v>19</v>
      </c>
      <c r="C593" s="15" t="s" cm="1">
        <v>21</v>
      </c>
      <c r="D593" s="15" t="s">
        <v>1465</v>
      </c>
      <c r="E593" s="15" t="s" cm="1">
        <v>1635</v>
      </c>
      <c r="F593" s="15" t="s">
        <v>1643</v>
      </c>
      <c r="G593" s="15" t="s">
        <v>1464</v>
      </c>
      <c r="H593" s="15" t="s">
        <v>35</v>
      </c>
      <c r="I593" s="15" t="s">
        <v>34</v>
      </c>
    </row>
    <row r="594" spans="1:9" ht="15.5" x14ac:dyDescent="0.35">
      <c r="A594" s="16" t="s">
        <v>1466</v>
      </c>
      <c r="B594" s="15" t="s" cm="1">
        <v>19</v>
      </c>
      <c r="C594" s="15" t="s" cm="1">
        <v>21</v>
      </c>
      <c r="D594" s="15" t="s">
        <v>1467</v>
      </c>
      <c r="E594" s="15" t="s" cm="1">
        <v>1635</v>
      </c>
      <c r="F594" s="15" t="s">
        <v>1643</v>
      </c>
      <c r="G594" s="15" t="s">
        <v>1464</v>
      </c>
      <c r="H594" s="15" t="s">
        <v>52</v>
      </c>
      <c r="I594" s="15" t="s">
        <v>51</v>
      </c>
    </row>
    <row r="595" spans="1:9" ht="15.5" x14ac:dyDescent="0.35">
      <c r="A595" s="16" t="s">
        <v>1468</v>
      </c>
      <c r="B595" s="15" t="s" cm="1">
        <v>19</v>
      </c>
      <c r="C595" s="15" t="s" cm="1">
        <v>21</v>
      </c>
      <c r="D595" s="15" t="s">
        <v>1461</v>
      </c>
      <c r="E595" s="15" t="s" cm="1">
        <v>1635</v>
      </c>
      <c r="F595" s="15" t="s">
        <v>1643</v>
      </c>
      <c r="G595" s="15" t="s">
        <v>1469</v>
      </c>
      <c r="H595" s="15" t="s">
        <v>35</v>
      </c>
      <c r="I595" s="15" t="s">
        <v>34</v>
      </c>
    </row>
    <row r="596" spans="1:9" ht="15.5" x14ac:dyDescent="0.35">
      <c r="A596" s="16" t="s">
        <v>1470</v>
      </c>
      <c r="B596" s="15" t="s" cm="1">
        <v>19</v>
      </c>
      <c r="C596" s="15" t="s" cm="1">
        <v>21</v>
      </c>
      <c r="D596" s="15" t="s">
        <v>1471</v>
      </c>
      <c r="E596" s="15" t="s" cm="1">
        <v>1635</v>
      </c>
      <c r="F596" s="15" t="s">
        <v>1643</v>
      </c>
      <c r="G596" s="15" t="s">
        <v>1469</v>
      </c>
      <c r="H596" s="15" t="s">
        <v>35</v>
      </c>
      <c r="I596" s="15" t="s">
        <v>34</v>
      </c>
    </row>
    <row r="597" spans="1:9" ht="15.5" x14ac:dyDescent="0.35">
      <c r="A597" s="16" t="s">
        <v>1472</v>
      </c>
      <c r="B597" s="15" t="s" cm="1">
        <v>19</v>
      </c>
      <c r="C597" s="15" t="s" cm="1">
        <v>21</v>
      </c>
      <c r="D597" s="15" t="s">
        <v>1459</v>
      </c>
      <c r="E597" s="15" t="s" cm="1">
        <v>1635</v>
      </c>
      <c r="F597" s="15" t="s">
        <v>1643</v>
      </c>
      <c r="G597" s="15" t="s">
        <v>1469</v>
      </c>
      <c r="H597" s="15" t="s">
        <v>196</v>
      </c>
      <c r="I597" s="15" t="s">
        <v>195</v>
      </c>
    </row>
    <row r="598" spans="1:9" ht="15.5" x14ac:dyDescent="0.35">
      <c r="A598" s="16" t="s">
        <v>1473</v>
      </c>
      <c r="B598" s="15" t="s" cm="1">
        <v>19</v>
      </c>
      <c r="C598" s="15" t="s" cm="1">
        <v>21</v>
      </c>
      <c r="D598" s="15" t="s">
        <v>1353</v>
      </c>
      <c r="E598" s="15" t="s" cm="1">
        <v>1635</v>
      </c>
      <c r="F598" s="15" t="s">
        <v>1643</v>
      </c>
      <c r="G598" s="15" t="s">
        <v>1469</v>
      </c>
      <c r="H598" s="15" t="s">
        <v>196</v>
      </c>
      <c r="I598" s="15" t="s">
        <v>195</v>
      </c>
    </row>
    <row r="599" spans="1:9" ht="15.5" x14ac:dyDescent="0.35">
      <c r="A599" s="16" t="s">
        <v>1474</v>
      </c>
      <c r="B599" s="15" t="s" cm="1">
        <v>19</v>
      </c>
      <c r="C599" s="15" t="s" cm="1">
        <v>21</v>
      </c>
      <c r="D599" s="15" t="s">
        <v>1475</v>
      </c>
      <c r="E599" s="15" t="s" cm="1">
        <v>1635</v>
      </c>
      <c r="F599" s="15" t="s">
        <v>1643</v>
      </c>
      <c r="G599" s="15" t="s">
        <v>1469</v>
      </c>
      <c r="H599" s="15" t="s">
        <v>35</v>
      </c>
      <c r="I599" s="15" t="s">
        <v>34</v>
      </c>
    </row>
    <row r="600" spans="1:9" ht="15.5" x14ac:dyDescent="0.35">
      <c r="A600" s="16" t="s">
        <v>1476</v>
      </c>
      <c r="B600" s="15" t="s" cm="1">
        <v>19</v>
      </c>
      <c r="C600" s="15" t="s" cm="1">
        <v>21</v>
      </c>
      <c r="D600" s="15" t="s">
        <v>1353</v>
      </c>
      <c r="E600" s="15" t="s" cm="1">
        <v>1635</v>
      </c>
      <c r="F600" s="15" t="s">
        <v>1643</v>
      </c>
      <c r="G600" s="15" t="s">
        <v>1469</v>
      </c>
      <c r="H600" s="15" t="s">
        <v>35</v>
      </c>
      <c r="I600" s="15" t="s">
        <v>34</v>
      </c>
    </row>
    <row r="601" spans="1:9" ht="15.5" x14ac:dyDescent="0.35">
      <c r="A601" s="16" t="s">
        <v>1477</v>
      </c>
      <c r="B601" s="15" t="s" cm="1">
        <v>19</v>
      </c>
      <c r="C601" s="15" t="s" cm="1">
        <v>21</v>
      </c>
      <c r="D601" s="15" t="s">
        <v>1454</v>
      </c>
      <c r="E601" s="15" t="s" cm="1">
        <v>1635</v>
      </c>
      <c r="F601" s="15" t="s">
        <v>1643</v>
      </c>
      <c r="G601" s="15" t="s">
        <v>1478</v>
      </c>
      <c r="H601" s="15" t="s">
        <v>35</v>
      </c>
      <c r="I601" s="15" t="s">
        <v>34</v>
      </c>
    </row>
    <row r="602" spans="1:9" ht="15.5" x14ac:dyDescent="0.35">
      <c r="A602" s="16" t="s">
        <v>1479</v>
      </c>
      <c r="B602" s="15" t="s" cm="1">
        <v>19</v>
      </c>
      <c r="C602" s="15" t="s" cm="1">
        <v>21</v>
      </c>
      <c r="D602" s="15" t="s">
        <v>1461</v>
      </c>
      <c r="E602" s="15" t="s" cm="1">
        <v>1635</v>
      </c>
      <c r="F602" s="15" t="s">
        <v>1643</v>
      </c>
      <c r="G602" s="15" t="s">
        <v>953</v>
      </c>
      <c r="H602" s="15" t="s">
        <v>35</v>
      </c>
      <c r="I602" s="15" t="s">
        <v>34</v>
      </c>
    </row>
    <row r="603" spans="1:9" ht="15.5" x14ac:dyDescent="0.35">
      <c r="A603" s="16" t="s">
        <v>1480</v>
      </c>
      <c r="B603" s="15" t="s" cm="1">
        <v>19</v>
      </c>
      <c r="C603" s="15" t="s" cm="1">
        <v>21</v>
      </c>
      <c r="D603" s="15" t="s">
        <v>1454</v>
      </c>
      <c r="E603" s="15" t="s" cm="1">
        <v>1635</v>
      </c>
      <c r="F603" s="15" t="s">
        <v>1643</v>
      </c>
      <c r="G603" s="15" t="s">
        <v>1481</v>
      </c>
      <c r="H603" s="15" t="s">
        <v>35</v>
      </c>
      <c r="I603" s="15" t="s">
        <v>34</v>
      </c>
    </row>
    <row r="604" spans="1:9" ht="15.5" x14ac:dyDescent="0.35">
      <c r="A604" s="16" t="s">
        <v>1482</v>
      </c>
      <c r="B604" s="15" t="s" cm="1">
        <v>19</v>
      </c>
      <c r="C604" s="15" t="s" cm="1">
        <v>21</v>
      </c>
      <c r="D604" s="15" t="s">
        <v>1483</v>
      </c>
      <c r="E604" s="15" t="s" cm="1">
        <v>1635</v>
      </c>
      <c r="F604" s="15" t="s">
        <v>1643</v>
      </c>
      <c r="G604" s="15" t="s">
        <v>1481</v>
      </c>
      <c r="H604" s="15" t="s">
        <v>52</v>
      </c>
      <c r="I604" s="15" t="s">
        <v>51</v>
      </c>
    </row>
    <row r="605" spans="1:9" ht="15.5" x14ac:dyDescent="0.35">
      <c r="A605" s="16" t="s">
        <v>1484</v>
      </c>
      <c r="B605" s="15" t="s" cm="1">
        <v>19</v>
      </c>
      <c r="C605" s="15" t="s" cm="1">
        <v>21</v>
      </c>
      <c r="D605" s="15" t="s">
        <v>1968</v>
      </c>
      <c r="E605" s="15" t="s" cm="1">
        <v>1639</v>
      </c>
      <c r="F605" s="15" t="s">
        <v>1638</v>
      </c>
      <c r="G605" s="15" t="s">
        <v>948</v>
      </c>
      <c r="H605" s="15" t="s">
        <v>585</v>
      </c>
      <c r="I605" s="15" t="s">
        <v>584</v>
      </c>
    </row>
    <row r="606" spans="1:9" ht="15.5" x14ac:dyDescent="0.35">
      <c r="A606" s="16" t="s">
        <v>1486</v>
      </c>
      <c r="B606" s="15" t="s" cm="1">
        <v>19</v>
      </c>
      <c r="C606" s="15" t="s" cm="1">
        <v>21</v>
      </c>
      <c r="D606" s="15" t="s">
        <v>1969</v>
      </c>
      <c r="E606" s="15" t="s" cm="1">
        <v>1639</v>
      </c>
      <c r="F606" s="15" t="s">
        <v>1638</v>
      </c>
      <c r="G606" s="15" t="s">
        <v>948</v>
      </c>
      <c r="H606" s="15" t="s">
        <v>52</v>
      </c>
      <c r="I606" s="15" t="s">
        <v>51</v>
      </c>
    </row>
    <row r="607" spans="1:9" ht="15.5" x14ac:dyDescent="0.35">
      <c r="A607" s="16" t="s">
        <v>1488</v>
      </c>
      <c r="B607" s="15" t="s" cm="1">
        <v>19</v>
      </c>
      <c r="C607" s="15" t="s" cm="1">
        <v>21</v>
      </c>
      <c r="D607" s="15" t="s">
        <v>1970</v>
      </c>
      <c r="E607" s="15" t="s" cm="1">
        <v>1639</v>
      </c>
      <c r="F607" s="15" t="s">
        <v>1638</v>
      </c>
      <c r="G607" s="15" t="s">
        <v>1489</v>
      </c>
      <c r="H607" s="15" t="s">
        <v>29</v>
      </c>
      <c r="I607" s="15" t="s">
        <v>28</v>
      </c>
    </row>
    <row r="608" spans="1:9" ht="15.5" x14ac:dyDescent="0.35">
      <c r="A608" s="16" t="s">
        <v>1490</v>
      </c>
      <c r="B608" s="15" t="s" cm="1">
        <v>19</v>
      </c>
      <c r="C608" s="15" t="s" cm="1">
        <v>21</v>
      </c>
      <c r="D608" s="15" t="s">
        <v>1491</v>
      </c>
      <c r="E608" s="15" t="s" cm="1">
        <v>1639</v>
      </c>
      <c r="F608" s="15" t="s">
        <v>1638</v>
      </c>
      <c r="G608" s="15" t="s">
        <v>1489</v>
      </c>
      <c r="H608" s="15" t="s">
        <v>130</v>
      </c>
      <c r="I608" s="15" t="s">
        <v>22</v>
      </c>
    </row>
    <row r="609" spans="1:9" ht="15.5" x14ac:dyDescent="0.35">
      <c r="A609" s="16" t="s">
        <v>1492</v>
      </c>
      <c r="B609" s="15" t="s" cm="1">
        <v>19</v>
      </c>
      <c r="C609" s="15" t="s" cm="1">
        <v>21</v>
      </c>
      <c r="D609" s="15" t="s">
        <v>1493</v>
      </c>
      <c r="E609" s="15" t="s" cm="1">
        <v>1639</v>
      </c>
      <c r="F609" s="15" t="s">
        <v>1636</v>
      </c>
      <c r="G609" s="15" t="s">
        <v>24</v>
      </c>
      <c r="H609" s="15" t="s">
        <v>52</v>
      </c>
      <c r="I609" s="15" t="s">
        <v>51</v>
      </c>
    </row>
    <row r="610" spans="1:9" ht="15.5" x14ac:dyDescent="0.35">
      <c r="A610" s="16" t="s">
        <v>1494</v>
      </c>
      <c r="B610" s="15" t="s" cm="1">
        <v>19</v>
      </c>
      <c r="C610" s="15" t="s" cm="1">
        <v>21</v>
      </c>
      <c r="D610" s="15" t="s">
        <v>1495</v>
      </c>
      <c r="E610" s="15" t="s" cm="1">
        <v>1635</v>
      </c>
      <c r="F610" s="15" t="s">
        <v>1693</v>
      </c>
      <c r="G610" s="15" t="s">
        <v>24</v>
      </c>
      <c r="H610" s="15" t="s">
        <v>52</v>
      </c>
      <c r="I610" s="15" t="s">
        <v>51</v>
      </c>
    </row>
    <row r="611" spans="1:9" ht="15.5" x14ac:dyDescent="0.35">
      <c r="A611" s="16" t="s">
        <v>1496</v>
      </c>
      <c r="B611" s="15" t="s" cm="1">
        <v>19</v>
      </c>
      <c r="C611" s="15" t="s" cm="1">
        <v>21</v>
      </c>
      <c r="D611" s="15" t="s">
        <v>1497</v>
      </c>
      <c r="E611" s="15" t="s" cm="1">
        <v>1635</v>
      </c>
      <c r="F611" s="15" t="s">
        <v>1693</v>
      </c>
      <c r="G611" s="15" t="s">
        <v>24</v>
      </c>
      <c r="H611" s="15" t="s">
        <v>52</v>
      </c>
      <c r="I611" s="15" t="s">
        <v>51</v>
      </c>
    </row>
    <row r="612" spans="1:9" ht="15.5" x14ac:dyDescent="0.35">
      <c r="A612" s="16" t="s">
        <v>1498</v>
      </c>
      <c r="B612" s="15" t="s" cm="1">
        <v>19</v>
      </c>
      <c r="C612" s="15" t="s" cm="1">
        <v>21</v>
      </c>
      <c r="D612" s="15" t="s">
        <v>1499</v>
      </c>
      <c r="E612" s="15" t="s" cm="1">
        <v>1635</v>
      </c>
      <c r="F612" s="15" t="s">
        <v>1693</v>
      </c>
      <c r="G612" s="15" t="s">
        <v>24</v>
      </c>
      <c r="H612" s="15" t="s">
        <v>52</v>
      </c>
      <c r="I612" s="15" t="s">
        <v>51</v>
      </c>
    </row>
    <row r="613" spans="1:9" ht="15.5" x14ac:dyDescent="0.35">
      <c r="A613" s="16" t="s">
        <v>1500</v>
      </c>
      <c r="B613" s="15" t="s" cm="1">
        <v>19</v>
      </c>
      <c r="C613" s="15" t="s" cm="1">
        <v>21</v>
      </c>
      <c r="D613" s="15" t="s">
        <v>1501</v>
      </c>
      <c r="E613" s="15" t="s" cm="1">
        <v>1635</v>
      </c>
      <c r="F613" s="15" t="s">
        <v>1693</v>
      </c>
      <c r="G613" s="15" t="s">
        <v>24</v>
      </c>
      <c r="H613" s="15" t="s">
        <v>52</v>
      </c>
      <c r="I613" s="15" t="s">
        <v>51</v>
      </c>
    </row>
    <row r="614" spans="1:9" ht="15.5" x14ac:dyDescent="0.35">
      <c r="A614" s="16" t="s">
        <v>1502</v>
      </c>
      <c r="B614" s="15" t="s" cm="1">
        <v>19</v>
      </c>
      <c r="C614" s="15" t="s" cm="1">
        <v>21</v>
      </c>
      <c r="D614" s="15" t="s">
        <v>1503</v>
      </c>
      <c r="E614" s="15" t="s" cm="1">
        <v>1635</v>
      </c>
      <c r="F614" s="15" t="s">
        <v>1693</v>
      </c>
      <c r="G614" s="15" t="s">
        <v>24</v>
      </c>
      <c r="H614" s="15" t="s">
        <v>52</v>
      </c>
      <c r="I614" s="15" t="s">
        <v>51</v>
      </c>
    </row>
    <row r="615" spans="1:9" ht="15.5" x14ac:dyDescent="0.35">
      <c r="A615" s="16" t="s">
        <v>1504</v>
      </c>
      <c r="B615" s="15" t="s" cm="1">
        <v>19</v>
      </c>
      <c r="C615" s="15" t="s" cm="1">
        <v>21</v>
      </c>
      <c r="D615" s="15" t="s">
        <v>1376</v>
      </c>
      <c r="E615" s="15" t="s" cm="1">
        <v>1635</v>
      </c>
      <c r="F615" s="15" t="s">
        <v>1693</v>
      </c>
      <c r="G615" s="15" t="s">
        <v>24</v>
      </c>
      <c r="H615" s="15" t="s">
        <v>52</v>
      </c>
      <c r="I615" s="15" t="s">
        <v>51</v>
      </c>
    </row>
    <row r="616" spans="1:9" ht="15.5" x14ac:dyDescent="0.35">
      <c r="A616" s="16" t="s">
        <v>1505</v>
      </c>
      <c r="B616" s="15" t="s" cm="1">
        <v>19</v>
      </c>
      <c r="C616" s="15" t="s" cm="1">
        <v>21</v>
      </c>
      <c r="D616" s="15" t="s">
        <v>1234</v>
      </c>
      <c r="E616" s="15" t="s" cm="1">
        <v>1635</v>
      </c>
      <c r="F616" s="15" t="s">
        <v>1693</v>
      </c>
      <c r="G616" s="15" t="s">
        <v>24</v>
      </c>
      <c r="H616" s="15" t="s">
        <v>52</v>
      </c>
      <c r="I616" s="15" t="s">
        <v>51</v>
      </c>
    </row>
    <row r="617" spans="1:9" ht="15.5" x14ac:dyDescent="0.35">
      <c r="A617" s="16" t="s">
        <v>1506</v>
      </c>
      <c r="B617" s="15" t="s" cm="1">
        <v>19</v>
      </c>
      <c r="C617" s="15" t="s" cm="1">
        <v>21</v>
      </c>
      <c r="D617" s="15" t="s">
        <v>1376</v>
      </c>
      <c r="E617" s="15" t="s" cm="1">
        <v>1635</v>
      </c>
      <c r="F617" s="15" t="s">
        <v>1693</v>
      </c>
      <c r="G617" s="15" t="s">
        <v>24</v>
      </c>
      <c r="H617" s="15" t="s">
        <v>52</v>
      </c>
      <c r="I617" s="15" t="s">
        <v>51</v>
      </c>
    </row>
    <row r="618" spans="1:9" ht="15.5" x14ac:dyDescent="0.35">
      <c r="A618" s="16" t="s">
        <v>1507</v>
      </c>
      <c r="B618" s="15" t="s" cm="1">
        <v>19</v>
      </c>
      <c r="C618" s="15" t="s" cm="1">
        <v>21</v>
      </c>
      <c r="D618" s="15" t="s">
        <v>1508</v>
      </c>
      <c r="E618" s="15" t="s" cm="1">
        <v>1635</v>
      </c>
      <c r="F618" s="15" t="s">
        <v>1693</v>
      </c>
      <c r="G618" s="15" t="s">
        <v>24</v>
      </c>
      <c r="H618" s="15" t="s">
        <v>52</v>
      </c>
      <c r="I618" s="15" t="s">
        <v>51</v>
      </c>
    </row>
    <row r="619" spans="1:9" ht="15.5" x14ac:dyDescent="0.35">
      <c r="A619" s="16" t="s">
        <v>1509</v>
      </c>
      <c r="B619" s="15" t="s" cm="1">
        <v>19</v>
      </c>
      <c r="C619" s="15" t="s" cm="1">
        <v>21</v>
      </c>
      <c r="D619" s="15" t="s">
        <v>1510</v>
      </c>
      <c r="E619" s="15" t="s" cm="1">
        <v>1635</v>
      </c>
      <c r="F619" s="15" t="s">
        <v>1693</v>
      </c>
      <c r="G619" s="15" t="s">
        <v>24</v>
      </c>
      <c r="H619" s="15" t="s">
        <v>52</v>
      </c>
      <c r="I619" s="15" t="s">
        <v>51</v>
      </c>
    </row>
    <row r="620" spans="1:9" ht="15.5" x14ac:dyDescent="0.35">
      <c r="A620" s="16" t="s">
        <v>1511</v>
      </c>
      <c r="B620" s="15" t="s" cm="1">
        <v>19</v>
      </c>
      <c r="C620" s="15" t="s" cm="1">
        <v>21</v>
      </c>
      <c r="D620" s="15" t="s">
        <v>1376</v>
      </c>
      <c r="E620" s="15" t="s" cm="1">
        <v>1635</v>
      </c>
      <c r="F620" s="15" t="s">
        <v>1693</v>
      </c>
      <c r="G620" s="15" t="s">
        <v>24</v>
      </c>
      <c r="H620" s="15" t="s">
        <v>52</v>
      </c>
      <c r="I620" s="15" t="s">
        <v>51</v>
      </c>
    </row>
    <row r="621" spans="1:9" ht="15.5" x14ac:dyDescent="0.35">
      <c r="A621" s="16" t="s">
        <v>1512</v>
      </c>
      <c r="B621" s="15" t="s" cm="1">
        <v>19</v>
      </c>
      <c r="C621" s="15" t="s" cm="1">
        <v>21</v>
      </c>
      <c r="D621" s="15" t="s">
        <v>1513</v>
      </c>
      <c r="E621" s="15" t="s" cm="1">
        <v>1635</v>
      </c>
      <c r="F621" s="15" t="s">
        <v>1693</v>
      </c>
      <c r="G621" s="15" t="s">
        <v>24</v>
      </c>
      <c r="H621" s="15" t="s">
        <v>52</v>
      </c>
      <c r="I621" s="15" t="s">
        <v>51</v>
      </c>
    </row>
    <row r="622" spans="1:9" ht="15.5" x14ac:dyDescent="0.35">
      <c r="A622" s="16" t="s">
        <v>1514</v>
      </c>
      <c r="B622" s="15" t="s" cm="1">
        <v>19</v>
      </c>
      <c r="C622" s="15" t="s" cm="1">
        <v>21</v>
      </c>
      <c r="D622" s="15" t="s">
        <v>1971</v>
      </c>
      <c r="E622" s="15" t="s" cm="1">
        <v>1635</v>
      </c>
      <c r="F622" s="15" t="s">
        <v>1693</v>
      </c>
      <c r="G622" s="15" t="s">
        <v>24</v>
      </c>
      <c r="H622" s="15" t="s">
        <v>52</v>
      </c>
      <c r="I622" s="15" t="s">
        <v>51</v>
      </c>
    </row>
    <row r="623" spans="1:9" ht="15.5" x14ac:dyDescent="0.35">
      <c r="A623" s="16" t="s">
        <v>1516</v>
      </c>
      <c r="B623" s="15" t="s" cm="1">
        <v>19</v>
      </c>
      <c r="C623" s="15" t="s" cm="1">
        <v>21</v>
      </c>
      <c r="D623" s="15" t="s">
        <v>1517</v>
      </c>
      <c r="E623" s="15" t="s" cm="1">
        <v>1635</v>
      </c>
      <c r="F623" s="15" t="s">
        <v>1693</v>
      </c>
      <c r="G623" s="15" t="s">
        <v>24</v>
      </c>
      <c r="H623" s="15" t="s">
        <v>52</v>
      </c>
      <c r="I623" s="15" t="s">
        <v>51</v>
      </c>
    </row>
    <row r="624" spans="1:9" ht="15.5" x14ac:dyDescent="0.35">
      <c r="A624" s="16" t="s">
        <v>1518</v>
      </c>
      <c r="B624" s="15" t="s" cm="1">
        <v>19</v>
      </c>
      <c r="C624" s="15" t="s" cm="1">
        <v>21</v>
      </c>
      <c r="D624" s="15" t="s">
        <v>1519</v>
      </c>
      <c r="E624" s="15" t="s" cm="1">
        <v>1635</v>
      </c>
      <c r="F624" s="15" t="s">
        <v>1693</v>
      </c>
      <c r="G624" s="15" t="s">
        <v>24</v>
      </c>
      <c r="H624" s="15" t="s">
        <v>52</v>
      </c>
      <c r="I624" s="15" t="s">
        <v>51</v>
      </c>
    </row>
    <row r="625" spans="1:9" ht="15.5" x14ac:dyDescent="0.35">
      <c r="A625" s="16" t="s">
        <v>1520</v>
      </c>
      <c r="B625" s="15" t="s" cm="1">
        <v>19</v>
      </c>
      <c r="C625" s="15" t="s" cm="1">
        <v>21</v>
      </c>
      <c r="D625" s="15" t="s">
        <v>1521</v>
      </c>
      <c r="E625" s="15" t="s" cm="1">
        <v>1635</v>
      </c>
      <c r="F625" s="15" t="s">
        <v>1693</v>
      </c>
      <c r="G625" s="15" t="s">
        <v>24</v>
      </c>
      <c r="H625" s="15" t="s">
        <v>52</v>
      </c>
      <c r="I625" s="15" t="s">
        <v>51</v>
      </c>
    </row>
    <row r="626" spans="1:9" ht="15.5" x14ac:dyDescent="0.35">
      <c r="A626" s="16" t="s">
        <v>1035</v>
      </c>
      <c r="B626" s="15" t="s" cm="1">
        <v>986</v>
      </c>
      <c r="C626" s="15" t="s" cm="1">
        <v>21</v>
      </c>
      <c r="D626" s="15" t="s">
        <v>1972</v>
      </c>
      <c r="E626" s="15" t="s" cm="1">
        <v>1635</v>
      </c>
      <c r="F626" s="15" t="s">
        <v>1638</v>
      </c>
      <c r="G626" s="15" t="s">
        <v>24</v>
      </c>
      <c r="H626" s="15" t="s">
        <v>45</v>
      </c>
      <c r="I626" s="15" t="s">
        <v>44</v>
      </c>
    </row>
    <row r="627" spans="1:9" ht="15.5" x14ac:dyDescent="0.35">
      <c r="A627" s="16" t="s">
        <v>1523</v>
      </c>
      <c r="B627" s="15" t="s" cm="1">
        <v>986</v>
      </c>
      <c r="C627" s="15" t="s" cm="1">
        <v>21</v>
      </c>
      <c r="D627" s="15" t="s">
        <v>1454</v>
      </c>
      <c r="E627" s="15" t="s" cm="1">
        <v>1635</v>
      </c>
      <c r="F627" s="15" t="s">
        <v>1638</v>
      </c>
      <c r="G627" s="15" t="s">
        <v>875</v>
      </c>
      <c r="H627" s="15" t="s">
        <v>35</v>
      </c>
      <c r="I627" s="15" t="s">
        <v>34</v>
      </c>
    </row>
    <row r="628" spans="1:9" ht="15.5" x14ac:dyDescent="0.35">
      <c r="A628" s="16" t="s">
        <v>1524</v>
      </c>
      <c r="B628" s="15" t="s" cm="1">
        <v>19</v>
      </c>
      <c r="C628" s="15" t="s" cm="1">
        <v>21</v>
      </c>
      <c r="D628" s="15" t="s">
        <v>1525</v>
      </c>
      <c r="E628" s="15" t="s" cm="1">
        <v>1639</v>
      </c>
      <c r="F628" s="15" t="s">
        <v>1636</v>
      </c>
      <c r="G628" s="15" t="s">
        <v>885</v>
      </c>
      <c r="H628" s="15" t="s">
        <v>1263</v>
      </c>
      <c r="I628" s="15" t="s">
        <v>1262</v>
      </c>
    </row>
    <row r="629" spans="1:9" ht="15.5" x14ac:dyDescent="0.35">
      <c r="A629" s="16" t="s">
        <v>1526</v>
      </c>
      <c r="B629" s="15" t="s" cm="1">
        <v>19</v>
      </c>
      <c r="C629" s="15" t="s" cm="1">
        <v>21</v>
      </c>
      <c r="D629" s="15" t="s">
        <v>1973</v>
      </c>
      <c r="E629" s="15" t="s" cm="1">
        <v>1639</v>
      </c>
      <c r="F629" s="15" t="s">
        <v>1636</v>
      </c>
      <c r="G629" s="15" t="s">
        <v>885</v>
      </c>
      <c r="H629" s="15" t="s">
        <v>1263</v>
      </c>
      <c r="I629" s="15" t="s">
        <v>1262</v>
      </c>
    </row>
    <row r="630" spans="1:9" ht="15.5" x14ac:dyDescent="0.35">
      <c r="A630" s="16" t="s">
        <v>1528</v>
      </c>
      <c r="B630" s="15" t="s" cm="1">
        <v>19</v>
      </c>
      <c r="C630" s="15" t="s" cm="1">
        <v>21</v>
      </c>
      <c r="D630" s="15" t="s">
        <v>1974</v>
      </c>
      <c r="E630" s="15" t="s" cm="1">
        <v>1639</v>
      </c>
      <c r="F630" s="15" t="s">
        <v>1636</v>
      </c>
      <c r="G630" s="15" t="s">
        <v>885</v>
      </c>
      <c r="H630" s="15" t="s">
        <v>1263</v>
      </c>
      <c r="I630" s="15" t="s">
        <v>1262</v>
      </c>
    </row>
    <row r="631" spans="1:9" ht="15.5" x14ac:dyDescent="0.35">
      <c r="A631" s="16" t="s">
        <v>1530</v>
      </c>
      <c r="B631" s="15" t="s" cm="1">
        <v>19</v>
      </c>
      <c r="C631" s="15" t="s" cm="1">
        <v>21</v>
      </c>
      <c r="D631" s="15" t="s">
        <v>1531</v>
      </c>
      <c r="E631" s="15" t="s" cm="1">
        <v>1639</v>
      </c>
      <c r="F631" s="15" t="s">
        <v>1636</v>
      </c>
      <c r="G631" s="15" t="s">
        <v>885</v>
      </c>
      <c r="H631" s="15" t="s">
        <v>1263</v>
      </c>
      <c r="I631" s="15" t="s">
        <v>1262</v>
      </c>
    </row>
    <row r="632" spans="1:9" ht="15.5" x14ac:dyDescent="0.35">
      <c r="A632" s="16" t="s">
        <v>1532</v>
      </c>
      <c r="B632" s="15" t="s" cm="1">
        <v>19</v>
      </c>
      <c r="C632" s="15" t="s" cm="1">
        <v>21</v>
      </c>
      <c r="D632" s="15" t="s">
        <v>1975</v>
      </c>
      <c r="E632" s="15" t="s" cm="1">
        <v>1639</v>
      </c>
      <c r="F632" s="15" t="s">
        <v>1636</v>
      </c>
      <c r="G632" s="15" t="s">
        <v>885</v>
      </c>
      <c r="H632" s="15" t="s">
        <v>1263</v>
      </c>
      <c r="I632" s="15" t="s">
        <v>1262</v>
      </c>
    </row>
    <row r="633" spans="1:9" ht="15.5" x14ac:dyDescent="0.35">
      <c r="A633" s="16" t="s">
        <v>1534</v>
      </c>
      <c r="B633" s="15" t="s" cm="1">
        <v>19</v>
      </c>
      <c r="C633" s="15" t="s" cm="1">
        <v>21</v>
      </c>
      <c r="D633" s="15" t="s">
        <v>1535</v>
      </c>
      <c r="E633" s="15" t="s" cm="1">
        <v>1639</v>
      </c>
      <c r="F633" s="15" t="s">
        <v>1636</v>
      </c>
      <c r="G633" s="15" t="s">
        <v>885</v>
      </c>
      <c r="H633" s="15" t="s">
        <v>1263</v>
      </c>
      <c r="I633" s="15" t="s">
        <v>1262</v>
      </c>
    </row>
    <row r="634" spans="1:9" ht="15.5" x14ac:dyDescent="0.35">
      <c r="A634" s="16" t="s">
        <v>1536</v>
      </c>
      <c r="B634" s="15" t="s" cm="1">
        <v>19</v>
      </c>
      <c r="C634" s="15" t="s" cm="1">
        <v>21</v>
      </c>
      <c r="D634" s="15" t="s">
        <v>1537</v>
      </c>
      <c r="E634" s="15" t="s" cm="1">
        <v>1639</v>
      </c>
      <c r="F634" s="15" t="s">
        <v>1636</v>
      </c>
      <c r="G634" s="15" t="s">
        <v>885</v>
      </c>
      <c r="H634" s="15" t="s">
        <v>1263</v>
      </c>
      <c r="I634" s="15" t="s">
        <v>1262</v>
      </c>
    </row>
    <row r="635" spans="1:9" ht="15.5" x14ac:dyDescent="0.35">
      <c r="A635" s="16" t="s">
        <v>1538</v>
      </c>
      <c r="B635" s="15" t="s" cm="1">
        <v>19</v>
      </c>
      <c r="C635" s="15" t="s" cm="1">
        <v>21</v>
      </c>
      <c r="D635" s="15" t="s">
        <v>1539</v>
      </c>
      <c r="E635" s="15" t="s" cm="1">
        <v>1639</v>
      </c>
      <c r="F635" s="15" t="s">
        <v>1636</v>
      </c>
      <c r="G635" s="15" t="s">
        <v>885</v>
      </c>
      <c r="H635" s="15" t="s">
        <v>1263</v>
      </c>
      <c r="I635" s="15" t="s">
        <v>1262</v>
      </c>
    </row>
    <row r="636" spans="1:9" ht="15.5" x14ac:dyDescent="0.35">
      <c r="A636" s="16" t="s">
        <v>1540</v>
      </c>
      <c r="B636" s="15" t="s" cm="1">
        <v>19</v>
      </c>
      <c r="C636" s="15" t="s" cm="1">
        <v>21</v>
      </c>
      <c r="D636" s="15" t="s">
        <v>1541</v>
      </c>
      <c r="E636" s="15" t="s" cm="1">
        <v>1639</v>
      </c>
      <c r="F636" s="15" t="s">
        <v>1636</v>
      </c>
      <c r="G636" s="15" t="s">
        <v>885</v>
      </c>
      <c r="H636" s="15" t="s">
        <v>1263</v>
      </c>
      <c r="I636" s="15" t="s">
        <v>1262</v>
      </c>
    </row>
    <row r="637" spans="1:9" ht="15.5" x14ac:dyDescent="0.35">
      <c r="A637" s="16" t="s">
        <v>1542</v>
      </c>
      <c r="B637" s="15" t="s" cm="1">
        <v>19</v>
      </c>
      <c r="C637" s="15" t="s" cm="1">
        <v>21</v>
      </c>
      <c r="D637" s="15" t="s">
        <v>1301</v>
      </c>
      <c r="E637" s="15" t="s" cm="1">
        <v>1639</v>
      </c>
      <c r="F637" s="15" t="s">
        <v>1636</v>
      </c>
      <c r="G637" s="15" t="s">
        <v>885</v>
      </c>
      <c r="H637" s="15" t="s">
        <v>1263</v>
      </c>
      <c r="I637" s="15" t="s">
        <v>1262</v>
      </c>
    </row>
    <row r="638" spans="1:9" ht="15.5" x14ac:dyDescent="0.35">
      <c r="A638" s="16" t="s">
        <v>1543</v>
      </c>
      <c r="B638" s="15" t="s" cm="1">
        <v>19</v>
      </c>
      <c r="C638" s="15" t="s" cm="1">
        <v>21</v>
      </c>
      <c r="D638" s="15" t="s">
        <v>1976</v>
      </c>
      <c r="E638" s="15" t="s" cm="1">
        <v>1639</v>
      </c>
      <c r="F638" s="15" t="s">
        <v>1636</v>
      </c>
      <c r="G638" s="15" t="s">
        <v>885</v>
      </c>
      <c r="H638" s="15" t="s">
        <v>1263</v>
      </c>
      <c r="I638" s="15" t="s">
        <v>1262</v>
      </c>
    </row>
    <row r="639" spans="1:9" ht="15.5" x14ac:dyDescent="0.35">
      <c r="A639" s="16" t="s">
        <v>1545</v>
      </c>
      <c r="B639" s="15" t="s" cm="1">
        <v>19</v>
      </c>
      <c r="C639" s="15" t="s" cm="1">
        <v>21</v>
      </c>
      <c r="D639" s="15" t="s">
        <v>1301</v>
      </c>
      <c r="E639" s="15" t="s" cm="1">
        <v>1639</v>
      </c>
      <c r="F639" s="15" t="s">
        <v>1636</v>
      </c>
      <c r="G639" s="15" t="s">
        <v>885</v>
      </c>
      <c r="H639" s="15" t="s">
        <v>1263</v>
      </c>
      <c r="I639" s="15" t="s">
        <v>1262</v>
      </c>
    </row>
    <row r="640" spans="1:9" ht="15.5" x14ac:dyDescent="0.35">
      <c r="A640" s="16" t="s">
        <v>1546</v>
      </c>
      <c r="B640" s="15" t="s" cm="1">
        <v>19</v>
      </c>
      <c r="C640" s="15" t="s" cm="1">
        <v>21</v>
      </c>
      <c r="D640" s="15" t="s">
        <v>1547</v>
      </c>
      <c r="E640" s="15" t="s" cm="1">
        <v>1639</v>
      </c>
      <c r="F640" s="15" t="s">
        <v>1636</v>
      </c>
      <c r="G640" s="15" t="s">
        <v>885</v>
      </c>
      <c r="H640" s="15" t="s">
        <v>1263</v>
      </c>
      <c r="I640" s="15" t="s">
        <v>1262</v>
      </c>
    </row>
    <row r="641" spans="1:9" ht="15.5" x14ac:dyDescent="0.35">
      <c r="A641" s="16" t="s">
        <v>1548</v>
      </c>
      <c r="B641" s="15" t="s" cm="1">
        <v>19</v>
      </c>
      <c r="C641" s="15" t="s" cm="1">
        <v>21</v>
      </c>
      <c r="D641" s="15" t="s">
        <v>1549</v>
      </c>
      <c r="E641" s="15" t="s" cm="1">
        <v>1639</v>
      </c>
      <c r="F641" s="15" t="s">
        <v>1636</v>
      </c>
      <c r="G641" s="15" t="s">
        <v>885</v>
      </c>
      <c r="H641" s="15" t="s">
        <v>1263</v>
      </c>
      <c r="I641" s="15" t="s">
        <v>1262</v>
      </c>
    </row>
    <row r="642" spans="1:9" ht="15.5" x14ac:dyDescent="0.35">
      <c r="A642" s="16" t="s">
        <v>1550</v>
      </c>
      <c r="B642" s="15" t="s" cm="1">
        <v>19</v>
      </c>
      <c r="C642" s="15" t="s" cm="1">
        <v>21</v>
      </c>
      <c r="D642" s="15" t="s">
        <v>1977</v>
      </c>
      <c r="E642" s="15" t="s" cm="1">
        <v>1639</v>
      </c>
      <c r="F642" s="15" t="s">
        <v>1636</v>
      </c>
      <c r="G642" s="15" t="s">
        <v>885</v>
      </c>
      <c r="H642" s="15" t="s">
        <v>1263</v>
      </c>
      <c r="I642" s="15" t="s">
        <v>1262</v>
      </c>
    </row>
    <row r="643" spans="1:9" ht="15.5" x14ac:dyDescent="0.35">
      <c r="A643" s="16" t="s">
        <v>1552</v>
      </c>
      <c r="B643" s="15" t="s" cm="1">
        <v>19</v>
      </c>
      <c r="C643" s="15" t="s" cm="1">
        <v>21</v>
      </c>
      <c r="D643" s="15" t="s">
        <v>1553</v>
      </c>
      <c r="E643" s="15" t="s" cm="1">
        <v>1639</v>
      </c>
      <c r="F643" s="15" t="s">
        <v>1636</v>
      </c>
      <c r="G643" s="15" t="s">
        <v>885</v>
      </c>
      <c r="H643" s="15" t="s">
        <v>1263</v>
      </c>
      <c r="I643" s="15" t="s">
        <v>1262</v>
      </c>
    </row>
    <row r="644" spans="1:9" ht="15.5" x14ac:dyDescent="0.35">
      <c r="A644" s="16" t="s">
        <v>1554</v>
      </c>
      <c r="B644" s="15" t="s" cm="1">
        <v>19</v>
      </c>
      <c r="C644" s="15" t="s" cm="1">
        <v>21</v>
      </c>
      <c r="D644" s="15" t="s">
        <v>1301</v>
      </c>
      <c r="E644" s="15" t="s" cm="1">
        <v>1639</v>
      </c>
      <c r="F644" s="15" t="s">
        <v>1636</v>
      </c>
      <c r="G644" s="15" t="s">
        <v>885</v>
      </c>
      <c r="H644" s="15" t="s">
        <v>1263</v>
      </c>
      <c r="I644" s="15" t="s">
        <v>1262</v>
      </c>
    </row>
    <row r="645" spans="1:9" ht="15.5" x14ac:dyDescent="0.35">
      <c r="A645" s="16" t="s">
        <v>1555</v>
      </c>
      <c r="B645" s="15" t="s" cm="1">
        <v>19</v>
      </c>
      <c r="C645" s="15" t="s" cm="1">
        <v>21</v>
      </c>
      <c r="D645" s="15" t="s">
        <v>1556</v>
      </c>
      <c r="E645" s="15" t="s" cm="1">
        <v>1639</v>
      </c>
      <c r="F645" s="15" t="s">
        <v>1636</v>
      </c>
      <c r="G645" s="15" t="s">
        <v>885</v>
      </c>
      <c r="H645" s="15" t="s">
        <v>1263</v>
      </c>
      <c r="I645" s="15" t="s">
        <v>1262</v>
      </c>
    </row>
    <row r="646" spans="1:9" ht="15.5" x14ac:dyDescent="0.35">
      <c r="A646" s="16" t="s">
        <v>1557</v>
      </c>
      <c r="B646" s="15" t="s" cm="1">
        <v>19</v>
      </c>
      <c r="C646" s="15" t="s" cm="1">
        <v>21</v>
      </c>
      <c r="D646" s="15" t="s">
        <v>1558</v>
      </c>
      <c r="E646" s="15" t="s" cm="1">
        <v>1639</v>
      </c>
      <c r="F646" s="15" t="s">
        <v>1636</v>
      </c>
      <c r="G646" s="15" t="s">
        <v>885</v>
      </c>
      <c r="H646" s="15" t="s">
        <v>1263</v>
      </c>
      <c r="I646" s="15" t="s">
        <v>1262</v>
      </c>
    </row>
    <row r="647" spans="1:9" ht="15.5" x14ac:dyDescent="0.35">
      <c r="A647" s="16" t="s">
        <v>1559</v>
      </c>
      <c r="B647" s="15" t="s" cm="1">
        <v>19</v>
      </c>
      <c r="C647" s="15" t="s" cm="1">
        <v>21</v>
      </c>
      <c r="D647" s="15" t="s">
        <v>1560</v>
      </c>
      <c r="E647" s="15" t="s" cm="1">
        <v>1639</v>
      </c>
      <c r="F647" s="15" t="s">
        <v>1636</v>
      </c>
      <c r="G647" s="15" t="s">
        <v>885</v>
      </c>
      <c r="H647" s="15" t="s">
        <v>1263</v>
      </c>
      <c r="I647" s="15" t="s">
        <v>1262</v>
      </c>
    </row>
    <row r="648" spans="1:9" ht="15.5" x14ac:dyDescent="0.35">
      <c r="A648" s="16" t="s">
        <v>1561</v>
      </c>
      <c r="B648" s="15" t="s" cm="1">
        <v>19</v>
      </c>
      <c r="C648" s="15" t="s" cm="1">
        <v>21</v>
      </c>
      <c r="D648" s="15" t="s">
        <v>1562</v>
      </c>
      <c r="E648" s="15" t="s" cm="1">
        <v>1639</v>
      </c>
      <c r="F648" s="15" t="s">
        <v>1636</v>
      </c>
      <c r="G648" s="15" t="s">
        <v>885</v>
      </c>
      <c r="H648" s="15" t="s">
        <v>1263</v>
      </c>
      <c r="I648" s="15" t="s">
        <v>1262</v>
      </c>
    </row>
    <row r="649" spans="1:9" ht="15.5" x14ac:dyDescent="0.35">
      <c r="A649" s="16" t="s">
        <v>1563</v>
      </c>
      <c r="B649" s="15" t="s" cm="1">
        <v>19</v>
      </c>
      <c r="C649" s="15" t="s" cm="1">
        <v>21</v>
      </c>
      <c r="D649" s="15" t="s">
        <v>1535</v>
      </c>
      <c r="E649" s="15" t="s" cm="1">
        <v>1639</v>
      </c>
      <c r="F649" s="15" t="s">
        <v>1636</v>
      </c>
      <c r="G649" s="15" t="s">
        <v>885</v>
      </c>
      <c r="H649" s="15" t="s">
        <v>1263</v>
      </c>
      <c r="I649" s="15" t="s">
        <v>1262</v>
      </c>
    </row>
    <row r="650" spans="1:9" ht="15.5" x14ac:dyDescent="0.35">
      <c r="A650" s="16" t="s">
        <v>1564</v>
      </c>
      <c r="B650" s="15" t="s" cm="1">
        <v>19</v>
      </c>
      <c r="C650" s="15" t="s" cm="1">
        <v>21</v>
      </c>
      <c r="D650" s="15" t="s">
        <v>1565</v>
      </c>
      <c r="E650" s="15" t="s" cm="1">
        <v>1639</v>
      </c>
      <c r="F650" s="15" t="s">
        <v>1636</v>
      </c>
      <c r="G650" s="15" t="s">
        <v>885</v>
      </c>
      <c r="H650" s="15" t="s">
        <v>1263</v>
      </c>
      <c r="I650" s="15" t="s">
        <v>1262</v>
      </c>
    </row>
    <row r="651" spans="1:9" ht="15.5" x14ac:dyDescent="0.35">
      <c r="A651" s="16" t="s">
        <v>1566</v>
      </c>
      <c r="B651" s="15" t="s" cm="1">
        <v>19</v>
      </c>
      <c r="C651" s="15" t="s" cm="1">
        <v>21</v>
      </c>
      <c r="D651" s="15" t="s">
        <v>1535</v>
      </c>
      <c r="E651" s="15" t="s" cm="1">
        <v>1639</v>
      </c>
      <c r="F651" s="15" t="s">
        <v>1636</v>
      </c>
      <c r="G651" s="15" t="s">
        <v>885</v>
      </c>
      <c r="H651" s="15" t="s">
        <v>1263</v>
      </c>
      <c r="I651" s="15" t="s">
        <v>1262</v>
      </c>
    </row>
    <row r="652" spans="1:9" ht="15.5" x14ac:dyDescent="0.35">
      <c r="A652" s="16" t="s">
        <v>1567</v>
      </c>
      <c r="B652" s="15" t="s" cm="1">
        <v>19</v>
      </c>
      <c r="C652" s="15" t="s" cm="1">
        <v>21</v>
      </c>
      <c r="D652" s="15" t="s">
        <v>1568</v>
      </c>
      <c r="E652" s="15" t="s" cm="1">
        <v>1639</v>
      </c>
      <c r="F652" s="15" t="s">
        <v>1636</v>
      </c>
      <c r="G652" s="15" t="s">
        <v>885</v>
      </c>
      <c r="H652" s="15" t="s">
        <v>1263</v>
      </c>
      <c r="I652" s="15" t="s">
        <v>1262</v>
      </c>
    </row>
    <row r="653" spans="1:9" ht="15.5" x14ac:dyDescent="0.35">
      <c r="A653" s="16" t="s">
        <v>1569</v>
      </c>
      <c r="B653" s="15" t="s" cm="1">
        <v>19</v>
      </c>
      <c r="C653" s="15" t="s" cm="1">
        <v>21</v>
      </c>
      <c r="D653" s="15" t="s">
        <v>1978</v>
      </c>
      <c r="E653" s="15" t="s" cm="1">
        <v>1639</v>
      </c>
      <c r="F653" s="15" t="s">
        <v>1636</v>
      </c>
      <c r="G653" s="15" t="s">
        <v>885</v>
      </c>
      <c r="H653" s="15" t="s">
        <v>1263</v>
      </c>
      <c r="I653" s="15" t="s">
        <v>1262</v>
      </c>
    </row>
    <row r="654" spans="1:9" ht="15.5" x14ac:dyDescent="0.35">
      <c r="A654" s="16" t="s">
        <v>1571</v>
      </c>
      <c r="B654" s="15" t="s" cm="1">
        <v>19</v>
      </c>
      <c r="C654" s="15" t="s" cm="1">
        <v>21</v>
      </c>
      <c r="D654" s="15" t="s">
        <v>1572</v>
      </c>
      <c r="E654" s="15" t="s" cm="1">
        <v>1639</v>
      </c>
      <c r="F654" s="15" t="s">
        <v>1636</v>
      </c>
      <c r="G654" s="15" t="s">
        <v>885</v>
      </c>
      <c r="H654" s="15" t="s">
        <v>1263</v>
      </c>
      <c r="I654" s="15" t="s">
        <v>1262</v>
      </c>
    </row>
    <row r="655" spans="1:9" ht="15.5" x14ac:dyDescent="0.35">
      <c r="A655" s="16" t="s">
        <v>1573</v>
      </c>
      <c r="B655" s="15" t="s" cm="1">
        <v>19</v>
      </c>
      <c r="C655" s="15" t="s" cm="1">
        <v>21</v>
      </c>
      <c r="D655" s="15" t="s">
        <v>1574</v>
      </c>
      <c r="E655" s="15" t="s" cm="1">
        <v>1639</v>
      </c>
      <c r="F655" s="15" t="s">
        <v>1636</v>
      </c>
      <c r="G655" s="15" t="s">
        <v>885</v>
      </c>
      <c r="H655" s="15" t="s">
        <v>1263</v>
      </c>
      <c r="I655" s="15" t="s">
        <v>1262</v>
      </c>
    </row>
    <row r="656" spans="1:9" ht="15.5" x14ac:dyDescent="0.35">
      <c r="A656" s="16" t="s">
        <v>1575</v>
      </c>
      <c r="B656" s="15" t="s" cm="1">
        <v>19</v>
      </c>
      <c r="C656" s="15" t="s" cm="1">
        <v>21</v>
      </c>
      <c r="D656" s="15" t="s">
        <v>1301</v>
      </c>
      <c r="E656" s="15" t="s" cm="1">
        <v>1639</v>
      </c>
      <c r="F656" s="15" t="s">
        <v>1636</v>
      </c>
      <c r="G656" s="15" t="s">
        <v>885</v>
      </c>
      <c r="H656" s="15" t="s">
        <v>1263</v>
      </c>
      <c r="I656" s="15" t="s">
        <v>1262</v>
      </c>
    </row>
    <row r="657" spans="1:9" ht="15.5" x14ac:dyDescent="0.35">
      <c r="A657" s="16" t="s">
        <v>1576</v>
      </c>
      <c r="B657" s="15" t="s" cm="1">
        <v>19</v>
      </c>
      <c r="C657" s="15" t="s" cm="1">
        <v>21</v>
      </c>
      <c r="D657" s="15" t="s">
        <v>1979</v>
      </c>
      <c r="E657" s="15" t="s" cm="1">
        <v>1639</v>
      </c>
      <c r="F657" s="15" t="s">
        <v>1636</v>
      </c>
      <c r="G657" s="15" t="s">
        <v>885</v>
      </c>
      <c r="H657" s="15" t="s">
        <v>1263</v>
      </c>
      <c r="I657" s="15" t="s">
        <v>1262</v>
      </c>
    </row>
    <row r="658" spans="1:9" ht="15.5" x14ac:dyDescent="0.35">
      <c r="A658" s="16" t="s">
        <v>1578</v>
      </c>
      <c r="B658" s="15" t="s" cm="1">
        <v>19</v>
      </c>
      <c r="C658" s="15" t="s" cm="1">
        <v>21</v>
      </c>
      <c r="D658" s="15" t="s">
        <v>1579</v>
      </c>
      <c r="E658" s="15" t="s" cm="1">
        <v>1639</v>
      </c>
      <c r="F658" s="15" t="s">
        <v>1636</v>
      </c>
      <c r="G658" s="15" t="s">
        <v>885</v>
      </c>
      <c r="H658" s="15" t="s">
        <v>1263</v>
      </c>
      <c r="I658" s="15" t="s">
        <v>1262</v>
      </c>
    </row>
    <row r="659" spans="1:9" ht="15.5" x14ac:dyDescent="0.35">
      <c r="A659" s="16" t="s">
        <v>1580</v>
      </c>
      <c r="B659" s="15" t="s" cm="1">
        <v>19</v>
      </c>
      <c r="C659" s="15" t="s" cm="1">
        <v>21</v>
      </c>
      <c r="D659" s="15" t="s">
        <v>1980</v>
      </c>
      <c r="E659" s="15" t="s" cm="1">
        <v>1639</v>
      </c>
      <c r="F659" s="15" t="s">
        <v>1636</v>
      </c>
      <c r="G659" s="15" t="s">
        <v>885</v>
      </c>
      <c r="H659" s="15" t="s">
        <v>1263</v>
      </c>
      <c r="I659" s="15" t="s">
        <v>1262</v>
      </c>
    </row>
    <row r="660" spans="1:9" ht="15.5" x14ac:dyDescent="0.35">
      <c r="A660" s="16" t="s">
        <v>1582</v>
      </c>
      <c r="B660" s="15" t="s" cm="1">
        <v>19</v>
      </c>
      <c r="C660" s="15" t="s" cm="1">
        <v>21</v>
      </c>
      <c r="D660" s="15" t="s">
        <v>1981</v>
      </c>
      <c r="E660" s="15" t="s" cm="1">
        <v>1639</v>
      </c>
      <c r="F660" s="15" t="s">
        <v>1636</v>
      </c>
      <c r="G660" s="15" t="s">
        <v>885</v>
      </c>
      <c r="H660" s="15" t="s">
        <v>1263</v>
      </c>
      <c r="I660" s="15" t="s">
        <v>1262</v>
      </c>
    </row>
    <row r="661" spans="1:9" ht="15.5" x14ac:dyDescent="0.35">
      <c r="A661" s="16" t="s">
        <v>1584</v>
      </c>
      <c r="B661" s="15" t="s" cm="1">
        <v>19</v>
      </c>
      <c r="C661" s="15" t="s" cm="1">
        <v>21</v>
      </c>
      <c r="D661" s="15" t="s">
        <v>1585</v>
      </c>
      <c r="E661" s="15" t="s" cm="1">
        <v>1639</v>
      </c>
      <c r="F661" s="15" t="s">
        <v>1636</v>
      </c>
      <c r="G661" s="15" t="s">
        <v>885</v>
      </c>
      <c r="H661" s="15" t="s">
        <v>1263</v>
      </c>
      <c r="I661" s="15" t="s">
        <v>1262</v>
      </c>
    </row>
    <row r="662" spans="1:9" ht="15.5" x14ac:dyDescent="0.35">
      <c r="A662" s="16" t="s">
        <v>1586</v>
      </c>
      <c r="B662" s="15" t="s" cm="1">
        <v>19</v>
      </c>
      <c r="C662" s="15" t="s" cm="1">
        <v>21</v>
      </c>
      <c r="D662" s="15" t="s">
        <v>1565</v>
      </c>
      <c r="E662" s="15" t="s" cm="1">
        <v>1639</v>
      </c>
      <c r="F662" s="15" t="s">
        <v>1636</v>
      </c>
      <c r="G662" s="15" t="s">
        <v>885</v>
      </c>
      <c r="H662" s="15" t="s">
        <v>1263</v>
      </c>
      <c r="I662" s="15" t="s">
        <v>1262</v>
      </c>
    </row>
    <row r="663" spans="1:9" ht="15.5" x14ac:dyDescent="0.35">
      <c r="A663" s="16" t="s">
        <v>1588</v>
      </c>
      <c r="B663" s="15" t="s" cm="1">
        <v>19</v>
      </c>
      <c r="C663" s="15" t="s" cm="1">
        <v>21</v>
      </c>
      <c r="D663" s="15" t="s">
        <v>1982</v>
      </c>
      <c r="E663" s="15" t="s" cm="1">
        <v>1639</v>
      </c>
      <c r="F663" s="15" t="s">
        <v>1636</v>
      </c>
      <c r="G663" s="15" t="s">
        <v>885</v>
      </c>
      <c r="H663" s="15" t="s">
        <v>1263</v>
      </c>
      <c r="I663" s="15" t="s">
        <v>1262</v>
      </c>
    </row>
    <row r="664" spans="1:9" ht="15.5" x14ac:dyDescent="0.35">
      <c r="A664" s="16" t="s">
        <v>1590</v>
      </c>
      <c r="B664" s="15" t="s" cm="1">
        <v>19</v>
      </c>
      <c r="C664" s="15" t="s" cm="1">
        <v>21</v>
      </c>
      <c r="D664" s="15" t="s">
        <v>1983</v>
      </c>
      <c r="E664" s="15" t="s" cm="1">
        <v>1639</v>
      </c>
      <c r="F664" s="15" t="s">
        <v>1636</v>
      </c>
      <c r="G664" s="15" t="s">
        <v>885</v>
      </c>
      <c r="H664" s="15" t="s">
        <v>1263</v>
      </c>
      <c r="I664" s="15" t="s">
        <v>1262</v>
      </c>
    </row>
    <row r="665" spans="1:9" ht="15.5" x14ac:dyDescent="0.35">
      <c r="A665" s="16" t="s">
        <v>1592</v>
      </c>
      <c r="B665" s="15" t="s" cm="1">
        <v>19</v>
      </c>
      <c r="C665" s="15" t="s" cm="1">
        <v>21</v>
      </c>
      <c r="D665" s="15" t="s">
        <v>1593</v>
      </c>
      <c r="E665" s="15" t="s" cm="1">
        <v>1639</v>
      </c>
      <c r="F665" s="15" t="s">
        <v>1636</v>
      </c>
      <c r="G665" s="15" t="s">
        <v>885</v>
      </c>
      <c r="H665" s="15" t="s">
        <v>1263</v>
      </c>
      <c r="I665" s="15" t="s">
        <v>1262</v>
      </c>
    </row>
    <row r="666" spans="1:9" ht="15.5" x14ac:dyDescent="0.35">
      <c r="A666" s="16" t="s">
        <v>1594</v>
      </c>
      <c r="B666" s="15" t="s" cm="1">
        <v>19</v>
      </c>
      <c r="C666" s="15" t="s" cm="1">
        <v>21</v>
      </c>
      <c r="D666" s="15" t="s">
        <v>1984</v>
      </c>
      <c r="E666" s="15" t="s" cm="1">
        <v>1639</v>
      </c>
      <c r="F666" s="15" t="s">
        <v>1636</v>
      </c>
      <c r="G666" s="15" t="s">
        <v>885</v>
      </c>
      <c r="H666" s="15" t="s">
        <v>1263</v>
      </c>
      <c r="I666" s="15" t="s">
        <v>1262</v>
      </c>
    </row>
    <row r="667" spans="1:9" ht="15.5" x14ac:dyDescent="0.35">
      <c r="A667" s="16" t="s">
        <v>1596</v>
      </c>
      <c r="B667" s="15" t="s" cm="1">
        <v>19</v>
      </c>
      <c r="C667" s="15" t="s" cm="1">
        <v>21</v>
      </c>
      <c r="D667" s="15" t="s">
        <v>1301</v>
      </c>
      <c r="E667" s="15" t="s" cm="1">
        <v>1639</v>
      </c>
      <c r="F667" s="15" t="s">
        <v>1636</v>
      </c>
      <c r="G667" s="15" t="s">
        <v>885</v>
      </c>
      <c r="H667" s="15" t="s">
        <v>1263</v>
      </c>
      <c r="I667" s="15" t="s">
        <v>1262</v>
      </c>
    </row>
    <row r="668" spans="1:9" ht="15.5" x14ac:dyDescent="0.35">
      <c r="A668" s="16" t="s">
        <v>1597</v>
      </c>
      <c r="B668" s="15" t="s" cm="1">
        <v>19</v>
      </c>
      <c r="C668" s="15" t="s" cm="1">
        <v>21</v>
      </c>
      <c r="D668" s="15" t="s">
        <v>1983</v>
      </c>
      <c r="E668" s="15" t="s" cm="1">
        <v>1639</v>
      </c>
      <c r="F668" s="15" t="s">
        <v>1636</v>
      </c>
      <c r="G668" s="15" t="s">
        <v>885</v>
      </c>
      <c r="H668" s="15" t="s">
        <v>1263</v>
      </c>
      <c r="I668" s="15" t="s">
        <v>1262</v>
      </c>
    </row>
    <row r="669" spans="1:9" ht="15.5" x14ac:dyDescent="0.35">
      <c r="A669" s="16" t="s">
        <v>1598</v>
      </c>
      <c r="B669" s="15" t="s" cm="1">
        <v>19</v>
      </c>
      <c r="C669" s="15" t="s" cm="1">
        <v>21</v>
      </c>
      <c r="D669" s="15" t="s">
        <v>1985</v>
      </c>
      <c r="E669" s="15" t="s" cm="1">
        <v>1639</v>
      </c>
      <c r="F669" s="15" t="s">
        <v>1636</v>
      </c>
      <c r="G669" s="15" t="s">
        <v>885</v>
      </c>
      <c r="H669" s="15" t="s">
        <v>1263</v>
      </c>
      <c r="I669" s="15" t="s">
        <v>1262</v>
      </c>
    </row>
    <row r="670" spans="1:9" ht="15.5" x14ac:dyDescent="0.35">
      <c r="A670" s="16" t="s">
        <v>1600</v>
      </c>
      <c r="B670" s="15" t="s" cm="1">
        <v>19</v>
      </c>
      <c r="C670" s="15" t="s" cm="1">
        <v>21</v>
      </c>
      <c r="D670" s="15" t="s">
        <v>1986</v>
      </c>
      <c r="E670" s="15" t="s" cm="1">
        <v>1639</v>
      </c>
      <c r="F670" s="15" t="s">
        <v>1636</v>
      </c>
      <c r="G670" s="15" t="s">
        <v>885</v>
      </c>
      <c r="H670" s="15" t="s">
        <v>1263</v>
      </c>
      <c r="I670" s="15" t="s">
        <v>1262</v>
      </c>
    </row>
    <row r="671" spans="1:9" ht="15.5" x14ac:dyDescent="0.35">
      <c r="A671" s="16" t="s">
        <v>1602</v>
      </c>
      <c r="B671" s="15" t="s" cm="1">
        <v>19</v>
      </c>
      <c r="C671" s="15" t="s" cm="1">
        <v>21</v>
      </c>
      <c r="D671" s="15" t="s">
        <v>1603</v>
      </c>
      <c r="E671" s="15" t="s" cm="1">
        <v>1639</v>
      </c>
      <c r="F671" s="15" t="s">
        <v>1636</v>
      </c>
      <c r="G671" s="15" t="s">
        <v>885</v>
      </c>
      <c r="H671" s="15" t="s">
        <v>1263</v>
      </c>
      <c r="I671" s="15" t="s">
        <v>1262</v>
      </c>
    </row>
    <row r="672" spans="1:9" ht="15.5" x14ac:dyDescent="0.35">
      <c r="A672" s="16" t="s">
        <v>1604</v>
      </c>
      <c r="B672" s="15" t="s" cm="1">
        <v>19</v>
      </c>
      <c r="C672" s="15" t="s" cm="1">
        <v>21</v>
      </c>
      <c r="D672" s="15" t="s">
        <v>1301</v>
      </c>
      <c r="E672" s="15" t="s" cm="1">
        <v>1639</v>
      </c>
      <c r="F672" s="15" t="s">
        <v>1636</v>
      </c>
      <c r="G672" s="15" t="s">
        <v>885</v>
      </c>
      <c r="H672" s="15" t="s">
        <v>1263</v>
      </c>
      <c r="I672" s="15" t="s">
        <v>1262</v>
      </c>
    </row>
    <row r="673" spans="1:9" ht="15.5" x14ac:dyDescent="0.35">
      <c r="A673" s="16" t="s">
        <v>1010</v>
      </c>
      <c r="B673" s="15" t="s" cm="1">
        <v>19</v>
      </c>
      <c r="C673" s="15" t="s" cm="1">
        <v>21</v>
      </c>
      <c r="D673" s="15" t="s">
        <v>1012</v>
      </c>
      <c r="E673" s="15" t="s" cm="1">
        <v>1635</v>
      </c>
      <c r="F673" s="15" t="s">
        <v>1638</v>
      </c>
      <c r="G673" s="15" t="s">
        <v>1011</v>
      </c>
      <c r="H673" s="15" t="s">
        <v>58</v>
      </c>
      <c r="I673" s="15" t="s">
        <v>57</v>
      </c>
    </row>
    <row r="674" spans="1:9" ht="15.5" x14ac:dyDescent="0.35">
      <c r="A674" s="16" t="s">
        <v>1029</v>
      </c>
      <c r="B674" s="15" t="s" cm="1">
        <v>986</v>
      </c>
      <c r="C674" s="15" t="s" cm="1">
        <v>21</v>
      </c>
      <c r="D674" s="15" t="s">
        <v>1030</v>
      </c>
      <c r="E674" s="15" t="s" cm="1">
        <v>1635</v>
      </c>
      <c r="F674" s="15" t="s">
        <v>1638</v>
      </c>
      <c r="G674" s="15" t="s">
        <v>892</v>
      </c>
      <c r="H674" s="15" t="s">
        <v>35</v>
      </c>
      <c r="I674" s="15" t="s">
        <v>34</v>
      </c>
    </row>
    <row r="675" spans="1:9" ht="15.5" x14ac:dyDescent="0.35">
      <c r="A675" s="16" t="s">
        <v>1031</v>
      </c>
      <c r="B675" s="15" t="s" cm="1">
        <v>986</v>
      </c>
      <c r="C675" s="15" t="s" cm="1">
        <v>21</v>
      </c>
      <c r="D675" s="15" t="s">
        <v>1987</v>
      </c>
      <c r="E675" s="15" t="s" cm="1">
        <v>1635</v>
      </c>
      <c r="F675" s="15" t="s">
        <v>1638</v>
      </c>
      <c r="G675" s="15" t="s">
        <v>1011</v>
      </c>
      <c r="H675" s="15" t="s">
        <v>35</v>
      </c>
      <c r="I675" s="15" t="s">
        <v>34</v>
      </c>
    </row>
    <row r="676" spans="1:9" ht="15.5" x14ac:dyDescent="0.35">
      <c r="A676" s="16" t="s">
        <v>1038</v>
      </c>
      <c r="B676" s="15" t="s" cm="1">
        <v>986</v>
      </c>
      <c r="C676" s="15" t="s" cm="1">
        <v>21</v>
      </c>
      <c r="D676" s="15" t="s">
        <v>1037</v>
      </c>
      <c r="E676" s="15" t="s" cm="1">
        <v>1635</v>
      </c>
      <c r="F676" s="15" t="s">
        <v>1638</v>
      </c>
      <c r="G676" s="15" t="s">
        <v>24</v>
      </c>
      <c r="H676" s="15" t="s">
        <v>595</v>
      </c>
      <c r="I676" s="15" t="s">
        <v>594</v>
      </c>
    </row>
    <row r="677" spans="1:9" ht="15.5" x14ac:dyDescent="0.35">
      <c r="A677" s="16" t="s">
        <v>1036</v>
      </c>
      <c r="B677" s="15" t="s" cm="1">
        <v>986</v>
      </c>
      <c r="C677" s="15" t="s" cm="1">
        <v>21</v>
      </c>
      <c r="D677" s="15" t="s">
        <v>1037</v>
      </c>
      <c r="E677" s="15" t="s" cm="1">
        <v>1635</v>
      </c>
      <c r="F677" s="15" t="s">
        <v>1638</v>
      </c>
      <c r="G677" s="15" t="s">
        <v>24</v>
      </c>
      <c r="H677" s="15" t="s">
        <v>595</v>
      </c>
      <c r="I677" s="15" t="s">
        <v>594</v>
      </c>
    </row>
    <row r="678" spans="1:9" ht="15.5" x14ac:dyDescent="0.35">
      <c r="A678" s="16" t="s">
        <v>1079</v>
      </c>
      <c r="B678" s="15" t="s" cm="1">
        <v>19</v>
      </c>
      <c r="C678" s="15" t="s" cm="1">
        <v>21</v>
      </c>
      <c r="D678" s="15" t="s">
        <v>1988</v>
      </c>
      <c r="E678" s="15" t="s" cm="1">
        <v>1639</v>
      </c>
      <c r="F678" s="15" t="s">
        <v>1638</v>
      </c>
      <c r="G678" s="15" t="s">
        <v>1080</v>
      </c>
      <c r="H678" s="15" t="s">
        <v>29</v>
      </c>
      <c r="I678" s="15" t="s">
        <v>28</v>
      </c>
    </row>
    <row r="679" spans="1:9" ht="15.5" x14ac:dyDescent="0.35">
      <c r="A679" s="16" t="s">
        <v>1076</v>
      </c>
      <c r="B679" s="15" t="s" cm="1">
        <v>19</v>
      </c>
      <c r="C679" s="15" t="s" cm="1">
        <v>21</v>
      </c>
      <c r="D679" s="15" t="s">
        <v>1078</v>
      </c>
      <c r="E679" s="15" t="s" cm="1">
        <v>1639</v>
      </c>
      <c r="F679" s="15" t="s">
        <v>1638</v>
      </c>
      <c r="G679" s="15" t="s">
        <v>1077</v>
      </c>
      <c r="H679" s="15" t="s">
        <v>184</v>
      </c>
      <c r="I679" s="15" t="s">
        <v>91</v>
      </c>
    </row>
    <row r="680" spans="1:9" ht="15.5" x14ac:dyDescent="0.35">
      <c r="A680" s="16" t="s">
        <v>1003</v>
      </c>
      <c r="B680" s="15" t="s" cm="1">
        <v>19</v>
      </c>
      <c r="C680" s="15" t="s" cm="1">
        <v>21</v>
      </c>
      <c r="D680" s="15" t="s">
        <v>1989</v>
      </c>
      <c r="E680" s="15" t="s" cm="1">
        <v>1639</v>
      </c>
      <c r="F680" s="15" t="s">
        <v>1636</v>
      </c>
      <c r="G680" s="15" t="s">
        <v>937</v>
      </c>
      <c r="H680" s="15" t="s">
        <v>196</v>
      </c>
      <c r="I680" s="15" t="s">
        <v>195</v>
      </c>
    </row>
    <row r="681" spans="1:9" ht="15.5" x14ac:dyDescent="0.35">
      <c r="A681" s="16" t="s">
        <v>1043</v>
      </c>
      <c r="B681" s="15" t="s" cm="1">
        <v>19</v>
      </c>
      <c r="C681" s="15" t="s" cm="1">
        <v>21</v>
      </c>
      <c r="D681" s="15" t="s">
        <v>1044</v>
      </c>
      <c r="E681" s="15" t="s" cm="1">
        <v>1639</v>
      </c>
      <c r="F681" s="15" t="s">
        <v>1649</v>
      </c>
      <c r="G681" s="15" t="s">
        <v>918</v>
      </c>
      <c r="H681" s="15" t="s">
        <v>117</v>
      </c>
      <c r="I681" s="15" t="s">
        <v>34</v>
      </c>
    </row>
    <row r="682" spans="1:9" ht="15.5" x14ac:dyDescent="0.35">
      <c r="A682" s="16" t="s">
        <v>1026</v>
      </c>
      <c r="B682" s="15" t="s" cm="1">
        <v>19</v>
      </c>
      <c r="C682" s="15" t="s" cm="1">
        <v>21</v>
      </c>
      <c r="D682" s="15" t="s">
        <v>1027</v>
      </c>
      <c r="E682" s="15" t="s" cm="1">
        <v>1639</v>
      </c>
      <c r="F682" s="15" t="s">
        <v>1636</v>
      </c>
      <c r="G682" s="15" t="s">
        <v>880</v>
      </c>
      <c r="H682" s="15" t="s">
        <v>52</v>
      </c>
      <c r="I682" s="15" t="s">
        <v>51</v>
      </c>
    </row>
    <row r="683" spans="1:9" ht="15.5" x14ac:dyDescent="0.35">
      <c r="A683" s="16" t="s">
        <v>1024</v>
      </c>
      <c r="B683" s="15" t="s" cm="1">
        <v>19</v>
      </c>
      <c r="C683" s="15" t="s" cm="1">
        <v>21</v>
      </c>
      <c r="D683" s="15" t="s">
        <v>1990</v>
      </c>
      <c r="E683" s="15" t="s" cm="1">
        <v>1639</v>
      </c>
      <c r="F683" s="15" t="s">
        <v>1636</v>
      </c>
      <c r="G683" s="15" t="s">
        <v>880</v>
      </c>
      <c r="H683" s="15" t="s">
        <v>112</v>
      </c>
      <c r="I683" s="15" t="s">
        <v>111</v>
      </c>
    </row>
    <row r="684" spans="1:9" ht="15.5" x14ac:dyDescent="0.35">
      <c r="A684" s="16" t="s">
        <v>1022</v>
      </c>
      <c r="B684" s="15" t="s" cm="1">
        <v>19</v>
      </c>
      <c r="C684" s="15" t="s" cm="1">
        <v>21</v>
      </c>
      <c r="D684" s="15" t="s">
        <v>1023</v>
      </c>
      <c r="E684" s="15" t="s" cm="1">
        <v>1639</v>
      </c>
      <c r="F684" s="15" t="s">
        <v>1636</v>
      </c>
      <c r="G684" s="15" t="s">
        <v>880</v>
      </c>
      <c r="H684" s="15" t="s">
        <v>112</v>
      </c>
      <c r="I684" s="15" t="s">
        <v>111</v>
      </c>
    </row>
    <row r="685" spans="1:9" ht="15.5" x14ac:dyDescent="0.35">
      <c r="A685" s="16" t="s">
        <v>1057</v>
      </c>
      <c r="B685" s="15" t="s" cm="1">
        <v>19</v>
      </c>
      <c r="C685" s="15" t="s" cm="1">
        <v>21</v>
      </c>
      <c r="D685" s="15" t="s">
        <v>1058</v>
      </c>
      <c r="E685" s="15" t="s" cm="1">
        <v>1639</v>
      </c>
      <c r="F685" s="15" t="s">
        <v>1636</v>
      </c>
      <c r="G685" s="15" t="s">
        <v>964</v>
      </c>
      <c r="H685" s="15" t="s">
        <v>52</v>
      </c>
      <c r="I685" s="15" t="s">
        <v>51</v>
      </c>
    </row>
    <row r="686" spans="1:9" ht="15.5" x14ac:dyDescent="0.35">
      <c r="A686" s="16" t="s">
        <v>1605</v>
      </c>
      <c r="B686" s="15" t="s" cm="1">
        <v>19</v>
      </c>
      <c r="C686" s="15" t="s" cm="1">
        <v>21</v>
      </c>
      <c r="D686" s="15" t="s">
        <v>1607</v>
      </c>
      <c r="E686" s="15" t="s" cm="1">
        <v>1639</v>
      </c>
      <c r="F686" s="15" t="s">
        <v>1638</v>
      </c>
      <c r="G686" s="15" t="s">
        <v>1606</v>
      </c>
      <c r="H686" s="15" t="s">
        <v>29</v>
      </c>
      <c r="I686" s="15" t="s">
        <v>28</v>
      </c>
    </row>
    <row r="687" spans="1:9" ht="15.5" x14ac:dyDescent="0.35">
      <c r="A687" s="16" t="s">
        <v>1608</v>
      </c>
      <c r="B687" s="15" t="s" cm="1">
        <v>19</v>
      </c>
      <c r="C687" s="15" t="s" cm="1">
        <v>21</v>
      </c>
      <c r="D687" s="15" t="s">
        <v>1609</v>
      </c>
      <c r="E687" s="15" t="s" cm="1">
        <v>1639</v>
      </c>
      <c r="F687" s="15" t="s">
        <v>1638</v>
      </c>
      <c r="G687" s="15" t="s">
        <v>1606</v>
      </c>
      <c r="H687" s="15" t="s">
        <v>58</v>
      </c>
      <c r="I687" s="15" t="s">
        <v>57</v>
      </c>
    </row>
    <row r="688" spans="1:9" ht="15.5" x14ac:dyDescent="0.35">
      <c r="A688" s="16" t="s">
        <v>1610</v>
      </c>
      <c r="B688" s="15" t="s" cm="1">
        <v>19</v>
      </c>
      <c r="C688" s="15" t="s" cm="1">
        <v>21</v>
      </c>
      <c r="D688" s="15" t="s">
        <v>1991</v>
      </c>
      <c r="E688" s="15" t="s" cm="1">
        <v>1639</v>
      </c>
      <c r="F688" s="15" t="s">
        <v>1638</v>
      </c>
      <c r="G688" s="15" t="s">
        <v>1611</v>
      </c>
      <c r="H688" s="15" t="s">
        <v>29</v>
      </c>
      <c r="I688" s="15" t="s">
        <v>28</v>
      </c>
    </row>
    <row r="689" spans="1:9" ht="15.5" x14ac:dyDescent="0.35">
      <c r="A689" s="16" t="s">
        <v>1613</v>
      </c>
      <c r="B689" s="15" t="s" cm="1">
        <v>19</v>
      </c>
      <c r="C689" s="15" t="s" cm="1">
        <v>21</v>
      </c>
      <c r="D689" s="15" t="s">
        <v>1614</v>
      </c>
      <c r="E689" s="15" t="s" cm="1">
        <v>1639</v>
      </c>
      <c r="F689" s="15" t="s">
        <v>1638</v>
      </c>
      <c r="G689" s="15" t="s">
        <v>1611</v>
      </c>
      <c r="H689" s="15" t="s">
        <v>585</v>
      </c>
      <c r="I689" s="15" t="s">
        <v>584</v>
      </c>
    </row>
    <row r="690" spans="1:9" ht="15.5" x14ac:dyDescent="0.35">
      <c r="A690" s="16" t="s">
        <v>1615</v>
      </c>
      <c r="B690" s="15" t="s" cm="1">
        <v>19</v>
      </c>
      <c r="C690" s="15" t="s" cm="1">
        <v>21</v>
      </c>
      <c r="D690" s="15" t="s">
        <v>1992</v>
      </c>
      <c r="E690" s="15" t="s" cm="1">
        <v>1653</v>
      </c>
      <c r="F690" s="15" t="s">
        <v>24</v>
      </c>
      <c r="G690" s="15" t="s">
        <v>869</v>
      </c>
      <c r="H690" s="15" t="s">
        <v>48</v>
      </c>
      <c r="I690" s="15" t="s">
        <v>40</v>
      </c>
    </row>
    <row r="691" spans="1:9" ht="15.5" x14ac:dyDescent="0.35">
      <c r="A691" s="16" t="s">
        <v>1033</v>
      </c>
      <c r="B691" s="15" t="s" cm="1">
        <v>19</v>
      </c>
      <c r="C691" s="15" t="s" cm="1">
        <v>21</v>
      </c>
      <c r="D691" s="15" t="s">
        <v>1084</v>
      </c>
      <c r="E691" s="15" t="s" cm="1">
        <v>1637</v>
      </c>
      <c r="F691" s="15" t="s">
        <v>1664</v>
      </c>
      <c r="G691" s="15" t="s">
        <v>1034</v>
      </c>
      <c r="H691" s="15" t="s">
        <v>35</v>
      </c>
      <c r="I691" s="15" t="s">
        <v>34</v>
      </c>
    </row>
    <row r="692" spans="1:9" ht="15.5" x14ac:dyDescent="0.35">
      <c r="A692" s="16" t="s">
        <v>1617</v>
      </c>
      <c r="B692" s="15" t="s" cm="1">
        <v>19</v>
      </c>
      <c r="C692" s="15" t="s" cm="1">
        <v>21</v>
      </c>
      <c r="D692" s="15" t="s">
        <v>1618</v>
      </c>
      <c r="E692" s="15" t="s" cm="1">
        <v>1653</v>
      </c>
      <c r="F692" s="15" t="s">
        <v>24</v>
      </c>
      <c r="G692" s="15" t="s">
        <v>869</v>
      </c>
      <c r="H692" s="15" t="s">
        <v>41</v>
      </c>
      <c r="I692" s="15" t="s">
        <v>40</v>
      </c>
    </row>
    <row r="693" spans="1:9" ht="15.5" x14ac:dyDescent="0.35">
      <c r="A693" s="16" t="s">
        <v>1619</v>
      </c>
      <c r="B693" s="15" t="s" cm="1">
        <v>19</v>
      </c>
      <c r="C693" s="15" t="s" cm="1">
        <v>21</v>
      </c>
      <c r="D693" s="15" t="s">
        <v>1620</v>
      </c>
      <c r="E693" s="15" t="s" cm="1">
        <v>1635</v>
      </c>
      <c r="F693" s="15" t="s">
        <v>1693</v>
      </c>
      <c r="G693" s="15" t="s">
        <v>1366</v>
      </c>
      <c r="H693" s="15" t="s">
        <v>52</v>
      </c>
      <c r="I693" s="15" t="s">
        <v>51</v>
      </c>
    </row>
    <row r="694" spans="1:9" ht="15.5" x14ac:dyDescent="0.35">
      <c r="A694" s="16" t="s">
        <v>1059</v>
      </c>
      <c r="B694" s="15" t="s" cm="1">
        <v>19</v>
      </c>
      <c r="C694" s="15" t="s" cm="1">
        <v>21</v>
      </c>
      <c r="D694" s="15" t="s">
        <v>1061</v>
      </c>
      <c r="E694" s="15" t="s" cm="1">
        <v>1639</v>
      </c>
      <c r="F694" s="15" t="s">
        <v>1636</v>
      </c>
      <c r="G694" s="15" t="s">
        <v>1060</v>
      </c>
      <c r="H694" s="15" t="s">
        <v>52</v>
      </c>
      <c r="I694" s="15" t="s">
        <v>51</v>
      </c>
    </row>
    <row r="695" spans="1:9" ht="15.5" x14ac:dyDescent="0.35">
      <c r="A695" s="16" t="s">
        <v>1064</v>
      </c>
      <c r="B695" s="15" t="s" cm="1">
        <v>19</v>
      </c>
      <c r="C695" s="15" t="s" cm="1">
        <v>21</v>
      </c>
      <c r="D695" s="15" t="s">
        <v>1065</v>
      </c>
      <c r="E695" s="15" t="s" cm="1">
        <v>1635</v>
      </c>
      <c r="F695" s="15" t="s">
        <v>1641</v>
      </c>
      <c r="G695" s="15" t="s">
        <v>925</v>
      </c>
      <c r="H695" s="15" t="s">
        <v>58</v>
      </c>
      <c r="I695" s="15" t="s">
        <v>57</v>
      </c>
    </row>
    <row r="696" spans="1:9" ht="15.5" x14ac:dyDescent="0.35">
      <c r="A696" s="16" t="s">
        <v>1062</v>
      </c>
      <c r="B696" s="15" t="s" cm="1">
        <v>19</v>
      </c>
      <c r="C696" s="15" t="s" cm="1">
        <v>21</v>
      </c>
      <c r="D696" s="15" t="s">
        <v>1063</v>
      </c>
      <c r="E696" s="15" t="s" cm="1">
        <v>1635</v>
      </c>
      <c r="F696" s="15" t="s">
        <v>1641</v>
      </c>
      <c r="G696" s="15" t="s">
        <v>925</v>
      </c>
      <c r="H696" s="15" t="s">
        <v>35</v>
      </c>
      <c r="I696" s="15" t="s">
        <v>34</v>
      </c>
    </row>
    <row r="697" spans="1:9" ht="15.5" x14ac:dyDescent="0.35">
      <c r="A697" s="16" t="s">
        <v>1013</v>
      </c>
      <c r="B697" s="15" t="s" cm="1">
        <v>19</v>
      </c>
      <c r="C697" s="15" t="s" cm="1">
        <v>21</v>
      </c>
      <c r="D697" s="15" t="s">
        <v>1993</v>
      </c>
      <c r="E697" s="15" t="s" cm="1">
        <v>1635</v>
      </c>
      <c r="F697" s="15" t="s">
        <v>1638</v>
      </c>
      <c r="G697" s="15" t="s">
        <v>1014</v>
      </c>
      <c r="H697" s="15" t="s">
        <v>35</v>
      </c>
      <c r="I697" s="15" t="s">
        <v>34</v>
      </c>
    </row>
    <row r="698" spans="1:9" ht="15.5" x14ac:dyDescent="0.35">
      <c r="A698" s="16" t="s">
        <v>1006</v>
      </c>
      <c r="B698" s="15" t="s" cm="1">
        <v>986</v>
      </c>
      <c r="C698" s="15" t="s" cm="1">
        <v>21</v>
      </c>
      <c r="D698" s="15" t="s">
        <v>1009</v>
      </c>
      <c r="E698" s="15" t="s" cm="1">
        <v>1635</v>
      </c>
      <c r="F698" s="15" t="s">
        <v>1638</v>
      </c>
      <c r="G698" s="15" t="s">
        <v>1008</v>
      </c>
      <c r="H698" s="15" t="s">
        <v>35</v>
      </c>
      <c r="I698" s="15" t="s">
        <v>34</v>
      </c>
    </row>
    <row r="699" spans="1:9" ht="15.5" x14ac:dyDescent="0.35">
      <c r="A699" s="16" t="s">
        <v>1016</v>
      </c>
      <c r="B699" s="15" t="s" cm="1">
        <v>986</v>
      </c>
      <c r="C699" s="15" t="s" cm="1">
        <v>21</v>
      </c>
      <c r="D699" s="15" t="s">
        <v>1018</v>
      </c>
      <c r="E699" s="15" t="s" cm="1">
        <v>1635</v>
      </c>
      <c r="F699" s="15" t="s">
        <v>1638</v>
      </c>
      <c r="G699" s="15" t="s">
        <v>1017</v>
      </c>
      <c r="H699" s="15" t="s">
        <v>35</v>
      </c>
      <c r="I699" s="15" t="s">
        <v>34</v>
      </c>
    </row>
    <row r="700" spans="1:9" ht="15.5" x14ac:dyDescent="0.35">
      <c r="A700" s="16" t="s">
        <v>1019</v>
      </c>
      <c r="B700" s="15" t="s" cm="1">
        <v>986</v>
      </c>
      <c r="C700" s="15" t="s" cm="1">
        <v>21</v>
      </c>
      <c r="D700" s="15" t="s">
        <v>1021</v>
      </c>
      <c r="E700" s="15" t="s" cm="1">
        <v>1635</v>
      </c>
      <c r="F700" s="15" t="s">
        <v>1638</v>
      </c>
      <c r="G700" s="15" t="s">
        <v>1020</v>
      </c>
      <c r="H700" s="15" t="s">
        <v>35</v>
      </c>
      <c r="I700" s="15" t="s">
        <v>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vt:lpstr>
      <vt:lpstr>Task_Summary</vt:lpstr>
      <vt:lpstr>Settings</vt:lpstr>
      <vt:lpstr>Tables</vt:lpstr>
      <vt:lpstr>Tasks_Import</vt:lpstr>
      <vt:lpstr>TS_2022-10-07</vt:lpstr>
      <vt:lpstr>TS_2023-01-11</vt:lpstr>
      <vt:lpstr>Dev_Mode</vt:lpstr>
      <vt:lpstr>Edit_URL</vt:lpstr>
      <vt:lpstr>Logging</vt:lpstr>
      <vt:lpstr>Home!Print_Area</vt:lpstr>
      <vt:lpstr>Task_Summary!Print_Area</vt:lpstr>
      <vt:lpstr>Project_Name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2022-10-07T16:50:45Z</cp:lastPrinted>
  <dcterms:created xsi:type="dcterms:W3CDTF">2019-04-09T17:53:55Z</dcterms:created>
  <dcterms:modified xsi:type="dcterms:W3CDTF">2023-01-12T23:58:57Z</dcterms:modified>
</cp:coreProperties>
</file>