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4646B475-E2F1-4B91-B457-25AC11BC9499}" xr6:coauthVersionLast="47" xr6:coauthVersionMax="47" xr10:uidLastSave="{00000000-0000-0000-0000-000000000000}"/>
  <bookViews>
    <workbookView xWindow="-110" yWindow="-110" windowWidth="38620" windowHeight="21220" activeTab="1" xr2:uid="{791B15CC-68B2-4D54-B53E-4FED7E26F6F4}"/>
  </bookViews>
  <sheets>
    <sheet name="Home" sheetId="2" r:id="rId1"/>
    <sheet name="Task_Summary" sheetId="4" r:id="rId2"/>
    <sheet name="Settings" sheetId="1" r:id="rId3"/>
    <sheet name="Tables" sheetId="5" r:id="rId4"/>
    <sheet name="Tasks_Import" sheetId="3" r:id="rId5"/>
  </sheets>
  <functionGroups builtInGroupCount="19"/>
  <definedNames>
    <definedName name="_xlpm.inTower" hidden="1" xlm="1">#NAME?</definedName>
    <definedName name="_xlpm.typeResult" hidden="1" xlm="1">#NAME?</definedName>
    <definedName name="Dev_Mode">Settings!$C$3</definedName>
    <definedName name="Edit_URL">Settings!$C$5</definedName>
    <definedName name="ExternalData_1" localSheetId="4" hidden="1">Tasks_Import!$A$1:$Q$401</definedName>
    <definedName name="Logging">Settings!$C$4</definedName>
    <definedName name="Project_Name">Settings!$C$6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0" i="4" l="1" a="1"/>
  <c r="E150" i="4" s="1"/>
  <c r="E151" i="4" a="1"/>
  <c r="E151" i="4" s="1"/>
  <c r="B2" i="4" l="1" a="1"/>
  <c r="B2" i="4" s="1"/>
  <c r="B3" i="4" a="1"/>
  <c r="B3" i="4" s="1"/>
  <c r="B4" i="4" a="1"/>
  <c r="B4" i="4" s="1"/>
  <c r="B5" i="4" a="1"/>
  <c r="B5" i="4" s="1"/>
  <c r="B6" i="4" a="1"/>
  <c r="B6" i="4" s="1"/>
  <c r="B7" i="4" a="1"/>
  <c r="B7" i="4" s="1"/>
  <c r="B8" i="4" a="1"/>
  <c r="B8" i="4" s="1"/>
  <c r="B9" i="4" a="1"/>
  <c r="B9" i="4" s="1"/>
  <c r="B10" i="4" a="1"/>
  <c r="B10" i="4" s="1"/>
  <c r="B11" i="4" a="1"/>
  <c r="B11" i="4" s="1"/>
  <c r="B12" i="4" a="1"/>
  <c r="B12" i="4" s="1"/>
  <c r="B13" i="4" a="1"/>
  <c r="B13" i="4" s="1"/>
  <c r="B14" i="4" a="1"/>
  <c r="B14" i="4" s="1"/>
  <c r="B15" i="4" a="1"/>
  <c r="B15" i="4" s="1"/>
  <c r="B16" i="4" a="1"/>
  <c r="B16" i="4" s="1"/>
  <c r="B17" i="4" a="1"/>
  <c r="B17" i="4" s="1"/>
  <c r="B18" i="4" a="1"/>
  <c r="B18" i="4" s="1"/>
  <c r="B19" i="4" a="1"/>
  <c r="B19" i="4" s="1"/>
  <c r="B20" i="4" a="1"/>
  <c r="B20" i="4" s="1"/>
  <c r="B21" i="4" a="1"/>
  <c r="B21" i="4" s="1"/>
  <c r="B22" i="4" a="1"/>
  <c r="B22" i="4" s="1"/>
  <c r="B23" i="4" a="1"/>
  <c r="B23" i="4" s="1"/>
  <c r="B24" i="4" a="1"/>
  <c r="B24" i="4" s="1"/>
  <c r="B25" i="4" a="1"/>
  <c r="B25" i="4" s="1"/>
  <c r="B26" i="4" a="1"/>
  <c r="B26" i="4" s="1"/>
  <c r="B27" i="4" a="1"/>
  <c r="B27" i="4" s="1"/>
  <c r="B28" i="4" a="1"/>
  <c r="B28" i="4" s="1"/>
  <c r="B29" i="4" a="1"/>
  <c r="B29" i="4" s="1"/>
  <c r="B30" i="4" a="1"/>
  <c r="B30" i="4" s="1"/>
  <c r="B31" i="4" a="1"/>
  <c r="B31" i="4" s="1"/>
  <c r="B32" i="4" a="1"/>
  <c r="B32" i="4" s="1"/>
  <c r="B33" i="4" a="1"/>
  <c r="B33" i="4" s="1"/>
  <c r="B34" i="4" a="1"/>
  <c r="B34" i="4" s="1"/>
  <c r="B35" i="4" a="1"/>
  <c r="B35" i="4" s="1"/>
  <c r="B36" i="4" a="1"/>
  <c r="B36" i="4" s="1"/>
  <c r="B37" i="4" a="1"/>
  <c r="B37" i="4" s="1"/>
  <c r="B38" i="4" a="1"/>
  <c r="B38" i="4" s="1"/>
  <c r="B39" i="4" a="1"/>
  <c r="B39" i="4" s="1"/>
  <c r="B40" i="4" a="1"/>
  <c r="B40" i="4" s="1"/>
  <c r="B41" i="4" a="1"/>
  <c r="B41" i="4" s="1"/>
  <c r="B42" i="4" a="1"/>
  <c r="B42" i="4" s="1"/>
  <c r="B43" i="4" a="1"/>
  <c r="B43" i="4" s="1"/>
  <c r="B44" i="4" a="1"/>
  <c r="B44" i="4" s="1"/>
  <c r="B45" i="4" a="1"/>
  <c r="B45" i="4" s="1"/>
  <c r="B46" i="4" a="1"/>
  <c r="B46" i="4" s="1"/>
  <c r="B47" i="4" a="1"/>
  <c r="B47" i="4" s="1"/>
  <c r="B48" i="4" a="1"/>
  <c r="B48" i="4" s="1"/>
  <c r="B49" i="4" a="1"/>
  <c r="B49" i="4" s="1"/>
  <c r="B50" i="4" a="1"/>
  <c r="B50" i="4" s="1"/>
  <c r="B51" i="4" a="1"/>
  <c r="B51" i="4" s="1"/>
  <c r="B52" i="4" a="1"/>
  <c r="B52" i="4" s="1"/>
  <c r="B53" i="4" a="1"/>
  <c r="B53" i="4" s="1"/>
  <c r="B54" i="4" a="1"/>
  <c r="B54" i="4" s="1"/>
  <c r="B55" i="4" a="1"/>
  <c r="B55" i="4" s="1"/>
  <c r="B56" i="4" a="1"/>
  <c r="B56" i="4" s="1"/>
  <c r="B57" i="4" a="1"/>
  <c r="B57" i="4" s="1"/>
  <c r="B58" i="4" a="1"/>
  <c r="B58" i="4" s="1"/>
  <c r="B59" i="4" a="1"/>
  <c r="B59" i="4" s="1"/>
  <c r="B60" i="4" a="1"/>
  <c r="B60" i="4" s="1"/>
  <c r="B61" i="4" a="1"/>
  <c r="B61" i="4" s="1"/>
  <c r="B62" i="4" a="1"/>
  <c r="B62" i="4" s="1"/>
  <c r="B63" i="4" a="1"/>
  <c r="B63" i="4" s="1"/>
  <c r="B64" i="4" a="1"/>
  <c r="B64" i="4" s="1"/>
  <c r="B65" i="4" a="1"/>
  <c r="B65" i="4" s="1"/>
  <c r="B66" i="4" a="1"/>
  <c r="B66" i="4" s="1"/>
  <c r="B67" i="4" a="1"/>
  <c r="B67" i="4" s="1"/>
  <c r="B68" i="4" a="1"/>
  <c r="B68" i="4" s="1"/>
  <c r="B69" i="4" a="1"/>
  <c r="B69" i="4" s="1"/>
  <c r="B70" i="4" a="1"/>
  <c r="B70" i="4" s="1"/>
  <c r="B71" i="4" a="1"/>
  <c r="B71" i="4" s="1"/>
  <c r="B72" i="4" a="1"/>
  <c r="B72" i="4" s="1"/>
  <c r="B73" i="4" a="1"/>
  <c r="B73" i="4" s="1"/>
  <c r="B74" i="4" a="1"/>
  <c r="B74" i="4" s="1"/>
  <c r="B75" i="4" a="1"/>
  <c r="B75" i="4" s="1"/>
  <c r="B76" i="4" a="1"/>
  <c r="B76" i="4" s="1"/>
  <c r="B77" i="4" a="1"/>
  <c r="B77" i="4" s="1"/>
  <c r="B78" i="4" a="1"/>
  <c r="B78" i="4" s="1"/>
  <c r="B79" i="4" a="1"/>
  <c r="B79" i="4" s="1"/>
  <c r="B80" i="4" a="1"/>
  <c r="B80" i="4" s="1"/>
  <c r="B81" i="4" a="1"/>
  <c r="B81" i="4" s="1"/>
  <c r="B82" i="4" a="1"/>
  <c r="B82" i="4" s="1"/>
  <c r="B83" i="4" a="1"/>
  <c r="B83" i="4" s="1"/>
  <c r="B84" i="4" a="1"/>
  <c r="B84" i="4" s="1"/>
  <c r="B85" i="4" a="1"/>
  <c r="B85" i="4" s="1"/>
  <c r="B86" i="4" a="1"/>
  <c r="B86" i="4" s="1"/>
  <c r="B87" i="4" a="1"/>
  <c r="B87" i="4" s="1"/>
  <c r="B88" i="4" a="1"/>
  <c r="B88" i="4" s="1"/>
  <c r="B89" i="4" a="1"/>
  <c r="B89" i="4" s="1"/>
  <c r="B90" i="4" a="1"/>
  <c r="B90" i="4" s="1"/>
  <c r="B91" i="4" a="1"/>
  <c r="B91" i="4" s="1"/>
  <c r="B92" i="4" a="1"/>
  <c r="B92" i="4" s="1"/>
  <c r="B93" i="4" a="1"/>
  <c r="B93" i="4" s="1"/>
  <c r="B94" i="4" a="1"/>
  <c r="B94" i="4" s="1"/>
  <c r="B95" i="4" a="1"/>
  <c r="B95" i="4" s="1"/>
  <c r="B96" i="4" a="1"/>
  <c r="B96" i="4" s="1"/>
  <c r="B97" i="4" a="1"/>
  <c r="B97" i="4" s="1"/>
  <c r="B98" i="4" a="1"/>
  <c r="B98" i="4" s="1"/>
  <c r="B99" i="4" a="1"/>
  <c r="B99" i="4" s="1"/>
  <c r="B100" i="4" a="1"/>
  <c r="B100" i="4" s="1"/>
  <c r="B101" i="4" a="1"/>
  <c r="B101" i="4" s="1"/>
  <c r="B102" i="4" a="1"/>
  <c r="B102" i="4" s="1"/>
  <c r="B103" i="4" a="1"/>
  <c r="B103" i="4" s="1"/>
  <c r="B104" i="4" a="1"/>
  <c r="B104" i="4" s="1"/>
  <c r="B105" i="4" a="1"/>
  <c r="B105" i="4" s="1"/>
  <c r="B106" i="4" a="1"/>
  <c r="B106" i="4" s="1"/>
  <c r="B107" i="4" a="1"/>
  <c r="B107" i="4" s="1"/>
  <c r="B108" i="4" a="1"/>
  <c r="B108" i="4" s="1"/>
  <c r="B109" i="4" a="1"/>
  <c r="B109" i="4" s="1"/>
  <c r="B110" i="4" a="1"/>
  <c r="B110" i="4" s="1"/>
  <c r="B111" i="4" a="1"/>
  <c r="B111" i="4" s="1"/>
  <c r="B112" i="4" a="1"/>
  <c r="B112" i="4" s="1"/>
  <c r="B113" i="4" a="1"/>
  <c r="B113" i="4" s="1"/>
  <c r="B114" i="4" a="1"/>
  <c r="B114" i="4" s="1"/>
  <c r="B115" i="4" a="1"/>
  <c r="B115" i="4" s="1"/>
  <c r="B116" i="4" a="1"/>
  <c r="B116" i="4" s="1"/>
  <c r="B117" i="4" a="1"/>
  <c r="B117" i="4" s="1"/>
  <c r="B118" i="4" a="1"/>
  <c r="B118" i="4" s="1"/>
  <c r="B119" i="4" a="1"/>
  <c r="B119" i="4" s="1"/>
  <c r="B120" i="4" a="1"/>
  <c r="B120" i="4" s="1"/>
  <c r="B121" i="4" a="1"/>
  <c r="B121" i="4" s="1"/>
  <c r="B122" i="4" a="1"/>
  <c r="B122" i="4" s="1"/>
  <c r="B123" i="4" a="1"/>
  <c r="B123" i="4" s="1"/>
  <c r="B124" i="4" a="1"/>
  <c r="B124" i="4" s="1"/>
  <c r="B125" i="4" a="1"/>
  <c r="B125" i="4" s="1"/>
  <c r="B126" i="4" a="1"/>
  <c r="B126" i="4" s="1"/>
  <c r="B127" i="4" a="1"/>
  <c r="B127" i="4" s="1"/>
  <c r="B128" i="4" a="1"/>
  <c r="B128" i="4" s="1"/>
  <c r="B129" i="4" a="1"/>
  <c r="B129" i="4" s="1"/>
  <c r="B130" i="4" a="1"/>
  <c r="B130" i="4" s="1"/>
  <c r="B131" i="4" a="1"/>
  <c r="B131" i="4" s="1"/>
  <c r="B132" i="4" a="1"/>
  <c r="B132" i="4" s="1"/>
  <c r="B133" i="4" a="1"/>
  <c r="B133" i="4" s="1"/>
  <c r="B134" i="4" a="1"/>
  <c r="B134" i="4" s="1"/>
  <c r="B135" i="4" a="1"/>
  <c r="B135" i="4" s="1"/>
  <c r="B136" i="4" a="1"/>
  <c r="B136" i="4" s="1"/>
  <c r="B137" i="4" a="1"/>
  <c r="B137" i="4" s="1"/>
  <c r="B138" i="4" a="1"/>
  <c r="B138" i="4" s="1"/>
  <c r="B139" i="4" a="1"/>
  <c r="B139" i="4" s="1"/>
  <c r="B140" i="4" a="1"/>
  <c r="B140" i="4" s="1"/>
  <c r="B141" i="4" a="1"/>
  <c r="B141" i="4" s="1"/>
  <c r="B142" i="4" a="1"/>
  <c r="B142" i="4" s="1"/>
  <c r="B143" i="4" a="1"/>
  <c r="B143" i="4" s="1"/>
  <c r="B144" i="4" a="1"/>
  <c r="B144" i="4" s="1"/>
  <c r="B145" i="4" a="1"/>
  <c r="B145" i="4" s="1"/>
  <c r="B146" i="4" a="1"/>
  <c r="B146" i="4" s="1"/>
  <c r="B147" i="4" a="1"/>
  <c r="B147" i="4" s="1"/>
  <c r="B148" i="4" a="1"/>
  <c r="B148" i="4" s="1"/>
  <c r="B149" i="4" a="1"/>
  <c r="B149" i="4" s="1"/>
  <c r="B150" i="4" a="1"/>
  <c r="B150" i="4" s="1"/>
  <c r="B151" i="4" a="1"/>
  <c r="B151" i="4" s="1"/>
  <c r="B152" i="4" a="1"/>
  <c r="B152" i="4" s="1"/>
  <c r="B153" i="4" a="1"/>
  <c r="B153" i="4" s="1"/>
  <c r="B154" i="4" a="1"/>
  <c r="B154" i="4" s="1"/>
  <c r="B155" i="4" a="1"/>
  <c r="B155" i="4" s="1"/>
  <c r="B156" i="4" a="1"/>
  <c r="B156" i="4" s="1"/>
  <c r="B157" i="4" a="1"/>
  <c r="B157" i="4" s="1"/>
  <c r="B158" i="4" a="1"/>
  <c r="B158" i="4" s="1"/>
  <c r="B159" i="4" a="1"/>
  <c r="B159" i="4" s="1"/>
  <c r="B160" i="4" a="1"/>
  <c r="B160" i="4" s="1"/>
  <c r="B161" i="4" a="1"/>
  <c r="B161" i="4" s="1"/>
  <c r="B162" i="4" a="1"/>
  <c r="B162" i="4" s="1"/>
  <c r="B163" i="4" a="1"/>
  <c r="B163" i="4" s="1"/>
  <c r="B164" i="4" a="1"/>
  <c r="B164" i="4" s="1"/>
  <c r="B165" i="4" a="1"/>
  <c r="B165" i="4" s="1"/>
  <c r="B166" i="4" a="1"/>
  <c r="B166" i="4" s="1"/>
  <c r="B167" i="4" a="1"/>
  <c r="B167" i="4" s="1"/>
  <c r="B168" i="4" a="1"/>
  <c r="B168" i="4" s="1"/>
  <c r="B169" i="4" a="1"/>
  <c r="B169" i="4" s="1"/>
  <c r="B170" i="4" a="1"/>
  <c r="B170" i="4" s="1"/>
  <c r="B171" i="4" a="1"/>
  <c r="B171" i="4" s="1"/>
  <c r="B172" i="4" a="1"/>
  <c r="B172" i="4" s="1"/>
  <c r="B173" i="4" a="1"/>
  <c r="B173" i="4" s="1"/>
  <c r="B174" i="4" a="1"/>
  <c r="B174" i="4" s="1"/>
  <c r="B175" i="4" a="1"/>
  <c r="B175" i="4" s="1"/>
  <c r="B176" i="4" a="1"/>
  <c r="B176" i="4" s="1"/>
  <c r="B177" i="4" a="1"/>
  <c r="B177" i="4" s="1"/>
  <c r="B178" i="4" a="1"/>
  <c r="B178" i="4" s="1"/>
  <c r="B179" i="4" a="1"/>
  <c r="B179" i="4" s="1"/>
  <c r="B180" i="4" a="1"/>
  <c r="B180" i="4" s="1"/>
  <c r="B181" i="4" a="1"/>
  <c r="B181" i="4" s="1"/>
  <c r="B182" i="4" a="1"/>
  <c r="B182" i="4" s="1"/>
  <c r="B183" i="4" a="1"/>
  <c r="B183" i="4" s="1"/>
  <c r="B184" i="4" a="1"/>
  <c r="B184" i="4" s="1"/>
  <c r="B185" i="4" a="1"/>
  <c r="B185" i="4" s="1"/>
  <c r="B186" i="4" a="1"/>
  <c r="B186" i="4" s="1"/>
  <c r="B187" i="4" a="1"/>
  <c r="B187" i="4" s="1"/>
  <c r="B188" i="4" a="1"/>
  <c r="B188" i="4" s="1"/>
  <c r="B189" i="4" a="1"/>
  <c r="B189" i="4" s="1"/>
  <c r="B190" i="4" a="1"/>
  <c r="B190" i="4" s="1"/>
  <c r="B191" i="4" a="1"/>
  <c r="B191" i="4" s="1"/>
  <c r="B192" i="4" a="1"/>
  <c r="B192" i="4" s="1"/>
  <c r="B193" i="4" a="1"/>
  <c r="B193" i="4" s="1"/>
  <c r="B194" i="4" a="1"/>
  <c r="B194" i="4" s="1"/>
  <c r="B195" i="4" a="1"/>
  <c r="B195" i="4" s="1"/>
  <c r="B196" i="4" a="1"/>
  <c r="B196" i="4" s="1"/>
  <c r="B197" i="4" a="1"/>
  <c r="B197" i="4" s="1"/>
  <c r="B198" i="4" a="1"/>
  <c r="B198" i="4" s="1"/>
  <c r="B199" i="4" a="1"/>
  <c r="B199" i="4" s="1"/>
  <c r="B200" i="4" a="1"/>
  <c r="B200" i="4" s="1"/>
  <c r="B201" i="4" a="1"/>
  <c r="B201" i="4" s="1"/>
  <c r="B202" i="4" a="1"/>
  <c r="B202" i="4" s="1"/>
  <c r="B203" i="4" a="1"/>
  <c r="B203" i="4" s="1"/>
  <c r="B204" i="4" a="1"/>
  <c r="B204" i="4" s="1"/>
  <c r="B205" i="4" a="1"/>
  <c r="B205" i="4" s="1"/>
  <c r="B206" i="4" a="1"/>
  <c r="B206" i="4" s="1"/>
  <c r="B207" i="4" a="1"/>
  <c r="B207" i="4" s="1"/>
  <c r="B208" i="4" a="1"/>
  <c r="B208" i="4" s="1"/>
  <c r="B209" i="4" a="1"/>
  <c r="B209" i="4" s="1"/>
  <c r="B210" i="4" a="1"/>
  <c r="B210" i="4" s="1"/>
  <c r="B211" i="4" a="1"/>
  <c r="B211" i="4" s="1"/>
  <c r="B212" i="4" a="1"/>
  <c r="B212" i="4" s="1"/>
  <c r="B213" i="4" a="1"/>
  <c r="B213" i="4" s="1"/>
  <c r="B214" i="4" a="1"/>
  <c r="B214" i="4" s="1"/>
  <c r="B215" i="4" a="1"/>
  <c r="B215" i="4" s="1"/>
  <c r="B216" i="4" a="1"/>
  <c r="B216" i="4" s="1"/>
  <c r="B217" i="4" a="1"/>
  <c r="B217" i="4" s="1"/>
  <c r="B218" i="4" a="1"/>
  <c r="B218" i="4" s="1"/>
  <c r="B219" i="4" a="1"/>
  <c r="B219" i="4" s="1"/>
  <c r="B220" i="4" a="1"/>
  <c r="B220" i="4" s="1"/>
  <c r="B221" i="4" a="1"/>
  <c r="B221" i="4" s="1"/>
  <c r="B222" i="4" a="1"/>
  <c r="B222" i="4" s="1"/>
  <c r="B223" i="4" a="1"/>
  <c r="B223" i="4" s="1"/>
  <c r="B224" i="4" a="1"/>
  <c r="B224" i="4" s="1"/>
  <c r="B225" i="4" a="1"/>
  <c r="B225" i="4" s="1"/>
  <c r="B226" i="4" a="1"/>
  <c r="B226" i="4" s="1"/>
  <c r="B227" i="4" a="1"/>
  <c r="B227" i="4" s="1"/>
  <c r="B228" i="4" a="1"/>
  <c r="B228" i="4" s="1"/>
  <c r="B229" i="4" a="1"/>
  <c r="B229" i="4" s="1"/>
  <c r="B230" i="4" a="1"/>
  <c r="B230" i="4" s="1"/>
  <c r="B231" i="4" a="1"/>
  <c r="B231" i="4" s="1"/>
  <c r="B232" i="4" a="1"/>
  <c r="B232" i="4" s="1"/>
  <c r="B233" i="4" a="1"/>
  <c r="B233" i="4" s="1"/>
  <c r="B234" i="4" a="1"/>
  <c r="B234" i="4" s="1"/>
  <c r="B235" i="4" a="1"/>
  <c r="B235" i="4" s="1"/>
  <c r="B236" i="4" a="1"/>
  <c r="B236" i="4" s="1"/>
  <c r="B237" i="4" a="1"/>
  <c r="B237" i="4" s="1"/>
  <c r="B238" i="4" a="1"/>
  <c r="B238" i="4" s="1"/>
  <c r="B239" i="4" a="1"/>
  <c r="B239" i="4" s="1"/>
  <c r="B240" i="4" a="1"/>
  <c r="B240" i="4" s="1"/>
  <c r="B241" i="4" a="1"/>
  <c r="B241" i="4" s="1"/>
  <c r="B242" i="4" a="1"/>
  <c r="B242" i="4" s="1"/>
  <c r="B243" i="4" a="1"/>
  <c r="B243" i="4" s="1"/>
  <c r="B244" i="4" a="1"/>
  <c r="B244" i="4" s="1"/>
  <c r="B245" i="4" a="1"/>
  <c r="B245" i="4" s="1"/>
  <c r="B246" i="4" a="1"/>
  <c r="B246" i="4" s="1"/>
  <c r="B247" i="4" a="1"/>
  <c r="B247" i="4" s="1"/>
  <c r="B248" i="4" a="1"/>
  <c r="B248" i="4" s="1"/>
  <c r="B249" i="4" a="1"/>
  <c r="B249" i="4" s="1"/>
  <c r="B250" i="4" a="1"/>
  <c r="B250" i="4" s="1"/>
  <c r="B251" i="4" a="1"/>
  <c r="B251" i="4" s="1"/>
  <c r="B252" i="4" a="1"/>
  <c r="B252" i="4" s="1"/>
  <c r="B253" i="4" a="1"/>
  <c r="B253" i="4" s="1"/>
  <c r="B254" i="4" a="1"/>
  <c r="B254" i="4" s="1"/>
  <c r="B255" i="4" a="1"/>
  <c r="B255" i="4" s="1"/>
  <c r="B256" i="4" a="1"/>
  <c r="B256" i="4" s="1"/>
  <c r="B257" i="4" a="1"/>
  <c r="B257" i="4" s="1"/>
  <c r="B258" i="4" a="1"/>
  <c r="B258" i="4" s="1"/>
  <c r="B259" i="4" a="1"/>
  <c r="B259" i="4" s="1"/>
  <c r="B260" i="4" a="1"/>
  <c r="B260" i="4" s="1"/>
  <c r="B261" i="4" a="1"/>
  <c r="B261" i="4" s="1"/>
  <c r="B262" i="4" a="1"/>
  <c r="B262" i="4" s="1"/>
  <c r="B263" i="4" a="1"/>
  <c r="B263" i="4" s="1"/>
  <c r="B264" i="4" a="1"/>
  <c r="B264" i="4" s="1"/>
  <c r="B265" i="4" a="1"/>
  <c r="B265" i="4" s="1"/>
  <c r="B266" i="4" a="1"/>
  <c r="B266" i="4" s="1"/>
  <c r="B267" i="4" a="1"/>
  <c r="B267" i="4" s="1"/>
  <c r="B268" i="4" a="1"/>
  <c r="B268" i="4" s="1"/>
  <c r="B269" i="4" a="1"/>
  <c r="B269" i="4" s="1"/>
  <c r="B270" i="4" a="1"/>
  <c r="B270" i="4" s="1"/>
  <c r="B271" i="4" a="1"/>
  <c r="B271" i="4" s="1"/>
  <c r="B272" i="4" a="1"/>
  <c r="B272" i="4" s="1"/>
  <c r="B273" i="4" a="1"/>
  <c r="B273" i="4" s="1"/>
  <c r="B274" i="4" a="1"/>
  <c r="B274" i="4" s="1"/>
  <c r="B275" i="4" a="1"/>
  <c r="B275" i="4" s="1"/>
  <c r="B276" i="4" a="1"/>
  <c r="B276" i="4" s="1"/>
  <c r="B277" i="4" a="1"/>
  <c r="B277" i="4" s="1"/>
  <c r="B278" i="4" a="1"/>
  <c r="B278" i="4" s="1"/>
  <c r="B279" i="4" a="1"/>
  <c r="B279" i="4" s="1"/>
  <c r="B280" i="4" a="1"/>
  <c r="B280" i="4" s="1"/>
  <c r="B281" i="4" a="1"/>
  <c r="B281" i="4" s="1"/>
  <c r="B282" i="4" a="1"/>
  <c r="B282" i="4" s="1"/>
  <c r="B283" i="4" a="1"/>
  <c r="B283" i="4" s="1"/>
  <c r="B284" i="4" a="1"/>
  <c r="B284" i="4" s="1"/>
  <c r="B285" i="4" a="1"/>
  <c r="B285" i="4" s="1"/>
  <c r="B286" i="4" a="1"/>
  <c r="B286" i="4" s="1"/>
  <c r="B287" i="4" a="1"/>
  <c r="B287" i="4" s="1"/>
  <c r="B288" i="4" a="1"/>
  <c r="B288" i="4" s="1"/>
  <c r="B289" i="4" a="1"/>
  <c r="B289" i="4" s="1"/>
  <c r="B290" i="4" a="1"/>
  <c r="B290" i="4" s="1"/>
  <c r="B291" i="4" a="1"/>
  <c r="B291" i="4" s="1"/>
  <c r="B292" i="4" a="1"/>
  <c r="B292" i="4" s="1"/>
  <c r="B293" i="4" a="1"/>
  <c r="B293" i="4" s="1"/>
  <c r="B294" i="4" a="1"/>
  <c r="B294" i="4" s="1"/>
  <c r="B295" i="4" a="1"/>
  <c r="B295" i="4" s="1"/>
  <c r="B296" i="4" a="1"/>
  <c r="B296" i="4" s="1"/>
  <c r="B297" i="4" a="1"/>
  <c r="B297" i="4" s="1"/>
  <c r="B298" i="4" a="1"/>
  <c r="B298" i="4" s="1"/>
  <c r="B299" i="4" a="1"/>
  <c r="B299" i="4" s="1"/>
  <c r="B300" i="4" a="1"/>
  <c r="B300" i="4" s="1"/>
  <c r="B301" i="4" a="1"/>
  <c r="B301" i="4" s="1"/>
  <c r="B302" i="4" a="1"/>
  <c r="B302" i="4" s="1"/>
  <c r="B303" i="4" a="1"/>
  <c r="B303" i="4" s="1"/>
  <c r="B304" i="4" a="1"/>
  <c r="B304" i="4" s="1"/>
  <c r="B305" i="4" a="1"/>
  <c r="B305" i="4" s="1"/>
  <c r="B306" i="4" a="1"/>
  <c r="B306" i="4" s="1"/>
  <c r="B307" i="4" a="1"/>
  <c r="B307" i="4" s="1"/>
  <c r="B308" i="4" a="1"/>
  <c r="B308" i="4" s="1"/>
  <c r="B309" i="4" a="1"/>
  <c r="B309" i="4" s="1"/>
  <c r="B310" i="4" a="1"/>
  <c r="B310" i="4" s="1"/>
  <c r="B311" i="4" a="1"/>
  <c r="B311" i="4" s="1"/>
  <c r="B312" i="4" a="1"/>
  <c r="B312" i="4" s="1"/>
  <c r="B313" i="4" a="1"/>
  <c r="B313" i="4" s="1"/>
  <c r="B314" i="4" a="1"/>
  <c r="B314" i="4" s="1"/>
  <c r="B315" i="4" a="1"/>
  <c r="B315" i="4" s="1"/>
  <c r="B316" i="4" a="1"/>
  <c r="B316" i="4" s="1"/>
  <c r="B317" i="4" a="1"/>
  <c r="B317" i="4" s="1"/>
  <c r="B318" i="4" a="1"/>
  <c r="B318" i="4" s="1"/>
  <c r="B319" i="4" a="1"/>
  <c r="B319" i="4" s="1"/>
  <c r="B320" i="4" a="1"/>
  <c r="B320" i="4" s="1"/>
  <c r="B321" i="4" a="1"/>
  <c r="B321" i="4" s="1"/>
  <c r="B322" i="4" a="1"/>
  <c r="B322" i="4" s="1"/>
  <c r="B323" i="4" a="1"/>
  <c r="B323" i="4" s="1"/>
  <c r="B324" i="4" a="1"/>
  <c r="B324" i="4" s="1"/>
  <c r="B325" i="4" a="1"/>
  <c r="B325" i="4" s="1"/>
  <c r="B326" i="4" a="1"/>
  <c r="B326" i="4" s="1"/>
  <c r="B327" i="4" a="1"/>
  <c r="B327" i="4" s="1"/>
  <c r="B328" i="4" a="1"/>
  <c r="B328" i="4" s="1"/>
  <c r="B329" i="4" a="1"/>
  <c r="B329" i="4" s="1"/>
  <c r="B330" i="4" a="1"/>
  <c r="B330" i="4" s="1"/>
  <c r="B331" i="4" a="1"/>
  <c r="B331" i="4" s="1"/>
  <c r="B332" i="4" a="1"/>
  <c r="B332" i="4" s="1"/>
  <c r="B333" i="4" a="1"/>
  <c r="B333" i="4" s="1"/>
  <c r="B334" i="4" a="1"/>
  <c r="B334" i="4" s="1"/>
  <c r="B335" i="4" a="1"/>
  <c r="B335" i="4" s="1"/>
  <c r="B336" i="4" a="1"/>
  <c r="B336" i="4" s="1"/>
  <c r="B337" i="4" a="1"/>
  <c r="B337" i="4" s="1"/>
  <c r="B338" i="4" a="1"/>
  <c r="B338" i="4" s="1"/>
  <c r="B339" i="4" a="1"/>
  <c r="B339" i="4" s="1"/>
  <c r="B340" i="4" a="1"/>
  <c r="B340" i="4" s="1"/>
  <c r="B341" i="4" a="1"/>
  <c r="B341" i="4" s="1"/>
  <c r="B342" i="4" a="1"/>
  <c r="B342" i="4" s="1"/>
  <c r="B343" i="4" a="1"/>
  <c r="B343" i="4" s="1"/>
  <c r="B344" i="4" a="1"/>
  <c r="B344" i="4" s="1"/>
  <c r="B345" i="4" a="1"/>
  <c r="B345" i="4" s="1"/>
  <c r="B346" i="4" a="1"/>
  <c r="B346" i="4" s="1"/>
  <c r="B347" i="4" a="1"/>
  <c r="B347" i="4" s="1"/>
  <c r="B348" i="4" a="1"/>
  <c r="B348" i="4" s="1"/>
  <c r="B349" i="4" a="1"/>
  <c r="B349" i="4" s="1"/>
  <c r="B350" i="4" a="1"/>
  <c r="B350" i="4" s="1"/>
  <c r="B351" i="4" a="1"/>
  <c r="B351" i="4" s="1"/>
  <c r="B352" i="4" a="1"/>
  <c r="B352" i="4" s="1"/>
  <c r="B353" i="4" a="1"/>
  <c r="B353" i="4" s="1"/>
  <c r="B354" i="4" a="1"/>
  <c r="B354" i="4" s="1"/>
  <c r="B355" i="4" a="1"/>
  <c r="B355" i="4" s="1"/>
  <c r="B356" i="4" a="1"/>
  <c r="B356" i="4" s="1"/>
  <c r="B357" i="4" a="1"/>
  <c r="B357" i="4" s="1"/>
  <c r="B358" i="4" a="1"/>
  <c r="B358" i="4" s="1"/>
  <c r="B359" i="4" a="1"/>
  <c r="B359" i="4" s="1"/>
  <c r="B360" i="4" a="1"/>
  <c r="B360" i="4" s="1"/>
  <c r="B361" i="4" a="1"/>
  <c r="B361" i="4" s="1"/>
  <c r="B362" i="4" a="1"/>
  <c r="B362" i="4" s="1"/>
  <c r="B363" i="4" a="1"/>
  <c r="B363" i="4" s="1"/>
  <c r="B364" i="4" a="1"/>
  <c r="B364" i="4" s="1"/>
  <c r="B365" i="4" a="1"/>
  <c r="B365" i="4" s="1"/>
  <c r="B366" i="4" a="1"/>
  <c r="B366" i="4" s="1"/>
  <c r="B367" i="4" a="1"/>
  <c r="B367" i="4" s="1"/>
  <c r="B368" i="4" a="1"/>
  <c r="B368" i="4" s="1"/>
  <c r="B369" i="4" a="1"/>
  <c r="B369" i="4" s="1"/>
  <c r="B370" i="4" a="1"/>
  <c r="B370" i="4" s="1"/>
  <c r="B371" i="4" a="1"/>
  <c r="B371" i="4" s="1"/>
  <c r="B372" i="4" a="1"/>
  <c r="B372" i="4" s="1"/>
  <c r="B373" i="4" a="1"/>
  <c r="B373" i="4" s="1"/>
  <c r="B374" i="4" a="1"/>
  <c r="B374" i="4" s="1"/>
  <c r="B375" i="4" a="1"/>
  <c r="B375" i="4" s="1"/>
  <c r="B376" i="4" a="1"/>
  <c r="B376" i="4" s="1"/>
  <c r="B377" i="4" a="1"/>
  <c r="B377" i="4" s="1"/>
  <c r="B378" i="4" a="1"/>
  <c r="B378" i="4" s="1"/>
  <c r="B379" i="4" a="1"/>
  <c r="B379" i="4" s="1"/>
  <c r="B380" i="4" a="1"/>
  <c r="B380" i="4" s="1"/>
  <c r="B381" i="4" a="1"/>
  <c r="B381" i="4" s="1"/>
  <c r="B382" i="4" a="1"/>
  <c r="B382" i="4" s="1"/>
  <c r="B383" i="4" a="1"/>
  <c r="B383" i="4" s="1"/>
  <c r="B384" i="4" a="1"/>
  <c r="B384" i="4" s="1"/>
  <c r="B385" i="4" a="1"/>
  <c r="B385" i="4" s="1"/>
  <c r="B386" i="4" a="1"/>
  <c r="B386" i="4" s="1"/>
  <c r="B387" i="4" a="1"/>
  <c r="B387" i="4" s="1"/>
  <c r="B388" i="4" a="1"/>
  <c r="B388" i="4" s="1"/>
  <c r="B389" i="4" a="1"/>
  <c r="B389" i="4" s="1"/>
  <c r="B390" i="4" a="1"/>
  <c r="B390" i="4" s="1"/>
  <c r="B391" i="4" a="1"/>
  <c r="B391" i="4" s="1"/>
  <c r="B392" i="4" a="1"/>
  <c r="B392" i="4" s="1"/>
  <c r="B393" i="4" a="1"/>
  <c r="B393" i="4" s="1"/>
  <c r="B394" i="4" a="1"/>
  <c r="B394" i="4" s="1"/>
  <c r="B395" i="4" a="1"/>
  <c r="B395" i="4" s="1"/>
  <c r="B396" i="4" a="1"/>
  <c r="B396" i="4" s="1"/>
  <c r="B397" i="4" a="1"/>
  <c r="B397" i="4" s="1"/>
  <c r="B398" i="4" a="1"/>
  <c r="B398" i="4" s="1"/>
  <c r="B399" i="4" a="1"/>
  <c r="B399" i="4" s="1"/>
  <c r="B400" i="4" a="1"/>
  <c r="B400" i="4" s="1"/>
  <c r="B401" i="4" a="1"/>
  <c r="B401" i="4" s="1"/>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C376" i="4" a="1"/>
  <c r="C376" i="4" s="1"/>
  <c r="C377" i="4" a="1"/>
  <c r="C377" i="4" s="1"/>
  <c r="C378" i="4" a="1"/>
  <c r="C378" i="4" s="1"/>
  <c r="C379" i="4" a="1"/>
  <c r="C379" i="4" s="1"/>
  <c r="C380" i="4" a="1"/>
  <c r="C380" i="4" s="1"/>
  <c r="C381" i="4" a="1"/>
  <c r="C381" i="4" s="1"/>
  <c r="C382" i="4" a="1"/>
  <c r="C382" i="4" s="1"/>
  <c r="C383" i="4" a="1"/>
  <c r="C383" i="4" s="1"/>
  <c r="C384" i="4" a="1"/>
  <c r="C384" i="4" s="1"/>
  <c r="C385" i="4" a="1"/>
  <c r="C385" i="4" s="1"/>
  <c r="C386" i="4" a="1"/>
  <c r="C386" i="4" s="1"/>
  <c r="C387" i="4" a="1"/>
  <c r="C387" i="4" s="1"/>
  <c r="C388" i="4" a="1"/>
  <c r="C388" i="4" s="1"/>
  <c r="C389" i="4" a="1"/>
  <c r="C389" i="4" s="1"/>
  <c r="C390" i="4" a="1"/>
  <c r="C390" i="4" s="1"/>
  <c r="C391" i="4" a="1"/>
  <c r="C391" i="4" s="1"/>
  <c r="C392" i="4" a="1"/>
  <c r="C392" i="4" s="1"/>
  <c r="C393" i="4" a="1"/>
  <c r="C393" i="4" s="1"/>
  <c r="C394" i="4" a="1"/>
  <c r="C394" i="4" s="1"/>
  <c r="C395" i="4" a="1"/>
  <c r="C395" i="4" s="1"/>
  <c r="C396" i="4" a="1"/>
  <c r="C396" i="4" s="1"/>
  <c r="C397" i="4" a="1"/>
  <c r="C397" i="4" s="1"/>
  <c r="C398" i="4" a="1"/>
  <c r="C398" i="4" s="1"/>
  <c r="C399" i="4" a="1"/>
  <c r="C399" i="4" s="1"/>
  <c r="C400" i="4" a="1"/>
  <c r="C400" i="4" s="1"/>
  <c r="C401" i="4" a="1"/>
  <c r="C401" i="4" s="1"/>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G376" i="4"/>
  <c r="E376" i="4" s="1" a="1"/>
  <c r="E376" i="4" s="1"/>
  <c r="G377" i="4"/>
  <c r="E377" i="4" s="1" a="1"/>
  <c r="E377" i="4" s="1"/>
  <c r="G378" i="4"/>
  <c r="E378" i="4" s="1" a="1"/>
  <c r="E378" i="4" s="1"/>
  <c r="G379" i="4"/>
  <c r="E379" i="4" s="1" a="1"/>
  <c r="E379" i="4" s="1"/>
  <c r="G380" i="4"/>
  <c r="E380" i="4" s="1" a="1"/>
  <c r="E380" i="4" s="1"/>
  <c r="G381" i="4"/>
  <c r="E381" i="4" s="1" a="1"/>
  <c r="E381" i="4" s="1"/>
  <c r="G382" i="4"/>
  <c r="E382" i="4" s="1" a="1"/>
  <c r="E382" i="4" s="1"/>
  <c r="G383" i="4"/>
  <c r="E383" i="4" s="1" a="1"/>
  <c r="E383" i="4" s="1"/>
  <c r="G384" i="4"/>
  <c r="E384" i="4" s="1" a="1"/>
  <c r="E384" i="4" s="1"/>
  <c r="G385" i="4"/>
  <c r="E385" i="4" s="1" a="1"/>
  <c r="E385" i="4" s="1"/>
  <c r="G386" i="4"/>
  <c r="E386" i="4" s="1" a="1"/>
  <c r="E386" i="4" s="1"/>
  <c r="G387" i="4"/>
  <c r="E387" i="4" s="1" a="1"/>
  <c r="E387" i="4" s="1"/>
  <c r="G388" i="4"/>
  <c r="E388" i="4" s="1" a="1"/>
  <c r="E388" i="4" s="1"/>
  <c r="G389" i="4"/>
  <c r="E389" i="4" s="1" a="1"/>
  <c r="E389" i="4" s="1"/>
  <c r="G390" i="4"/>
  <c r="E390" i="4" s="1" a="1"/>
  <c r="E390" i="4" s="1"/>
  <c r="G391" i="4"/>
  <c r="E391" i="4" s="1" a="1"/>
  <c r="E391" i="4" s="1"/>
  <c r="G392" i="4"/>
  <c r="E392" i="4" s="1" a="1"/>
  <c r="E392" i="4" s="1"/>
  <c r="G393" i="4"/>
  <c r="E393" i="4" s="1" a="1"/>
  <c r="E393" i="4" s="1"/>
  <c r="G394" i="4"/>
  <c r="E394" i="4" s="1" a="1"/>
  <c r="E394" i="4" s="1"/>
  <c r="G395" i="4"/>
  <c r="E395" i="4" s="1" a="1"/>
  <c r="E395" i="4" s="1"/>
  <c r="G396" i="4"/>
  <c r="E396" i="4" s="1" a="1"/>
  <c r="E396" i="4" s="1"/>
  <c r="G397" i="4"/>
  <c r="E397" i="4" s="1" a="1"/>
  <c r="E397" i="4" s="1"/>
  <c r="G398" i="4"/>
  <c r="E398" i="4" s="1" a="1"/>
  <c r="E398" i="4" s="1"/>
  <c r="G399" i="4"/>
  <c r="E399" i="4" s="1" a="1"/>
  <c r="E399" i="4" s="1"/>
  <c r="G400" i="4"/>
  <c r="E400" i="4" s="1" a="1"/>
  <c r="E400" i="4" s="1"/>
  <c r="G401" i="4"/>
  <c r="E401" i="4" s="1" a="1"/>
  <c r="E401" i="4" s="1"/>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A372" i="4"/>
  <c r="A373" i="4"/>
  <c r="A374" i="4"/>
  <c r="A375" i="4"/>
  <c r="C372" i="4" a="1"/>
  <c r="C372" i="4" s="1"/>
  <c r="C373" i="4" a="1"/>
  <c r="C373" i="4" s="1"/>
  <c r="C374" i="4" a="1"/>
  <c r="C374" i="4" s="1"/>
  <c r="C375" i="4" a="1"/>
  <c r="C375" i="4" s="1"/>
  <c r="D372" i="4"/>
  <c r="D373" i="4"/>
  <c r="D374" i="4"/>
  <c r="D375" i="4"/>
  <c r="F372" i="4"/>
  <c r="F373" i="4"/>
  <c r="F374" i="4"/>
  <c r="F375" i="4"/>
  <c r="G372" i="4"/>
  <c r="E372" i="4" s="1" a="1"/>
  <c r="E372" i="4" s="1"/>
  <c r="G373" i="4"/>
  <c r="E373" i="4" s="1" a="1"/>
  <c r="E373" i="4" s="1"/>
  <c r="G374" i="4"/>
  <c r="E374" i="4" s="1" a="1"/>
  <c r="E374" i="4" s="1"/>
  <c r="G375" i="4"/>
  <c r="E375" i="4" s="1" a="1"/>
  <c r="E375" i="4" s="1"/>
  <c r="H372" i="4"/>
  <c r="H373" i="4"/>
  <c r="H374" i="4"/>
  <c r="H375" i="4"/>
  <c r="I372" i="4"/>
  <c r="I373" i="4"/>
  <c r="I374" i="4"/>
  <c r="I375" i="4"/>
  <c r="A53" i="4"/>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C2" i="4" a="1"/>
  <c r="C2" i="4" s="1"/>
  <c r="C3" i="4" a="1"/>
  <c r="C3" i="4" s="1"/>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47" i="4" a="1"/>
  <c r="C47" i="4" s="1"/>
  <c r="C48" i="4" a="1"/>
  <c r="C48" i="4" s="1"/>
  <c r="C49" i="4" a="1"/>
  <c r="C49" i="4" s="1"/>
  <c r="C50" i="4" a="1"/>
  <c r="C50" i="4" s="1"/>
  <c r="C51" i="4" a="1"/>
  <c r="C51" i="4"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92" i="4" a="1"/>
  <c r="C92" i="4"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115" i="4" a="1"/>
  <c r="C115" i="4" s="1"/>
  <c r="C116" i="4" a="1"/>
  <c r="C116" i="4" s="1"/>
  <c r="C117" i="4" a="1"/>
  <c r="C117" i="4" s="1"/>
  <c r="C118" i="4" a="1"/>
  <c r="C118" i="4" s="1"/>
  <c r="C119" i="4" a="1"/>
  <c r="C119" i="4" s="1"/>
  <c r="C120" i="4" a="1"/>
  <c r="C120" i="4" s="1"/>
  <c r="C121" i="4" a="1"/>
  <c r="C121" i="4" s="1"/>
  <c r="C122" i="4" a="1"/>
  <c r="C122" i="4" s="1"/>
  <c r="C123" i="4" a="1"/>
  <c r="C123" i="4" s="1"/>
  <c r="C124" i="4" a="1"/>
  <c r="C124" i="4" s="1"/>
  <c r="C125" i="4" a="1"/>
  <c r="C125" i="4" s="1"/>
  <c r="C126" i="4" a="1"/>
  <c r="C126" i="4" s="1"/>
  <c r="C127" i="4" a="1"/>
  <c r="C127" i="4" s="1"/>
  <c r="C128" i="4" a="1"/>
  <c r="C128" i="4" s="1"/>
  <c r="C129" i="4" a="1"/>
  <c r="C129" i="4" s="1"/>
  <c r="C130" i="4" a="1"/>
  <c r="C130" i="4" s="1"/>
  <c r="C131" i="4" a="1"/>
  <c r="C131" i="4" s="1"/>
  <c r="C132" i="4" a="1"/>
  <c r="C132" i="4" s="1"/>
  <c r="C133" i="4" a="1"/>
  <c r="C133" i="4" s="1"/>
  <c r="C134" i="4" a="1"/>
  <c r="C134" i="4" s="1"/>
  <c r="C135" i="4" a="1"/>
  <c r="C135" i="4" s="1"/>
  <c r="C136" i="4" a="1"/>
  <c r="C136" i="4" s="1"/>
  <c r="C137" i="4" a="1"/>
  <c r="C137" i="4" s="1"/>
  <c r="C138" i="4" a="1"/>
  <c r="C138" i="4" s="1"/>
  <c r="C139" i="4" a="1"/>
  <c r="C139" i="4" s="1"/>
  <c r="C140" i="4" a="1"/>
  <c r="C140" i="4" s="1"/>
  <c r="C141" i="4" a="1"/>
  <c r="C141" i="4" s="1"/>
  <c r="C142" i="4" a="1"/>
  <c r="C142" i="4" s="1"/>
  <c r="C143" i="4" a="1"/>
  <c r="C143" i="4" s="1"/>
  <c r="C144" i="4" a="1"/>
  <c r="C144" i="4" s="1"/>
  <c r="C145" i="4" a="1"/>
  <c r="C145" i="4" s="1"/>
  <c r="C146" i="4" a="1"/>
  <c r="C146" i="4" s="1"/>
  <c r="C147" i="4" a="1"/>
  <c r="C147" i="4" s="1"/>
  <c r="C148" i="4" a="1"/>
  <c r="C148" i="4" s="1"/>
  <c r="C149" i="4" a="1"/>
  <c r="C149" i="4" s="1"/>
  <c r="C150" i="4" a="1"/>
  <c r="C150" i="4" s="1"/>
  <c r="C151" i="4" a="1"/>
  <c r="C151" i="4" s="1"/>
  <c r="C152" i="4" a="1"/>
  <c r="C152" i="4" s="1"/>
  <c r="C153" i="4" a="1"/>
  <c r="C153" i="4" s="1"/>
  <c r="C154" i="4" a="1"/>
  <c r="C154" i="4" s="1"/>
  <c r="C155" i="4" a="1"/>
  <c r="C155" i="4" s="1"/>
  <c r="C156" i="4" a="1"/>
  <c r="C156" i="4" s="1"/>
  <c r="C157" i="4" a="1"/>
  <c r="C157" i="4" s="1"/>
  <c r="C158" i="4" a="1"/>
  <c r="C158" i="4" s="1"/>
  <c r="C159" i="4" a="1"/>
  <c r="C159" i="4" s="1"/>
  <c r="C160" i="4" a="1"/>
  <c r="C160" i="4" s="1"/>
  <c r="C161" i="4" a="1"/>
  <c r="C161" i="4" s="1"/>
  <c r="C162" i="4" a="1"/>
  <c r="C162" i="4" s="1"/>
  <c r="C163" i="4" a="1"/>
  <c r="C163" i="4" s="1"/>
  <c r="C164" i="4" a="1"/>
  <c r="C164" i="4" s="1"/>
  <c r="C165" i="4" a="1"/>
  <c r="C165" i="4" s="1"/>
  <c r="C166" i="4" a="1"/>
  <c r="C166" i="4" s="1"/>
  <c r="C167" i="4" a="1"/>
  <c r="C167" i="4" s="1"/>
  <c r="C168" i="4" a="1"/>
  <c r="C168" i="4" s="1"/>
  <c r="C169" i="4" a="1"/>
  <c r="C169" i="4" s="1"/>
  <c r="C170" i="4" a="1"/>
  <c r="C170" i="4" s="1"/>
  <c r="C171" i="4" a="1"/>
  <c r="C171" i="4" s="1"/>
  <c r="C172" i="4" a="1"/>
  <c r="C172" i="4" s="1"/>
  <c r="C173" i="4" a="1"/>
  <c r="C173" i="4" s="1"/>
  <c r="C174" i="4" a="1"/>
  <c r="C174" i="4" s="1"/>
  <c r="C175" i="4" a="1"/>
  <c r="C175" i="4" s="1"/>
  <c r="C176" i="4" a="1"/>
  <c r="C176" i="4" s="1"/>
  <c r="C177" i="4" a="1"/>
  <c r="C177" i="4" s="1"/>
  <c r="C178" i="4" a="1"/>
  <c r="C178" i="4" s="1"/>
  <c r="C179" i="4" a="1"/>
  <c r="C179" i="4" s="1"/>
  <c r="C180" i="4" a="1"/>
  <c r="C180" i="4" s="1"/>
  <c r="C181" i="4" a="1"/>
  <c r="C181" i="4" s="1"/>
  <c r="C182" i="4" a="1"/>
  <c r="C182" i="4" s="1"/>
  <c r="C183" i="4" a="1"/>
  <c r="C183" i="4" s="1"/>
  <c r="C184" i="4" a="1"/>
  <c r="C184" i="4" s="1"/>
  <c r="C185" i="4" a="1"/>
  <c r="C185" i="4" s="1"/>
  <c r="C186" i="4" a="1"/>
  <c r="C186" i="4" s="1"/>
  <c r="C187" i="4" a="1"/>
  <c r="C187" i="4" s="1"/>
  <c r="C188" i="4" a="1"/>
  <c r="C188" i="4" s="1"/>
  <c r="C189" i="4" a="1"/>
  <c r="C189" i="4" s="1"/>
  <c r="C190" i="4" a="1"/>
  <c r="C190" i="4" s="1"/>
  <c r="C191" i="4" a="1"/>
  <c r="C191" i="4" s="1"/>
  <c r="C192" i="4" a="1"/>
  <c r="C192" i="4" s="1"/>
  <c r="C193" i="4" a="1"/>
  <c r="C193" i="4" s="1"/>
  <c r="C194" i="4" a="1"/>
  <c r="C194" i="4" s="1"/>
  <c r="C195" i="4" a="1"/>
  <c r="C195" i="4" s="1"/>
  <c r="C196" i="4" a="1"/>
  <c r="C196" i="4" s="1"/>
  <c r="C197" i="4" a="1"/>
  <c r="C197" i="4" s="1"/>
  <c r="C198" i="4" a="1"/>
  <c r="C198" i="4" s="1"/>
  <c r="C199" i="4" a="1"/>
  <c r="C199" i="4" s="1"/>
  <c r="C200" i="4" a="1"/>
  <c r="C200" i="4" s="1"/>
  <c r="C201" i="4" a="1"/>
  <c r="C201" i="4" s="1"/>
  <c r="C202" i="4" a="1"/>
  <c r="C202" i="4" s="1"/>
  <c r="C203" i="4" a="1"/>
  <c r="C203" i="4" s="1"/>
  <c r="C204" i="4" a="1"/>
  <c r="C204" i="4" s="1"/>
  <c r="C205" i="4" a="1"/>
  <c r="C205" i="4" s="1"/>
  <c r="C206" i="4" a="1"/>
  <c r="C206" i="4" s="1"/>
  <c r="C207" i="4" a="1"/>
  <c r="C207" i="4" s="1"/>
  <c r="C208" i="4" a="1"/>
  <c r="C208" i="4" s="1"/>
  <c r="C209" i="4" a="1"/>
  <c r="C209" i="4" s="1"/>
  <c r="C210" i="4" a="1"/>
  <c r="C210" i="4" s="1"/>
  <c r="C211" i="4" a="1"/>
  <c r="C211" i="4" s="1"/>
  <c r="C212" i="4" a="1"/>
  <c r="C212" i="4" s="1"/>
  <c r="C213" i="4" a="1"/>
  <c r="C213" i="4" s="1"/>
  <c r="C214" i="4" a="1"/>
  <c r="C214" i="4" s="1"/>
  <c r="C215" i="4" a="1"/>
  <c r="C215" i="4" s="1"/>
  <c r="C216" i="4" a="1"/>
  <c r="C216" i="4" s="1"/>
  <c r="C217" i="4" a="1"/>
  <c r="C217" i="4" s="1"/>
  <c r="C218" i="4" a="1"/>
  <c r="C218" i="4" s="1"/>
  <c r="C219" i="4" a="1"/>
  <c r="C219" i="4" s="1"/>
  <c r="C220" i="4" a="1"/>
  <c r="C220" i="4" s="1"/>
  <c r="C221" i="4" a="1"/>
  <c r="C221" i="4" s="1"/>
  <c r="C222" i="4" a="1"/>
  <c r="C222" i="4" s="1"/>
  <c r="C223" i="4" a="1"/>
  <c r="C223" i="4" s="1"/>
  <c r="C224" i="4" a="1"/>
  <c r="C224" i="4" s="1"/>
  <c r="C225" i="4" a="1"/>
  <c r="C225" i="4" s="1"/>
  <c r="C226" i="4" a="1"/>
  <c r="C226" i="4" s="1"/>
  <c r="C227" i="4" a="1"/>
  <c r="C227" i="4" s="1"/>
  <c r="C228" i="4" a="1"/>
  <c r="C228" i="4" s="1"/>
  <c r="C229" i="4" a="1"/>
  <c r="C229" i="4" s="1"/>
  <c r="C230" i="4" a="1"/>
  <c r="C230" i="4" s="1"/>
  <c r="C231" i="4" a="1"/>
  <c r="C231" i="4" s="1"/>
  <c r="C232" i="4" a="1"/>
  <c r="C232" i="4" s="1"/>
  <c r="C233" i="4" a="1"/>
  <c r="C233" i="4" s="1"/>
  <c r="C234" i="4" a="1"/>
  <c r="C234" i="4" s="1"/>
  <c r="C235" i="4" a="1"/>
  <c r="C235" i="4" s="1"/>
  <c r="C236" i="4" a="1"/>
  <c r="C236" i="4" s="1"/>
  <c r="C237" i="4" a="1"/>
  <c r="C237" i="4" s="1"/>
  <c r="C238" i="4" a="1"/>
  <c r="C238" i="4" s="1"/>
  <c r="C239" i="4" a="1"/>
  <c r="C239" i="4" s="1"/>
  <c r="C240" i="4" a="1"/>
  <c r="C240" i="4" s="1"/>
  <c r="C241" i="4" a="1"/>
  <c r="C241" i="4" s="1"/>
  <c r="C242" i="4" a="1"/>
  <c r="C242" i="4" s="1"/>
  <c r="C243" i="4" a="1"/>
  <c r="C243" i="4" s="1"/>
  <c r="C244" i="4" a="1"/>
  <c r="C244" i="4" s="1"/>
  <c r="C245" i="4" a="1"/>
  <c r="C245" i="4" s="1"/>
  <c r="C246" i="4" a="1"/>
  <c r="C246" i="4" s="1"/>
  <c r="C247" i="4" a="1"/>
  <c r="C247" i="4" s="1"/>
  <c r="C248" i="4" a="1"/>
  <c r="C248" i="4" s="1"/>
  <c r="C249" i="4" a="1"/>
  <c r="C249" i="4" s="1"/>
  <c r="C250" i="4" a="1"/>
  <c r="C250" i="4" s="1"/>
  <c r="C251" i="4" a="1"/>
  <c r="C251" i="4" s="1"/>
  <c r="C252" i="4" a="1"/>
  <c r="C252" i="4" s="1"/>
  <c r="C253" i="4" a="1"/>
  <c r="C253" i="4" s="1"/>
  <c r="C254" i="4" a="1"/>
  <c r="C254" i="4" s="1"/>
  <c r="C255" i="4" a="1"/>
  <c r="C255" i="4" s="1"/>
  <c r="C256" i="4" a="1"/>
  <c r="C256" i="4" s="1"/>
  <c r="C257" i="4" a="1"/>
  <c r="C257" i="4" s="1"/>
  <c r="C258" i="4" a="1"/>
  <c r="C258" i="4" s="1"/>
  <c r="C259" i="4" a="1"/>
  <c r="C259" i="4" s="1"/>
  <c r="C260" i="4" a="1"/>
  <c r="C260" i="4" s="1"/>
  <c r="C261" i="4" a="1"/>
  <c r="C261" i="4" s="1"/>
  <c r="C262" i="4" a="1"/>
  <c r="C262" i="4" s="1"/>
  <c r="C263" i="4" a="1"/>
  <c r="C263" i="4" s="1"/>
  <c r="C264" i="4" a="1"/>
  <c r="C264" i="4" s="1"/>
  <c r="C265" i="4" a="1"/>
  <c r="C265" i="4" s="1"/>
  <c r="C266" i="4" a="1"/>
  <c r="C266" i="4" s="1"/>
  <c r="C267" i="4" a="1"/>
  <c r="C267" i="4" s="1"/>
  <c r="C268" i="4" a="1"/>
  <c r="C268" i="4" s="1"/>
  <c r="C269" i="4" a="1"/>
  <c r="C269" i="4" s="1"/>
  <c r="C270" i="4" a="1"/>
  <c r="C270" i="4" s="1"/>
  <c r="C271" i="4" a="1"/>
  <c r="C271" i="4" s="1"/>
  <c r="C272" i="4" a="1"/>
  <c r="C272" i="4" s="1"/>
  <c r="C273" i="4" a="1"/>
  <c r="C273" i="4" s="1"/>
  <c r="C274" i="4" a="1"/>
  <c r="C274" i="4" s="1"/>
  <c r="C275" i="4" a="1"/>
  <c r="C275" i="4" s="1"/>
  <c r="C276" i="4" a="1"/>
  <c r="C276" i="4" s="1"/>
  <c r="C277" i="4" a="1"/>
  <c r="C277" i="4" s="1"/>
  <c r="C278" i="4" a="1"/>
  <c r="C278" i="4" s="1"/>
  <c r="C279" i="4" a="1"/>
  <c r="C279" i="4" s="1"/>
  <c r="C280" i="4" a="1"/>
  <c r="C280" i="4" s="1"/>
  <c r="C281" i="4" a="1"/>
  <c r="C281" i="4" s="1"/>
  <c r="C282" i="4" a="1"/>
  <c r="C282" i="4" s="1"/>
  <c r="C283" i="4" a="1"/>
  <c r="C283" i="4" s="1"/>
  <c r="C284" i="4" a="1"/>
  <c r="C284" i="4" s="1"/>
  <c r="C285" i="4" a="1"/>
  <c r="C285" i="4" s="1"/>
  <c r="C286" i="4" a="1"/>
  <c r="C286" i="4" s="1"/>
  <c r="C287" i="4" a="1"/>
  <c r="C287" i="4" s="1"/>
  <c r="C288" i="4" a="1"/>
  <c r="C288" i="4" s="1"/>
  <c r="C289" i="4" a="1"/>
  <c r="C289" i="4" s="1"/>
  <c r="C290" i="4" a="1"/>
  <c r="C290" i="4" s="1"/>
  <c r="C291" i="4" a="1"/>
  <c r="C291" i="4" s="1"/>
  <c r="C292" i="4" a="1"/>
  <c r="C292" i="4" s="1"/>
  <c r="C293" i="4" a="1"/>
  <c r="C293" i="4" s="1"/>
  <c r="C294" i="4" a="1"/>
  <c r="C294" i="4" s="1"/>
  <c r="C295" i="4" a="1"/>
  <c r="C295" i="4" s="1"/>
  <c r="C296" i="4" a="1"/>
  <c r="C296" i="4" s="1"/>
  <c r="C297" i="4" a="1"/>
  <c r="C297" i="4" s="1"/>
  <c r="C298" i="4" a="1"/>
  <c r="C298" i="4" s="1"/>
  <c r="C299" i="4" a="1"/>
  <c r="C299" i="4" s="1"/>
  <c r="C300" i="4" a="1"/>
  <c r="C300" i="4" s="1"/>
  <c r="C301" i="4" a="1"/>
  <c r="C301" i="4" s="1"/>
  <c r="C302" i="4" a="1"/>
  <c r="C302" i="4" s="1"/>
  <c r="C303" i="4" a="1"/>
  <c r="C303" i="4" s="1"/>
  <c r="C304" i="4" a="1"/>
  <c r="C304" i="4" s="1"/>
  <c r="C305" i="4" a="1"/>
  <c r="C305" i="4" s="1"/>
  <c r="C306" i="4" a="1"/>
  <c r="C306" i="4" s="1"/>
  <c r="C307" i="4" a="1"/>
  <c r="C307" i="4" s="1"/>
  <c r="C308" i="4" a="1"/>
  <c r="C308" i="4" s="1"/>
  <c r="C309" i="4" a="1"/>
  <c r="C309" i="4" s="1"/>
  <c r="C310" i="4" a="1"/>
  <c r="C310" i="4" s="1"/>
  <c r="C311" i="4" a="1"/>
  <c r="C311" i="4" s="1"/>
  <c r="C312" i="4" a="1"/>
  <c r="C312" i="4" s="1"/>
  <c r="C313" i="4" a="1"/>
  <c r="C313" i="4" s="1"/>
  <c r="C314" i="4" a="1"/>
  <c r="C314" i="4" s="1"/>
  <c r="C315" i="4" a="1"/>
  <c r="C315" i="4" s="1"/>
  <c r="C316" i="4" a="1"/>
  <c r="C316" i="4" s="1"/>
  <c r="C317" i="4" a="1"/>
  <c r="C317" i="4" s="1"/>
  <c r="C318" i="4" a="1"/>
  <c r="C318" i="4" s="1"/>
  <c r="C319" i="4" a="1"/>
  <c r="C319" i="4" s="1"/>
  <c r="C320" i="4" a="1"/>
  <c r="C320" i="4" s="1"/>
  <c r="C321" i="4" a="1"/>
  <c r="C321" i="4" s="1"/>
  <c r="C322" i="4" a="1"/>
  <c r="C322" i="4" s="1"/>
  <c r="C323" i="4" a="1"/>
  <c r="C323" i="4" s="1"/>
  <c r="C324" i="4" a="1"/>
  <c r="C324" i="4" s="1"/>
  <c r="C325" i="4" a="1"/>
  <c r="C325" i="4" s="1"/>
  <c r="C326" i="4" a="1"/>
  <c r="C326" i="4" s="1"/>
  <c r="C327" i="4" a="1"/>
  <c r="C327" i="4" s="1"/>
  <c r="C328" i="4" a="1"/>
  <c r="C328" i="4" s="1"/>
  <c r="C329" i="4" a="1"/>
  <c r="C329" i="4" s="1"/>
  <c r="C330" i="4" a="1"/>
  <c r="C330" i="4" s="1"/>
  <c r="C331" i="4" a="1"/>
  <c r="C331" i="4" s="1"/>
  <c r="C332" i="4" a="1"/>
  <c r="C332" i="4" s="1"/>
  <c r="C333" i="4" a="1"/>
  <c r="C333" i="4" s="1"/>
  <c r="C334" i="4" a="1"/>
  <c r="C334" i="4" s="1"/>
  <c r="C335" i="4" a="1"/>
  <c r="C335" i="4" s="1"/>
  <c r="C336" i="4" a="1"/>
  <c r="C336" i="4" s="1"/>
  <c r="C337" i="4" a="1"/>
  <c r="C337" i="4" s="1"/>
  <c r="C338" i="4" a="1"/>
  <c r="C338" i="4" s="1"/>
  <c r="C339" i="4" a="1"/>
  <c r="C339" i="4" s="1"/>
  <c r="C340" i="4" a="1"/>
  <c r="C340" i="4" s="1"/>
  <c r="C341" i="4" a="1"/>
  <c r="C341" i="4" s="1"/>
  <c r="C342" i="4" a="1"/>
  <c r="C342" i="4" s="1"/>
  <c r="C343" i="4" a="1"/>
  <c r="C343" i="4" s="1"/>
  <c r="C344" i="4" a="1"/>
  <c r="C344" i="4" s="1"/>
  <c r="C345" i="4" a="1"/>
  <c r="C345" i="4" s="1"/>
  <c r="C346" i="4" a="1"/>
  <c r="C346" i="4" s="1"/>
  <c r="C347" i="4" a="1"/>
  <c r="C347" i="4" s="1"/>
  <c r="C348" i="4" a="1"/>
  <c r="C348" i="4" s="1"/>
  <c r="C349" i="4" a="1"/>
  <c r="C349" i="4" s="1"/>
  <c r="C350" i="4" a="1"/>
  <c r="C350" i="4" s="1"/>
  <c r="C351" i="4" a="1"/>
  <c r="C351" i="4" s="1"/>
  <c r="C352" i="4" a="1"/>
  <c r="C352" i="4" s="1"/>
  <c r="C353" i="4" a="1"/>
  <c r="C353" i="4" s="1"/>
  <c r="C354" i="4" a="1"/>
  <c r="C354" i="4" s="1"/>
  <c r="C355" i="4" a="1"/>
  <c r="C355" i="4" s="1"/>
  <c r="C356" i="4" a="1"/>
  <c r="C356" i="4" s="1"/>
  <c r="C357" i="4" a="1"/>
  <c r="C357" i="4" s="1"/>
  <c r="C358" i="4" a="1"/>
  <c r="C358" i="4" s="1"/>
  <c r="C359" i="4" a="1"/>
  <c r="C359" i="4" s="1"/>
  <c r="C360" i="4" a="1"/>
  <c r="C360" i="4" s="1"/>
  <c r="C361" i="4" a="1"/>
  <c r="C361" i="4" s="1"/>
  <c r="C362" i="4" a="1"/>
  <c r="C362" i="4" s="1"/>
  <c r="C363" i="4" a="1"/>
  <c r="C363" i="4" s="1"/>
  <c r="C364" i="4" a="1"/>
  <c r="C364" i="4" s="1"/>
  <c r="C365" i="4" a="1"/>
  <c r="C365" i="4" s="1"/>
  <c r="C366" i="4" a="1"/>
  <c r="C366" i="4" s="1"/>
  <c r="C367" i="4" a="1"/>
  <c r="C367" i="4" s="1"/>
  <c r="C368" i="4" a="1"/>
  <c r="C368" i="4" s="1"/>
  <c r="C369" i="4" a="1"/>
  <c r="C369" i="4" s="1"/>
  <c r="C370" i="4" a="1"/>
  <c r="C370" i="4" s="1"/>
  <c r="C371" i="4" a="1"/>
  <c r="C371" i="4" s="1"/>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G2" i="4"/>
  <c r="E2" i="4" s="1" a="1"/>
  <c r="E2" i="4" s="1"/>
  <c r="G3" i="4"/>
  <c r="E3" i="4" s="1" a="1"/>
  <c r="E3" i="4" s="1"/>
  <c r="G4" i="4"/>
  <c r="E4" i="4" s="1" a="1"/>
  <c r="E4" i="4" s="1"/>
  <c r="G5" i="4"/>
  <c r="E5" i="4" s="1" a="1"/>
  <c r="E5" i="4" s="1"/>
  <c r="G6" i="4"/>
  <c r="E6" i="4" s="1" a="1"/>
  <c r="E6" i="4" s="1"/>
  <c r="G7" i="4"/>
  <c r="E7" i="4" s="1" a="1"/>
  <c r="E7" i="4" s="1"/>
  <c r="G8" i="4"/>
  <c r="E8" i="4" s="1" a="1"/>
  <c r="E8" i="4" s="1"/>
  <c r="G9" i="4"/>
  <c r="E9" i="4" s="1" a="1"/>
  <c r="E9" i="4" s="1"/>
  <c r="G10" i="4"/>
  <c r="E10" i="4" s="1" a="1"/>
  <c r="E10" i="4" s="1"/>
  <c r="G11" i="4"/>
  <c r="E11" i="4" s="1" a="1"/>
  <c r="E11" i="4" s="1"/>
  <c r="G12" i="4"/>
  <c r="E12" i="4" s="1" a="1"/>
  <c r="E12" i="4" s="1"/>
  <c r="G13" i="4"/>
  <c r="E13" i="4" s="1" a="1"/>
  <c r="E13" i="4" s="1"/>
  <c r="G14" i="4"/>
  <c r="E14" i="4" s="1" a="1"/>
  <c r="E14" i="4" s="1"/>
  <c r="G15" i="4"/>
  <c r="E15" i="4" s="1" a="1"/>
  <c r="E15" i="4" s="1"/>
  <c r="G16" i="4"/>
  <c r="E16" i="4" s="1" a="1"/>
  <c r="E16" i="4" s="1"/>
  <c r="G17" i="4"/>
  <c r="E17" i="4" s="1" a="1"/>
  <c r="E17" i="4" s="1"/>
  <c r="G18" i="4"/>
  <c r="E18" i="4" s="1" a="1"/>
  <c r="E18" i="4" s="1"/>
  <c r="G19" i="4"/>
  <c r="E19" i="4" s="1" a="1"/>
  <c r="E19" i="4" s="1"/>
  <c r="G20" i="4"/>
  <c r="E20" i="4" s="1" a="1"/>
  <c r="E20" i="4" s="1"/>
  <c r="G21" i="4"/>
  <c r="E21" i="4" s="1" a="1"/>
  <c r="E21" i="4" s="1"/>
  <c r="G22" i="4"/>
  <c r="E22" i="4" s="1" a="1"/>
  <c r="E22" i="4" s="1"/>
  <c r="G23" i="4"/>
  <c r="E23" i="4" s="1" a="1"/>
  <c r="E23" i="4" s="1"/>
  <c r="G24" i="4"/>
  <c r="E24" i="4" s="1" a="1"/>
  <c r="E24" i="4" s="1"/>
  <c r="G25" i="4"/>
  <c r="E25" i="4" s="1" a="1"/>
  <c r="E25" i="4" s="1"/>
  <c r="G26" i="4"/>
  <c r="E26" i="4" s="1" a="1"/>
  <c r="E26" i="4" s="1"/>
  <c r="G27" i="4"/>
  <c r="E27" i="4" s="1" a="1"/>
  <c r="E27" i="4" s="1"/>
  <c r="G28" i="4"/>
  <c r="E28" i="4" s="1" a="1"/>
  <c r="E28" i="4" s="1"/>
  <c r="G29" i="4"/>
  <c r="E29" i="4" s="1" a="1"/>
  <c r="E29" i="4" s="1"/>
  <c r="G30" i="4"/>
  <c r="E30" i="4" s="1" a="1"/>
  <c r="E30" i="4" s="1"/>
  <c r="G31" i="4"/>
  <c r="E31" i="4" s="1" a="1"/>
  <c r="E31" i="4" s="1"/>
  <c r="G32" i="4"/>
  <c r="E32" i="4" s="1" a="1"/>
  <c r="E32" i="4" s="1"/>
  <c r="G33" i="4"/>
  <c r="E33" i="4" s="1" a="1"/>
  <c r="E33" i="4" s="1"/>
  <c r="G34" i="4"/>
  <c r="E34" i="4" s="1" a="1"/>
  <c r="E34" i="4" s="1"/>
  <c r="G35" i="4"/>
  <c r="E35" i="4" s="1" a="1"/>
  <c r="E35" i="4" s="1"/>
  <c r="G36" i="4"/>
  <c r="E36" i="4" s="1" a="1"/>
  <c r="E36" i="4" s="1"/>
  <c r="G37" i="4"/>
  <c r="E37" i="4" s="1" a="1"/>
  <c r="E37" i="4" s="1"/>
  <c r="G38" i="4"/>
  <c r="E38" i="4" s="1" a="1"/>
  <c r="E38" i="4" s="1"/>
  <c r="G39" i="4"/>
  <c r="E39" i="4" s="1" a="1"/>
  <c r="E39" i="4" s="1"/>
  <c r="G40" i="4"/>
  <c r="E40" i="4" s="1" a="1"/>
  <c r="E40" i="4" s="1"/>
  <c r="G41" i="4"/>
  <c r="E41" i="4" s="1" a="1"/>
  <c r="E41" i="4" s="1"/>
  <c r="G42" i="4"/>
  <c r="E42" i="4" s="1" a="1"/>
  <c r="E42" i="4" s="1"/>
  <c r="G43" i="4"/>
  <c r="E43" i="4" s="1" a="1"/>
  <c r="E43" i="4" s="1"/>
  <c r="G44" i="4"/>
  <c r="E44" i="4" s="1" a="1"/>
  <c r="E44" i="4" s="1"/>
  <c r="G45" i="4"/>
  <c r="E45" i="4" s="1" a="1"/>
  <c r="E45" i="4" s="1"/>
  <c r="G46" i="4"/>
  <c r="E46" i="4" s="1" a="1"/>
  <c r="E46" i="4" s="1"/>
  <c r="G47" i="4"/>
  <c r="E47" i="4" s="1" a="1"/>
  <c r="E47" i="4" s="1"/>
  <c r="G48" i="4"/>
  <c r="E48" i="4" s="1" a="1"/>
  <c r="E48" i="4" s="1"/>
  <c r="G49" i="4"/>
  <c r="E49" i="4" s="1" a="1"/>
  <c r="E49" i="4" s="1"/>
  <c r="G50" i="4"/>
  <c r="E50" i="4" s="1" a="1"/>
  <c r="E50" i="4" s="1"/>
  <c r="G51" i="4"/>
  <c r="E51" i="4" s="1" a="1"/>
  <c r="E51" i="4" s="1"/>
  <c r="G52" i="4"/>
  <c r="E52" i="4" s="1" a="1"/>
  <c r="E52" i="4" s="1"/>
  <c r="G53" i="4"/>
  <c r="E53" i="4" s="1" a="1"/>
  <c r="E53" i="4" s="1"/>
  <c r="G54" i="4"/>
  <c r="E54" i="4" s="1" a="1"/>
  <c r="E54" i="4" s="1"/>
  <c r="G55" i="4"/>
  <c r="E55" i="4" s="1" a="1"/>
  <c r="E55" i="4" s="1"/>
  <c r="G56" i="4"/>
  <c r="E56" i="4" s="1" a="1"/>
  <c r="E56" i="4" s="1"/>
  <c r="G57" i="4"/>
  <c r="E57" i="4" s="1" a="1"/>
  <c r="E57" i="4" s="1"/>
  <c r="G58" i="4"/>
  <c r="E58" i="4" s="1" a="1"/>
  <c r="E58" i="4" s="1"/>
  <c r="G59" i="4"/>
  <c r="E59" i="4" s="1" a="1"/>
  <c r="E59" i="4" s="1"/>
  <c r="G60" i="4"/>
  <c r="E60" i="4" s="1" a="1"/>
  <c r="E60" i="4" s="1"/>
  <c r="G61" i="4"/>
  <c r="E61" i="4" s="1" a="1"/>
  <c r="E61" i="4" s="1"/>
  <c r="G62" i="4"/>
  <c r="E62" i="4" s="1" a="1"/>
  <c r="E62" i="4" s="1"/>
  <c r="G63" i="4"/>
  <c r="E63" i="4" s="1" a="1"/>
  <c r="E63" i="4" s="1"/>
  <c r="G64" i="4"/>
  <c r="E64" i="4" s="1" a="1"/>
  <c r="E64" i="4" s="1"/>
  <c r="G65" i="4"/>
  <c r="E65" i="4" s="1" a="1"/>
  <c r="E65" i="4" s="1"/>
  <c r="G66" i="4"/>
  <c r="E66" i="4" s="1" a="1"/>
  <c r="E66" i="4" s="1"/>
  <c r="G67" i="4"/>
  <c r="E67" i="4" s="1" a="1"/>
  <c r="E67" i="4" s="1"/>
  <c r="G68" i="4"/>
  <c r="E68" i="4" s="1" a="1"/>
  <c r="E68" i="4" s="1"/>
  <c r="G69" i="4"/>
  <c r="E69" i="4" s="1" a="1"/>
  <c r="E69" i="4" s="1"/>
  <c r="G70" i="4"/>
  <c r="E70" i="4" s="1" a="1"/>
  <c r="E70" i="4" s="1"/>
  <c r="G71" i="4"/>
  <c r="E71" i="4" s="1" a="1"/>
  <c r="E71" i="4" s="1"/>
  <c r="G72" i="4"/>
  <c r="E72" i="4" s="1" a="1"/>
  <c r="E72" i="4" s="1"/>
  <c r="G73" i="4"/>
  <c r="E73" i="4" s="1" a="1"/>
  <c r="E73" i="4" s="1"/>
  <c r="G74" i="4"/>
  <c r="E74" i="4" s="1" a="1"/>
  <c r="E74" i="4" s="1"/>
  <c r="G75" i="4"/>
  <c r="E75" i="4" s="1" a="1"/>
  <c r="E75" i="4" s="1"/>
  <c r="G76" i="4"/>
  <c r="E76" i="4" s="1" a="1"/>
  <c r="E76" i="4" s="1"/>
  <c r="G77" i="4"/>
  <c r="E77" i="4" s="1" a="1"/>
  <c r="E77" i="4" s="1"/>
  <c r="G78" i="4"/>
  <c r="E78" i="4" s="1" a="1"/>
  <c r="E78" i="4" s="1"/>
  <c r="G79" i="4"/>
  <c r="E79" i="4" s="1" a="1"/>
  <c r="E79" i="4" s="1"/>
  <c r="G80" i="4"/>
  <c r="E80" i="4" s="1" a="1"/>
  <c r="E80" i="4" s="1"/>
  <c r="G81" i="4"/>
  <c r="E81" i="4" s="1" a="1"/>
  <c r="E81" i="4" s="1"/>
  <c r="G82" i="4"/>
  <c r="E82" i="4" s="1" a="1"/>
  <c r="E82" i="4" s="1"/>
  <c r="G83" i="4"/>
  <c r="E83" i="4" s="1" a="1"/>
  <c r="E83" i="4" s="1"/>
  <c r="G84" i="4"/>
  <c r="E84" i="4" s="1" a="1"/>
  <c r="E84" i="4" s="1"/>
  <c r="G85" i="4"/>
  <c r="E85" i="4" s="1" a="1"/>
  <c r="E85" i="4" s="1"/>
  <c r="G86" i="4"/>
  <c r="E86" i="4" s="1" a="1"/>
  <c r="E86" i="4" s="1"/>
  <c r="G87" i="4"/>
  <c r="E87" i="4" s="1" a="1"/>
  <c r="E87" i="4" s="1"/>
  <c r="G88" i="4"/>
  <c r="E88" i="4" s="1" a="1"/>
  <c r="E88" i="4" s="1"/>
  <c r="G89" i="4"/>
  <c r="E89" i="4" s="1" a="1"/>
  <c r="E89" i="4" s="1"/>
  <c r="G90" i="4"/>
  <c r="E90" i="4" s="1" a="1"/>
  <c r="E90" i="4" s="1"/>
  <c r="G91" i="4"/>
  <c r="E91" i="4" s="1" a="1"/>
  <c r="E91" i="4" s="1"/>
  <c r="G92" i="4"/>
  <c r="E92" i="4" s="1" a="1"/>
  <c r="E92" i="4" s="1"/>
  <c r="G93" i="4"/>
  <c r="E93" i="4" s="1" a="1"/>
  <c r="E93" i="4" s="1"/>
  <c r="G94" i="4"/>
  <c r="E94" i="4" s="1" a="1"/>
  <c r="E94" i="4" s="1"/>
  <c r="G95" i="4"/>
  <c r="E95" i="4" s="1" a="1"/>
  <c r="E95" i="4" s="1"/>
  <c r="G96" i="4"/>
  <c r="E96" i="4" s="1" a="1"/>
  <c r="E96" i="4" s="1"/>
  <c r="G97" i="4"/>
  <c r="E97" i="4" s="1" a="1"/>
  <c r="E97" i="4" s="1"/>
  <c r="G98" i="4"/>
  <c r="E98" i="4" s="1" a="1"/>
  <c r="E98" i="4" s="1"/>
  <c r="G99" i="4"/>
  <c r="E99" i="4" s="1" a="1"/>
  <c r="E99" i="4" s="1"/>
  <c r="G100" i="4"/>
  <c r="E100" i="4" s="1" a="1"/>
  <c r="E100" i="4" s="1"/>
  <c r="G101" i="4"/>
  <c r="E101" i="4" s="1" a="1"/>
  <c r="E101" i="4" s="1"/>
  <c r="G102" i="4"/>
  <c r="E102" i="4" s="1" a="1"/>
  <c r="E102" i="4" s="1"/>
  <c r="G103" i="4"/>
  <c r="E103" i="4" s="1" a="1"/>
  <c r="E103" i="4" s="1"/>
  <c r="G104" i="4"/>
  <c r="E104" i="4" s="1" a="1"/>
  <c r="E104" i="4" s="1"/>
  <c r="G105" i="4"/>
  <c r="E105" i="4" s="1" a="1"/>
  <c r="E105" i="4" s="1"/>
  <c r="G106" i="4"/>
  <c r="E106" i="4" s="1" a="1"/>
  <c r="E106" i="4" s="1"/>
  <c r="G107" i="4"/>
  <c r="E107" i="4" s="1" a="1"/>
  <c r="E107" i="4" s="1"/>
  <c r="G108" i="4"/>
  <c r="E108" i="4" s="1" a="1"/>
  <c r="E108" i="4" s="1"/>
  <c r="G109" i="4"/>
  <c r="E109" i="4" s="1" a="1"/>
  <c r="E109" i="4" s="1"/>
  <c r="G110" i="4"/>
  <c r="E110" i="4" s="1" a="1"/>
  <c r="E110" i="4" s="1"/>
  <c r="G111" i="4"/>
  <c r="E111" i="4" s="1" a="1"/>
  <c r="E111" i="4" s="1"/>
  <c r="G112" i="4"/>
  <c r="E112" i="4" s="1" a="1"/>
  <c r="E112" i="4" s="1"/>
  <c r="G113" i="4"/>
  <c r="E113" i="4" s="1" a="1"/>
  <c r="E113" i="4" s="1"/>
  <c r="G114" i="4"/>
  <c r="E114" i="4" s="1" a="1"/>
  <c r="E114" i="4" s="1"/>
  <c r="G115" i="4"/>
  <c r="E115" i="4" s="1" a="1"/>
  <c r="E115" i="4" s="1"/>
  <c r="G116" i="4"/>
  <c r="E116" i="4" s="1" a="1"/>
  <c r="E116" i="4" s="1"/>
  <c r="G117" i="4"/>
  <c r="E117" i="4" s="1" a="1"/>
  <c r="E117" i="4" s="1"/>
  <c r="G118" i="4"/>
  <c r="E118" i="4" s="1" a="1"/>
  <c r="E118" i="4" s="1"/>
  <c r="G119" i="4"/>
  <c r="E119" i="4" s="1" a="1"/>
  <c r="E119" i="4" s="1"/>
  <c r="G120" i="4"/>
  <c r="E120" i="4" s="1" a="1"/>
  <c r="E120" i="4" s="1"/>
  <c r="G121" i="4"/>
  <c r="E121" i="4" s="1" a="1"/>
  <c r="E121" i="4" s="1"/>
  <c r="G122" i="4"/>
  <c r="E122" i="4" s="1" a="1"/>
  <c r="E122" i="4" s="1"/>
  <c r="G123" i="4"/>
  <c r="E123" i="4" s="1" a="1"/>
  <c r="E123" i="4" s="1"/>
  <c r="G124" i="4"/>
  <c r="E124" i="4" s="1" a="1"/>
  <c r="E124" i="4" s="1"/>
  <c r="G125" i="4"/>
  <c r="E125" i="4" s="1" a="1"/>
  <c r="E125" i="4" s="1"/>
  <c r="G126" i="4"/>
  <c r="E126" i="4" s="1" a="1"/>
  <c r="E126" i="4" s="1"/>
  <c r="G127" i="4"/>
  <c r="E127" i="4" s="1" a="1"/>
  <c r="E127" i="4" s="1"/>
  <c r="G128" i="4"/>
  <c r="E128" i="4" s="1" a="1"/>
  <c r="E128" i="4" s="1"/>
  <c r="G129" i="4"/>
  <c r="E129" i="4" s="1" a="1"/>
  <c r="E129" i="4" s="1"/>
  <c r="G130" i="4"/>
  <c r="E130" i="4" s="1" a="1"/>
  <c r="E130" i="4" s="1"/>
  <c r="G131" i="4"/>
  <c r="E131" i="4" s="1" a="1"/>
  <c r="E131" i="4" s="1"/>
  <c r="G132" i="4"/>
  <c r="E132" i="4" s="1" a="1"/>
  <c r="E132" i="4" s="1"/>
  <c r="G133" i="4"/>
  <c r="E133" i="4" s="1" a="1"/>
  <c r="E133" i="4" s="1"/>
  <c r="G134" i="4"/>
  <c r="E134" i="4" s="1" a="1"/>
  <c r="E134" i="4" s="1"/>
  <c r="G135" i="4"/>
  <c r="E135" i="4" s="1" a="1"/>
  <c r="E135" i="4" s="1"/>
  <c r="G136" i="4"/>
  <c r="E136" i="4" s="1" a="1"/>
  <c r="E136" i="4" s="1"/>
  <c r="G137" i="4"/>
  <c r="E137" i="4" s="1" a="1"/>
  <c r="E137" i="4" s="1"/>
  <c r="G138" i="4"/>
  <c r="E138" i="4" s="1" a="1"/>
  <c r="E138" i="4" s="1"/>
  <c r="G139" i="4"/>
  <c r="E139" i="4" s="1" a="1"/>
  <c r="E139" i="4" s="1"/>
  <c r="G140" i="4"/>
  <c r="E140" i="4" s="1" a="1"/>
  <c r="E140" i="4" s="1"/>
  <c r="G141" i="4"/>
  <c r="E141" i="4" s="1" a="1"/>
  <c r="E141" i="4" s="1"/>
  <c r="G142" i="4"/>
  <c r="E142" i="4" s="1" a="1"/>
  <c r="E142" i="4" s="1"/>
  <c r="G143" i="4"/>
  <c r="E143" i="4" s="1" a="1"/>
  <c r="E143" i="4" s="1"/>
  <c r="G144" i="4"/>
  <c r="E144" i="4" s="1" a="1"/>
  <c r="E144" i="4" s="1"/>
  <c r="G145" i="4"/>
  <c r="E145" i="4" s="1" a="1"/>
  <c r="E145" i="4" s="1"/>
  <c r="G146" i="4"/>
  <c r="E146" i="4" s="1" a="1"/>
  <c r="E146" i="4" s="1"/>
  <c r="G147" i="4"/>
  <c r="E147" i="4" s="1" a="1"/>
  <c r="E147" i="4" s="1"/>
  <c r="G148" i="4"/>
  <c r="E148" i="4" s="1" a="1"/>
  <c r="E148" i="4" s="1"/>
  <c r="G149" i="4"/>
  <c r="E149" i="4" s="1" a="1"/>
  <c r="E149" i="4" s="1"/>
  <c r="G150" i="4"/>
  <c r="G151" i="4"/>
  <c r="G152" i="4"/>
  <c r="E152" i="4" s="1" a="1"/>
  <c r="E152" i="4" s="1"/>
  <c r="G153" i="4"/>
  <c r="E153" i="4" s="1" a="1"/>
  <c r="E153" i="4" s="1"/>
  <c r="G154" i="4"/>
  <c r="E154" i="4" s="1" a="1"/>
  <c r="E154" i="4" s="1"/>
  <c r="G155" i="4"/>
  <c r="E155" i="4" s="1" a="1"/>
  <c r="E155" i="4" s="1"/>
  <c r="G156" i="4"/>
  <c r="E156" i="4" s="1" a="1"/>
  <c r="E156" i="4" s="1"/>
  <c r="G157" i="4"/>
  <c r="E157" i="4" s="1" a="1"/>
  <c r="E157" i="4" s="1"/>
  <c r="G158" i="4"/>
  <c r="E158" i="4" s="1" a="1"/>
  <c r="E158" i="4" s="1"/>
  <c r="G159" i="4"/>
  <c r="E159" i="4" s="1" a="1"/>
  <c r="E159" i="4" s="1"/>
  <c r="G160" i="4"/>
  <c r="E160" i="4" s="1" a="1"/>
  <c r="E160" i="4" s="1"/>
  <c r="G161" i="4"/>
  <c r="E161" i="4" s="1" a="1"/>
  <c r="E161" i="4" s="1"/>
  <c r="G162" i="4"/>
  <c r="E162" i="4" s="1" a="1"/>
  <c r="E162" i="4" s="1"/>
  <c r="G163" i="4"/>
  <c r="E163" i="4" s="1" a="1"/>
  <c r="E163" i="4" s="1"/>
  <c r="G164" i="4"/>
  <c r="E164" i="4" s="1" a="1"/>
  <c r="E164" i="4" s="1"/>
  <c r="G165" i="4"/>
  <c r="E165" i="4" s="1" a="1"/>
  <c r="E165" i="4" s="1"/>
  <c r="G166" i="4"/>
  <c r="E166" i="4" s="1" a="1"/>
  <c r="E166" i="4" s="1"/>
  <c r="G167" i="4"/>
  <c r="E167" i="4" s="1" a="1"/>
  <c r="E167" i="4" s="1"/>
  <c r="G168" i="4"/>
  <c r="E168" i="4" s="1" a="1"/>
  <c r="E168" i="4" s="1"/>
  <c r="G169" i="4"/>
  <c r="E169" i="4" s="1" a="1"/>
  <c r="E169" i="4" s="1"/>
  <c r="G170" i="4"/>
  <c r="E170" i="4" s="1" a="1"/>
  <c r="E170" i="4" s="1"/>
  <c r="G171" i="4"/>
  <c r="E171" i="4" s="1" a="1"/>
  <c r="E171" i="4" s="1"/>
  <c r="G172" i="4"/>
  <c r="E172" i="4" s="1" a="1"/>
  <c r="E172" i="4" s="1"/>
  <c r="G173" i="4"/>
  <c r="E173" i="4" s="1" a="1"/>
  <c r="E173" i="4" s="1"/>
  <c r="G174" i="4"/>
  <c r="E174" i="4" s="1" a="1"/>
  <c r="E174" i="4" s="1"/>
  <c r="G175" i="4"/>
  <c r="E175" i="4" s="1" a="1"/>
  <c r="E175" i="4" s="1"/>
  <c r="G176" i="4"/>
  <c r="E176" i="4" s="1" a="1"/>
  <c r="E176" i="4" s="1"/>
  <c r="G177" i="4"/>
  <c r="E177" i="4" s="1" a="1"/>
  <c r="E177" i="4" s="1"/>
  <c r="G178" i="4"/>
  <c r="E178" i="4" s="1" a="1"/>
  <c r="E178" i="4" s="1"/>
  <c r="G179" i="4"/>
  <c r="E179" i="4" s="1" a="1"/>
  <c r="E179" i="4" s="1"/>
  <c r="G180" i="4"/>
  <c r="E180" i="4" s="1" a="1"/>
  <c r="E180" i="4" s="1"/>
  <c r="G181" i="4"/>
  <c r="E181" i="4" s="1" a="1"/>
  <c r="E181" i="4" s="1"/>
  <c r="G182" i="4"/>
  <c r="E182" i="4" s="1" a="1"/>
  <c r="E182" i="4" s="1"/>
  <c r="G183" i="4"/>
  <c r="E183" i="4" s="1" a="1"/>
  <c r="E183" i="4" s="1"/>
  <c r="G184" i="4"/>
  <c r="E184" i="4" s="1" a="1"/>
  <c r="E184" i="4" s="1"/>
  <c r="G185" i="4"/>
  <c r="E185" i="4" s="1" a="1"/>
  <c r="E185" i="4" s="1"/>
  <c r="G186" i="4"/>
  <c r="E186" i="4" s="1" a="1"/>
  <c r="E186" i="4" s="1"/>
  <c r="G187" i="4"/>
  <c r="E187" i="4" s="1" a="1"/>
  <c r="E187" i="4" s="1"/>
  <c r="G188" i="4"/>
  <c r="E188" i="4" s="1" a="1"/>
  <c r="E188" i="4" s="1"/>
  <c r="G189" i="4"/>
  <c r="E189" i="4" s="1" a="1"/>
  <c r="E189" i="4" s="1"/>
  <c r="G190" i="4"/>
  <c r="E190" i="4" s="1" a="1"/>
  <c r="E190" i="4" s="1"/>
  <c r="G191" i="4"/>
  <c r="E191" i="4" s="1" a="1"/>
  <c r="E191" i="4" s="1"/>
  <c r="G192" i="4"/>
  <c r="E192" i="4" s="1" a="1"/>
  <c r="E192" i="4" s="1"/>
  <c r="G193" i="4"/>
  <c r="E193" i="4" s="1" a="1"/>
  <c r="E193" i="4" s="1"/>
  <c r="G194" i="4"/>
  <c r="E194" i="4" s="1" a="1"/>
  <c r="E194" i="4" s="1"/>
  <c r="G195" i="4"/>
  <c r="E195" i="4" s="1" a="1"/>
  <c r="E195" i="4" s="1"/>
  <c r="G196" i="4"/>
  <c r="E196" i="4" s="1" a="1"/>
  <c r="E196" i="4" s="1"/>
  <c r="G197" i="4"/>
  <c r="E197" i="4" s="1" a="1"/>
  <c r="E197" i="4" s="1"/>
  <c r="G198" i="4"/>
  <c r="E198" i="4" s="1" a="1"/>
  <c r="E198" i="4" s="1"/>
  <c r="G199" i="4"/>
  <c r="E199" i="4" s="1" a="1"/>
  <c r="E199" i="4" s="1"/>
  <c r="G200" i="4"/>
  <c r="E200" i="4" s="1" a="1"/>
  <c r="E200" i="4" s="1"/>
  <c r="G201" i="4"/>
  <c r="E201" i="4" s="1" a="1"/>
  <c r="E201" i="4" s="1"/>
  <c r="G202" i="4"/>
  <c r="E202" i="4" s="1" a="1"/>
  <c r="E202" i="4" s="1"/>
  <c r="G203" i="4"/>
  <c r="E203" i="4" s="1" a="1"/>
  <c r="E203" i="4" s="1"/>
  <c r="G204" i="4"/>
  <c r="E204" i="4" s="1" a="1"/>
  <c r="E204" i="4" s="1"/>
  <c r="G205" i="4"/>
  <c r="E205" i="4" s="1" a="1"/>
  <c r="E205" i="4" s="1"/>
  <c r="G206" i="4"/>
  <c r="E206" i="4" s="1" a="1"/>
  <c r="E206" i="4" s="1"/>
  <c r="G207" i="4"/>
  <c r="E207" i="4" s="1" a="1"/>
  <c r="E207" i="4" s="1"/>
  <c r="G208" i="4"/>
  <c r="E208" i="4" s="1" a="1"/>
  <c r="E208" i="4" s="1"/>
  <c r="G209" i="4"/>
  <c r="E209" i="4" s="1" a="1"/>
  <c r="E209" i="4" s="1"/>
  <c r="G210" i="4"/>
  <c r="E210" i="4" s="1" a="1"/>
  <c r="E210" i="4" s="1"/>
  <c r="G211" i="4"/>
  <c r="E211" i="4" s="1" a="1"/>
  <c r="E211" i="4" s="1"/>
  <c r="G212" i="4"/>
  <c r="E212" i="4" s="1" a="1"/>
  <c r="E212" i="4" s="1"/>
  <c r="G213" i="4"/>
  <c r="E213" i="4" s="1" a="1"/>
  <c r="E213" i="4" s="1"/>
  <c r="G214" i="4"/>
  <c r="E214" i="4" s="1" a="1"/>
  <c r="E214" i="4" s="1"/>
  <c r="G215" i="4"/>
  <c r="E215" i="4" s="1" a="1"/>
  <c r="E215" i="4" s="1"/>
  <c r="G216" i="4"/>
  <c r="E216" i="4" s="1" a="1"/>
  <c r="E216" i="4" s="1"/>
  <c r="G217" i="4"/>
  <c r="E217" i="4" s="1" a="1"/>
  <c r="E217" i="4" s="1"/>
  <c r="G218" i="4"/>
  <c r="E218" i="4" s="1" a="1"/>
  <c r="E218" i="4" s="1"/>
  <c r="G219" i="4"/>
  <c r="E219" i="4" s="1" a="1"/>
  <c r="E219" i="4" s="1"/>
  <c r="G220" i="4"/>
  <c r="E220" i="4" s="1" a="1"/>
  <c r="E220" i="4" s="1"/>
  <c r="G221" i="4"/>
  <c r="E221" i="4" s="1" a="1"/>
  <c r="E221" i="4" s="1"/>
  <c r="G222" i="4"/>
  <c r="E222" i="4" s="1" a="1"/>
  <c r="E222" i="4" s="1"/>
  <c r="G223" i="4"/>
  <c r="E223" i="4" s="1" a="1"/>
  <c r="E223" i="4" s="1"/>
  <c r="G224" i="4"/>
  <c r="E224" i="4" s="1" a="1"/>
  <c r="E224" i="4" s="1"/>
  <c r="G225" i="4"/>
  <c r="E225" i="4" s="1" a="1"/>
  <c r="E225" i="4" s="1"/>
  <c r="G226" i="4"/>
  <c r="E226" i="4" s="1" a="1"/>
  <c r="E226" i="4" s="1"/>
  <c r="G227" i="4"/>
  <c r="E227" i="4" s="1" a="1"/>
  <c r="E227" i="4" s="1"/>
  <c r="G228" i="4"/>
  <c r="E228" i="4" s="1" a="1"/>
  <c r="E228" i="4" s="1"/>
  <c r="G229" i="4"/>
  <c r="E229" i="4" s="1" a="1"/>
  <c r="E229" i="4" s="1"/>
  <c r="G230" i="4"/>
  <c r="E230" i="4" s="1" a="1"/>
  <c r="E230" i="4" s="1"/>
  <c r="G231" i="4"/>
  <c r="E231" i="4" s="1" a="1"/>
  <c r="E231" i="4" s="1"/>
  <c r="G232" i="4"/>
  <c r="E232" i="4" s="1" a="1"/>
  <c r="E232" i="4" s="1"/>
  <c r="G233" i="4"/>
  <c r="E233" i="4" s="1" a="1"/>
  <c r="E233" i="4" s="1"/>
  <c r="G234" i="4"/>
  <c r="E234" i="4" s="1" a="1"/>
  <c r="E234" i="4" s="1"/>
  <c r="G235" i="4"/>
  <c r="E235" i="4" s="1" a="1"/>
  <c r="E235" i="4" s="1"/>
  <c r="G236" i="4"/>
  <c r="E236" i="4" s="1" a="1"/>
  <c r="E236" i="4" s="1"/>
  <c r="G237" i="4"/>
  <c r="E237" i="4" s="1" a="1"/>
  <c r="E237" i="4" s="1"/>
  <c r="G238" i="4"/>
  <c r="E238" i="4" s="1" a="1"/>
  <c r="E238" i="4" s="1"/>
  <c r="G239" i="4"/>
  <c r="E239" i="4" s="1" a="1"/>
  <c r="E239" i="4" s="1"/>
  <c r="G240" i="4"/>
  <c r="E240" i="4" s="1" a="1"/>
  <c r="E240" i="4" s="1"/>
  <c r="G241" i="4"/>
  <c r="E241" i="4" s="1" a="1"/>
  <c r="E241" i="4" s="1"/>
  <c r="G242" i="4"/>
  <c r="E242" i="4" s="1" a="1"/>
  <c r="E242" i="4" s="1"/>
  <c r="G243" i="4"/>
  <c r="E243" i="4" s="1" a="1"/>
  <c r="E243" i="4" s="1"/>
  <c r="G244" i="4"/>
  <c r="E244" i="4" s="1" a="1"/>
  <c r="E244" i="4" s="1"/>
  <c r="G245" i="4"/>
  <c r="E245" i="4" s="1" a="1"/>
  <c r="E245" i="4" s="1"/>
  <c r="G246" i="4"/>
  <c r="E246" i="4" s="1" a="1"/>
  <c r="E246" i="4" s="1"/>
  <c r="G247" i="4"/>
  <c r="E247" i="4" s="1" a="1"/>
  <c r="E247" i="4" s="1"/>
  <c r="G248" i="4"/>
  <c r="E248" i="4" s="1" a="1"/>
  <c r="E248" i="4" s="1"/>
  <c r="G249" i="4"/>
  <c r="E249" i="4" s="1" a="1"/>
  <c r="E249" i="4" s="1"/>
  <c r="G250" i="4"/>
  <c r="E250" i="4" s="1" a="1"/>
  <c r="E250" i="4" s="1"/>
  <c r="G251" i="4"/>
  <c r="E251" i="4" s="1" a="1"/>
  <c r="E251" i="4" s="1"/>
  <c r="G252" i="4"/>
  <c r="E252" i="4" s="1" a="1"/>
  <c r="E252" i="4" s="1"/>
  <c r="G253" i="4"/>
  <c r="E253" i="4" s="1" a="1"/>
  <c r="E253" i="4" s="1"/>
  <c r="G254" i="4"/>
  <c r="E254" i="4" s="1" a="1"/>
  <c r="E254" i="4" s="1"/>
  <c r="G255" i="4"/>
  <c r="E255" i="4" s="1" a="1"/>
  <c r="E255" i="4" s="1"/>
  <c r="G256" i="4"/>
  <c r="E256" i="4" s="1" a="1"/>
  <c r="E256" i="4" s="1"/>
  <c r="G257" i="4"/>
  <c r="E257" i="4" s="1" a="1"/>
  <c r="E257" i="4" s="1"/>
  <c r="G258" i="4"/>
  <c r="E258" i="4" s="1" a="1"/>
  <c r="E258" i="4" s="1"/>
  <c r="G259" i="4"/>
  <c r="E259" i="4" s="1" a="1"/>
  <c r="E259" i="4" s="1"/>
  <c r="G260" i="4"/>
  <c r="E260" i="4" s="1" a="1"/>
  <c r="E260" i="4" s="1"/>
  <c r="G261" i="4"/>
  <c r="E261" i="4" s="1" a="1"/>
  <c r="E261" i="4" s="1"/>
  <c r="G262" i="4"/>
  <c r="E262" i="4" s="1" a="1"/>
  <c r="E262" i="4" s="1"/>
  <c r="G263" i="4"/>
  <c r="E263" i="4" s="1" a="1"/>
  <c r="E263" i="4" s="1"/>
  <c r="G264" i="4"/>
  <c r="E264" i="4" s="1" a="1"/>
  <c r="E264" i="4" s="1"/>
  <c r="G265" i="4"/>
  <c r="E265" i="4" s="1" a="1"/>
  <c r="E265" i="4" s="1"/>
  <c r="G266" i="4"/>
  <c r="E266" i="4" s="1" a="1"/>
  <c r="E266" i="4" s="1"/>
  <c r="G267" i="4"/>
  <c r="E267" i="4" s="1" a="1"/>
  <c r="E267" i="4" s="1"/>
  <c r="G268" i="4"/>
  <c r="E268" i="4" s="1" a="1"/>
  <c r="E268" i="4" s="1"/>
  <c r="G269" i="4"/>
  <c r="E269" i="4" s="1" a="1"/>
  <c r="E269" i="4" s="1"/>
  <c r="G270" i="4"/>
  <c r="E270" i="4" s="1" a="1"/>
  <c r="E270" i="4" s="1"/>
  <c r="G271" i="4"/>
  <c r="E271" i="4" s="1" a="1"/>
  <c r="E271" i="4" s="1"/>
  <c r="G272" i="4"/>
  <c r="E272" i="4" s="1" a="1"/>
  <c r="E272" i="4" s="1"/>
  <c r="G273" i="4"/>
  <c r="E273" i="4" s="1" a="1"/>
  <c r="E273" i="4" s="1"/>
  <c r="G274" i="4"/>
  <c r="E274" i="4" s="1" a="1"/>
  <c r="E274" i="4" s="1"/>
  <c r="G275" i="4"/>
  <c r="E275" i="4" s="1" a="1"/>
  <c r="E275" i="4" s="1"/>
  <c r="G276" i="4"/>
  <c r="E276" i="4" s="1" a="1"/>
  <c r="E276" i="4" s="1"/>
  <c r="G277" i="4"/>
  <c r="E277" i="4" s="1" a="1"/>
  <c r="E277" i="4" s="1"/>
  <c r="G278" i="4"/>
  <c r="E278" i="4" s="1" a="1"/>
  <c r="E278" i="4" s="1"/>
  <c r="G279" i="4"/>
  <c r="E279" i="4" s="1" a="1"/>
  <c r="E279" i="4" s="1"/>
  <c r="G280" i="4"/>
  <c r="E280" i="4" s="1" a="1"/>
  <c r="E280" i="4" s="1"/>
  <c r="G281" i="4"/>
  <c r="E281" i="4" s="1" a="1"/>
  <c r="E281" i="4" s="1"/>
  <c r="G282" i="4"/>
  <c r="E282" i="4" s="1" a="1"/>
  <c r="E282" i="4" s="1"/>
  <c r="G283" i="4"/>
  <c r="E283" i="4" s="1" a="1"/>
  <c r="E283" i="4" s="1"/>
  <c r="G284" i="4"/>
  <c r="E284" i="4" s="1" a="1"/>
  <c r="E284" i="4" s="1"/>
  <c r="G285" i="4"/>
  <c r="E285" i="4" s="1" a="1"/>
  <c r="E285" i="4" s="1"/>
  <c r="G286" i="4"/>
  <c r="E286" i="4" s="1" a="1"/>
  <c r="E286" i="4" s="1"/>
  <c r="G287" i="4"/>
  <c r="E287" i="4" s="1" a="1"/>
  <c r="E287" i="4" s="1"/>
  <c r="G288" i="4"/>
  <c r="E288" i="4" s="1" a="1"/>
  <c r="E288" i="4" s="1"/>
  <c r="G289" i="4"/>
  <c r="E289" i="4" s="1" a="1"/>
  <c r="E289" i="4" s="1"/>
  <c r="G290" i="4"/>
  <c r="E290" i="4" s="1" a="1"/>
  <c r="E290" i="4" s="1"/>
  <c r="G291" i="4"/>
  <c r="E291" i="4" s="1" a="1"/>
  <c r="E291" i="4" s="1"/>
  <c r="G292" i="4"/>
  <c r="E292" i="4" s="1" a="1"/>
  <c r="E292" i="4" s="1"/>
  <c r="G293" i="4"/>
  <c r="E293" i="4" s="1" a="1"/>
  <c r="E293" i="4" s="1"/>
  <c r="G294" i="4"/>
  <c r="E294" i="4" s="1" a="1"/>
  <c r="E294" i="4" s="1"/>
  <c r="G295" i="4"/>
  <c r="E295" i="4" s="1" a="1"/>
  <c r="E295" i="4" s="1"/>
  <c r="G296" i="4"/>
  <c r="E296" i="4" s="1" a="1"/>
  <c r="E296" i="4" s="1"/>
  <c r="G297" i="4"/>
  <c r="E297" i="4" s="1" a="1"/>
  <c r="E297" i="4" s="1"/>
  <c r="G298" i="4"/>
  <c r="E298" i="4" s="1" a="1"/>
  <c r="E298" i="4" s="1"/>
  <c r="G299" i="4"/>
  <c r="E299" i="4" s="1" a="1"/>
  <c r="E299" i="4" s="1"/>
  <c r="G300" i="4"/>
  <c r="E300" i="4" s="1" a="1"/>
  <c r="E300" i="4" s="1"/>
  <c r="G301" i="4"/>
  <c r="E301" i="4" s="1" a="1"/>
  <c r="E301" i="4" s="1"/>
  <c r="G302" i="4"/>
  <c r="E302" i="4" s="1" a="1"/>
  <c r="E302" i="4" s="1"/>
  <c r="G303" i="4"/>
  <c r="E303" i="4" s="1" a="1"/>
  <c r="E303" i="4" s="1"/>
  <c r="G304" i="4"/>
  <c r="E304" i="4" s="1" a="1"/>
  <c r="E304" i="4" s="1"/>
  <c r="G305" i="4"/>
  <c r="E305" i="4" s="1" a="1"/>
  <c r="E305" i="4" s="1"/>
  <c r="G306" i="4"/>
  <c r="E306" i="4" s="1" a="1"/>
  <c r="E306" i="4" s="1"/>
  <c r="G307" i="4"/>
  <c r="E307" i="4" s="1" a="1"/>
  <c r="E307" i="4" s="1"/>
  <c r="G308" i="4"/>
  <c r="E308" i="4" s="1" a="1"/>
  <c r="E308" i="4" s="1"/>
  <c r="G309" i="4"/>
  <c r="E309" i="4" s="1" a="1"/>
  <c r="E309" i="4" s="1"/>
  <c r="G310" i="4"/>
  <c r="E310" i="4" s="1" a="1"/>
  <c r="E310" i="4" s="1"/>
  <c r="G311" i="4"/>
  <c r="E311" i="4" s="1" a="1"/>
  <c r="E311" i="4" s="1"/>
  <c r="G312" i="4"/>
  <c r="E312" i="4" s="1" a="1"/>
  <c r="E312" i="4" s="1"/>
  <c r="G313" i="4"/>
  <c r="E313" i="4" s="1" a="1"/>
  <c r="E313" i="4" s="1"/>
  <c r="G314" i="4"/>
  <c r="E314" i="4" s="1" a="1"/>
  <c r="E314" i="4" s="1"/>
  <c r="G315" i="4"/>
  <c r="E315" i="4" s="1" a="1"/>
  <c r="E315" i="4" s="1"/>
  <c r="G316" i="4"/>
  <c r="E316" i="4" s="1" a="1"/>
  <c r="E316" i="4" s="1"/>
  <c r="G317" i="4"/>
  <c r="E317" i="4" s="1" a="1"/>
  <c r="E317" i="4" s="1"/>
  <c r="G318" i="4"/>
  <c r="E318" i="4" s="1" a="1"/>
  <c r="E318" i="4" s="1"/>
  <c r="G319" i="4"/>
  <c r="E319" i="4" s="1" a="1"/>
  <c r="E319" i="4" s="1"/>
  <c r="G320" i="4"/>
  <c r="E320" i="4" s="1" a="1"/>
  <c r="E320" i="4" s="1"/>
  <c r="G321" i="4"/>
  <c r="E321" i="4" s="1" a="1"/>
  <c r="E321" i="4" s="1"/>
  <c r="G322" i="4"/>
  <c r="E322" i="4" s="1" a="1"/>
  <c r="E322" i="4" s="1"/>
  <c r="G323" i="4"/>
  <c r="E323" i="4" s="1" a="1"/>
  <c r="E323" i="4" s="1"/>
  <c r="G324" i="4"/>
  <c r="E324" i="4" s="1" a="1"/>
  <c r="E324" i="4" s="1"/>
  <c r="G325" i="4"/>
  <c r="E325" i="4" s="1" a="1"/>
  <c r="E325" i="4" s="1"/>
  <c r="G326" i="4"/>
  <c r="E326" i="4" s="1" a="1"/>
  <c r="E326" i="4" s="1"/>
  <c r="G327" i="4"/>
  <c r="E327" i="4" s="1" a="1"/>
  <c r="E327" i="4" s="1"/>
  <c r="G328" i="4"/>
  <c r="E328" i="4" s="1" a="1"/>
  <c r="E328" i="4" s="1"/>
  <c r="G329" i="4"/>
  <c r="E329" i="4" s="1" a="1"/>
  <c r="E329" i="4" s="1"/>
  <c r="G330" i="4"/>
  <c r="E330" i="4" s="1" a="1"/>
  <c r="E330" i="4" s="1"/>
  <c r="G331" i="4"/>
  <c r="E331" i="4" s="1" a="1"/>
  <c r="E331" i="4" s="1"/>
  <c r="G332" i="4"/>
  <c r="E332" i="4" s="1" a="1"/>
  <c r="E332" i="4" s="1"/>
  <c r="G333" i="4"/>
  <c r="E333" i="4" s="1" a="1"/>
  <c r="E333" i="4" s="1"/>
  <c r="G334" i="4"/>
  <c r="E334" i="4" s="1" a="1"/>
  <c r="E334" i="4" s="1"/>
  <c r="G335" i="4"/>
  <c r="E335" i="4" s="1" a="1"/>
  <c r="E335" i="4" s="1"/>
  <c r="G336" i="4"/>
  <c r="E336" i="4" s="1" a="1"/>
  <c r="E336" i="4" s="1"/>
  <c r="G337" i="4"/>
  <c r="E337" i="4" s="1" a="1"/>
  <c r="E337" i="4" s="1"/>
  <c r="G338" i="4"/>
  <c r="E338" i="4" s="1" a="1"/>
  <c r="E338" i="4" s="1"/>
  <c r="G339" i="4"/>
  <c r="E339" i="4" s="1" a="1"/>
  <c r="E339" i="4" s="1"/>
  <c r="G340" i="4"/>
  <c r="E340" i="4" s="1" a="1"/>
  <c r="E340" i="4" s="1"/>
  <c r="G341" i="4"/>
  <c r="E341" i="4" s="1" a="1"/>
  <c r="E341" i="4" s="1"/>
  <c r="G342" i="4"/>
  <c r="E342" i="4" s="1" a="1"/>
  <c r="E342" i="4" s="1"/>
  <c r="G343" i="4"/>
  <c r="E343" i="4" s="1" a="1"/>
  <c r="E343" i="4" s="1"/>
  <c r="G344" i="4"/>
  <c r="E344" i="4" s="1" a="1"/>
  <c r="E344" i="4" s="1"/>
  <c r="G345" i="4"/>
  <c r="E345" i="4" s="1" a="1"/>
  <c r="E345" i="4" s="1"/>
  <c r="G346" i="4"/>
  <c r="E346" i="4" s="1" a="1"/>
  <c r="E346" i="4" s="1"/>
  <c r="G347" i="4"/>
  <c r="E347" i="4" s="1" a="1"/>
  <c r="E347" i="4" s="1"/>
  <c r="G348" i="4"/>
  <c r="E348" i="4" s="1" a="1"/>
  <c r="E348" i="4" s="1"/>
  <c r="G349" i="4"/>
  <c r="E349" i="4" s="1" a="1"/>
  <c r="E349" i="4" s="1"/>
  <c r="G350" i="4"/>
  <c r="E350" i="4" s="1" a="1"/>
  <c r="E350" i="4" s="1"/>
  <c r="G351" i="4"/>
  <c r="E351" i="4" s="1" a="1"/>
  <c r="E351" i="4" s="1"/>
  <c r="G352" i="4"/>
  <c r="E352" i="4" s="1" a="1"/>
  <c r="E352" i="4" s="1"/>
  <c r="G353" i="4"/>
  <c r="E353" i="4" s="1" a="1"/>
  <c r="E353" i="4" s="1"/>
  <c r="G354" i="4"/>
  <c r="E354" i="4" s="1" a="1"/>
  <c r="E354" i="4" s="1"/>
  <c r="G355" i="4"/>
  <c r="E355" i="4" s="1" a="1"/>
  <c r="E355" i="4" s="1"/>
  <c r="G356" i="4"/>
  <c r="E356" i="4" s="1" a="1"/>
  <c r="E356" i="4" s="1"/>
  <c r="G357" i="4"/>
  <c r="E357" i="4" s="1" a="1"/>
  <c r="E357" i="4" s="1"/>
  <c r="G358" i="4"/>
  <c r="E358" i="4" s="1" a="1"/>
  <c r="E358" i="4" s="1"/>
  <c r="G359" i="4"/>
  <c r="E359" i="4" s="1" a="1"/>
  <c r="E359" i="4" s="1"/>
  <c r="G360" i="4"/>
  <c r="E360" i="4" s="1" a="1"/>
  <c r="E360" i="4" s="1"/>
  <c r="G361" i="4"/>
  <c r="E361" i="4" s="1" a="1"/>
  <c r="E361" i="4" s="1"/>
  <c r="G362" i="4"/>
  <c r="E362" i="4" s="1" a="1"/>
  <c r="E362" i="4" s="1"/>
  <c r="G363" i="4"/>
  <c r="E363" i="4" s="1" a="1"/>
  <c r="E363" i="4" s="1"/>
  <c r="G364" i="4"/>
  <c r="E364" i="4" s="1" a="1"/>
  <c r="E364" i="4" s="1"/>
  <c r="G365" i="4"/>
  <c r="E365" i="4" s="1" a="1"/>
  <c r="E365" i="4" s="1"/>
  <c r="G366" i="4"/>
  <c r="E366" i="4" s="1" a="1"/>
  <c r="E366" i="4" s="1"/>
  <c r="G367" i="4"/>
  <c r="E367" i="4" s="1" a="1"/>
  <c r="E367" i="4" s="1"/>
  <c r="G368" i="4"/>
  <c r="E368" i="4" s="1" a="1"/>
  <c r="E368" i="4" s="1"/>
  <c r="G369" i="4"/>
  <c r="E369" i="4" s="1" a="1"/>
  <c r="E369" i="4" s="1"/>
  <c r="G370" i="4"/>
  <c r="E370" i="4" s="1" a="1"/>
  <c r="E370" i="4" s="1"/>
  <c r="G371" i="4"/>
  <c r="E371" i="4" s="1" a="1"/>
  <c r="E371" i="4" s="1"/>
  <c r="F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H5" i="5" l="1"/>
  <c r="H4" i="5"/>
  <c r="R5" i="5"/>
  <c r="H3" i="5"/>
  <c r="R4" i="5"/>
  <c r="R3" i="5"/>
  <c r="N3" i="5"/>
  <c r="N5" i="5"/>
  <c r="N4" i="5"/>
  <c r="K3" i="5"/>
  <c r="K4" i="5"/>
  <c r="K5" i="5"/>
  <c r="B3" i="5"/>
  <c r="B4" i="5"/>
  <c r="B5" i="5"/>
  <c r="E3" i="5"/>
  <c r="E4" i="5"/>
  <c r="E5" i="5"/>
  <c r="O3" i="5" l="1"/>
  <c r="O4" i="5"/>
  <c r="O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<sst xmlns="http://schemas.openxmlformats.org/spreadsheetml/2006/main" count="3508" uniqueCount="997">
  <si>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</si>
  <si>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</si>
  <si>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</si>
  <si>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</si>
  <si>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</si>
  <si>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</si>
  <si>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</si>
  <si>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</si>
  <si>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</si>
  <si>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</si>
  <si>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</si>
  <si>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</si>
  <si>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</si>
  <si>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</si>
  <si>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</si>
  <si>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</si>
  <si>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</si>
  <si>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</si>
  <si>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</si>
  <si>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</si>
  <si>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</si>
  <si>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</si>
  <si>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</si>
  <si>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</si>
  <si>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</si>
  <si>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</si>
  <si>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</si>
  <si>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</si>
  <si>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</si>
  <si>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</si>
  <si>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</si>
  <si>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</si>
  <si>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</si>
  <si>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</si>
  <si>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</si>
  <si>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</si>
  <si>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</si>
  <si>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 xml:space="preserve">DEA 31-4. Men’s Locker room screen partition wall needs to be secured to where it there is less movement when 
leaned against. (Photo 31-20) </t>
  </si>
  <si>
    <t>T1.9672970</t>
  </si>
  <si>
    <t xml:space="preserve">DEA 31-3. North Entry Pavers do not extend to the Planter wall. Please add partial pavers to fill in the space between 
the accent boarder and the planter wall. (Photo 31-08) </t>
  </si>
  <si>
    <t>IMS Masonry, Inc.</t>
  </si>
  <si>
    <t>Pavers</t>
  </si>
  <si>
    <t>T1.9672969</t>
  </si>
  <si>
    <t>DEA 31-2. North Entry Plaza “Wagon Wheel” has cracks throughout and needs to be addressed. This has been 
discussed with the Design Team but nothing official has been sent on the fix. (Photo 31-07)</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</si>
  <si>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</si>
  <si>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</si>
  <si>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</si>
  <si>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</si>
  <si>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</si>
  <si>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</si>
  <si>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</si>
  <si>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</si>
  <si>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</si>
  <si>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</si>
  <si>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</si>
  <si>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</si>
  <si>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</si>
  <si>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</si>
  <si>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</si>
  <si>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</si>
  <si>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</si>
  <si>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</si>
  <si>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</si>
  <si>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</si>
  <si>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</si>
  <si>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</si>
  <si>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</si>
  <si>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</si>
  <si>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</si>
  <si>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</si>
  <si>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</si>
  <si>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</si>
  <si>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</si>
  <si>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</si>
  <si>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</si>
  <si>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</si>
  <si>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</si>
  <si>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</si>
  <si>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</si>
  <si>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</si>
  <si>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</si>
  <si>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</si>
  <si>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</si>
  <si>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</si>
  <si>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</si>
  <si>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</si>
  <si>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</si>
  <si>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</si>
  <si>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</si>
  <si>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</si>
  <si>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</si>
  <si>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</si>
  <si>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</si>
  <si>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</si>
  <si>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</si>
  <si>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</si>
  <si>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</si>
  <si>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</si>
  <si>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</si>
  <si>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</si>
  <si>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</si>
  <si>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</si>
  <si>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</si>
  <si>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</si>
  <si>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</si>
  <si>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</si>
  <si>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</si>
  <si>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</si>
  <si>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</si>
  <si>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</si>
  <si>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</si>
  <si>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</si>
  <si>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</si>
  <si>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</si>
  <si>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</si>
  <si>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</si>
  <si>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</si>
  <si>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</si>
  <si>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</si>
  <si>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</si>
  <si>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</si>
  <si>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</si>
  <si>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</si>
  <si>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</si>
  <si>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</si>
  <si>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</si>
  <si>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</si>
  <si>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</si>
  <si>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</si>
  <si>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</si>
  <si>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</si>
  <si>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</si>
  <si>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</si>
  <si>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</si>
  <si>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</si>
  <si>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</si>
  <si>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</si>
  <si>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</si>
  <si>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</si>
  <si>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</si>
  <si>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</si>
  <si>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</si>
  <si>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</si>
  <si>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</si>
  <si>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</si>
  <si>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</si>
  <si>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</si>
  <si>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</si>
  <si>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</si>
  <si>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</si>
  <si>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</si>
  <si>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</si>
  <si>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</si>
  <si>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</si>
  <si>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</si>
  <si>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</si>
  <si>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</si>
  <si>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</si>
  <si>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</si>
  <si>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</si>
  <si>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</si>
  <si>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</si>
  <si>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</si>
  <si>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</si>
  <si>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</si>
  <si>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</si>
  <si>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</si>
  <si>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</si>
  <si>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</si>
  <si>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</si>
  <si>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</si>
  <si>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</si>
  <si>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</si>
  <si>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</si>
  <si>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</si>
  <si>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</si>
  <si>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</si>
  <si>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</si>
  <si>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</si>
  <si>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</si>
  <si>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</si>
  <si>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</si>
  <si>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</si>
  <si>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 xml:space="preserve">CxA Site Visit Report 20220706, Item 04: Floor Drain Alignment and Hanger: In one of the Janitor Storage rooms in the West Tower, the floor drain piping isn’t 
centered with the hole in the floor. Also, a hanger support is needed. See Photo 6. </t>
  </si>
  <si>
    <t>Plumbing</t>
  </si>
  <si>
    <t>T1.9652846</t>
  </si>
  <si>
    <t>Historical Level 2 AE102</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</si>
  <si>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</si>
  <si>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</si>
  <si>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</si>
  <si>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</si>
  <si>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</si>
  <si>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</si>
  <si>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</si>
  <si>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</si>
  <si>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</si>
  <si>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</si>
  <si>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</si>
  <si>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</si>
  <si>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</si>
  <si>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</si>
  <si>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</si>
  <si>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</si>
  <si>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</si>
  <si>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</si>
  <si>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</si>
  <si>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</si>
  <si>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</si>
  <si>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</si>
  <si>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</si>
  <si>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</si>
  <si>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</si>
  <si>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</si>
  <si>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</si>
  <si>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</si>
  <si>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</si>
  <si>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</si>
  <si>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</si>
  <si>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</si>
  <si>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</si>
  <si>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</si>
  <si>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</si>
  <si>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</si>
  <si>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</si>
  <si>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</si>
  <si>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</si>
  <si>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</si>
  <si>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</si>
  <si>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</si>
  <si>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</si>
  <si>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</si>
  <si>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</si>
  <si>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</si>
  <si>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</si>
  <si>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</si>
  <si>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</si>
  <si>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</si>
  <si>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</si>
  <si>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</si>
  <si>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</si>
  <si>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</si>
  <si>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</si>
  <si>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</si>
  <si>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</si>
  <si>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</si>
  <si>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</si>
  <si>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</si>
  <si>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</si>
  <si>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</si>
  <si>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</si>
  <si>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</si>
  <si>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</si>
  <si>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</si>
  <si>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</si>
  <si>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</si>
  <si>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</si>
  <si>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</si>
  <si>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</si>
  <si>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</si>
  <si>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</si>
  <si>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</si>
  <si>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</si>
  <si>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</si>
  <si>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</si>
  <si>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</si>
  <si>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</si>
  <si>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</si>
  <si>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</si>
  <si>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</si>
  <si>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</si>
  <si>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</si>
  <si>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</si>
  <si>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</si>
  <si>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</si>
  <si>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</si>
  <si>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</si>
  <si>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</si>
  <si>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</si>
  <si>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</si>
  <si>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</si>
  <si>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</si>
  <si>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</si>
  <si>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</si>
  <si>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</si>
  <si>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</si>
  <si>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</si>
  <si>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</si>
  <si>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</si>
  <si>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</si>
  <si>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</si>
  <si>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</si>
  <si>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</si>
  <si>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</si>
  <si>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</si>
  <si>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</si>
  <si>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</si>
  <si>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</si>
  <si>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</si>
  <si>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</si>
  <si>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</si>
  <si>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</si>
  <si>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</si>
  <si>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</si>
  <si>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</si>
  <si>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</si>
  <si>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</si>
  <si>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</si>
  <si>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</si>
  <si>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</si>
  <si>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</si>
  <si>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</si>
  <si>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</si>
  <si>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</si>
  <si>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</si>
  <si>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</si>
  <si>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</si>
  <si>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</si>
  <si>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</si>
  <si>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</si>
  <si>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</si>
  <si>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</si>
  <si>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</si>
  <si>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</si>
  <si>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</si>
  <si>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</si>
  <si>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</si>
  <si>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</si>
  <si>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</si>
  <si>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</si>
  <si>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</si>
  <si>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</si>
  <si>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</si>
  <si>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</si>
  <si>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</si>
  <si>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</si>
  <si>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</si>
  <si>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</si>
  <si>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align electrical sconce rough in with plumbing and sink rough in.
Also raise sconce to correct elevation￼</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</si>
  <si>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</si>
  <si>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</si>
  <si>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</si>
  <si>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</si>
  <si>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</si>
  <si>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</si>
  <si>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</si>
  <si>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</si>
  <si>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</si>
  <si>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</si>
  <si>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</si>
  <si>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</si>
  <si>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</si>
  <si>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</si>
  <si>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</si>
  <si>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</si>
  <si>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</si>
  <si>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</si>
  <si>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</si>
  <si>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</si>
  <si>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</si>
  <si>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</si>
  <si>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</si>
  <si>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</si>
  <si>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</si>
  <si>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</si>
  <si>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</si>
  <si>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</si>
  <si>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</si>
  <si>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</si>
  <si>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</si>
  <si>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</si>
  <si>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</si>
  <si>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</si>
  <si>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</si>
  <si>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</si>
  <si>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</si>
  <si>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</si>
  <si>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</si>
  <si>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</si>
  <si>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</si>
  <si>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</si>
  <si>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</si>
  <si>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</si>
  <si>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</si>
  <si>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</si>
  <si>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</si>
  <si>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</si>
  <si>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</si>
  <si>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</si>
  <si>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</si>
  <si>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</si>
  <si>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</si>
  <si>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</si>
  <si>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</si>
  <si>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</si>
  <si>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</si>
  <si>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</si>
  <si>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</si>
  <si>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Spire needs final coat of paint</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</si>
  <si>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</si>
  <si>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</si>
  <si>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</si>
  <si>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</si>
  <si>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</si>
  <si>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</si>
  <si>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</si>
  <si>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</si>
  <si>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</si>
  <si>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</si>
  <si>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</si>
  <si>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</si>
  <si>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</si>
  <si>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</si>
  <si>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</si>
  <si>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</si>
  <si>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</si>
  <si>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</si>
  <si>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</si>
  <si>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</si>
  <si>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</si>
  <si>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</si>
  <si>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</si>
  <si>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</si>
  <si>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</si>
  <si>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</si>
  <si>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</si>
  <si>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</si>
  <si>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</si>
  <si>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</si>
  <si>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 xml:space="preserve">CxA Site Visit Report 20220324, Item 20:
Pipe Clearances: The Fire sprinkler pipe and the DVW pipe in the AHU5 mechanical room are close to each other. Verify the pipes have the proper clearances and correct if needed. See Photo 24. </t>
  </si>
  <si>
    <t>T1.9629082</t>
  </si>
  <si>
    <t xml:space="preserve">CxA Site Visit Report 20220324, Item 19:
Font Makeup Water Backflow drain line: The drain line from the Font Makeup Water backflow, needs to be extend to the floor drain. See Photo 23. </t>
  </si>
  <si>
    <t>T1.9629079</t>
  </si>
  <si>
    <t xml:space="preserve">CxA Site Visit Report 20220324, Item 18: 
FC Filter Covers: The FC filter compartments only have clips to hold the air filters, verify the air can’t bypass the filters in operations. See Photo 22. </t>
  </si>
  <si>
    <t>T1.9629077</t>
  </si>
  <si>
    <t xml:space="preserve">CxA Site Visit Report 20220324, Item 17:
Missing VAV access covers: VAV-0-04 and V-0-22 are missing access covers. Should covers be supplied by the manufacture and installed to provide maintenance access to inside of VAVs? See Photos 20 and 21. </t>
  </si>
  <si>
    <t>T1.9629076</t>
  </si>
  <si>
    <t xml:space="preserve">CxA Site Visit Report 20220324, Item 16:
Loose duct hangers: Some wire duct hangers are loose on the duct installed in AHU5 mechanical room. Recommend they be tightened. See Photos 18 and 19. </t>
  </si>
  <si>
    <t>T1.9629074</t>
  </si>
  <si>
    <t xml:space="preserve">CxA Site Visit Report 20220324, Item 15:
Steam Generator Dust Covers: Recommend that the Steam Generators in AHU5 mechanical room be covered to protect from construction debris and dust. See Photo 17. </t>
  </si>
  <si>
    <t>T1.9629071</t>
  </si>
  <si>
    <t xml:space="preserve">CxA Site Visit Report 20220324, Item 14:
Fire Junction Box Coupling: The fire junction box coupling appears to be improper. Recommend it be reviewed and corrected as needed. See Photo 16. </t>
  </si>
  <si>
    <t>T1.9629069</t>
  </si>
  <si>
    <t xml:space="preserve">CxA Site Visit Report 20220324, Item 13:
Missing electrical connection plugs: Cooling Tower Valves are missing plugs for spare electrical connection holes and need to be installed. See Photo 15. </t>
  </si>
  <si>
    <t>T1.9629068</t>
  </si>
  <si>
    <t>CxA Site Visit Report 20220324, Item 12:
Cooling Tower Control Valves: Some cooling tower control valves already have signs of rusting. Are these exterior grade valves and meet the drawing and specification requirements? See Photo 13 and 14.</t>
  </si>
  <si>
    <t>T1.9629065</t>
  </si>
  <si>
    <t xml:space="preserve">CxA Site Visit Report 20220324, Item 11:
Cooling Tower (CT1 and CT2) pad material: Recommend checking the pad material of CT1 and CT2 for proper function and condition. See Photo 12. </t>
  </si>
  <si>
    <t>T1.9629064</t>
  </si>
  <si>
    <t xml:space="preserve">CxA Site Visit Report 20220324, Item 10:
Cooling Tower (CT1 and CT2) fan bearing covers: Recommend the cooling tower fan bearing covers be inspected, repair or replaced as needed.  See Photo 11. </t>
  </si>
  <si>
    <t>T1.9629063</t>
  </si>
  <si>
    <t xml:space="preserve">CxA Site Visit Report 20220324, Item 9:
Cooling Towers and Enclosure Cleanup Recommend the cooling towers and enclosure be cleaned prior to operation See Photo 10. </t>
  </si>
  <si>
    <t>T1.9629059</t>
  </si>
  <si>
    <t xml:space="preserve">CxA Site Visit Report 20220324, Item 8:
Chiller Room Exhaust Fan: The chiller room exhaust fan should be cleaned and operational for refrigerant leak testing prior to chiller operation. See Photo 9. </t>
  </si>
  <si>
    <t>T1.9629058</t>
  </si>
  <si>
    <t>CxA Site Visit Report 20220324, Item 7:
Chiller Insulation: The chiller ends should have the insulation repaired or replaced See Photo 8.</t>
  </si>
  <si>
    <t>T1.9629056</t>
  </si>
  <si>
    <t xml:space="preserve">CxA Site Visit Report 20220324, Item 6:
Electrical Box Mounting: The electrical boxes need to be mounted to the wall to provide proper support. These boxes are in the Chiller room., See Photo 7. </t>
  </si>
  <si>
    <t>T1.9629054</t>
  </si>
  <si>
    <t xml:space="preserve">CxA Site Visit Report 20220324, Item 5:
Insulation Support Covers: Several insulation support covers are missing and need to be installed. Photo was taken in the Annex fire riser room. See Photo 6. </t>
  </si>
  <si>
    <t>T1.9629051</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</si>
  <si>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</si>
  <si>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T1.9629039</t>
  </si>
  <si>
    <t xml:space="preserve">CxA Site Visit Report 20220324, Item 3:
FC 0-02 Drain lines: The drains line for FC 0-02 haven't been installed. See Photo 3. </t>
  </si>
  <si>
    <t>T1.9629037</t>
  </si>
  <si>
    <t>CxA Site Visit Report 20220324, Item 2:
Pipe Insulation: The heating water piping is too close to the ductwork of AHU1 to insulate the piping.</t>
  </si>
  <si>
    <t>T1.9629025</t>
  </si>
  <si>
    <t>CxA Site Visit Report 2022.03.24, Item 1:
FC-01 by AHU1 is missing a seismic strap and should be installed.</t>
  </si>
  <si>
    <t>T55794.6</t>
  </si>
  <si>
    <t>Verify flex conduit is rated to pass through wall of fire rated mechanical shaft.</t>
  </si>
  <si>
    <t>T55794.5</t>
  </si>
  <si>
    <t>align electrical sconce rough in with plumbing and sink rough in.
￼ Also raise sconce to correct elevation￼</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</si>
  <si>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</si>
  <si>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</si>
  <si>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</si>
  <si>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</si>
  <si>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</si>
  <si>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</si>
  <si>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</si>
  <si>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</si>
  <si>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</si>
  <si>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</si>
  <si>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</si>
  <si>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</si>
  <si>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 xml:space="preserve">StGeorge Site Visit Report 20220223, Item 6:
PPR piping with electric resistance fusion fittings has been used on this project.  Please provide feedback regarding the cost, labor and process of installation. </t>
  </si>
  <si>
    <t>T1.9618559</t>
  </si>
  <si>
    <t xml:space="preserve">StGeorge Site Visit Report 20220223, Item 5:
The controls installation is in progress.  Carefully coordinate the installation of the controls system.  Please provide progress reports of the installation process and commissioning. </t>
  </si>
  <si>
    <t>T1.9618558</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</si>
  <si>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</si>
  <si>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T1.9618557</t>
  </si>
  <si>
    <t>StGeorge Site Visit Report 20220223, Item 2:
Air vents will need to be installed in the piping where piping offsets upward to prevent air locks.</t>
  </si>
  <si>
    <t>T1.9618556</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</si>
  <si>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</si>
  <si>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T1.9612545</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</si>
  <si>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</si>
  <si>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T1.9612544</t>
  </si>
  <si>
    <t>CxA Field Report 20220113, Item 2: 
Pipe Insulation damage: The piping insulation has water damaged near VAV 0-09 box in the Annex level 0.  See photo 3.</t>
  </si>
  <si>
    <t>T1.9612543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</si>
  <si>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</si>
  <si>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T1.9606607</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</si>
  <si>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</si>
  <si>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T1.9606606</t>
  </si>
  <si>
    <t xml:space="preserve">CxA Report 11.30.2021 Item 6:
Damaged AHU coil fins: In AHU1 there is some bent fins on the air handler coils that need to be straightened, see Photo 6. </t>
  </si>
  <si>
    <t>T1.9606604</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</si>
  <si>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</si>
  <si>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T1.9606601</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</si>
  <si>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</si>
  <si>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T1.9606598</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</si>
  <si>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</si>
  <si>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T1.9606597</t>
  </si>
  <si>
    <t>CxA Report 11.30.2021 - Item 2: 
Boiler Startup: During the startup of Boiler 3, it was determined by MHI Service that a control card had failed and needed to be replaced. MHI ordered the part to be installed, see Photo 2.</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</si>
  <si>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</si>
  <si>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</si>
  <si>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</si>
  <si>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</si>
  <si>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</si>
  <si>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</si>
  <si>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</si>
  <si>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</si>
  <si>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</si>
  <si>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</si>
  <si>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</si>
  <si>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</si>
  <si>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</si>
  <si>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</si>
  <si>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</si>
  <si>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</si>
  <si>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</si>
  <si>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</si>
  <si>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T1.9599815</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</si>
  <si>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</si>
  <si>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T1.9599807</t>
  </si>
  <si>
    <t xml:space="preserve">Site Visit Report 20211015, Item 1:
There is a plenum box in the entry lobby that has been damaged and needs to repaired or replaced. </t>
  </si>
  <si>
    <t>T59123.67</t>
  </si>
  <si>
    <t>020A - East Mechanical &gt; Annex Level 0AE100
Re-attach hanger bracket at humidifier piping</t>
  </si>
  <si>
    <t>T59123.66</t>
  </si>
  <si>
    <t>Cap the two unused conduit feeders</t>
  </si>
  <si>
    <t>T1.9596688</t>
  </si>
  <si>
    <t xml:space="preserve">EOR 2021.09.09, Item 20:
Temple – LV2 
A crack on MC cabling armor was observed. This can lead to additional cable failure if additional stress is present and galvanized shield is further compromised and comes in contact with inner cables. </t>
  </si>
  <si>
    <t>T1.9596687</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</si>
  <si>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</si>
  <si>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T1.9596686</t>
  </si>
  <si>
    <t xml:space="preserve">EOR 2021.09.09, Item 18:
Annex – LV1 
MC cabling appears to be routed outside of the intended path, protruding beyond the width of the joists.  Verify that it will not cause a bulge when drywall is installed. 
 </t>
  </si>
  <si>
    <t>T1.9596685</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</si>
  <si>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</si>
  <si>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T1.9596684</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</si>
  <si>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</si>
  <si>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T1.9596683</t>
  </si>
  <si>
    <t xml:space="preserve">EOR 2021.09.09, Item 13: Annex – Basement 
Main Mechanical and Electrical control room equipment installation appears to be installed in an organized manner. 
Verify clearances in electrical room meet NEC standards. </t>
  </si>
  <si>
    <t>T1.9596676</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</si>
  <si>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</si>
  <si>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T1.9596673</t>
  </si>
  <si>
    <t>EOR 2021.09.09, Item 9: Annex – Basement 
Power cable for filtration device appears to be too short for the application. Potential stress on the cable is 
introduced.  
Depending on traffic, this can be a trip and equipment hazard.</t>
  </si>
  <si>
    <t>T1.9596672</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</si>
  <si>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</si>
  <si>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T1.9596671</t>
  </si>
  <si>
    <t xml:space="preserve">Annex – Basement 
Cabling for bathroom outlets is in place. 
Verify orientation of sink outlets to accommodate 
vanity outlets or power faucets. </t>
  </si>
  <si>
    <t>T1.9596670</t>
  </si>
  <si>
    <t xml:space="preserve">Cabling for outlets at “grab &amp; go” room appears to be valid.  
Verify with electrical consultants that adequate load 
allocation is in place to accommodate multiple vending machines. 
Exits sign cabling is in place. </t>
  </si>
  <si>
    <t>T1.9596669</t>
  </si>
  <si>
    <t xml:space="preserve">Annex - Basement  
Cabling appears to be routed to junction boxes, outlets, and switches.  
Installation of switches appears to be valid. </t>
  </si>
  <si>
    <t>T1.9596668</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</si>
  <si>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</si>
  <si>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T1.9596667</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</si>
  <si>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</si>
  <si>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</si>
  <si>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</si>
  <si>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</si>
  <si>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</si>
  <si>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</si>
  <si>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</si>
  <si>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</si>
  <si>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</si>
  <si>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</si>
  <si>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</si>
  <si>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</si>
  <si>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</si>
  <si>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</si>
  <si>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</si>
  <si>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</si>
  <si>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</si>
  <si>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</si>
  <si>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</si>
  <si>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</si>
  <si>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</si>
  <si>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</si>
  <si>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</si>
  <si>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</si>
  <si>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</si>
  <si>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 xml:space="preserve">ARW 70-8: Areaway wall gap. Jay asked if Styrofoam is ok to use for the gap at the top of the areaway wall in the 
west mechanical room.  I indicated that this was acceptable. </t>
  </si>
  <si>
    <t>T1.9556214</t>
  </si>
  <si>
    <t xml:space="preserve">ARW 70-7: Loading dock topping. Jay asked if they could use a pea gravel mix for the topping at the loading dock.  
After further discussion, it was concluded that the topping should be as answered in a previous CCD issued regarding this area. </t>
  </si>
  <si>
    <t>T1.9556213</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</si>
  <si>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</si>
  <si>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T1.9556211</t>
  </si>
  <si>
    <t xml:space="preserve">ARW 70-6: HSS landing beam connection to the 
concrete foundation wall. Indicated to Will (Glassey) that it is acceptable to use Titen HD anchors for this connection as noted in COR 69 by Brent White. </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</si>
  <si>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</si>
  <si>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</si>
  <si>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</si>
  <si>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</si>
  <si>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</si>
  <si>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</si>
  <si>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</si>
  <si>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</si>
  <si>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</si>
  <si>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</si>
  <si>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</si>
  <si>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</si>
  <si>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</si>
  <si>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</si>
  <si>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</si>
  <si>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</si>
  <si>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</si>
  <si>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ARW 69-10: Various steel beams throughout the historic 
temple are supported on bearing plates and concrete pillow blocks.  All space around the beams is to be grouted solid after beam placement. Verify that all pockets are fully grouted while access is possible</t>
  </si>
  <si>
    <t>T1.9552521</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</si>
  <si>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</si>
  <si>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T1.9552520</t>
  </si>
  <si>
    <t xml:space="preserve">ARW 69-8: An arched HSS beam has been erected at 
west side of grid HC. There is no arched ceiling framing in this area above the catwalk. The HSS beam should be relocated at grid HB and attached to the stone wall per 1/S244. </t>
  </si>
  <si>
    <t>T1.9552518</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</si>
  <si>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</si>
  <si>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T1.9552517</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</si>
  <si>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</si>
  <si>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T1.9552516</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</si>
  <si>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</si>
  <si>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T1.9552514</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</si>
  <si>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</si>
  <si>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T1.9552510</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</si>
  <si>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</si>
  <si>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T1.9552509</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</si>
  <si>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</si>
  <si>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T1.9552506</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</si>
  <si>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</si>
  <si>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</si>
  <si>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</si>
  <si>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</si>
  <si>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</si>
  <si>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T1.9552503</t>
  </si>
  <si>
    <t>ARW 67-8: Clip connecting level 0.5 LVL and level 2 LVL 
stud - Noted that screws have not been placed in clip plate that connects the level 0.5 and level 2 stud. Ryan noted the location and marked it.  Wall is on the south side of the veil room.</t>
  </si>
  <si>
    <t>T1.9552501</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</si>
  <si>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</si>
  <si>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T1.9552499</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</si>
  <si>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</si>
  <si>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T1.9552498</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</si>
  <si>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</si>
  <si>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</si>
  <si>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</si>
  <si>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</si>
  <si>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 xml:space="preserve">ARW 67-3: Header for opening between Baptistry 
Chapel and foyer - Concrete header still not completed.  Indicated to Ryan that ARW would prefer this to be moved up the priority list and be done soon. </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</si>
  <si>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</si>
  <si>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</si>
  <si>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</si>
  <si>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</si>
  <si>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</si>
  <si>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</si>
  <si>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T1.9552437</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</si>
  <si>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</si>
  <si>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T1.9552436</t>
  </si>
  <si>
    <t>ARW 66-6: At Level 2 between HE and HF near H5 an 
existing floor joist is split. A new LVL joist should be placed sistered to the existing joist per information provided in the drawings and in previous RFI responses for similar conditions.</t>
  </si>
  <si>
    <t>T1.9552435</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</si>
  <si>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</si>
  <si>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T1.9552434</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</si>
  <si>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</si>
  <si>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T1.9552433</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</si>
  <si>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</si>
  <si>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T1.9552430</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</si>
  <si>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</si>
  <si>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T1.9552428</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</si>
  <si>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</si>
  <si>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</si>
  <si>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</si>
  <si>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</si>
  <si>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 xml:space="preserve">ARW 65-1: The windows near the brides exit need to 
have the window sills built up to get above 
elevation 100’-0”.   Please provide new window sills per the same direction provided in RFI 961. </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</si>
  <si>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</si>
  <si>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</si>
  <si>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</si>
  <si>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</si>
  <si>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</si>
  <si>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</si>
  <si>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</si>
  <si>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</si>
  <si>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</si>
  <si>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</si>
  <si>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</si>
  <si>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</si>
  <si>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</si>
  <si>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</si>
  <si>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</si>
  <si>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</si>
  <si>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</si>
  <si>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</si>
  <si>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</si>
  <si>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</si>
  <si>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</si>
  <si>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</si>
  <si>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</si>
  <si>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</si>
  <si>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</si>
  <si>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</si>
  <si>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</si>
  <si>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</si>
  <si>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</si>
  <si>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</si>
  <si>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</si>
  <si>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</si>
  <si>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</si>
  <si>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</si>
  <si>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</si>
  <si>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</si>
  <si>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</si>
  <si>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</si>
  <si>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</si>
  <si>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</si>
  <si>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</si>
  <si>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</si>
  <si>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</si>
  <si>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</si>
  <si>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</si>
  <si>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</si>
  <si>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</si>
  <si>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</si>
  <si>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</si>
  <si>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</si>
  <si>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</si>
  <si>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</si>
  <si>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</si>
  <si>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</si>
  <si>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</si>
  <si>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</si>
  <si>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</si>
  <si>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</si>
  <si>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</si>
  <si>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</si>
  <si>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</si>
  <si>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</si>
  <si>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</si>
  <si>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</si>
  <si>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</si>
  <si>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</si>
  <si>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T1.9541090</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</si>
  <si>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</si>
  <si>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T1.9541089</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</si>
  <si>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</si>
  <si>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T1.9541088</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</si>
  <si>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</si>
  <si>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T1.9541087</t>
  </si>
  <si>
    <t>ARW Field Report 59.1 - Josh asked if the new concrete jambs around the opening for door 190A can be 6” thick instead of 8” as specified in detail 17/S245.
6” concrete jambs at this door is acceptable. 
Please provide the reinforcing as shown in detail 17/S245.</t>
  </si>
  <si>
    <t>T1.9539631</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</si>
  <si>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</si>
  <si>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T1.9539630</t>
  </si>
  <si>
    <t xml:space="preserve">Electrical Observation Report: 4/16/2021; Item 16
Temple – LV 3
NEC 358.14 identifies dissimilar metals cannot be in contact due to galvanic effects. Electrical raceways should not be in contact with different metals. </t>
  </si>
  <si>
    <t>T1.9539629</t>
  </si>
  <si>
    <t xml:space="preserve">Electrical Observation Report: 4/16/2021; Item 13
Temple - Basement 
No electrical rough and floor box for the computer 
equipment/desk was found in the area around the font. </t>
  </si>
  <si>
    <t>T1.9539628</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</si>
  <si>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</si>
  <si>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T1.9539627</t>
  </si>
  <si>
    <t xml:space="preserve">Electrical Observation Report: 4/16/2021; Item 11
Annex – Level 1 
NEC 358.14 identifies dissimilar metals cannot be in contact due to galvanic effects. Electrical raceways 
should not be in contact with different metals. </t>
  </si>
  <si>
    <t>T1.9539626</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</si>
  <si>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</si>
  <si>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T1.9539624</t>
  </si>
  <si>
    <t xml:space="preserve">Electrical Observation Report: 4/16/2021; Item 5
Annex – Basement 
 It appears conduit is not supported per NEC 344.30 at some electrical junction boxes. </t>
  </si>
  <si>
    <t>T1.9539622</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</si>
  <si>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</si>
  <si>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T1.9539621</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</si>
  <si>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</si>
  <si>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T1.9539000</t>
  </si>
  <si>
    <t>Missing laundry bell</t>
  </si>
  <si>
    <t>ForwardedFrom</t>
  </si>
  <si>
    <t>T59123.46</t>
  </si>
  <si>
    <t>Center all diffusers and fixtures in walls within each space as per RFI direction</t>
  </si>
  <si>
    <t>T1.9536908</t>
  </si>
  <si>
    <t xml:space="preserve">ARW 62-4 - Level 5 concrete infill frames and pillow blocks have some gaps between the stone wall and concrete infill. 
Discussed this with Josh and he said they will make sure these gaps are grouted solid. </t>
  </si>
  <si>
    <t>T1.9536906</t>
  </si>
  <si>
    <t>ARW 62-5 - North addition clothing drop openings need holes cut into the suspended concrete slab on metal deck.
Please provide a steel frame below the 
metal deck as shown in detail 12/S202.</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</si>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</sst>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s>
  <fills count="4">
    <fill>
      <patternFill patternType="none"/>
    </fill>
    <fill>
      <patternFill patternType="gray125"/>
    </fill>
    <fill>
      <patternFill patternType="solid">
        <fgColor rgb="FFFFCC99"/>
      </patternFill>
    </fill>
    <fill>
      <patternFill patternType="solid">
        <fgColor theme="5"/>
        <bgColor theme="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4">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cellStyleXfs>
  <cellXfs count="14">
    <xf numFmtId="0" fontId="0" fillId="0" borderId="0" xfId="0"/>
    <xf numFmtId="0" fontId="0" fillId="0" borderId="0" xfId="0" applyFont="1" applyFill="1" applyBorder="1"/>
    <xf numFmtId="0" fontId="0" fillId="0" borderId="0" xfId="0" applyFill="1" applyBorder="1"/>
    <xf numFmtId="0" fontId="1" fillId="2" borderId="1" xfId="1"/>
    <xf numFmtId="0" fontId="2" fillId="3" borderId="2" xfId="0" applyFont="1" applyFill="1" applyBorder="1" applyAlignment="1">
      <alignment horizontal="center"/>
    </xf>
    <xf numFmtId="0" fontId="2" fillId="3" borderId="3" xfId="0" applyFont="1" applyFill="1" applyBorder="1" applyAlignment="1">
      <alignment horizontal="center"/>
    </xf>
    <xf numFmtId="0" fontId="0" fillId="0" borderId="0" xfId="0" applyNumberFormat="1"/>
    <xf numFmtId="14" fontId="0" fillId="0" borderId="0" xfId="0" applyNumberFormat="1"/>
    <xf numFmtId="0" fontId="5" fillId="0" borderId="0" xfId="3"/>
    <xf numFmtId="0" fontId="5" fillId="0" borderId="0" xfId="3" applyNumberFormat="1"/>
    <xf numFmtId="0" fontId="6" fillId="0" borderId="0" xfId="0" applyFont="1" applyAlignment="1">
      <alignment horizontal="center"/>
    </xf>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cellXfs>
  <cellStyles count="4">
    <cellStyle name="Hyperlink" xfId="3" builtinId="8"/>
    <cellStyle name="Input" xfId="1" builtinId="20"/>
    <cellStyle name="Normal" xfId="0" builtinId="0"/>
    <cellStyle name="Percent" xfId="2" builtinId="5"/>
  </cellStyles>
  <dxfs count="29">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Tasks</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Tables!$M$3</c:f>
              <c:strCache>
                <c:ptCount val="1"/>
                <c:pt idx="0">
                  <c:v>Opened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Tables!$N$3</c:f>
              <c:numCache>
                <c:formatCode>General</c:formatCode>
                <c:ptCount val="1"/>
                <c:pt idx="0">
                  <c:v>185</c:v>
                </c:pt>
              </c:numCache>
            </c:numRef>
          </c:val>
          <c:extLst>
            <c:ext xmlns:c16="http://schemas.microsoft.com/office/drawing/2014/chart" uri="{C3380CC4-5D6E-409C-BE32-E72D297353CC}">
              <c16:uniqueId val="{00000000-45BB-434B-B517-2B4D107E00B8}"/>
            </c:ext>
          </c:extLst>
        </c:ser>
        <c:ser>
          <c:idx val="1"/>
          <c:order val="1"/>
          <c:tx>
            <c:strRef>
              <c:f>Tables!$M$4</c:f>
              <c:strCache>
                <c:ptCount val="1"/>
                <c:pt idx="0">
                  <c:v>Completed</c:v>
                </c:pt>
              </c:strCache>
            </c:strRef>
          </c:tx>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Tables!$N$4</c:f>
              <c:numCache>
                <c:formatCode>General</c:formatCode>
                <c:ptCount val="1"/>
                <c:pt idx="0">
                  <c:v>65</c:v>
                </c:pt>
              </c:numCache>
            </c:numRef>
          </c:val>
          <c:extLst>
            <c:ext xmlns:c16="http://schemas.microsoft.com/office/drawing/2014/chart" uri="{C3380CC4-5D6E-409C-BE32-E72D297353CC}">
              <c16:uniqueId val="{00000002-45BB-434B-B517-2B4D107E00B8}"/>
            </c:ext>
          </c:extLst>
        </c:ser>
        <c:ser>
          <c:idx val="2"/>
          <c:order val="2"/>
          <c:tx>
            <c:strRef>
              <c:f>Tables!$M$5</c:f>
              <c:strCache>
                <c:ptCount val="1"/>
                <c:pt idx="0">
                  <c:v>Signed Off</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Tables!$N$2</c:f>
              <c:strCache>
                <c:ptCount val="1"/>
                <c:pt idx="0">
                  <c:v>Task Count</c:v>
                </c:pt>
              </c:strCache>
            </c:strRef>
          </c:cat>
          <c:val>
            <c:numRef>
              <c:f>Tables!$N$5</c:f>
              <c:numCache>
                <c:formatCode>General</c:formatCode>
                <c:ptCount val="1"/>
                <c:pt idx="0">
                  <c:v>150</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68</c:v>
                </c:pt>
                <c:pt idx="1">
                  <c:v>37</c:v>
                </c:pt>
                <c:pt idx="2">
                  <c:v>92</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Tables!$E$2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Tables!$D$3:$D$5</c:f>
              <c:strCache>
                <c:ptCount val="3"/>
                <c:pt idx="0">
                  <c:v>Opened</c:v>
                </c:pt>
                <c:pt idx="1">
                  <c:v>Completed</c:v>
                </c:pt>
                <c:pt idx="2">
                  <c:v>Signed Off</c:v>
                </c:pt>
              </c:strCache>
            </c:strRef>
          </c:cat>
          <c:val>
            <c:numRef>
              <c:f>Tables!$E$3:$E$5</c:f>
              <c:numCache>
                <c:formatCode>General</c:formatCode>
                <c:ptCount val="3"/>
                <c:pt idx="0">
                  <c:v>108</c:v>
                </c:pt>
                <c:pt idx="1">
                  <c:v>23</c:v>
                </c:pt>
                <c:pt idx="2">
                  <c:v>38</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c:v>
                </c:pt>
                <c:pt idx="1">
                  <c:v>0</c:v>
                </c:pt>
                <c:pt idx="2">
                  <c:v>1</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Tables!$R$2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Tables!$Q$3:$Q$5</c:f>
              <c:strCache>
                <c:ptCount val="3"/>
                <c:pt idx="0">
                  <c:v>Opened</c:v>
                </c:pt>
                <c:pt idx="1">
                  <c:v>Completed</c:v>
                </c:pt>
                <c:pt idx="2">
                  <c:v>Signed Off</c:v>
                </c:pt>
              </c:strCache>
            </c:strRef>
          </c:cat>
          <c:val>
            <c:numRef>
              <c:f>Tables!$R$3:$R$5</c:f>
              <c:numCache>
                <c:formatCode>General</c:formatCode>
                <c:ptCount val="3"/>
                <c:pt idx="0">
                  <c:v>1</c:v>
                </c:pt>
                <c:pt idx="1">
                  <c:v>5</c:v>
                </c:pt>
                <c:pt idx="2">
                  <c:v>18</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63500</xdr:colOff>
          <xdr:row>0</xdr:row>
          <xdr:rowOff>76200</xdr:rowOff>
        </xdr:from>
        <xdr:to>
          <xdr:col>12</xdr:col>
          <xdr:colOff>501650</xdr:colOff>
          <xdr:row>2</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BBBBE5AA-A876-488F-A9F3-7D42869142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1022F1B5-1544-4A82-8FB8-A0B1B39F7822}"/>
            </a:ext>
          </a:extLst>
        </xdr:cNvPr>
        <xdr:cNvGrpSpPr/>
      </xdr:nvGrpSpPr>
      <xdr:grpSpPr>
        <a:xfrm>
          <a:off x="0" y="2000250"/>
          <a:ext cx="7118350" cy="2311400"/>
          <a:chOff x="0" y="1977598"/>
          <a:chExt cx="9448845" cy="2245152"/>
        </a:xfrm>
      </xdr:grpSpPr>
      <xdr:graphicFrame macro="">
        <xdr:nvGraphicFramePr>
          <xdr:cNvPr id="3" name="Chart 2">
            <a:extLst>
              <a:ext uri="{FF2B5EF4-FFF2-40B4-BE49-F238E27FC236}">
                <a16:creationId xmlns:a16="http://schemas.microsoft.com/office/drawing/2014/main" id="{3181EE73-74DC-4228-BB33-40A1ED69B057}"/>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248B5E6C-837B-4205-9AD0-3447EE7BDAD8}"/>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A915A0B7-FBB2-4117-82A5-895CEB75CFC3}"/>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46F37F8D-4579-46E5-8EB0-B48C68C015C7}"/>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I401" totalsRowShown="0">
  <autoFilter ref="A1:I401" xr:uid="{4EAC528C-AA3A-414E-9285-992466C8D535}"/>
  <tableColumns count="9">
    <tableColumn id="1" xr3:uid="{4388BF7F-C8D6-4F87-9743-9F078BB99B5C}" name="Task Number" dataDxfId="28">
      <calculatedColumnFormula>HYPERLINK(_xlfn.CONCAT(Edit_URL,Tasks[[#This Row],[Ref]]),Tasks[[#This Row],[Ref]])</calculatedColumnFormula>
    </tableColumn>
    <tableColumn id="2" xr3:uid="{19C79FD2-EDDA-4914-8B46-528FC1707390}" name="Status" dataDxfId="21">
      <calculatedColumnFormula array="1">_xlfn.SWITCH(LEFT(Tasks[[#This Row],[Status]],1),"O","Opened","C","Completed","S","Signed Off","ERROR")</calculatedColumnFormula>
    </tableColumn>
    <tableColumn id="10" xr3:uid="{4DB35BCC-BC30-41B1-A47F-A1F540192736}" name="Task Type" dataDxfId="27">
      <calculatedColumnFormula array="1">_xlfn.SWITCH(LEFT(Tasks[[#This Row],[Type]], 2), "Fi", "Field Report", "Co", "Contractor QC", "Ge", "Contractor QC", "Pu", "Punch List")</calculatedColumnFormula>
    </tableColumn>
    <tableColumn id="11" xr3:uid="{29985464-AAD4-433A-94B4-C5E101A48E69}" name="Description" dataDxfId="26">
      <calculatedColumnFormula>LEFT(Tasks[[#This Row],[Description]], 50)</calculatedColumnFormula>
    </tableColumn>
    <tableColumn id="3" xr3:uid="{CED64825-D1BF-479F-85CD-556C99721197}" name="Building" dataDxfId="16">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25">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24">
      <calculatedColumnFormula>IF(Tasks[[#This Row],[Location]]=0, "", Tasks[[#This Row],[Location]])</calculatedColumnFormula>
    </tableColumn>
    <tableColumn id="6" xr3:uid="{2FD2D28F-D043-4B32-ADFC-2AFF368E363A}" name="To Package" dataDxfId="23">
      <calculatedColumnFormula>Tasks[[#This Row],[To Package]]</calculatedColumnFormula>
    </tableColumn>
    <tableColumn id="7" xr3:uid="{0DA8FE8C-8A10-4AC4-9138-5D996E1AA157}" name="To Org" dataDxfId="22">
      <calculatedColumnFormula>Tasks[[#This Row],[To Organisation]]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B5" totalsRowShown="0">
  <autoFilter ref="A2:B5" xr:uid="{16921D08-1FDC-447A-84C0-7A012F62F7AC}"/>
  <tableColumns count="2">
    <tableColumn id="1" xr3:uid="{8C98A1D9-A361-4FEC-8CEE-FF58521E64F0}" name="Status"/>
    <tableColumn id="2" xr3:uid="{4681BDD6-D335-456C-BE9D-3ED2F6D0CACB}" name="Task Count" dataDxfId="19">
      <calculatedColumnFormula>COUNTIFS(Task_Summary_Table[Status], Annex_Overall_Table[[#This Row],[Status]], Task_Summary_Table[Building], "Annex")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D2:E5" totalsRowShown="0">
  <autoFilter ref="D2:E5" xr:uid="{C3A9E17C-F8D1-4548-8840-D7A196664A56}"/>
  <tableColumns count="2">
    <tableColumn id="1" xr3:uid="{76583108-515E-4A39-8CE3-261BBB564D70}" name="Status"/>
    <tableColumn id="2" xr3:uid="{293A71B4-FE3E-4D95-B4DA-2D6FD0148AAF}" name="Task Count" dataDxfId="20">
      <calculatedColumnFormula>COUNTIFS(Task_Summary_Table[Status], Historic_Overall_Table[[#This Row],[Status]], Task_Summary_Table[Building], "Historic")</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H5" totalsRowShown="0">
  <autoFilter ref="G2:H5" xr:uid="{0654A351-DDC3-49FF-870D-1C0830D15F8D}"/>
  <tableColumns count="2">
    <tableColumn id="1" xr3:uid="{4D789D0B-F8C8-4CD7-8770-755986483B49}" name="Status"/>
    <tableColumn id="2" xr3:uid="{1F34B6E8-6C3B-48A6-86D5-B122615324DC}" name="Task Count" dataDxfId="13">
      <calculatedColumnFormula>COUNTIFS(Task_Summary_Table[Status], Site_Overall_Table[[#This Row],[Status]], Task_Summary_Table[Building], "Site")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J2:K5" totalsRowShown="0">
  <autoFilter ref="J2:K5" xr:uid="{D4E4BF6A-C791-46BA-87FB-BC8DE15A0443}"/>
  <tableColumns count="2">
    <tableColumn id="1" xr3:uid="{1D8A5FCA-493B-4C81-A5DD-E8AEC3C2C60C}" name="Status"/>
    <tableColumn id="2" xr3:uid="{BF11B9FF-2354-4224-973D-A43C71C25739}" name="Task Count" dataDxfId="18">
      <calculatedColumnFormula>COUNTIFS(Task_Summary_Table[Status], Other_Overall_Table[[#This Row],[Status]], Task_Summary_Table[Building], "Project Task")</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M2:O5" totalsRowShown="0">
  <autoFilter ref="M2:O5" xr:uid="{6768FF81-AC71-4821-B81B-8E78C8B1A2A2}"/>
  <tableColumns count="3">
    <tableColumn id="1" xr3:uid="{A88D7A68-C526-4866-942C-DE16769C2CB0}" name="Status"/>
    <tableColumn id="2" xr3:uid="{7F36CB59-043D-4C79-9246-C236D3ADDADF}" name="Task Count" dataDxfId="17">
      <calculatedColumnFormula>COUNTIFS(Task_Summary_Table[Status], Combine_Overall_Table[[#This Row],[Status]])</calculatedColumnFormula>
    </tableColumn>
    <tableColumn id="3" xr3:uid="{485EECCB-A993-4D67-A824-EAF6306FEB9A}" name="Percent" dataCellStyle="Percent">
      <calculatedColumnFormula>Combine_Overall_Table[[#This Row],[Task Count]]/SUM(Combine_Overall_Table[Task Count])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T2:T41" totalsRowShown="0" dataDxfId="14">
  <autoFilter ref="T2:T41" xr:uid="{CEC50D86-F1E1-41CD-8E81-77258B4EA606}"/>
  <tableColumns count="1">
    <tableColumn id="1" xr3:uid="{A5933C31-8807-4CFD-9B76-6E34A155D4E3}" name="Tower Rm Numbers" dataDxfId="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Q2:R5" totalsRowShown="0">
  <autoFilter ref="Q2:R5" xr:uid="{3DA43466-9888-4222-91DB-A6D05DF361F0}"/>
  <tableColumns count="2">
    <tableColumn id="1" xr3:uid="{082C43EB-9D8B-4648-9645-7E21EDAAC7CD}" name="Status"/>
    <tableColumn id="2" xr3:uid="{60068DF9-7C16-4455-A6F2-FE1B663BA09D}" name="Task Count" dataDxfId="12">
      <calculatedColumnFormula>COUNTIFS(Task_Summary_Table[Status], West_Tower_Overall_Table[[#This Row],[Status]], Task_Summary_Table[Building], "West Tower")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401" tableType="queryTable" totalsRowShown="0">
  <autoFilter ref="A1:Q401" xr:uid="{FDEBA6BA-981E-4C7E-811F-96A9A60AB2EE}"/>
  <tableColumns count="17">
    <tableColumn id="1" xr3:uid="{3918FFDE-7F8A-4709-A247-CA717A540FC7}" uniqueName="1" name="Ref" queryTableFieldId="1" dataDxfId="11"/>
    <tableColumn id="2" xr3:uid="{5FB43A43-9B74-4C67-B40B-C43A09BB3E98}" uniqueName="2" name="Status" queryTableFieldId="2" dataDxfId="10"/>
    <tableColumn id="16" xr3:uid="{965BAD12-4C26-445B-9765-49F766E5459D}" uniqueName="16" name="Page" queryTableFieldId="16" dataDxfId="9"/>
    <tableColumn id="3" xr3:uid="{B8DEC25D-5EF5-4835-A2A4-BB4BA7E2DE21}" uniqueName="3" name="Location" queryTableFieldId="3" dataDxfId="8"/>
    <tableColumn id="4" xr3:uid="{B4EB34C4-86C6-4E55-AAFC-2AA9BAD1D63D}" uniqueName="4" name="Description" queryTableFieldId="4" dataDxfId="7"/>
    <tableColumn id="5" xr3:uid="{A2B088AC-6DBD-4673-A983-8232D7288AE1}" uniqueName="5" name="Created" queryTableFieldId="5" dataDxfId="6"/>
    <tableColumn id="6" xr3:uid="{C5CCD392-4453-4A2A-9518-EDE7492B2BD9}" uniqueName="6" name="Target" queryTableFieldId="6" dataDxfId="5"/>
    <tableColumn id="7" xr3:uid="{66F4AFD8-500B-4070-8A3F-D06AC07014CF}" uniqueName="7" name="Type" queryTableFieldId="7" dataDxfId="4"/>
    <tableColumn id="8" xr3:uid="{E8E0F8D3-5875-4B03-9CA4-BBA2DD26CF5B}" uniqueName="8" name="To Organisation" queryTableFieldId="8" dataDxfId="3"/>
    <tableColumn id="9" xr3:uid="{76741838-5390-4CEA-ABE7-39960CFD2B38}" uniqueName="9" name="To Package" queryTableFieldId="9" dataDxfId="2"/>
    <tableColumn id="10" xr3:uid="{158ADD99-1F3F-4287-9B17-D25288FBA8EA}" uniqueName="10" name="Status Changed" queryTableFieldId="10" dataDxfId="1"/>
    <tableColumn id="11" xr3:uid="{B61A9C61-8771-41CE-90C2-F3156CD08F7C}" uniqueName="11" name="Association" queryTableFieldId="11" dataDxfId="0"/>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A1"/>
  <sheetViews>
    <sheetView workbookViewId="0">
      <selection activeCell="H33" sqref="H33"/>
    </sheetView>
  </sheetViews>
  <sheetFormatPr defaultRowHeight="14.5" x14ac:dyDescent="0.35"/>
  <cols>
    <col min="11" max="11" width="14.6328125" customWidth="1"/>
  </cols>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11</xdr:col>
                    <xdr:colOff>63500</xdr:colOff>
                    <xdr:row>0</xdr:row>
                    <xdr:rowOff>76200</xdr:rowOff>
                  </from>
                  <to>
                    <xdr:col>12</xdr:col>
                    <xdr:colOff>501650</xdr:colOff>
                    <xdr:row>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dimension ref="A1:I401"/>
  <sheetViews>
    <sheetView tabSelected="1" workbookViewId="0">
      <selection activeCell="A13" sqref="A13"/>
    </sheetView>
  </sheetViews>
  <sheetFormatPr defaultRowHeight="14.5" x14ac:dyDescent="0.35"/>
  <cols>
    <col min="1" max="1" width="14.1796875" bestFit="1" customWidth="1"/>
    <col min="2" max="2" width="13.36328125" customWidth="1"/>
    <col min="3" max="3" width="15.08984375" bestFit="1" customWidth="1"/>
    <col min="4" max="4" width="45.1796875" customWidth="1"/>
    <col min="5" max="5" width="10.7265625" bestFit="1" customWidth="1"/>
    <col min="6" max="6" width="10.36328125" customWidth="1"/>
    <col min="7" max="7" width="24.08984375" customWidth="1"/>
    <col min="8" max="8" width="18" bestFit="1" customWidth="1"/>
    <col min="9" max="9" width="35" bestFit="1" customWidth="1"/>
    <col min="10" max="10" width="2.7265625" customWidth="1"/>
    <col min="11" max="11" width="2.81640625" customWidth="1"/>
  </cols>
  <sheetData>
    <row r="1" spans="1:9" x14ac:dyDescent="0.35">
      <c r="A1" t="s">
        <v>976</v>
      </c>
      <c r="B1" t="s">
        <v>4</v>
      </c>
      <c r="C1" t="s">
        <v>981</v>
      </c>
      <c r="D1" t="s">
        <v>6</v>
      </c>
      <c r="E1" t="s">
        <v>977</v>
      </c>
      <c r="F1" t="s">
        <v>979</v>
      </c>
      <c r="G1" t="s">
        <v>978</v>
      </c>
      <c r="H1" t="s">
        <v>11</v>
      </c>
      <c r="I1" t="s">
        <v>980</v>
      </c>
    </row>
    <row r="2" spans="1:9" x14ac:dyDescent="0.35">
      <c r="A2" s="8" t="str">
        <f>HYPERLINK(_xlfn.CONCAT(Edit_URL,Tasks[[#This Row],[Ref]]),Tasks[[#This Row],[Ref]])</f>
        <v>T1.9673617</v>
      </c>
      <c r="B2" t="str" cm="1">
        <f t="array" ref="B2">_xlfn.SWITCH(LEFT(Tasks[[#This Row],[Status]],1),"O","Opened","C","Completed","S","Signed Off","ERROR")</f>
        <v>Opened</v>
      </c>
      <c r="C2" t="str" cm="1">
        <f t="array" ref="C2">_xlfn.SWITCH(LEFT(Tasks[[#This Row],[Type]], 2), "Fi", "Field Report", "Co", "Contractor QC", "Ge", "Contractor QC", "Pu", "Punch List")</f>
        <v>Contractor QC</v>
      </c>
      <c r="D2" t="str">
        <f>LEFT(Tasks[[#This Row],[Description]], 50)</f>
        <v>Repair Damaged Window Sill</v>
      </c>
      <c r="E2" t="str" cm="1">
        <f t="array" ref="E2">_xlfn.LET(
_xlpm.inTower, COUNTIF(Tower_Num_Table[Tower Rm Numbers], LEFT(Task_Summary_Table[[#This Row],[Area/Room]], 3)) &gt; 0,
_xlpm.typeResult, _xlfn.SWITCH(LEFT(Tasks[[#This Row],[Page]], 2), "Hi", "Historic", "An", "Annex", "Si", "Site", "S5", "Project Task", "SWITCH ERROR"),
IF(_xlpm.inTower, "West Tower", _xlpm.typeResult)
)</f>
        <v>Historic</v>
      </c>
      <c r="F2" t="str">
        <f>IFERROR(MID(Tasks[[#This Row],[Page]], FIND("Level", Tasks[[#This Row],[Page]]), 7), IF(ISNUMBER(FIND("Roof", Tasks[[#This Row],[Page]])), "Roof",  IF(ISNUMBER(FIND("S590", Tasks[[#This Row],[Page]])), "",  IF(ISNUMBER(FIND("Site", Tasks[[#This Row],[Page]])), "", "ERROR"))))</f>
        <v>Level 4</v>
      </c>
      <c r="G2" t="str">
        <f>IF(Tasks[[#This Row],[Location]]=0, "", Tasks[[#This Row],[Location]])</f>
        <v>409 - Vestibule</v>
      </c>
      <c r="H2" t="str">
        <f>Tasks[[#This Row],[To Package]]</f>
        <v>Westland -- Historic</v>
      </c>
      <c r="I2" t="str">
        <f>Tasks[[#This Row],[To Organisation]]</f>
        <v>Westland Construction, Inc.</v>
      </c>
    </row>
    <row r="3" spans="1:9" x14ac:dyDescent="0.35">
      <c r="A3" s="8" t="str">
        <f>HYPERLINK(_xlfn.CONCAT(Edit_URL,Tasks[[#This Row],[Ref]]),Tasks[[#This Row],[Ref]])</f>
        <v>T1.9672974</v>
      </c>
      <c r="B3" t="str" cm="1">
        <f t="array" ref="B3">_xlfn.SWITCH(LEFT(Tasks[[#This Row],[Status]],1),"O","Opened","C","Completed","S","Signed Off","ERROR")</f>
        <v>Opened</v>
      </c>
      <c r="C3" t="str" cm="1">
        <f t="array" ref="C3">_xlfn.SWITCH(LEFT(Tasks[[#This Row],[Type]], 2), "Fi", "Field Report", "Co", "Contractor QC", "Ge", "Contractor QC", "Pu", "Punch List")</f>
        <v>Field Report</v>
      </c>
      <c r="D3" t="str">
        <f>LEFT(Tasks[[#This Row],[Description]], 50)</f>
        <v>DEA 31-7. Balustrade at the 5th floor was installe</v>
      </c>
      <c r="E3" t="str" cm="1">
        <f t="array" ref="E3">_xlfn.LET(
_xlpm.inTower, COUNTIF(Tower_Num_Table[Tower Rm Numbers], LEFT(Task_Summary_Table[[#This Row],[Area/Room]], 3)) &gt; 0,
_xlpm.typeResult, _xlfn.SWITCH(LEFT(Tasks[[#This Row],[Page]], 2), "Hi", "Historic", "An", "Annex", "Si", "Site", "S5", "Project Task", "SWITCH ERROR"),
IF(_xlpm.inTower, "West Tower", _xlpm.typeResult)
)</f>
        <v>Historic</v>
      </c>
      <c r="F3" t="str">
        <f>IFERROR(MID(Tasks[[#This Row],[Page]], FIND("Level", Tasks[[#This Row],[Page]]), 7), IF(ISNUMBER(FIND("Roof", Tasks[[#This Row],[Page]])), "Roof",  IF(ISNUMBER(FIND("S590", Tasks[[#This Row],[Page]])), "",  IF(ISNUMBER(FIND("Site", Tasks[[#This Row],[Page]])), "", "ERROR"))))</f>
        <v>Level 5</v>
      </c>
      <c r="G3" t="str">
        <f>IF(Tasks[[#This Row],[Location]]=0, "", Tasks[[#This Row],[Location]])</f>
        <v>518 - Study</v>
      </c>
      <c r="H3" t="str">
        <f>Tasks[[#This Row],[To Package]]</f>
        <v xml:space="preserve">Finish Carpentry </v>
      </c>
      <c r="I3" t="str">
        <f>Tasks[[#This Row],[To Organisation]]</f>
        <v>Fetzers' Inc.</v>
      </c>
    </row>
    <row r="4" spans="1:9" x14ac:dyDescent="0.35">
      <c r="A4" s="8" t="str">
        <f>HYPERLINK(_xlfn.CONCAT(Edit_URL,Tasks[[#This Row],[Ref]]),Tasks[[#This Row],[Ref]])</f>
        <v>T1.9672973</v>
      </c>
      <c r="B4" t="str" cm="1">
        <f t="array" ref="B4">_xlfn.SWITCH(LEFT(Tasks[[#This Row],[Status]],1),"O","Opened","C","Completed","S","Signed Off","ERROR")</f>
        <v>Opened</v>
      </c>
      <c r="C4" t="str" cm="1">
        <f t="array" ref="C4">_xlfn.SWITCH(LEFT(Tasks[[#This Row],[Type]], 2), "Fi", "Field Report", "Co", "Contractor QC", "Ge", "Contractor QC", "Pu", "Punch List")</f>
        <v>Field Report</v>
      </c>
      <c r="D4" t="str">
        <f>LEFT(Tasks[[#This Row],[Description]], 50)</f>
        <v>DEA 31-6. Contractor needs to caulk gaps between w</v>
      </c>
      <c r="E4" t="str" cm="1">
        <f t="array" ref="E4">_xlfn.LET(
_xlpm.inTower, COUNTIF(Tower_Num_Table[Tower Rm Numbers], LEFT(Task_Summary_Table[[#This Row],[Area/Room]], 3)) &gt; 0,
_xlpm.typeResult, _xlfn.SWITCH(LEFT(Tasks[[#This Row],[Page]], 2), "Hi", "Historic", "An", "Annex", "Si", "Site", "S5", "Project Task", "SWITCH ERROR"),
IF(_xlpm.inTower, "West Tower", _xlpm.typeResult)
)</f>
        <v>Historic</v>
      </c>
      <c r="F4" t="str">
        <f>IFERROR(MID(Tasks[[#This Row],[Page]], FIND("Level", Tasks[[#This Row],[Page]]), 7), IF(ISNUMBER(FIND("Roof", Tasks[[#This Row],[Page]])), "Roof",  IF(ISNUMBER(FIND("S590", Tasks[[#This Row],[Page]])), "",  IF(ISNUMBER(FIND("Site", Tasks[[#This Row],[Page]])), "", "ERROR"))))</f>
        <v>Level 2</v>
      </c>
      <c r="G4" t="str">
        <f>IF(Tasks[[#This Row],[Location]]=0, "", Tasks[[#This Row],[Location]])</f>
        <v>222 - Vest</v>
      </c>
      <c r="H4" t="str">
        <f>Tasks[[#This Row],[To Package]]</f>
        <v xml:space="preserve">Finish Carpentry </v>
      </c>
      <c r="I4" t="str">
        <f>Tasks[[#This Row],[To Organisation]]</f>
        <v>Fetzers' Inc.</v>
      </c>
    </row>
    <row r="5" spans="1:9" x14ac:dyDescent="0.35">
      <c r="A5" s="8" t="str">
        <f>HYPERLINK(_xlfn.CONCAT(Edit_URL,Tasks[[#This Row],[Ref]]),Tasks[[#This Row],[Ref]])</f>
        <v>T1.9672972</v>
      </c>
      <c r="B5" t="str" cm="1">
        <f t="array" ref="B5">_xlfn.SWITCH(LEFT(Tasks[[#This Row],[Status]],1),"O","Opened","C","Completed","S","Signed Off","ERROR")</f>
        <v>Opened</v>
      </c>
      <c r="C5" t="str" cm="1">
        <f t="array" ref="C5">_xlfn.SWITCH(LEFT(Tasks[[#This Row],[Type]], 2), "Fi", "Field Report", "Co", "Contractor QC", "Ge", "Contractor QC", "Pu", "Punch List")</f>
        <v>Field Report</v>
      </c>
      <c r="D5" t="str">
        <f>LEFT(Tasks[[#This Row],[Description]], 50)</f>
        <v>DEA 31-5. Instruction Room 162 lighting has been i</v>
      </c>
      <c r="E5" t="str" cm="1">
        <f t="array" ref="E5">_xlfn.LET(
_xlpm.inTower, COUNTIF(Tower_Num_Table[Tower Rm Numbers], LEFT(Task_Summary_Table[[#This Row],[Area/Room]], 3)) &gt; 0,
_xlpm.typeResult, _xlfn.SWITCH(LEFT(Tasks[[#This Row],[Page]], 2), "Hi", "Historic", "An", "Annex", "Si", "Site", "S5", "Project Task", "SWITCH ERROR"),
IF(_xlpm.inTower, "West Tower", _xlpm.typeResult)
)</f>
        <v>Annex</v>
      </c>
      <c r="F5" t="str">
        <f>IFERROR(MID(Tasks[[#This Row],[Page]], FIND("Level", Tasks[[#This Row],[Page]]), 7), IF(ISNUMBER(FIND("Roof", Tasks[[#This Row],[Page]])), "Roof",  IF(ISNUMBER(FIND("S590", Tasks[[#This Row],[Page]])), "",  IF(ISNUMBER(FIND("Site", Tasks[[#This Row],[Page]])), "", "ERROR"))))</f>
        <v>Level 1</v>
      </c>
      <c r="G5" t="str">
        <f>IF(Tasks[[#This Row],[Location]]=0, "", Tasks[[#This Row],[Location]])</f>
        <v>162 - Instruction Women</v>
      </c>
      <c r="H5" t="str">
        <f>Tasks[[#This Row],[To Package]]</f>
        <v>Metal Stud / Drywall</v>
      </c>
      <c r="I5" t="str">
        <f>Tasks[[#This Row],[To Organisation]]</f>
        <v>Pete King Construction</v>
      </c>
    </row>
    <row r="6" spans="1:9" x14ac:dyDescent="0.35">
      <c r="A6" s="8" t="str">
        <f>HYPERLINK(_xlfn.CONCAT(Edit_URL,Tasks[[#This Row],[Ref]]),Tasks[[#This Row],[Ref]])</f>
        <v>T1.9672971</v>
      </c>
      <c r="B6" t="str" cm="1">
        <f t="array" ref="B6">_xlfn.SWITCH(LEFT(Tasks[[#This Row],[Status]],1),"O","Opened","C","Completed","S","Signed Off","ERROR")</f>
        <v>Opened</v>
      </c>
      <c r="C6" t="str" cm="1">
        <f t="array" ref="C6">_xlfn.SWITCH(LEFT(Tasks[[#This Row],[Type]], 2), "Fi", "Field Report", "Co", "Contractor QC", "Ge", "Contractor QC", "Pu", "Punch List")</f>
        <v>Field Report</v>
      </c>
      <c r="D6" t="str">
        <f>LEFT(Tasks[[#This Row],[Description]], 50)</f>
        <v xml:space="preserve">DEA 31-4. Men’s Locker room screen partition wall </v>
      </c>
      <c r="E6" t="str" cm="1">
        <f t="array" ref="E6">_xlfn.LET(
_xlpm.inTower, COUNTIF(Tower_Num_Table[Tower Rm Numbers], LEFT(Task_Summary_Table[[#This Row],[Area/Room]], 3)) &gt; 0,
_xlpm.typeResult, _xlfn.SWITCH(LEFT(Tasks[[#This Row],[Page]], 2), "Hi", "Historic", "An", "Annex", "Si", "Site", "S5", "Project Task", "SWITCH ERROR"),
IF(_xlpm.inTower, "West Tower", _xlpm.typeResult)
)</f>
        <v>Annex</v>
      </c>
      <c r="F6" t="str">
        <f>IFERROR(MID(Tasks[[#This Row],[Page]], FIND("Level", Tasks[[#This Row],[Page]]), 7), IF(ISNUMBER(FIND("Roof", Tasks[[#This Row],[Page]])), "Roof",  IF(ISNUMBER(FIND("S590", Tasks[[#This Row],[Page]])), "",  IF(ISNUMBER(FIND("Site", Tasks[[#This Row],[Page]])), "", "ERROR"))))</f>
        <v>Level 1</v>
      </c>
      <c r="G6" t="str">
        <f>IF(Tasks[[#This Row],[Location]]=0, "", Tasks[[#This Row],[Location]])</f>
        <v>139 - Vest</v>
      </c>
      <c r="H6" t="str">
        <f>Tasks[[#This Row],[To Package]]</f>
        <v xml:space="preserve">Finish Carpentry </v>
      </c>
      <c r="I6" t="str">
        <f>Tasks[[#This Row],[To Organisation]]</f>
        <v>Fetzers' Inc.</v>
      </c>
    </row>
    <row r="7" spans="1:9" x14ac:dyDescent="0.35">
      <c r="A7" s="8" t="str">
        <f>HYPERLINK(_xlfn.CONCAT(Edit_URL,Tasks[[#This Row],[Ref]]),Tasks[[#This Row],[Ref]])</f>
        <v>T1.9672970</v>
      </c>
      <c r="B7" t="str" cm="1">
        <f t="array" ref="B7">_xlfn.SWITCH(LEFT(Tasks[[#This Row],[Status]],1),"O","Opened","C","Completed","S","Signed Off","ERROR")</f>
        <v>Opened</v>
      </c>
      <c r="C7" t="str" cm="1">
        <f t="array" ref="C7">_xlfn.SWITCH(LEFT(Tasks[[#This Row],[Type]], 2), "Fi", "Field Report", "Co", "Contractor QC", "Ge", "Contractor QC", "Pu", "Punch List")</f>
        <v>Field Report</v>
      </c>
      <c r="D7" t="str">
        <f>LEFT(Tasks[[#This Row],[Description]], 50)</f>
        <v xml:space="preserve">DEA 31-3. North Entry Pavers do not extend to the </v>
      </c>
      <c r="E7" t="str" cm="1">
        <f t="array" ref="E7">_xlfn.LET(
_xlpm.inTower, COUNTIF(Tower_Num_Table[Tower Rm Numbers], LEFT(Task_Summary_Table[[#This Row],[Area/Room]], 3)) &gt; 0,
_xlpm.typeResult, _xlfn.SWITCH(LEFT(Tasks[[#This Row],[Page]], 2), "Hi", "Historic", "An", "Annex", "Si", "Site", "S5", "Project Task", "SWITCH ERROR"),
IF(_xlpm.inTower, "West Tower", _xlpm.typeResult)
)</f>
        <v>Site</v>
      </c>
      <c r="F7" t="str">
        <f>IFERROR(MID(Tasks[[#This Row],[Page]], FIND("Level", Tasks[[#This Row],[Page]]), 7), IF(ISNUMBER(FIND("Roof", Tasks[[#This Row],[Page]])), "Roof",  IF(ISNUMBER(FIND("S590", Tasks[[#This Row],[Page]])), "",  IF(ISNUMBER(FIND("Site", Tasks[[#This Row],[Page]])), "", "ERROR"))))</f>
        <v/>
      </c>
      <c r="G7" t="str">
        <f>IF(Tasks[[#This Row],[Location]]=0, "", Tasks[[#This Row],[Location]])</f>
        <v>Site Area K</v>
      </c>
      <c r="H7" t="str">
        <f>Tasks[[#This Row],[To Package]]</f>
        <v>Pavers</v>
      </c>
      <c r="I7" t="str">
        <f>Tasks[[#This Row],[To Organisation]]</f>
        <v>IMS Masonry, Inc.</v>
      </c>
    </row>
    <row r="8" spans="1:9" x14ac:dyDescent="0.35">
      <c r="A8" s="8" t="str">
        <f>HYPERLINK(_xlfn.CONCAT(Edit_URL,Tasks[[#This Row],[Ref]]),Tasks[[#This Row],[Ref]])</f>
        <v>T1.9672969</v>
      </c>
      <c r="B8" t="str" cm="1">
        <f t="array" ref="B8">_xlfn.SWITCH(LEFT(Tasks[[#This Row],[Status]],1),"O","Opened","C","Completed","S","Signed Off","ERROR")</f>
        <v>Opened</v>
      </c>
      <c r="C8" t="str" cm="1">
        <f t="array" ref="C8">_xlfn.SWITCH(LEFT(Tasks[[#This Row],[Type]], 2), "Fi", "Field Report", "Co", "Contractor QC", "Ge", "Contractor QC", "Pu", "Punch List")</f>
        <v>Field Report</v>
      </c>
      <c r="D8" t="str">
        <f>LEFT(Tasks[[#This Row],[Description]], 50)</f>
        <v>DEA 31-2. North Entry Plaza “Wagon Wheel” has crac</v>
      </c>
      <c r="E8" t="str" cm="1">
        <f t="array" ref="E8">_xlfn.LET(
_xlpm.inTower, COUNTIF(Tower_Num_Table[Tower Rm Numbers], LEFT(Task_Summary_Table[[#This Row],[Area/Room]], 3)) &gt; 0,
_xlpm.typeResult, _xlfn.SWITCH(LEFT(Tasks[[#This Row],[Page]], 2), "Hi", "Historic", "An", "Annex", "Si", "Site", "S5", "Project Task", "SWITCH ERROR"),
IF(_xlpm.inTower, "West Tower", _xlpm.typeResult)
)</f>
        <v>Site</v>
      </c>
      <c r="F8" t="str">
        <f>IFERROR(MID(Tasks[[#This Row],[Page]], FIND("Level", Tasks[[#This Row],[Page]]), 7), IF(ISNUMBER(FIND("Roof", Tasks[[#This Row],[Page]])), "Roof",  IF(ISNUMBER(FIND("S590", Tasks[[#This Row],[Page]])), "",  IF(ISNUMBER(FIND("Site", Tasks[[#This Row],[Page]])), "", "ERROR"))))</f>
        <v/>
      </c>
      <c r="G8" t="str">
        <f>IF(Tasks[[#This Row],[Location]]=0, "", Tasks[[#This Row],[Location]])</f>
        <v>Site Area K</v>
      </c>
      <c r="H8" t="str">
        <f>Tasks[[#This Row],[To Package]]</f>
        <v>Concrete</v>
      </c>
      <c r="I8" t="str">
        <f>Tasks[[#This Row],[To Organisation]]</f>
        <v>Innovative Concrete, LLC</v>
      </c>
    </row>
    <row r="9" spans="1:9" x14ac:dyDescent="0.35">
      <c r="A9" s="8" t="str">
        <f>HYPERLINK(_xlfn.CONCAT(Edit_URL,Tasks[[#This Row],[Ref]]),Tasks[[#This Row],[Ref]])</f>
        <v>T1.9672968</v>
      </c>
      <c r="B9" t="str" cm="1">
        <f t="array" ref="B9">_xlfn.SWITCH(LEFT(Tasks[[#This Row],[Status]],1),"O","Opened","C","Completed","S","Signed Off","ERROR")</f>
        <v>Opened</v>
      </c>
      <c r="C9" t="str" cm="1">
        <f t="array" ref="C9">_xlfn.SWITCH(LEFT(Tasks[[#This Row],[Type]], 2), "Fi", "Field Report", "Co", "Contractor QC", "Ge", "Contractor QC", "Pu", "Punch List")</f>
        <v>Field Report</v>
      </c>
      <c r="D9" t="str">
        <f>LEFT(Tasks[[#This Row],[Description]], 50)</f>
        <v>DEA 31-1. Stone Cap at North Entry Plaza have a co</v>
      </c>
      <c r="E9" t="str" cm="1">
        <f t="array" ref="E9">_xlfn.LET(
_xlpm.inTower, COUNTIF(Tower_Num_Table[Tower Rm Numbers], LEFT(Task_Summary_Table[[#This Row],[Area/Room]], 3)) &gt; 0,
_xlpm.typeResult, _xlfn.SWITCH(LEFT(Tasks[[#This Row],[Page]], 2), "Hi", "Historic", "An", "Annex", "Si", "Site", "S5", "Project Task", "SWITCH ERROR"),
IF(_xlpm.inTower, "West Tower", _xlpm.typeResult)
)</f>
        <v>Site</v>
      </c>
      <c r="F9" t="str">
        <f>IFERROR(MID(Tasks[[#This Row],[Page]], FIND("Level", Tasks[[#This Row],[Page]]), 7), IF(ISNUMBER(FIND("Roof", Tasks[[#This Row],[Page]])), "Roof",  IF(ISNUMBER(FIND("S590", Tasks[[#This Row],[Page]])), "",  IF(ISNUMBER(FIND("Site", Tasks[[#This Row],[Page]])), "", "ERROR"))))</f>
        <v/>
      </c>
      <c r="G9" t="str">
        <f>IF(Tasks[[#This Row],[Location]]=0, "", Tasks[[#This Row],[Location]])</f>
        <v>Site Area K</v>
      </c>
      <c r="H9" t="str">
        <f>Tasks[[#This Row],[To Package]]</f>
        <v>Exterior Stone</v>
      </c>
      <c r="I9" t="str">
        <f>Tasks[[#This Row],[To Organisation]]</f>
        <v>IMS Masonry, Inc.</v>
      </c>
    </row>
    <row r="10" spans="1:9" x14ac:dyDescent="0.35">
      <c r="A10" s="9" t="str">
        <f>HYPERLINK(_xlfn.CONCAT(Edit_URL,Tasks[[#This Row],[Ref]]),Tasks[[#This Row],[Ref]])</f>
        <v>T77292.6</v>
      </c>
      <c r="B10" t="str" cm="1">
        <f t="array" ref="B10">_xlfn.SWITCH(LEFT(Tasks[[#This Row],[Status]],1),"O","Opened","C","Completed","S","Signed Off","ERROR")</f>
        <v>Opened</v>
      </c>
      <c r="C10" t="str" cm="1">
        <f t="array" ref="C10">_xlfn.SWITCH(LEFT(Tasks[[#This Row],[Type]], 2), "Fi", "Field Report", "Co", "Contractor QC", "Ge", "Contractor QC", "Pu", "Punch List")</f>
        <v>Contractor QC</v>
      </c>
      <c r="D10" t="str">
        <f>LEFT(Tasks[[#This Row],[Description]], 50)</f>
        <v>Paint Incomplete / Pealing on ceiling</v>
      </c>
      <c r="E10" t="str" cm="1">
        <f t="array" ref="E10">_xlfn.LET(
_xlpm.inTower, COUNTIF(Tower_Num_Table[Tower Rm Numbers], LEFT(Task_Summary_Table[[#This Row],[Area/Room]], 3)) &gt; 0,
_xlpm.typeResult, _xlfn.SWITCH(LEFT(Tasks[[#This Row],[Page]], 2), "Hi", "Historic", "An", "Annex", "Si", "Site", "S5", "Project Task", "SWITCH ERROR"),
IF(_xlpm.inTower, "West Tower", _xlpm.typeResult)
)</f>
        <v>Annex</v>
      </c>
      <c r="F10" t="str">
        <f>IFERROR(MID(Tasks[[#This Row],[Page]], FIND("Level", Tasks[[#This Row],[Page]]), 7), IF(ISNUMBER(FIND("Roof", Tasks[[#This Row],[Page]])), "Roof",  IF(ISNUMBER(FIND("S590", Tasks[[#This Row],[Page]])), "",  IF(ISNUMBER(FIND("Site", Tasks[[#This Row],[Page]])), "", "ERROR"))))</f>
        <v>Level 1</v>
      </c>
      <c r="G10" t="str">
        <f>IF(Tasks[[#This Row],[Location]]=0, "", Tasks[[#This Row],[Location]])</f>
        <v>147 -  Brides Exit</v>
      </c>
      <c r="H10" t="str">
        <f>Tasks[[#This Row],[To Package]]</f>
        <v>Paint</v>
      </c>
      <c r="I10" t="str">
        <f>Tasks[[#This Row],[To Organisation]]</f>
        <v>Accent Painting and Special Coatings, LLC</v>
      </c>
    </row>
    <row r="11" spans="1:9" x14ac:dyDescent="0.35">
      <c r="A11" s="9" t="str">
        <f>HYPERLINK(_xlfn.CONCAT(Edit_URL,Tasks[[#This Row],[Ref]]),Tasks[[#This Row],[Ref]])</f>
        <v>T77292.5</v>
      </c>
      <c r="B11" t="str" cm="1">
        <f t="array" ref="B11">_xlfn.SWITCH(LEFT(Tasks[[#This Row],[Status]],1),"O","Opened","C","Completed","S","Signed Off","ERROR")</f>
        <v>Opened</v>
      </c>
      <c r="C11" t="str" cm="1">
        <f t="array" ref="C11">_xlfn.SWITCH(LEFT(Tasks[[#This Row],[Type]], 2), "Fi", "Field Report", "Co", "Contractor QC", "Ge", "Contractor QC", "Pu", "Punch List")</f>
        <v>Contractor QC</v>
      </c>
      <c r="D11" t="str">
        <f>LEFT(Tasks[[#This Row],[Description]], 50)</f>
        <v>Paint Incomplete / Pealing</v>
      </c>
      <c r="E11" t="str" cm="1">
        <f t="array" ref="E11">_xlfn.LET(
_xlpm.inTower, COUNTIF(Tower_Num_Table[Tower Rm Numbers], LEFT(Task_Summary_Table[[#This Row],[Area/Room]], 3)) &gt; 0,
_xlpm.typeResult, _xlfn.SWITCH(LEFT(Tasks[[#This Row],[Page]], 2), "Hi", "Historic", "An", "Annex", "Si", "Site", "S5", "Project Task", "SWITCH ERROR"),
IF(_xlpm.inTower, "West Tower", _xlpm.typeResult)
)</f>
        <v>Annex</v>
      </c>
      <c r="F11" t="str">
        <f>IFERROR(MID(Tasks[[#This Row],[Page]], FIND("Level", Tasks[[#This Row],[Page]]), 7), IF(ISNUMBER(FIND("Roof", Tasks[[#This Row],[Page]])), "Roof",  IF(ISNUMBER(FIND("S590", Tasks[[#This Row],[Page]])), "",  IF(ISNUMBER(FIND("Site", Tasks[[#This Row],[Page]])), "", "ERROR"))))</f>
        <v>Level 1</v>
      </c>
      <c r="G11" t="str">
        <f>IF(Tasks[[#This Row],[Location]]=0, "", Tasks[[#This Row],[Location]])</f>
        <v>146 - Hall</v>
      </c>
      <c r="H11" t="str">
        <f>Tasks[[#This Row],[To Package]]</f>
        <v>Paint</v>
      </c>
      <c r="I11" t="str">
        <f>Tasks[[#This Row],[To Organisation]]</f>
        <v>Accent Painting and Special Coatings, LLC</v>
      </c>
    </row>
    <row r="12" spans="1:9" x14ac:dyDescent="0.35">
      <c r="A12" s="9" t="str">
        <f>HYPERLINK(_xlfn.CONCAT(Edit_URL,Tasks[[#This Row],[Ref]]),Tasks[[#This Row],[Ref]])</f>
        <v>T77292.4</v>
      </c>
      <c r="B12" t="str" cm="1">
        <f t="array" ref="B12">_xlfn.SWITCH(LEFT(Tasks[[#This Row],[Status]],1),"O","Opened","C","Completed","S","Signed Off","ERROR")</f>
        <v>Opened</v>
      </c>
      <c r="C12" t="str" cm="1">
        <f t="array" ref="C12">_xlfn.SWITCH(LEFT(Tasks[[#This Row],[Type]], 2), "Fi", "Field Report", "Co", "Contractor QC", "Ge", "Contractor QC", "Pu", "Punch List")</f>
        <v>Field Report</v>
      </c>
      <c r="D12" t="str">
        <f>LEFT(Tasks[[#This Row],[Description]], 50)</f>
        <v>Move Exit Sign up to above the door ccd forthcomin</v>
      </c>
      <c r="E12" t="str" cm="1">
        <f t="array" ref="E12">_xlfn.LET(
_xlpm.inTower, COUNTIF(Tower_Num_Table[Tower Rm Numbers], LEFT(Task_Summary_Table[[#This Row],[Area/Room]], 3)) &gt; 0,
_xlpm.typeResult, _xlfn.SWITCH(LEFT(Tasks[[#This Row],[Page]], 2), "Hi", "Historic", "An", "Annex", "Si", "Site", "S5", "Project Task", "SWITCH ERROR"),
IF(_xlpm.inTower, "West Tower", _xlpm.typeResult)
)</f>
        <v>Annex</v>
      </c>
      <c r="F12" t="str">
        <f>IFERROR(MID(Tasks[[#This Row],[Page]], FIND("Level", Tasks[[#This Row],[Page]]), 7), IF(ISNUMBER(FIND("Roof", Tasks[[#This Row],[Page]])), "Roof",  IF(ISNUMBER(FIND("S590", Tasks[[#This Row],[Page]])), "",  IF(ISNUMBER(FIND("Site", Tasks[[#This Row],[Page]])), "", "ERROR"))))</f>
        <v>Level 1</v>
      </c>
      <c r="G12" t="str">
        <f>IF(Tasks[[#This Row],[Location]]=0, "", Tasks[[#This Row],[Location]])</f>
        <v>141 - Dressing Men</v>
      </c>
      <c r="H12" t="str">
        <f>Tasks[[#This Row],[To Package]]</f>
        <v>Electrical</v>
      </c>
      <c r="I12" t="str">
        <f>Tasks[[#This Row],[To Organisation]]</f>
        <v>Wilkinson Electric Inc</v>
      </c>
    </row>
    <row r="13" spans="1:9" x14ac:dyDescent="0.35">
      <c r="A13" s="9" t="str">
        <f>HYPERLINK(_xlfn.CONCAT(Edit_URL,Tasks[[#This Row],[Ref]]),Tasks[[#This Row],[Ref]])</f>
        <v>T77292.3</v>
      </c>
      <c r="B13" t="str" cm="1">
        <f t="array" ref="B13">_xlfn.SWITCH(LEFT(Tasks[[#This Row],[Status]],1),"O","Opened","C","Completed","S","Signed Off","ERROR")</f>
        <v>Opened</v>
      </c>
      <c r="C13" t="str" cm="1">
        <f t="array" ref="C13">_xlfn.SWITCH(LEFT(Tasks[[#This Row],[Type]], 2), "Fi", "Field Report", "Co", "Contractor QC", "Ge", "Contractor QC", "Pu", "Punch List")</f>
        <v>Field Report</v>
      </c>
      <c r="D13" t="str">
        <f>LEFT(Tasks[[#This Row],[Description]], 50)</f>
        <v>Move Exit Sign up to above the door ccd forthcomin</v>
      </c>
      <c r="E13" t="str" cm="1">
        <f t="array" ref="E13">_xlfn.LET(
_xlpm.inTower, COUNTIF(Tower_Num_Table[Tower Rm Numbers], LEFT(Task_Summary_Table[[#This Row],[Area/Room]], 3)) &gt; 0,
_xlpm.typeResult, _xlfn.SWITCH(LEFT(Tasks[[#This Row],[Page]], 2), "Hi", "Historic", "An", "Annex", "Si", "Site", "S5", "Project Task", "SWITCH ERROR"),
IF(_xlpm.inTower, "West Tower", _xlpm.typeResult)
)</f>
        <v>Annex</v>
      </c>
      <c r="F13" t="str">
        <f>IFERROR(MID(Tasks[[#This Row],[Page]], FIND("Level", Tasks[[#This Row],[Page]]), 7), IF(ISNUMBER(FIND("Roof", Tasks[[#This Row],[Page]])), "Roof",  IF(ISNUMBER(FIND("S590", Tasks[[#This Row],[Page]])), "",  IF(ISNUMBER(FIND("Site", Tasks[[#This Row],[Page]])), "", "ERROR"))))</f>
        <v>Level 1</v>
      </c>
      <c r="G13" t="str">
        <f>IF(Tasks[[#This Row],[Location]]=0, "", Tasks[[#This Row],[Location]])</f>
        <v>141 - Dressing Men</v>
      </c>
      <c r="H13" t="str">
        <f>Tasks[[#This Row],[To Package]]</f>
        <v>Electrical</v>
      </c>
      <c r="I13" t="str">
        <f>Tasks[[#This Row],[To Organisation]]</f>
        <v>Wilkinson Electric Inc</v>
      </c>
    </row>
    <row r="14" spans="1:9" x14ac:dyDescent="0.35">
      <c r="A14" s="9" t="str">
        <f>HYPERLINK(_xlfn.CONCAT(Edit_URL,Tasks[[#This Row],[Ref]]),Tasks[[#This Row],[Ref]])</f>
        <v>T77292.2</v>
      </c>
      <c r="B14" t="str" cm="1">
        <f t="array" ref="B14">_xlfn.SWITCH(LEFT(Tasks[[#This Row],[Status]],1),"O","Opened","C","Completed","S","Signed Off","ERROR")</f>
        <v>Opened</v>
      </c>
      <c r="C14" t="str" cm="1">
        <f t="array" ref="C14">_xlfn.SWITCH(LEFT(Tasks[[#This Row],[Type]], 2), "Fi", "Field Report", "Co", "Contractor QC", "Ge", "Contractor QC", "Pu", "Punch List")</f>
        <v>Field Report</v>
      </c>
      <c r="D14" t="str">
        <f>LEFT(Tasks[[#This Row],[Description]], 50)</f>
        <v>Move Exit Sign up to above the door ccd forthcomin</v>
      </c>
      <c r="E14" t="str" cm="1">
        <f t="array" ref="E14">_xlfn.LET(
_xlpm.inTower, COUNTIF(Tower_Num_Table[Tower Rm Numbers], LEFT(Task_Summary_Table[[#This Row],[Area/Room]], 3)) &gt; 0,
_xlpm.typeResult, _xlfn.SWITCH(LEFT(Tasks[[#This Row],[Page]], 2), "Hi", "Historic", "An", "Annex", "Si", "Site", "S5", "Project Task", "SWITCH ERROR"),
IF(_xlpm.inTower, "West Tower", _xlpm.typeResult)
)</f>
        <v>Annex</v>
      </c>
      <c r="F14" t="str">
        <f>IFERROR(MID(Tasks[[#This Row],[Page]], FIND("Level", Tasks[[#This Row],[Page]]), 7), IF(ISNUMBER(FIND("Roof", Tasks[[#This Row],[Page]])), "Roof",  IF(ISNUMBER(FIND("S590", Tasks[[#This Row],[Page]])), "",  IF(ISNUMBER(FIND("Site", Tasks[[#This Row],[Page]])), "", "ERROR"))))</f>
        <v>Level 1</v>
      </c>
      <c r="G14" t="str">
        <f>IF(Tasks[[#This Row],[Location]]=0, "", Tasks[[#This Row],[Location]])</f>
        <v>141 - Dressing Men</v>
      </c>
      <c r="H14" t="str">
        <f>Tasks[[#This Row],[To Package]]</f>
        <v>Electrical</v>
      </c>
      <c r="I14" t="str">
        <f>Tasks[[#This Row],[To Organisation]]</f>
        <v>Wilkinson Electric Inc</v>
      </c>
    </row>
    <row r="15" spans="1:9" x14ac:dyDescent="0.35">
      <c r="A15" s="9" t="str">
        <f>HYPERLINK(_xlfn.CONCAT(Edit_URL,Tasks[[#This Row],[Ref]]),Tasks[[#This Row],[Ref]])</f>
        <v>T74290.158</v>
      </c>
      <c r="B15" t="str" cm="1">
        <f t="array" ref="B15">_xlfn.SWITCH(LEFT(Tasks[[#This Row],[Status]],1),"O","Opened","C","Completed","S","Signed Off","ERROR")</f>
        <v>Opened</v>
      </c>
      <c r="C15" t="str" cm="1">
        <f t="array" ref="C15">_xlfn.SWITCH(LEFT(Tasks[[#This Row],[Type]], 2), "Fi", "Field Report", "Co", "Contractor QC", "Ge", "Contractor QC", "Pu", "Punch List")</f>
        <v>Contractor QC</v>
      </c>
      <c r="D15" t="str">
        <f>LEFT(Tasks[[#This Row],[Description]], 50)</f>
        <v>Drywall around lights that needed to be adjusted</v>
      </c>
      <c r="E15" t="str" cm="1">
        <f t="array" ref="E15">_xlfn.LET(
_xlpm.inTower, COUNTIF(Tower_Num_Table[Tower Rm Numbers], LEFT(Task_Summary_Table[[#This Row],[Area/Room]], 3)) &gt; 0,
_xlpm.typeResult, _xlfn.SWITCH(LEFT(Tasks[[#This Row],[Page]], 2), "Hi", "Historic", "An", "Annex", "Si", "Site", "S5", "Project Task", "SWITCH ERROR"),
IF(_xlpm.inTower, "West Tower", _xlpm.typeResult)
)</f>
        <v>Historic</v>
      </c>
      <c r="F15" t="str">
        <f>IFERROR(MID(Tasks[[#This Row],[Page]], FIND("Level", Tasks[[#This Row],[Page]]), 7), IF(ISNUMBER(FIND("Roof", Tasks[[#This Row],[Page]])), "Roof",  IF(ISNUMBER(FIND("S590", Tasks[[#This Row],[Page]])), "",  IF(ISNUMBER(FIND("Site", Tasks[[#This Row],[Page]])), "", "ERROR"))))</f>
        <v>Level 0</v>
      </c>
      <c r="G15" t="str">
        <f>IF(Tasks[[#This Row],[Location]]=0, "", Tasks[[#This Row],[Location]])</f>
        <v>072 - Dressing - Girls</v>
      </c>
      <c r="H15" t="str">
        <f>Tasks[[#This Row],[To Package]]</f>
        <v>Metal Stud / Drywall</v>
      </c>
      <c r="I15" t="str">
        <f>Tasks[[#This Row],[To Organisation]]</f>
        <v>Pete King Construction</v>
      </c>
    </row>
    <row r="16" spans="1:9" x14ac:dyDescent="0.35">
      <c r="A16" s="9" t="str">
        <f>HYPERLINK(_xlfn.CONCAT(Edit_URL,Tasks[[#This Row],[Ref]]),Tasks[[#This Row],[Ref]])</f>
        <v>T74290.157</v>
      </c>
      <c r="B16" t="str" cm="1">
        <f t="array" ref="B16">_xlfn.SWITCH(LEFT(Tasks[[#This Row],[Status]],1),"O","Opened","C","Completed","S","Signed Off","ERROR")</f>
        <v>Opened</v>
      </c>
      <c r="C16" t="str" cm="1">
        <f t="array" ref="C16">_xlfn.SWITCH(LEFT(Tasks[[#This Row],[Type]], 2), "Fi", "Field Report", "Co", "Contractor QC", "Ge", "Contractor QC", "Pu", "Punch List")</f>
        <v>Contractor QC</v>
      </c>
      <c r="D16" t="str">
        <f>LEFT(Tasks[[#This Row],[Description]], 50)</f>
        <v>Complete drywall above door</v>
      </c>
      <c r="E16" t="str" cm="1">
        <f t="array" ref="E1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 t="str">
        <f>IFERROR(MID(Tasks[[#This Row],[Page]], FIND("Level", Tasks[[#This Row],[Page]]), 7), IF(ISNUMBER(FIND("Roof", Tasks[[#This Row],[Page]])), "Roof",  IF(ISNUMBER(FIND("S590", Tasks[[#This Row],[Page]])), "",  IF(ISNUMBER(FIND("Site", Tasks[[#This Row],[Page]])), "", "ERROR"))))</f>
        <v>Level 0</v>
      </c>
      <c r="G16" t="str">
        <f>IF(Tasks[[#This Row],[Location]]=0, "", Tasks[[#This Row],[Location]])</f>
        <v>053 - Elevator Lobby</v>
      </c>
      <c r="H16" t="str">
        <f>Tasks[[#This Row],[To Package]]</f>
        <v>Metal Stud / Drywall</v>
      </c>
      <c r="I16" t="str">
        <f>Tasks[[#This Row],[To Organisation]]</f>
        <v>Pete King Construction</v>
      </c>
    </row>
    <row r="17" spans="1:9" x14ac:dyDescent="0.35">
      <c r="A17" s="9" t="str">
        <f>HYPERLINK(_xlfn.CONCAT(Edit_URL,Tasks[[#This Row],[Ref]]),Tasks[[#This Row],[Ref]])</f>
        <v>T74290.156</v>
      </c>
      <c r="B17" t="str" cm="1">
        <f t="array" ref="B17">_xlfn.SWITCH(LEFT(Tasks[[#This Row],[Status]],1),"O","Opened","C","Completed","S","Signed Off","ERROR")</f>
        <v>Opened</v>
      </c>
      <c r="C17" t="str" cm="1">
        <f t="array" ref="C17">_xlfn.SWITCH(LEFT(Tasks[[#This Row],[Type]], 2), "Fi", "Field Report", "Co", "Contractor QC", "Ge", "Contractor QC", "Pu", "Punch List")</f>
        <v>Contractor QC</v>
      </c>
      <c r="D17" t="str">
        <f>LEFT(Tasks[[#This Row],[Description]], 50)</f>
        <v>Complete backing for baseboard</v>
      </c>
      <c r="E17" t="str" cm="1">
        <f t="array" ref="E17">_xlfn.LET(
_xlpm.inTower, COUNTIF(Tower_Num_Table[Tower Rm Numbers], LEFT(Task_Summary_Table[[#This Row],[Area/Room]], 3)) &gt; 0,
_xlpm.typeResult, _xlfn.SWITCH(LEFT(Tasks[[#This Row],[Page]], 2), "Hi", "Historic", "An", "Annex", "Si", "Site", "S5", "Project Task", "SWITCH ERROR"),
IF(_xlpm.inTower, "West Tower", _xlpm.typeResult)
)</f>
        <v>Historic</v>
      </c>
      <c r="F17" t="str">
        <f>IFERROR(MID(Tasks[[#This Row],[Page]], FIND("Level", Tasks[[#This Row],[Page]]), 7), IF(ISNUMBER(FIND("Roof", Tasks[[#This Row],[Page]])), "Roof",  IF(ISNUMBER(FIND("S590", Tasks[[#This Row],[Page]])), "",  IF(ISNUMBER(FIND("Site", Tasks[[#This Row],[Page]])), "", "ERROR"))))</f>
        <v>Level 1</v>
      </c>
      <c r="G17" t="str">
        <f>IF(Tasks[[#This Row],[Location]]=0, "", Tasks[[#This Row],[Location]])</f>
        <v/>
      </c>
      <c r="H17" t="str">
        <f>Tasks[[#This Row],[To Package]]</f>
        <v>Westland -- Historic</v>
      </c>
      <c r="I17" t="str">
        <f>Tasks[[#This Row],[To Organisation]]</f>
        <v>Westland Construction, Inc.</v>
      </c>
    </row>
    <row r="18" spans="1:9" x14ac:dyDescent="0.35">
      <c r="A18" s="9" t="str">
        <f>HYPERLINK(_xlfn.CONCAT(Edit_URL,Tasks[[#This Row],[Ref]]),Tasks[[#This Row],[Ref]])</f>
        <v>T74290.155</v>
      </c>
      <c r="B18" t="str" cm="1">
        <f t="array" ref="B18">_xlfn.SWITCH(LEFT(Tasks[[#This Row],[Status]],1),"O","Opened","C","Completed","S","Signed Off","ERROR")</f>
        <v>Opened</v>
      </c>
      <c r="C18" t="str" cm="1">
        <f t="array" ref="C18">_xlfn.SWITCH(LEFT(Tasks[[#This Row],[Type]], 2), "Fi", "Field Report", "Co", "Contractor QC", "Ge", "Contractor QC", "Pu", "Punch List")</f>
        <v>Contractor QC</v>
      </c>
      <c r="D18" t="str">
        <f>LEFT(Tasks[[#This Row],[Description]], 50)</f>
        <v>Remove paint off of pavers</v>
      </c>
      <c r="E18" t="str" cm="1">
        <f t="array" ref="E18">_xlfn.LET(
_xlpm.inTower, COUNTIF(Tower_Num_Table[Tower Rm Numbers], LEFT(Task_Summary_Table[[#This Row],[Area/Room]], 3)) &gt; 0,
_xlpm.typeResult, _xlfn.SWITCH(LEFT(Tasks[[#This Row],[Page]], 2), "Hi", "Historic", "An", "Annex", "Si", "Site", "S5", "Project Task", "SWITCH ERROR"),
IF(_xlpm.inTower, "West Tower", _xlpm.typeResult)
)</f>
        <v>Site</v>
      </c>
      <c r="F18" t="str">
        <f>IFERROR(MID(Tasks[[#This Row],[Page]], FIND("Level", Tasks[[#This Row],[Page]]), 7), IF(ISNUMBER(FIND("Roof", Tasks[[#This Row],[Page]])), "Roof",  IF(ISNUMBER(FIND("S590", Tasks[[#This Row],[Page]])), "",  IF(ISNUMBER(FIND("Site", Tasks[[#This Row],[Page]])), "", "ERROR"))))</f>
        <v/>
      </c>
      <c r="G18" t="str">
        <f>IF(Tasks[[#This Row],[Location]]=0, "", Tasks[[#This Row],[Location]])</f>
        <v>Site Area H</v>
      </c>
      <c r="H18" t="str">
        <f>Tasks[[#This Row],[To Package]]</f>
        <v>Paint</v>
      </c>
      <c r="I18" t="str">
        <f>Tasks[[#This Row],[To Organisation]]</f>
        <v>Accent Painting and Special Coatings, LLC</v>
      </c>
    </row>
    <row r="19" spans="1:9" x14ac:dyDescent="0.35">
      <c r="A19" s="9" t="str">
        <f>HYPERLINK(_xlfn.CONCAT(Edit_URL,Tasks[[#This Row],[Ref]]),Tasks[[#This Row],[Ref]])</f>
        <v>T74290.154</v>
      </c>
      <c r="B19" t="str" cm="1">
        <f t="array" ref="B19">_xlfn.SWITCH(LEFT(Tasks[[#This Row],[Status]],1),"O","Opened","C","Completed","S","Signed Off","ERROR")</f>
        <v>Opened</v>
      </c>
      <c r="C19" t="str" cm="1">
        <f t="array" ref="C19">_xlfn.SWITCH(LEFT(Tasks[[#This Row],[Type]], 2), "Fi", "Field Report", "Co", "Contractor QC", "Ge", "Contractor QC", "Pu", "Punch List")</f>
        <v>Contractor QC</v>
      </c>
      <c r="D19" t="str">
        <f>LEFT(Tasks[[#This Row],[Description]], 50)</f>
        <v>Drywall around lights that needed to be adjusted</v>
      </c>
      <c r="E19" t="str" cm="1">
        <f t="array" ref="E19">_xlfn.LET(
_xlpm.inTower, COUNTIF(Tower_Num_Table[Tower Rm Numbers], LEFT(Task_Summary_Table[[#This Row],[Area/Room]], 3)) &gt; 0,
_xlpm.typeResult, _xlfn.SWITCH(LEFT(Tasks[[#This Row],[Page]], 2), "Hi", "Historic", "An", "Annex", "Si", "Site", "S5", "Project Task", "SWITCH ERROR"),
IF(_xlpm.inTower, "West Tower", _xlpm.typeResult)
)</f>
        <v>Historic</v>
      </c>
      <c r="F19" t="str">
        <f>IFERROR(MID(Tasks[[#This Row],[Page]], FIND("Level", Tasks[[#This Row],[Page]]), 7), IF(ISNUMBER(FIND("Roof", Tasks[[#This Row],[Page]])), "Roof",  IF(ISNUMBER(FIND("S590", Tasks[[#This Row],[Page]])), "",  IF(ISNUMBER(FIND("Site", Tasks[[#This Row],[Page]])), "", "ERROR"))))</f>
        <v>Level 0</v>
      </c>
      <c r="G19" t="str">
        <f>IF(Tasks[[#This Row],[Location]]=0, "", Tasks[[#This Row],[Location]])</f>
        <v>077 - Dressing - Boys</v>
      </c>
      <c r="H19" t="str">
        <f>Tasks[[#This Row],[To Package]]</f>
        <v>Metal Stud / Drywall</v>
      </c>
      <c r="I19" t="str">
        <f>Tasks[[#This Row],[To Organisation]]</f>
        <v>Pete King Construction</v>
      </c>
    </row>
    <row r="20" spans="1:9" x14ac:dyDescent="0.35">
      <c r="A20" s="9" t="str">
        <f>HYPERLINK(_xlfn.CONCAT(Edit_URL,Tasks[[#This Row],[Ref]]),Tasks[[#This Row],[Ref]])</f>
        <v>T74290.153</v>
      </c>
      <c r="B20" t="str" cm="1">
        <f t="array" ref="B20">_xlfn.SWITCH(LEFT(Tasks[[#This Row],[Status]],1),"O","Opened","C","Completed","S","Signed Off","ERROR")</f>
        <v>Opened</v>
      </c>
      <c r="C20" t="str" cm="1">
        <f t="array" ref="C20">_xlfn.SWITCH(LEFT(Tasks[[#This Row],[Type]], 2), "Fi", "Field Report", "Co", "Contractor QC", "Ge", "Contractor QC", "Pu", "Punch List")</f>
        <v>Contractor QC</v>
      </c>
      <c r="D20" t="str">
        <f>LEFT(Tasks[[#This Row],[Description]], 50)</f>
        <v>Complete painting trim</v>
      </c>
      <c r="E20" t="str" cm="1">
        <f t="array" ref="E20">_xlfn.LET(
_xlpm.inTower, COUNTIF(Tower_Num_Table[Tower Rm Numbers], LEFT(Task_Summary_Table[[#This Row],[Area/Room]], 3)) &gt; 0,
_xlpm.typeResult, _xlfn.SWITCH(LEFT(Tasks[[#This Row],[Page]], 2), "Hi", "Historic", "An", "Annex", "Si", "Site", "S5", "Project Task", "SWITCH ERROR"),
IF(_xlpm.inTower, "West Tower", _xlpm.typeResult)
)</f>
        <v>Historic</v>
      </c>
      <c r="F20" t="str">
        <f>IFERROR(MID(Tasks[[#This Row],[Page]], FIND("Level", Tasks[[#This Row],[Page]]), 7), IF(ISNUMBER(FIND("Roof", Tasks[[#This Row],[Page]])), "Roof",  IF(ISNUMBER(FIND("S590", Tasks[[#This Row],[Page]])), "",  IF(ISNUMBER(FIND("Site", Tasks[[#This Row],[Page]])), "", "ERROR"))))</f>
        <v>Level 5</v>
      </c>
      <c r="G20" t="str">
        <f>IF(Tasks[[#This Row],[Location]]=0, "", Tasks[[#This Row],[Location]])</f>
        <v/>
      </c>
      <c r="H20" t="str">
        <f>Tasks[[#This Row],[To Package]]</f>
        <v>Paint</v>
      </c>
      <c r="I20" t="str">
        <f>Tasks[[#This Row],[To Organisation]]</f>
        <v>Accent Painting and Special Coatings, LLC</v>
      </c>
    </row>
    <row r="21" spans="1:9" x14ac:dyDescent="0.35">
      <c r="A21" s="9" t="str">
        <f>HYPERLINK(_xlfn.CONCAT(Edit_URL,Tasks[[#This Row],[Ref]]),Tasks[[#This Row],[Ref]])</f>
        <v>T74290.152</v>
      </c>
      <c r="B21" t="str" cm="1">
        <f t="array" ref="B21">_xlfn.SWITCH(LEFT(Tasks[[#This Row],[Status]],1),"O","Opened","C","Completed","S","Signed Off","ERROR")</f>
        <v>Opened</v>
      </c>
      <c r="C21" t="str" cm="1">
        <f t="array" ref="C21">_xlfn.SWITCH(LEFT(Tasks[[#This Row],[Type]], 2), "Fi", "Field Report", "Co", "Contractor QC", "Ge", "Contractor QC", "Pu", "Punch List")</f>
        <v>Contractor QC</v>
      </c>
      <c r="D21" t="str">
        <f>LEFT(Tasks[[#This Row],[Description]], 50)</f>
        <v>Install  fire extinguisher box</v>
      </c>
      <c r="E21" t="str" cm="1">
        <f t="array" ref="E21">_xlfn.LET(
_xlpm.inTower, COUNTIF(Tower_Num_Table[Tower Rm Numbers], LEFT(Task_Summary_Table[[#This Row],[Area/Room]], 3)) &gt; 0,
_xlpm.typeResult, _xlfn.SWITCH(LEFT(Tasks[[#This Row],[Page]], 2), "Hi", "Historic", "An", "Annex", "Si", "Site", "S5", "Project Task", "SWITCH ERROR"),
IF(_xlpm.inTower, "West Tower", _xlpm.typeResult)
)</f>
        <v>Historic</v>
      </c>
      <c r="F21" t="str">
        <f>IFERROR(MID(Tasks[[#This Row],[Page]], FIND("Level", Tasks[[#This Row],[Page]]), 7), IF(ISNUMBER(FIND("Roof", Tasks[[#This Row],[Page]])), "Roof",  IF(ISNUMBER(FIND("S590", Tasks[[#This Row],[Page]])), "",  IF(ISNUMBER(FIND("Site", Tasks[[#This Row],[Page]])), "", "ERROR"))))</f>
        <v>Level 5</v>
      </c>
      <c r="G21" t="str">
        <f>IF(Tasks[[#This Row],[Location]]=0, "", Tasks[[#This Row],[Location]])</f>
        <v>520 - Hallway</v>
      </c>
      <c r="H21" t="str">
        <f>Tasks[[#This Row],[To Package]]</f>
        <v>Westland -- Historic</v>
      </c>
      <c r="I21" t="str">
        <f>Tasks[[#This Row],[To Organisation]]</f>
        <v>Westland Construction, Inc.</v>
      </c>
    </row>
    <row r="22" spans="1:9" x14ac:dyDescent="0.35">
      <c r="A22" s="9" t="str">
        <f>HYPERLINK(_xlfn.CONCAT(Edit_URL,Tasks[[#This Row],[Ref]]),Tasks[[#This Row],[Ref]])</f>
        <v>T74290.151</v>
      </c>
      <c r="B22" t="str" cm="1">
        <f t="array" ref="B22">_xlfn.SWITCH(LEFT(Tasks[[#This Row],[Status]],1),"O","Opened","C","Completed","S","Signed Off","ERROR")</f>
        <v>Opened</v>
      </c>
      <c r="C22" t="str" cm="1">
        <f t="array" ref="C22">_xlfn.SWITCH(LEFT(Tasks[[#This Row],[Type]], 2), "Fi", "Field Report", "Co", "Contractor QC", "Ge", "Contractor QC", "Pu", "Punch List")</f>
        <v>Contractor QC</v>
      </c>
      <c r="D22" t="str">
        <f>LEFT(Tasks[[#This Row],[Description]], 50)</f>
        <v>Install exit sign</v>
      </c>
      <c r="E22" t="str" cm="1">
        <f t="array" ref="E22">_xlfn.LET(
_xlpm.inTower, COUNTIF(Tower_Num_Table[Tower Rm Numbers], LEFT(Task_Summary_Table[[#This Row],[Area/Room]], 3)) &gt; 0,
_xlpm.typeResult, _xlfn.SWITCH(LEFT(Tasks[[#This Row],[Page]], 2), "Hi", "Historic", "An", "Annex", "Si", "Site", "S5", "Project Task", "SWITCH ERROR"),
IF(_xlpm.inTower, "West Tower", _xlpm.typeResult)
)</f>
        <v>Historic</v>
      </c>
      <c r="F22" t="str">
        <f>IFERROR(MID(Tasks[[#This Row],[Page]], FIND("Level", Tasks[[#This Row],[Page]]), 7), IF(ISNUMBER(FIND("Roof", Tasks[[#This Row],[Page]])), "Roof",  IF(ISNUMBER(FIND("S590", Tasks[[#This Row],[Page]])), "",  IF(ISNUMBER(FIND("Site", Tasks[[#This Row],[Page]])), "", "ERROR"))))</f>
        <v>Level 5</v>
      </c>
      <c r="G22" t="str">
        <f>IF(Tasks[[#This Row],[Location]]=0, "", Tasks[[#This Row],[Location]])</f>
        <v/>
      </c>
      <c r="H22" t="str">
        <f>Tasks[[#This Row],[To Package]]</f>
        <v>Electrical</v>
      </c>
      <c r="I22" t="str">
        <f>Tasks[[#This Row],[To Organisation]]</f>
        <v>Wilkinson Electric Inc</v>
      </c>
    </row>
    <row r="23" spans="1:9" x14ac:dyDescent="0.35">
      <c r="A23" s="9" t="str">
        <f>HYPERLINK(_xlfn.CONCAT(Edit_URL,Tasks[[#This Row],[Ref]]),Tasks[[#This Row],[Ref]])</f>
        <v>T74290.150</v>
      </c>
      <c r="B23" t="str" cm="1">
        <f t="array" ref="B23">_xlfn.SWITCH(LEFT(Tasks[[#This Row],[Status]],1),"O","Opened","C","Completed","S","Signed Off","ERROR")</f>
        <v>Opened</v>
      </c>
      <c r="C23" t="str" cm="1">
        <f t="array" ref="C23">_xlfn.SWITCH(LEFT(Tasks[[#This Row],[Type]], 2), "Fi", "Field Report", "Co", "Contractor QC", "Ge", "Contractor QC", "Pu", "Punch List")</f>
        <v>Punch List</v>
      </c>
      <c r="D23" t="str">
        <f>LEFT(Tasks[[#This Row],[Description]], 50)</f>
        <v>Touch up corner of door</v>
      </c>
      <c r="E23" t="str" cm="1">
        <f t="array" ref="E23">_xlfn.LET(
_xlpm.inTower, COUNTIF(Tower_Num_Table[Tower Rm Numbers], LEFT(Task_Summary_Table[[#This Row],[Area/Room]], 3)) &gt; 0,
_xlpm.typeResult, _xlfn.SWITCH(LEFT(Tasks[[#This Row],[Page]], 2), "Hi", "Historic", "An", "Annex", "Si", "Site", "S5", "Project Task", "SWITCH ERROR"),
IF(_xlpm.inTower, "West Tower", _xlpm.typeResult)
)</f>
        <v>Historic</v>
      </c>
      <c r="F23" t="str">
        <f>IFERROR(MID(Tasks[[#This Row],[Page]], FIND("Level", Tasks[[#This Row],[Page]]), 7), IF(ISNUMBER(FIND("Roof", Tasks[[#This Row],[Page]])), "Roof",  IF(ISNUMBER(FIND("S590", Tasks[[#This Row],[Page]])), "",  IF(ISNUMBER(FIND("Site", Tasks[[#This Row],[Page]])), "", "ERROR"))))</f>
        <v>Level 5</v>
      </c>
      <c r="G23" t="str">
        <f>IF(Tasks[[#This Row],[Location]]=0, "", Tasks[[#This Row],[Location]])</f>
        <v>521 - Instruction 11</v>
      </c>
      <c r="H23" t="str">
        <f>Tasks[[#This Row],[To Package]]</f>
        <v>Paint</v>
      </c>
      <c r="I23" t="str">
        <f>Tasks[[#This Row],[To Organisation]]</f>
        <v>Accent Painting and Special Coatings, LLC</v>
      </c>
    </row>
    <row r="24" spans="1:9" x14ac:dyDescent="0.35">
      <c r="A24" s="9" t="str">
        <f>HYPERLINK(_xlfn.CONCAT(Edit_URL,Tasks[[#This Row],[Ref]]),Tasks[[#This Row],[Ref]])</f>
        <v>T74290.149</v>
      </c>
      <c r="B24" t="str" cm="1">
        <f t="array" ref="B24">_xlfn.SWITCH(LEFT(Tasks[[#This Row],[Status]],1),"O","Opened","C","Completed","S","Signed Off","ERROR")</f>
        <v>Opened</v>
      </c>
      <c r="C24" t="str" cm="1">
        <f t="array" ref="C24">_xlfn.SWITCH(LEFT(Tasks[[#This Row],[Type]], 2), "Fi", "Field Report", "Co", "Contractor QC", "Ge", "Contractor QC", "Pu", "Punch List")</f>
        <v>Punch List</v>
      </c>
      <c r="D24" t="str">
        <f>LEFT(Tasks[[#This Row],[Description]], 50)</f>
        <v>Finish around can light in north corner of room</v>
      </c>
      <c r="E24" t="str" cm="1">
        <f t="array" ref="E24">_xlfn.LET(
_xlpm.inTower, COUNTIF(Tower_Num_Table[Tower Rm Numbers], LEFT(Task_Summary_Table[[#This Row],[Area/Room]], 3)) &gt; 0,
_xlpm.typeResult, _xlfn.SWITCH(LEFT(Tasks[[#This Row],[Page]], 2), "Hi", "Historic", "An", "Annex", "Si", "Site", "S5", "Project Task", "SWITCH ERROR"),
IF(_xlpm.inTower, "West Tower", _xlpm.typeResult)
)</f>
        <v>Historic</v>
      </c>
      <c r="F24" t="str">
        <f>IFERROR(MID(Tasks[[#This Row],[Page]], FIND("Level", Tasks[[#This Row],[Page]]), 7), IF(ISNUMBER(FIND("Roof", Tasks[[#This Row],[Page]])), "Roof",  IF(ISNUMBER(FIND("S590", Tasks[[#This Row],[Page]])), "",  IF(ISNUMBER(FIND("Site", Tasks[[#This Row],[Page]])), "", "ERROR"))))</f>
        <v>Level 5</v>
      </c>
      <c r="G24" t="str">
        <f>IF(Tasks[[#This Row],[Location]]=0, "", Tasks[[#This Row],[Location]])</f>
        <v>521 - Instruction 11</v>
      </c>
      <c r="H24" t="str">
        <f>Tasks[[#This Row],[To Package]]</f>
        <v>Metal Stud / Drywall</v>
      </c>
      <c r="I24" t="str">
        <f>Tasks[[#This Row],[To Organisation]]</f>
        <v>Pete King Construction</v>
      </c>
    </row>
    <row r="25" spans="1:9" x14ac:dyDescent="0.35">
      <c r="A25" s="9" t="str">
        <f>HYPERLINK(_xlfn.CONCAT(Edit_URL,Tasks[[#This Row],[Ref]]),Tasks[[#This Row],[Ref]])</f>
        <v>T74290.148</v>
      </c>
      <c r="B25" t="str" cm="1">
        <f t="array" ref="B25">_xlfn.SWITCH(LEFT(Tasks[[#This Row],[Status]],1),"O","Opened","C","Completed","S","Signed Off","ERROR")</f>
        <v>Opened</v>
      </c>
      <c r="C25" t="str" cm="1">
        <f t="array" ref="C25">_xlfn.SWITCH(LEFT(Tasks[[#This Row],[Type]], 2), "Fi", "Field Report", "Co", "Contractor QC", "Ge", "Contractor QC", "Pu", "Punch List")</f>
        <v>Punch List</v>
      </c>
      <c r="D25" t="str">
        <f>LEFT(Tasks[[#This Row],[Description]], 50)</f>
        <v>Touch up transom</v>
      </c>
      <c r="E25" t="str" cm="1">
        <f t="array" ref="E25">_xlfn.LET(
_xlpm.inTower, COUNTIF(Tower_Num_Table[Tower Rm Numbers], LEFT(Task_Summary_Table[[#This Row],[Area/Room]], 3)) &gt; 0,
_xlpm.typeResult, _xlfn.SWITCH(LEFT(Tasks[[#This Row],[Page]], 2), "Hi", "Historic", "An", "Annex", "Si", "Site", "S5", "Project Task", "SWITCH ERROR"),
IF(_xlpm.inTower, "West Tower", _xlpm.typeResult)
)</f>
        <v>Historic</v>
      </c>
      <c r="F25" t="str">
        <f>IFERROR(MID(Tasks[[#This Row],[Page]], FIND("Level", Tasks[[#This Row],[Page]]), 7), IF(ISNUMBER(FIND("Roof", Tasks[[#This Row],[Page]])), "Roof",  IF(ISNUMBER(FIND("S590", Tasks[[#This Row],[Page]])), "",  IF(ISNUMBER(FIND("Site", Tasks[[#This Row],[Page]])), "", "ERROR"))))</f>
        <v>Level 5</v>
      </c>
      <c r="G25" t="str">
        <f>IF(Tasks[[#This Row],[Location]]=0, "", Tasks[[#This Row],[Location]])</f>
        <v>521 - Instruction 11</v>
      </c>
      <c r="H25" t="str">
        <f>Tasks[[#This Row],[To Package]]</f>
        <v>Paint</v>
      </c>
      <c r="I25" t="str">
        <f>Tasks[[#This Row],[To Organisation]]</f>
        <v>Accent Painting and Special Coatings, LLC</v>
      </c>
    </row>
    <row r="26" spans="1:9" x14ac:dyDescent="0.35">
      <c r="A26" s="9" t="str">
        <f>HYPERLINK(_xlfn.CONCAT(Edit_URL,Tasks[[#This Row],[Ref]]),Tasks[[#This Row],[Ref]])</f>
        <v>T74290.147</v>
      </c>
      <c r="B26" t="str" cm="1">
        <f t="array" ref="B26">_xlfn.SWITCH(LEFT(Tasks[[#This Row],[Status]],1),"O","Opened","C","Completed","S","Signed Off","ERROR")</f>
        <v>Opened</v>
      </c>
      <c r="C26" t="str" cm="1">
        <f t="array" ref="C26">_xlfn.SWITCH(LEFT(Tasks[[#This Row],[Type]], 2), "Fi", "Field Report", "Co", "Contractor QC", "Ge", "Contractor QC", "Pu", "Punch List")</f>
        <v>Punch List</v>
      </c>
      <c r="D26" t="str">
        <f>LEFT(Tasks[[#This Row],[Description]], 50)</f>
        <v>Install proper hardware</v>
      </c>
      <c r="E26" t="str" cm="1">
        <f t="array" ref="E26">_xlfn.LET(
_xlpm.inTower, COUNTIF(Tower_Num_Table[Tower Rm Numbers], LEFT(Task_Summary_Table[[#This Row],[Area/Room]], 3)) &gt; 0,
_xlpm.typeResult, _xlfn.SWITCH(LEFT(Tasks[[#This Row],[Page]], 2), "Hi", "Historic", "An", "Annex", "Si", "Site", "S5", "Project Task", "SWITCH ERROR"),
IF(_xlpm.inTower, "West Tower", _xlpm.typeResult)
)</f>
        <v>Historic</v>
      </c>
      <c r="F26" t="str">
        <f>IFERROR(MID(Tasks[[#This Row],[Page]], FIND("Level", Tasks[[#This Row],[Page]]), 7), IF(ISNUMBER(FIND("Roof", Tasks[[#This Row],[Page]])), "Roof",  IF(ISNUMBER(FIND("S590", Tasks[[#This Row],[Page]])), "",  IF(ISNUMBER(FIND("Site", Tasks[[#This Row],[Page]])), "", "ERROR"))))</f>
        <v>Level 5</v>
      </c>
      <c r="G26" t="str">
        <f>IF(Tasks[[#This Row],[Location]]=0, "", Tasks[[#This Row],[Location]])</f>
        <v>521 - Instruction 11</v>
      </c>
      <c r="H26" t="str">
        <f>Tasks[[#This Row],[To Package]]</f>
        <v xml:space="preserve">Finish Carpentry </v>
      </c>
      <c r="I26" t="str">
        <f>Tasks[[#This Row],[To Organisation]]</f>
        <v>Fetzers' Inc.</v>
      </c>
    </row>
    <row r="27" spans="1:9" x14ac:dyDescent="0.35">
      <c r="A27" s="9" t="str">
        <f>HYPERLINK(_xlfn.CONCAT(Edit_URL,Tasks[[#This Row],[Ref]]),Tasks[[#This Row],[Ref]])</f>
        <v>T74290.146</v>
      </c>
      <c r="B27" t="str" cm="1">
        <f t="array" ref="B27">_xlfn.SWITCH(LEFT(Tasks[[#This Row],[Status]],1),"O","Opened","C","Completed","S","Signed Off","ERROR")</f>
        <v>Completed</v>
      </c>
      <c r="C27" t="str" cm="1">
        <f t="array" ref="C27">_xlfn.SWITCH(LEFT(Tasks[[#This Row],[Type]], 2), "Fi", "Field Report", "Co", "Contractor QC", "Ge", "Contractor QC", "Pu", "Punch List")</f>
        <v>Punch List</v>
      </c>
      <c r="D27" t="str">
        <f>LEFT(Tasks[[#This Row],[Description]], 50)</f>
        <v>Install thermostat</v>
      </c>
      <c r="E27" t="str" cm="1">
        <f t="array" ref="E27">_xlfn.LET(
_xlpm.inTower, COUNTIF(Tower_Num_Table[Tower Rm Numbers], LEFT(Task_Summary_Table[[#This Row],[Area/Room]], 3)) &gt; 0,
_xlpm.typeResult, _xlfn.SWITCH(LEFT(Tasks[[#This Row],[Page]], 2), "Hi", "Historic", "An", "Annex", "Si", "Site", "S5", "Project Task", "SWITCH ERROR"),
IF(_xlpm.inTower, "West Tower", _xlpm.typeResult)
)</f>
        <v>Historic</v>
      </c>
      <c r="F27" t="str">
        <f>IFERROR(MID(Tasks[[#This Row],[Page]], FIND("Level", Tasks[[#This Row],[Page]]), 7), IF(ISNUMBER(FIND("Roof", Tasks[[#This Row],[Page]])), "Roof",  IF(ISNUMBER(FIND("S590", Tasks[[#This Row],[Page]])), "",  IF(ISNUMBER(FIND("Site", Tasks[[#This Row],[Page]])), "", "ERROR"))))</f>
        <v>Level 5</v>
      </c>
      <c r="G27" t="str">
        <f>IF(Tasks[[#This Row],[Location]]=0, "", Tasks[[#This Row],[Location]])</f>
        <v>521 - Instruction 11</v>
      </c>
      <c r="H27" t="str">
        <f>Tasks[[#This Row],[To Package]]</f>
        <v>HVAC</v>
      </c>
      <c r="I27" t="str">
        <f>Tasks[[#This Row],[To Organisation]]</f>
        <v>US Mechanical</v>
      </c>
    </row>
    <row r="28" spans="1:9" x14ac:dyDescent="0.35">
      <c r="A28" s="9" t="str">
        <f>HYPERLINK(_xlfn.CONCAT(Edit_URL,Tasks[[#This Row],[Ref]]),Tasks[[#This Row],[Ref]])</f>
        <v>T74290.145</v>
      </c>
      <c r="B28" t="str" cm="1">
        <f t="array" ref="B28">_xlfn.SWITCH(LEFT(Tasks[[#This Row],[Status]],1),"O","Opened","C","Completed","S","Signed Off","ERROR")</f>
        <v>Opened</v>
      </c>
      <c r="C28" t="str" cm="1">
        <f t="array" ref="C28">_xlfn.SWITCH(LEFT(Tasks[[#This Row],[Type]], 2), "Fi", "Field Report", "Co", "Contractor QC", "Ge", "Contractor QC", "Pu", "Punch List")</f>
        <v>Punch List</v>
      </c>
      <c r="D28" t="str">
        <f>LEFT(Tasks[[#This Row],[Description]], 50)</f>
        <v xml:space="preserve">Install switch </v>
      </c>
      <c r="E28" t="str" cm="1">
        <f t="array" ref="E28">_xlfn.LET(
_xlpm.inTower, COUNTIF(Tower_Num_Table[Tower Rm Numbers], LEFT(Task_Summary_Table[[#This Row],[Area/Room]], 3)) &gt; 0,
_xlpm.typeResult, _xlfn.SWITCH(LEFT(Tasks[[#This Row],[Page]], 2), "Hi", "Historic", "An", "Annex", "Si", "Site", "S5", "Project Task", "SWITCH ERROR"),
IF(_xlpm.inTower, "West Tower", _xlpm.typeResult)
)</f>
        <v>Historic</v>
      </c>
      <c r="F28" t="str">
        <f>IFERROR(MID(Tasks[[#This Row],[Page]], FIND("Level", Tasks[[#This Row],[Page]]), 7), IF(ISNUMBER(FIND("Roof", Tasks[[#This Row],[Page]])), "Roof",  IF(ISNUMBER(FIND("S590", Tasks[[#This Row],[Page]])), "",  IF(ISNUMBER(FIND("Site", Tasks[[#This Row],[Page]])), "", "ERROR"))))</f>
        <v>Level 5</v>
      </c>
      <c r="G28" t="str">
        <f>IF(Tasks[[#This Row],[Location]]=0, "", Tasks[[#This Row],[Location]])</f>
        <v>521 - Instruction 11</v>
      </c>
      <c r="H28" t="str">
        <f>Tasks[[#This Row],[To Package]]</f>
        <v>Electrical</v>
      </c>
      <c r="I28" t="str">
        <f>Tasks[[#This Row],[To Organisation]]</f>
        <v>Wilkinson Electric Inc</v>
      </c>
    </row>
    <row r="29" spans="1:9" x14ac:dyDescent="0.35">
      <c r="A29" s="9" t="str">
        <f>HYPERLINK(_xlfn.CONCAT(Edit_URL,Tasks[[#This Row],[Ref]]),Tasks[[#This Row],[Ref]])</f>
        <v>T74290.144</v>
      </c>
      <c r="B29" t="str" cm="1">
        <f t="array" ref="B29">_xlfn.SWITCH(LEFT(Tasks[[#This Row],[Status]],1),"O","Opened","C","Completed","S","Signed Off","ERROR")</f>
        <v>Opened</v>
      </c>
      <c r="C29" t="str" cm="1">
        <f t="array" ref="C29">_xlfn.SWITCH(LEFT(Tasks[[#This Row],[Type]], 2), "Fi", "Field Report", "Co", "Contractor QC", "Ge", "Contractor QC", "Pu", "Punch List")</f>
        <v>Punch List</v>
      </c>
      <c r="D29" t="str">
        <f>LEFT(Tasks[[#This Row],[Description]], 50)</f>
        <v>Touch up wall and base board</v>
      </c>
      <c r="E29" t="str" cm="1">
        <f t="array" ref="E29">_xlfn.LET(
_xlpm.inTower, COUNTIF(Tower_Num_Table[Tower Rm Numbers], LEFT(Task_Summary_Table[[#This Row],[Area/Room]], 3)) &gt; 0,
_xlpm.typeResult, _xlfn.SWITCH(LEFT(Tasks[[#This Row],[Page]], 2), "Hi", "Historic", "An", "Annex", "Si", "Site", "S5", "Project Task", "SWITCH ERROR"),
IF(_xlpm.inTower, "West Tower", _xlpm.typeResult)
)</f>
        <v>Historic</v>
      </c>
      <c r="F29" t="str">
        <f>IFERROR(MID(Tasks[[#This Row],[Page]], FIND("Level", Tasks[[#This Row],[Page]]), 7), IF(ISNUMBER(FIND("Roof", Tasks[[#This Row],[Page]])), "Roof",  IF(ISNUMBER(FIND("S590", Tasks[[#This Row],[Page]])), "",  IF(ISNUMBER(FIND("Site", Tasks[[#This Row],[Page]])), "", "ERROR"))))</f>
        <v>Level 5</v>
      </c>
      <c r="G29" t="str">
        <f>IF(Tasks[[#This Row],[Location]]=0, "", Tasks[[#This Row],[Location]])</f>
        <v>521 - Instruction 11</v>
      </c>
      <c r="H29" t="str">
        <f>Tasks[[#This Row],[To Package]]</f>
        <v>Paint</v>
      </c>
      <c r="I29" t="str">
        <f>Tasks[[#This Row],[To Organisation]]</f>
        <v>Accent Painting and Special Coatings, LLC</v>
      </c>
    </row>
    <row r="30" spans="1:9" x14ac:dyDescent="0.35">
      <c r="A30" s="9" t="str">
        <f>HYPERLINK(_xlfn.CONCAT(Edit_URL,Tasks[[#This Row],[Ref]]),Tasks[[#This Row],[Ref]])</f>
        <v>T74290.143</v>
      </c>
      <c r="B30" t="str" cm="1">
        <f t="array" ref="B30">_xlfn.SWITCH(LEFT(Tasks[[#This Row],[Status]],1),"O","Opened","C","Completed","S","Signed Off","ERROR")</f>
        <v>Opened</v>
      </c>
      <c r="C30" t="str" cm="1">
        <f t="array" ref="C30">_xlfn.SWITCH(LEFT(Tasks[[#This Row],[Type]], 2), "Fi", "Field Report", "Co", "Contractor QC", "Ge", "Contractor QC", "Pu", "Punch List")</f>
        <v>Punch List</v>
      </c>
      <c r="D30" t="str">
        <f>LEFT(Tasks[[#This Row],[Description]], 50)</f>
        <v>Wall touch up on south east corner and west wall</v>
      </c>
      <c r="E30" t="str" cm="1">
        <f t="array" ref="E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 t="str">
        <f>IFERROR(MID(Tasks[[#This Row],[Page]], FIND("Level", Tasks[[#This Row],[Page]]), 7), IF(ISNUMBER(FIND("Roof", Tasks[[#This Row],[Page]])), "Roof",  IF(ISNUMBER(FIND("S590", Tasks[[#This Row],[Page]])), "",  IF(ISNUMBER(FIND("Site", Tasks[[#This Row],[Page]])), "", "ERROR"))))</f>
        <v>Level 5</v>
      </c>
      <c r="G30" t="str">
        <f>IF(Tasks[[#This Row],[Location]]=0, "", Tasks[[#This Row],[Location]])</f>
        <v>521 - Instruction 11</v>
      </c>
      <c r="H30" t="str">
        <f>Tasks[[#This Row],[To Package]]</f>
        <v>Metal Stud / Drywall</v>
      </c>
      <c r="I30" t="str">
        <f>Tasks[[#This Row],[To Organisation]]</f>
        <v>Pete King Construction</v>
      </c>
    </row>
    <row r="31" spans="1:9" x14ac:dyDescent="0.35">
      <c r="A31" s="9" t="str">
        <f>HYPERLINK(_xlfn.CONCAT(Edit_URL,Tasks[[#This Row],[Ref]]),Tasks[[#This Row],[Ref]])</f>
        <v>T74290.142</v>
      </c>
      <c r="B31" t="str" cm="1">
        <f t="array" ref="B31">_xlfn.SWITCH(LEFT(Tasks[[#This Row],[Status]],1),"O","Opened","C","Completed","S","Signed Off","ERROR")</f>
        <v>Opened</v>
      </c>
      <c r="C31" t="str" cm="1">
        <f t="array" ref="C31">_xlfn.SWITCH(LEFT(Tasks[[#This Row],[Type]], 2), "Fi", "Field Report", "Co", "Contractor QC", "Ge", "Contractor QC", "Pu", "Punch List")</f>
        <v>Contractor QC</v>
      </c>
      <c r="D31" t="str">
        <f>LEFT(Tasks[[#This Row],[Description]], 50)</f>
        <v>Complete shaft liner to the concrete and fire caul</v>
      </c>
      <c r="E31" t="str" cm="1">
        <f t="array" ref="E31">_xlfn.LET(
_xlpm.inTower, COUNTIF(Tower_Num_Table[Tower Rm Numbers], LEFT(Task_Summary_Table[[#This Row],[Area/Room]], 3)) &gt; 0,
_xlpm.typeResult, _xlfn.SWITCH(LEFT(Tasks[[#This Row],[Page]], 2), "Hi", "Historic", "An", "Annex", "Si", "Site", "S5", "Project Task", "SWITCH ERROR"),
IF(_xlpm.inTower, "West Tower", _xlpm.typeResult)
)</f>
        <v>Historic</v>
      </c>
      <c r="F31" t="str">
        <f>IFERROR(MID(Tasks[[#This Row],[Page]], FIND("Level", Tasks[[#This Row],[Page]]), 7), IF(ISNUMBER(FIND("Roof", Tasks[[#This Row],[Page]])), "Roof",  IF(ISNUMBER(FIND("S590", Tasks[[#This Row],[Page]])), "",  IF(ISNUMBER(FIND("Site", Tasks[[#This Row],[Page]])), "", "ERROR"))))</f>
        <v>Level 0</v>
      </c>
      <c r="G31" t="str">
        <f>IF(Tasks[[#This Row],[Location]]=0, "", Tasks[[#This Row],[Location]])</f>
        <v>STAIR 10</v>
      </c>
      <c r="H31" t="str">
        <f>Tasks[[#This Row],[To Package]]</f>
        <v>Metal Stud / Drywall</v>
      </c>
      <c r="I31" t="str">
        <f>Tasks[[#This Row],[To Organisation]]</f>
        <v>Pete King Construction</v>
      </c>
    </row>
    <row r="32" spans="1:9" x14ac:dyDescent="0.35">
      <c r="A32" s="9" t="str">
        <f>HYPERLINK(_xlfn.CONCAT(Edit_URL,Tasks[[#This Row],[Ref]]),Tasks[[#This Row],[Ref]])</f>
        <v>T74290.141</v>
      </c>
      <c r="B32" t="str" cm="1">
        <f t="array" ref="B32">_xlfn.SWITCH(LEFT(Tasks[[#This Row],[Status]],1),"O","Opened","C","Completed","S","Signed Off","ERROR")</f>
        <v>Opened</v>
      </c>
      <c r="C32" t="str" cm="1">
        <f t="array" ref="C32">_xlfn.SWITCH(LEFT(Tasks[[#This Row],[Type]], 2), "Fi", "Field Report", "Co", "Contractor QC", "Ge", "Contractor QC", "Pu", "Punch List")</f>
        <v>Contractor QC</v>
      </c>
      <c r="D32" t="str">
        <f>LEFT(Tasks[[#This Row],[Description]], 50)</f>
        <v>Repaint wall from drywall repair filling in unused</v>
      </c>
      <c r="E32" t="str" cm="1">
        <f t="array" ref="E32">_xlfn.LET(
_xlpm.inTower, COUNTIF(Tower_Num_Table[Tower Rm Numbers], LEFT(Task_Summary_Table[[#This Row],[Area/Room]], 3)) &gt; 0,
_xlpm.typeResult, _xlfn.SWITCH(LEFT(Tasks[[#This Row],[Page]], 2), "Hi", "Historic", "An", "Annex", "Si", "Site", "S5", "Project Task", "SWITCH ERROR"),
IF(_xlpm.inTower, "West Tower", _xlpm.typeResult)
)</f>
        <v>Historic</v>
      </c>
      <c r="F32" t="str">
        <f>IFERROR(MID(Tasks[[#This Row],[Page]], FIND("Level", Tasks[[#This Row],[Page]]), 7), IF(ISNUMBER(FIND("Roof", Tasks[[#This Row],[Page]])), "Roof",  IF(ISNUMBER(FIND("S590", Tasks[[#This Row],[Page]])), "",  IF(ISNUMBER(FIND("Site", Tasks[[#This Row],[Page]])), "", "ERROR"))))</f>
        <v>Level 3</v>
      </c>
      <c r="G32" t="str">
        <f>IF(Tasks[[#This Row],[Location]]=0, "", Tasks[[#This Row],[Location]])</f>
        <v/>
      </c>
      <c r="H32" t="str">
        <f>Tasks[[#This Row],[To Package]]</f>
        <v>Paint</v>
      </c>
      <c r="I32" t="str">
        <f>Tasks[[#This Row],[To Organisation]]</f>
        <v>Accent Painting and Special Coatings, LLC</v>
      </c>
    </row>
    <row r="33" spans="1:9" x14ac:dyDescent="0.35">
      <c r="A33" s="9" t="str">
        <f>HYPERLINK(_xlfn.CONCAT(Edit_URL,Tasks[[#This Row],[Ref]]),Tasks[[#This Row],[Ref]])</f>
        <v>T74290.140</v>
      </c>
      <c r="B33" t="str" cm="1">
        <f t="array" ref="B33">_xlfn.SWITCH(LEFT(Tasks[[#This Row],[Status]],1),"O","Opened","C","Completed","S","Signed Off","ERROR")</f>
        <v>Opened</v>
      </c>
      <c r="C33" t="str" cm="1">
        <f t="array" ref="C33">_xlfn.SWITCH(LEFT(Tasks[[#This Row],[Type]], 2), "Fi", "Field Report", "Co", "Contractor QC", "Ge", "Contractor QC", "Pu", "Punch List")</f>
        <v>Contractor QC</v>
      </c>
      <c r="D33" t="str">
        <f>LEFT(Tasks[[#This Row],[Description]], 50)</f>
        <v>Float out ceiling to create a smooth barrel</v>
      </c>
      <c r="E33" t="str" cm="1">
        <f t="array" ref="E33">_xlfn.LET(
_xlpm.inTower, COUNTIF(Tower_Num_Table[Tower Rm Numbers], LEFT(Task_Summary_Table[[#This Row],[Area/Room]], 3)) &gt; 0,
_xlpm.typeResult, _xlfn.SWITCH(LEFT(Tasks[[#This Row],[Page]], 2), "Hi", "Historic", "An", "Annex", "Si", "Site", "S5", "Project Task", "SWITCH ERROR"),
IF(_xlpm.inTower, "West Tower", _xlpm.typeResult)
)</f>
        <v>Historic</v>
      </c>
      <c r="F33" t="str">
        <f>IFERROR(MID(Tasks[[#This Row],[Page]], FIND("Level", Tasks[[#This Row],[Page]]), 7), IF(ISNUMBER(FIND("Roof", Tasks[[#This Row],[Page]])), "Roof",  IF(ISNUMBER(FIND("S590", Tasks[[#This Row],[Page]])), "",  IF(ISNUMBER(FIND("Site", Tasks[[#This Row],[Page]])), "", "ERROR"))))</f>
        <v>Level 2</v>
      </c>
      <c r="G33" t="str">
        <f>IF(Tasks[[#This Row],[Location]]=0, "", Tasks[[#This Row],[Location]])</f>
        <v>211 - Instruction Room B</v>
      </c>
      <c r="H33" t="str">
        <f>Tasks[[#This Row],[To Package]]</f>
        <v>Metal Stud / Drywall</v>
      </c>
      <c r="I33" t="str">
        <f>Tasks[[#This Row],[To Organisation]]</f>
        <v>Pete King Construction</v>
      </c>
    </row>
    <row r="34" spans="1:9" x14ac:dyDescent="0.35">
      <c r="A34" s="9" t="str">
        <f>HYPERLINK(_xlfn.CONCAT(Edit_URL,Tasks[[#This Row],[Ref]]),Tasks[[#This Row],[Ref]])</f>
        <v>T74290.139</v>
      </c>
      <c r="B34" t="str" cm="1">
        <f t="array" ref="B34">_xlfn.SWITCH(LEFT(Tasks[[#This Row],[Status]],1),"O","Opened","C","Completed","S","Signed Off","ERROR")</f>
        <v>Opened</v>
      </c>
      <c r="C34" t="str" cm="1">
        <f t="array" ref="C34">_xlfn.SWITCH(LEFT(Tasks[[#This Row],[Type]], 2), "Fi", "Field Report", "Co", "Contractor QC", "Ge", "Contractor QC", "Pu", "Punch List")</f>
        <v>Contractor QC</v>
      </c>
      <c r="D34" t="str">
        <f>LEFT(Tasks[[#This Row],[Description]], 50)</f>
        <v>Complete installation of can lights</v>
      </c>
      <c r="E34" t="str" cm="1">
        <f t="array" ref="E34">_xlfn.LET(
_xlpm.inTower, COUNTIF(Tower_Num_Table[Tower Rm Numbers], LEFT(Task_Summary_Table[[#This Row],[Area/Room]], 3)) &gt; 0,
_xlpm.typeResult, _xlfn.SWITCH(LEFT(Tasks[[#This Row],[Page]], 2), "Hi", "Historic", "An", "Annex", "Si", "Site", "S5", "Project Task", "SWITCH ERROR"),
IF(_xlpm.inTower, "West Tower", _xlpm.typeResult)
)</f>
        <v>Annex</v>
      </c>
      <c r="F34" t="str">
        <f>IFERROR(MID(Tasks[[#This Row],[Page]], FIND("Level", Tasks[[#This Row],[Page]]), 7), IF(ISNUMBER(FIND("Roof", Tasks[[#This Row],[Page]])), "Roof",  IF(ISNUMBER(FIND("S590", Tasks[[#This Row],[Page]])), "",  IF(ISNUMBER(FIND("Site", Tasks[[#This Row],[Page]])), "", "ERROR"))))</f>
        <v>Level 1</v>
      </c>
      <c r="G34" t="str">
        <f>IF(Tasks[[#This Row],[Location]]=0, "", Tasks[[#This Row],[Location]])</f>
        <v/>
      </c>
      <c r="H34" t="str">
        <f>Tasks[[#This Row],[To Package]]</f>
        <v>Electrical</v>
      </c>
      <c r="I34" t="str">
        <f>Tasks[[#This Row],[To Organisation]]</f>
        <v>Wilkinson Electric Inc</v>
      </c>
    </row>
    <row r="35" spans="1:9" x14ac:dyDescent="0.35">
      <c r="A35" s="9" t="str">
        <f>HYPERLINK(_xlfn.CONCAT(Edit_URL,Tasks[[#This Row],[Ref]]),Tasks[[#This Row],[Ref]])</f>
        <v>T74290.138</v>
      </c>
      <c r="B35" t="str" cm="1">
        <f t="array" ref="B35">_xlfn.SWITCH(LEFT(Tasks[[#This Row],[Status]],1),"O","Opened","C","Completed","S","Signed Off","ERROR")</f>
        <v>Opened</v>
      </c>
      <c r="C35" t="str" cm="1">
        <f t="array" ref="C35">_xlfn.SWITCH(LEFT(Tasks[[#This Row],[Type]], 2), "Fi", "Field Report", "Co", "Contractor QC", "Ge", "Contractor QC", "Pu", "Punch List")</f>
        <v>Contractor QC</v>
      </c>
      <c r="D35" t="str">
        <f>LEFT(Tasks[[#This Row],[Description]], 50)</f>
        <v>Repair countertop with additional bracing</v>
      </c>
      <c r="E35" t="str" cm="1">
        <f t="array" ref="E35">_xlfn.LET(
_xlpm.inTower, COUNTIF(Tower_Num_Table[Tower Rm Numbers], LEFT(Task_Summary_Table[[#This Row],[Area/Room]], 3)) &gt; 0,
_xlpm.typeResult, _xlfn.SWITCH(LEFT(Tasks[[#This Row],[Page]], 2), "Hi", "Historic", "An", "Annex", "Si", "Site", "S5", "Project Task", "SWITCH ERROR"),
IF(_xlpm.inTower, "West Tower", _xlpm.typeResult)
)</f>
        <v>Annex</v>
      </c>
      <c r="F35" t="str">
        <f>IFERROR(MID(Tasks[[#This Row],[Page]], FIND("Level", Tasks[[#This Row],[Page]]), 7), IF(ISNUMBER(FIND("Roof", Tasks[[#This Row],[Page]])), "Roof",  IF(ISNUMBER(FIND("S590", Tasks[[#This Row],[Page]])), "",  IF(ISNUMBER(FIND("Site", Tasks[[#This Row],[Page]])), "", "ERROR"))))</f>
        <v>Level 1</v>
      </c>
      <c r="G35" t="str">
        <f>IF(Tasks[[#This Row],[Location]]=0, "", Tasks[[#This Row],[Location]])</f>
        <v>113 - Administration</v>
      </c>
      <c r="H35" t="str">
        <f>Tasks[[#This Row],[To Package]]</f>
        <v>Tile</v>
      </c>
      <c r="I35" t="str">
        <f>Tasks[[#This Row],[To Organisation]]</f>
        <v>Global Stone and Tile, LLC</v>
      </c>
    </row>
    <row r="36" spans="1:9" x14ac:dyDescent="0.35">
      <c r="A36" s="9" t="str">
        <f>HYPERLINK(_xlfn.CONCAT(Edit_URL,Tasks[[#This Row],[Ref]]),Tasks[[#This Row],[Ref]])</f>
        <v>T74290.137</v>
      </c>
      <c r="B36" t="str" cm="1">
        <f t="array" ref="B36">_xlfn.SWITCH(LEFT(Tasks[[#This Row],[Status]],1),"O","Opened","C","Completed","S","Signed Off","ERROR")</f>
        <v>Opened</v>
      </c>
      <c r="C36" t="str" cm="1">
        <f t="array" ref="C36">_xlfn.SWITCH(LEFT(Tasks[[#This Row],[Type]], 2), "Fi", "Field Report", "Co", "Contractor QC", "Ge", "Contractor QC", "Pu", "Punch List")</f>
        <v>Contractor QC</v>
      </c>
      <c r="D36" t="str">
        <f>LEFT(Tasks[[#This Row],[Description]], 50)</f>
        <v>Replace finish trim for can lights over clothing d</v>
      </c>
      <c r="E36" t="str" cm="1">
        <f t="array" ref="E36">_xlfn.LET(
_xlpm.inTower, COUNTIF(Tower_Num_Table[Tower Rm Numbers], LEFT(Task_Summary_Table[[#This Row],[Area/Room]], 3)) &gt; 0,
_xlpm.typeResult, _xlfn.SWITCH(LEFT(Tasks[[#This Row],[Page]], 2), "Hi", "Historic", "An", "Annex", "Si", "Site", "S5", "Project Task", "SWITCH ERROR"),
IF(_xlpm.inTower, "West Tower", _xlpm.typeResult)
)</f>
        <v>Annex</v>
      </c>
      <c r="F36" t="str">
        <f>IFERROR(MID(Tasks[[#This Row],[Page]], FIND("Level", Tasks[[#This Row],[Page]]), 7), IF(ISNUMBER(FIND("Roof", Tasks[[#This Row],[Page]])), "Roof",  IF(ISNUMBER(FIND("S590", Tasks[[#This Row],[Page]])), "",  IF(ISNUMBER(FIND("Site", Tasks[[#This Row],[Page]])), "", "ERROR"))))</f>
        <v>Level 1</v>
      </c>
      <c r="G36" t="str">
        <f>IF(Tasks[[#This Row],[Location]]=0, "", Tasks[[#This Row],[Location]])</f>
        <v/>
      </c>
      <c r="H36" t="str">
        <f>Tasks[[#This Row],[To Package]]</f>
        <v>Electrical</v>
      </c>
      <c r="I36" t="str">
        <f>Tasks[[#This Row],[To Organisation]]</f>
        <v>Wilkinson Electric Inc</v>
      </c>
    </row>
    <row r="37" spans="1:9" x14ac:dyDescent="0.35">
      <c r="A37" s="9" t="str">
        <f>HYPERLINK(_xlfn.CONCAT(Edit_URL,Tasks[[#This Row],[Ref]]),Tasks[[#This Row],[Ref]])</f>
        <v>T74290.136</v>
      </c>
      <c r="B37" s="6" t="str" cm="1">
        <f t="array" ref="B37">_xlfn.SWITCH(LEFT(Tasks[[#This Row],[Status]],1),"O","Opened","C","Completed","S","Signed Off","ERROR")</f>
        <v>Opened</v>
      </c>
      <c r="C37" s="6" t="str" cm="1">
        <f t="array" ref="C37">_xlfn.SWITCH(LEFT(Tasks[[#This Row],[Type]], 2), "Fi", "Field Report", "Co", "Contractor QC", "Ge", "Contractor QC", "Pu", "Punch List")</f>
        <v>Contractor QC</v>
      </c>
      <c r="D37" s="6" t="str">
        <f>LEFT(Tasks[[#This Row],[Description]], 50)</f>
        <v>Repair cracks in the GFRG</v>
      </c>
      <c r="E37" s="6" t="str" cm="1">
        <f t="array" ref="E37">_xlfn.LET(
_xlpm.inTower, COUNTIF(Tower_Num_Table[Tower Rm Numbers], LEFT(Task_Summary_Table[[#This Row],[Area/Room]], 3)) &gt; 0,
_xlpm.typeResult, _xlfn.SWITCH(LEFT(Tasks[[#This Row],[Page]], 2), "Hi", "Historic", "An", "Annex", "Si", "Site", "S5", "Project Task", "SWITCH ERROR"),
IF(_xlpm.inTower, "West Tower", _xlpm.typeResult)
)</f>
        <v>Annex</v>
      </c>
      <c r="F37" t="str">
        <f>IFERROR(MID(Tasks[[#This Row],[Page]], FIND("Level", Tasks[[#This Row],[Page]]), 7), IF(ISNUMBER(FIND("Roof", Tasks[[#This Row],[Page]])), "Roof",  IF(ISNUMBER(FIND("S590", Tasks[[#This Row],[Page]])), "",  IF(ISNUMBER(FIND("Site", Tasks[[#This Row],[Page]])), "", "ERROR"))))</f>
        <v>Level 0</v>
      </c>
      <c r="G37" t="str">
        <f>IF(Tasks[[#This Row],[Location]]=0, "", Tasks[[#This Row],[Location]])</f>
        <v>015 - WORKER TRAINING</v>
      </c>
      <c r="H37" t="str">
        <f>Tasks[[#This Row],[To Package]]</f>
        <v>GFRG</v>
      </c>
      <c r="I37" t="str">
        <f>Tasks[[#This Row],[To Organisation]]</f>
        <v>Pete King Construction</v>
      </c>
    </row>
    <row r="38" spans="1:9" x14ac:dyDescent="0.35">
      <c r="A38" s="9" t="str">
        <f>HYPERLINK(_xlfn.CONCAT(Edit_URL,Tasks[[#This Row],[Ref]]),Tasks[[#This Row],[Ref]])</f>
        <v>T74290.135</v>
      </c>
      <c r="B38" s="6" t="str" cm="1">
        <f t="array" ref="B38">_xlfn.SWITCH(LEFT(Tasks[[#This Row],[Status]],1),"O","Opened","C","Completed","S","Signed Off","ERROR")</f>
        <v>Opened</v>
      </c>
      <c r="C38" s="6" t="str" cm="1">
        <f t="array" ref="C38">_xlfn.SWITCH(LEFT(Tasks[[#This Row],[Type]], 2), "Fi", "Field Report", "Co", "Contractor QC", "Ge", "Contractor QC", "Pu", "Punch List")</f>
        <v>Contractor QC</v>
      </c>
      <c r="D38" s="6" t="str">
        <f>LEFT(Tasks[[#This Row],[Description]], 50)</f>
        <v>Complete trim on both exterior windows</v>
      </c>
      <c r="E38" s="6" t="str" cm="1">
        <f t="array" ref="E38">_xlfn.LET(
_xlpm.inTower, COUNTIF(Tower_Num_Table[Tower Rm Numbers], LEFT(Task_Summary_Table[[#This Row],[Area/Room]], 3)) &gt; 0,
_xlpm.typeResult, _xlfn.SWITCH(LEFT(Tasks[[#This Row],[Page]], 2), "Hi", "Historic", "An", "Annex", "Si", "Site", "S5", "Project Task", "SWITCH ERROR"),
IF(_xlpm.inTower, "West Tower", _xlpm.typeResult)
)</f>
        <v>Historic</v>
      </c>
      <c r="F38" t="str">
        <f>IFERROR(MID(Tasks[[#This Row],[Page]], FIND("Level", Tasks[[#This Row],[Page]]), 7), IF(ISNUMBER(FIND("Roof", Tasks[[#This Row],[Page]])), "Roof",  IF(ISNUMBER(FIND("S590", Tasks[[#This Row],[Page]])), "",  IF(ISNUMBER(FIND("Site", Tasks[[#This Row],[Page]])), "", "ERROR"))))</f>
        <v>Level 2</v>
      </c>
      <c r="G38" t="str">
        <f>IF(Tasks[[#This Row],[Location]]=0, "", Tasks[[#This Row],[Location]])</f>
        <v>222 - Vest</v>
      </c>
      <c r="H38" t="str">
        <f>Tasks[[#This Row],[To Package]]</f>
        <v xml:space="preserve">Finish Carpentry </v>
      </c>
      <c r="I38" t="str">
        <f>Tasks[[#This Row],[To Organisation]]</f>
        <v>Fetzers' Inc.</v>
      </c>
    </row>
    <row r="39" spans="1:9" x14ac:dyDescent="0.35">
      <c r="A39" s="9" t="str">
        <f>HYPERLINK(_xlfn.CONCAT(Edit_URL,Tasks[[#This Row],[Ref]]),Tasks[[#This Row],[Ref]])</f>
        <v>T74290.134</v>
      </c>
      <c r="B39" s="6" t="str" cm="1">
        <f t="array" ref="B39">_xlfn.SWITCH(LEFT(Tasks[[#This Row],[Status]],1),"O","Opened","C","Completed","S","Signed Off","ERROR")</f>
        <v>Opened</v>
      </c>
      <c r="C39" s="6" t="str" cm="1">
        <f t="array" ref="C39">_xlfn.SWITCH(LEFT(Tasks[[#This Row],[Type]], 2), "Fi", "Field Report", "Co", "Contractor QC", "Ge", "Contractor QC", "Pu", "Punch List")</f>
        <v>Contractor QC</v>
      </c>
      <c r="D39" s="6" t="str">
        <f>LEFT(Tasks[[#This Row],[Description]], 50)</f>
        <v>Scuff marks on the painted walls</v>
      </c>
      <c r="E39" s="6" t="str" cm="1">
        <f t="array" ref="E39">_xlfn.LET(
_xlpm.inTower, COUNTIF(Tower_Num_Table[Tower Rm Numbers], LEFT(Task_Summary_Table[[#This Row],[Area/Room]], 3)) &gt; 0,
_xlpm.typeResult, _xlfn.SWITCH(LEFT(Tasks[[#This Row],[Page]], 2), "Hi", "Historic", "An", "Annex", "Si", "Site", "S5", "Project Task", "SWITCH ERROR"),
IF(_xlpm.inTower, "West Tower", _xlpm.typeResult)
)</f>
        <v>Historic</v>
      </c>
      <c r="F39" t="str">
        <f>IFERROR(MID(Tasks[[#This Row],[Page]], FIND("Level", Tasks[[#This Row],[Page]]), 7), IF(ISNUMBER(FIND("Roof", Tasks[[#This Row],[Page]])), "Roof",  IF(ISNUMBER(FIND("S590", Tasks[[#This Row],[Page]])), "",  IF(ISNUMBER(FIND("Site", Tasks[[#This Row],[Page]])), "", "ERROR"))))</f>
        <v>Level 3</v>
      </c>
      <c r="G39" t="str">
        <f>IF(Tasks[[#This Row],[Location]]=0, "", Tasks[[#This Row],[Location]])</f>
        <v>329B - SE Stairs</v>
      </c>
      <c r="H39" t="str">
        <f>Tasks[[#This Row],[To Package]]</f>
        <v>Paint</v>
      </c>
      <c r="I39" t="str">
        <f>Tasks[[#This Row],[To Organisation]]</f>
        <v>Accent Painting and Special Coatings, LLC</v>
      </c>
    </row>
    <row r="40" spans="1:9" x14ac:dyDescent="0.35">
      <c r="A40" s="9" t="str">
        <f>HYPERLINK(_xlfn.CONCAT(Edit_URL,Tasks[[#This Row],[Ref]]),Tasks[[#This Row],[Ref]])</f>
        <v>T74290.133</v>
      </c>
      <c r="B40" s="6" t="str" cm="1">
        <f t="array" ref="B40">_xlfn.SWITCH(LEFT(Tasks[[#This Row],[Status]],1),"O","Opened","C","Completed","S","Signed Off","ERROR")</f>
        <v>Opened</v>
      </c>
      <c r="C40" s="6" t="str" cm="1">
        <f t="array" ref="C40">_xlfn.SWITCH(LEFT(Tasks[[#This Row],[Type]], 2), "Fi", "Field Report", "Co", "Contractor QC", "Ge", "Contractor QC", "Pu", "Punch List")</f>
        <v>Contractor QC</v>
      </c>
      <c r="D40" s="6" t="str">
        <f>LEFT(Tasks[[#This Row],[Description]], 50)</f>
        <v>Back splash is being added to the counter top</v>
      </c>
      <c r="E40" s="6" t="str" cm="1">
        <f t="array" ref="E40">_xlfn.LET(
_xlpm.inTower, COUNTIF(Tower_Num_Table[Tower Rm Numbers], LEFT(Task_Summary_Table[[#This Row],[Area/Room]], 3)) &gt; 0,
_xlpm.typeResult, _xlfn.SWITCH(LEFT(Tasks[[#This Row],[Page]], 2), "Hi", "Historic", "An", "Annex", "Si", "Site", "S5", "Project Task", "SWITCH ERROR"),
IF(_xlpm.inTower, "West Tower", _xlpm.typeResult)
)</f>
        <v>Annex</v>
      </c>
      <c r="F40" t="str">
        <f>IFERROR(MID(Tasks[[#This Row],[Page]], FIND("Level", Tasks[[#This Row],[Page]]), 7), IF(ISNUMBER(FIND("Roof", Tasks[[#This Row],[Page]])), "Roof",  IF(ISNUMBER(FIND("S590", Tasks[[#This Row],[Page]])), "",  IF(ISNUMBER(FIND("Site", Tasks[[#This Row],[Page]])), "", "ERROR"))))</f>
        <v>Level 1</v>
      </c>
      <c r="G40" t="str">
        <f>IF(Tasks[[#This Row],[Location]]=0, "", Tasks[[#This Row],[Location]])</f>
        <v>113 - Administration</v>
      </c>
      <c r="H40" t="str">
        <f>Tasks[[#This Row],[To Package]]</f>
        <v>Tile</v>
      </c>
      <c r="I40" t="str">
        <f>Tasks[[#This Row],[To Organisation]]</f>
        <v>Global Stone and Tile, LLC</v>
      </c>
    </row>
    <row r="41" spans="1:9" x14ac:dyDescent="0.35">
      <c r="A41" s="9" t="str">
        <f>HYPERLINK(_xlfn.CONCAT(Edit_URL,Tasks[[#This Row],[Ref]]),Tasks[[#This Row],[Ref]])</f>
        <v>T74290.132</v>
      </c>
      <c r="B41" s="6" t="str" cm="1">
        <f t="array" ref="B41">_xlfn.SWITCH(LEFT(Tasks[[#This Row],[Status]],1),"O","Opened","C","Completed","S","Signed Off","ERROR")</f>
        <v>Completed</v>
      </c>
      <c r="C41" s="6" t="str" cm="1">
        <f t="array" ref="C41">_xlfn.SWITCH(LEFT(Tasks[[#This Row],[Type]], 2), "Fi", "Field Report", "Co", "Contractor QC", "Ge", "Contractor QC", "Pu", "Punch List")</f>
        <v>Contractor QC</v>
      </c>
      <c r="D41" s="6" t="str">
        <f>LEFT(Tasks[[#This Row],[Description]], 50)</f>
        <v>Cover windows to protect from sub trade work</v>
      </c>
      <c r="E41" s="6" t="str" cm="1">
        <f t="array" ref="E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41" t="str">
        <f>IFERROR(MID(Tasks[[#This Row],[Page]], FIND("Level", Tasks[[#This Row],[Page]]), 7), IF(ISNUMBER(FIND("Roof", Tasks[[#This Row],[Page]])), "Roof",  IF(ISNUMBER(FIND("S590", Tasks[[#This Row],[Page]])), "",  IF(ISNUMBER(FIND("Site", Tasks[[#This Row],[Page]])), "", "ERROR"))))</f>
        <v>Level 3</v>
      </c>
      <c r="G41" t="str">
        <f>IF(Tasks[[#This Row],[Location]]=0, "", Tasks[[#This Row],[Location]])</f>
        <v>304 - Vest</v>
      </c>
      <c r="H41" t="str">
        <f>Tasks[[#This Row],[To Package]]</f>
        <v>Westland -- Historic</v>
      </c>
      <c r="I41" t="str">
        <f>Tasks[[#This Row],[To Organisation]]</f>
        <v>Westland Construction, Inc.</v>
      </c>
    </row>
    <row r="42" spans="1:9" x14ac:dyDescent="0.35">
      <c r="A42" s="9" t="str">
        <f>HYPERLINK(_xlfn.CONCAT(Edit_URL,Tasks[[#This Row],[Ref]]),Tasks[[#This Row],[Ref]])</f>
        <v>T74290.131</v>
      </c>
      <c r="B42" s="6" t="str" cm="1">
        <f t="array" ref="B42">_xlfn.SWITCH(LEFT(Tasks[[#This Row],[Status]],1),"O","Opened","C","Completed","S","Signed Off","ERROR")</f>
        <v>Completed</v>
      </c>
      <c r="C42" s="6" t="str" cm="1">
        <f t="array" ref="C42">_xlfn.SWITCH(LEFT(Tasks[[#This Row],[Type]], 2), "Fi", "Field Report", "Co", "Contractor QC", "Ge", "Contractor QC", "Pu", "Punch List")</f>
        <v>Contractor QC</v>
      </c>
      <c r="D42" s="6" t="str">
        <f>LEFT(Tasks[[#This Row],[Description]], 50)</f>
        <v>GFRG crown mold needs to be straightened</v>
      </c>
      <c r="E42" s="6" t="str" cm="1">
        <f t="array" ref="E42">_xlfn.LET(
_xlpm.inTower, COUNTIF(Tower_Num_Table[Tower Rm Numbers], LEFT(Task_Summary_Table[[#This Row],[Area/Room]], 3)) &gt; 0,
_xlpm.typeResult, _xlfn.SWITCH(LEFT(Tasks[[#This Row],[Page]], 2), "Hi", "Historic", "An", "Annex", "Si", "Site", "S5", "Project Task", "SWITCH ERROR"),
IF(_xlpm.inTower, "West Tower", _xlpm.typeResult)
)</f>
        <v>Annex</v>
      </c>
      <c r="F42" t="str">
        <f>IFERROR(MID(Tasks[[#This Row],[Page]], FIND("Level", Tasks[[#This Row],[Page]]), 7), IF(ISNUMBER(FIND("Roof", Tasks[[#This Row],[Page]])), "Roof",  IF(ISNUMBER(FIND("S590", Tasks[[#This Row],[Page]])), "",  IF(ISNUMBER(FIND("Site", Tasks[[#This Row],[Page]])), "", "ERROR"))))</f>
        <v>Level 1</v>
      </c>
      <c r="G42" t="str">
        <f>IF(Tasks[[#This Row],[Location]]=0, "", Tasks[[#This Row],[Location]])</f>
        <v>146 - Hall</v>
      </c>
      <c r="H42" t="str">
        <f>Tasks[[#This Row],[To Package]]</f>
        <v>GFRG</v>
      </c>
      <c r="I42" t="str">
        <f>Tasks[[#This Row],[To Organisation]]</f>
        <v>Pete King Construction</v>
      </c>
    </row>
    <row r="43" spans="1:9" x14ac:dyDescent="0.35">
      <c r="A43" s="9" t="str">
        <f>HYPERLINK(_xlfn.CONCAT(Edit_URL,Tasks[[#This Row],[Ref]]),Tasks[[#This Row],[Ref]])</f>
        <v>T74290.130</v>
      </c>
      <c r="B43" s="6" t="str" cm="1">
        <f t="array" ref="B43">_xlfn.SWITCH(LEFT(Tasks[[#This Row],[Status]],1),"O","Opened","C","Completed","S","Signed Off","ERROR")</f>
        <v>Opened</v>
      </c>
      <c r="C43" s="6" t="str" cm="1">
        <f t="array" ref="C43">_xlfn.SWITCH(LEFT(Tasks[[#This Row],[Type]], 2), "Fi", "Field Report", "Co", "Contractor QC", "Ge", "Contractor QC", "Pu", "Punch List")</f>
        <v>Contractor QC</v>
      </c>
      <c r="D43" s="6" t="str">
        <f>LEFT(Tasks[[#This Row],[Description]], 50)</f>
        <v>Check the 56 day compressive strength of the Ada r</v>
      </c>
      <c r="E43" s="6" t="str" cm="1">
        <f t="array" ref="E43">_xlfn.LET(
_xlpm.inTower, COUNTIF(Tower_Num_Table[Tower Rm Numbers], LEFT(Task_Summary_Table[[#This Row],[Area/Room]], 3)) &gt; 0,
_xlpm.typeResult, _xlfn.SWITCH(LEFT(Tasks[[#This Row],[Page]], 2), "Hi", "Historic", "An", "Annex", "Si", "Site", "S5", "Project Task", "SWITCH ERROR"),
IF(_xlpm.inTower, "West Tower", _xlpm.typeResult)
)</f>
        <v>Annex</v>
      </c>
      <c r="F43" t="str">
        <f>IFERROR(MID(Tasks[[#This Row],[Page]], FIND("Level", Tasks[[#This Row],[Page]]), 7), IF(ISNUMBER(FIND("Roof", Tasks[[#This Row],[Page]])), "Roof",  IF(ISNUMBER(FIND("S590", Tasks[[#This Row],[Page]])), "",  IF(ISNUMBER(FIND("Site", Tasks[[#This Row],[Page]])), "", "ERROR"))))</f>
        <v>Level 1</v>
      </c>
      <c r="G43" t="str">
        <f>IF(Tasks[[#This Row],[Location]]=0, "", Tasks[[#This Row],[Location]])</f>
        <v/>
      </c>
      <c r="H43" t="str">
        <f>Tasks[[#This Row],[To Package]]</f>
        <v>Westland -- Annex</v>
      </c>
      <c r="I43" t="str">
        <f>Tasks[[#This Row],[To Organisation]]</f>
        <v>Westland Construction, Inc.</v>
      </c>
    </row>
    <row r="44" spans="1:9" x14ac:dyDescent="0.35">
      <c r="A44" s="9" t="str">
        <f>HYPERLINK(_xlfn.CONCAT(Edit_URL,Tasks[[#This Row],[Ref]]),Tasks[[#This Row],[Ref]])</f>
        <v>T74290.129</v>
      </c>
      <c r="B44" s="6" t="str" cm="1">
        <f t="array" ref="B44">_xlfn.SWITCH(LEFT(Tasks[[#This Row],[Status]],1),"O","Opened","C","Completed","S","Signed Off","ERROR")</f>
        <v>Opened</v>
      </c>
      <c r="C44" s="6" t="str" cm="1">
        <f t="array" ref="C44">_xlfn.SWITCH(LEFT(Tasks[[#This Row],[Type]], 2), "Fi", "Field Report", "Co", "Contractor QC", "Ge", "Contractor QC", "Pu", "Punch List")</f>
        <v>Contractor QC</v>
      </c>
      <c r="D44" s="6" t="str">
        <f>LEFT(Tasks[[#This Row],[Description]], 50)</f>
        <v>Drywall touch up in 2 corners</v>
      </c>
      <c r="E44" s="6" t="str" cm="1">
        <f t="array" ref="E44">_xlfn.LET(
_xlpm.inTower, COUNTIF(Tower_Num_Table[Tower Rm Numbers], LEFT(Task_Summary_Table[[#This Row],[Area/Room]], 3)) &gt; 0,
_xlpm.typeResult, _xlfn.SWITCH(LEFT(Tasks[[#This Row],[Page]], 2), "Hi", "Historic", "An", "Annex", "Si", "Site", "S5", "Project Task", "SWITCH ERROR"),
IF(_xlpm.inTower, "West Tower", _xlpm.typeResult)
)</f>
        <v>Historic</v>
      </c>
      <c r="F44" t="str">
        <f>IFERROR(MID(Tasks[[#This Row],[Page]], FIND("Level", Tasks[[#This Row],[Page]]), 7), IF(ISNUMBER(FIND("Roof", Tasks[[#This Row],[Page]])), "Roof",  IF(ISNUMBER(FIND("S590", Tasks[[#This Row],[Page]])), "",  IF(ISNUMBER(FIND("Site", Tasks[[#This Row],[Page]])), "", "ERROR"))))</f>
        <v>Level 0</v>
      </c>
      <c r="G44" t="str">
        <f>IF(Tasks[[#This Row],[Location]]=0, "", Tasks[[#This Row],[Location]])</f>
        <v>082 - Clothing</v>
      </c>
      <c r="H44" t="str">
        <f>Tasks[[#This Row],[To Package]]</f>
        <v>Metal Stud / Drywall</v>
      </c>
      <c r="I44" t="str">
        <f>Tasks[[#This Row],[To Organisation]]</f>
        <v>Pete King Construction</v>
      </c>
    </row>
    <row r="45" spans="1:9" x14ac:dyDescent="0.35">
      <c r="A45" s="9" t="str">
        <f>HYPERLINK(_xlfn.CONCAT(Edit_URL,Tasks[[#This Row],[Ref]]),Tasks[[#This Row],[Ref]])</f>
        <v>T74290.128</v>
      </c>
      <c r="B45" s="6" t="str" cm="1">
        <f t="array" ref="B45">_xlfn.SWITCH(LEFT(Tasks[[#This Row],[Status]],1),"O","Opened","C","Completed","S","Signed Off","ERROR")</f>
        <v>Signed Off</v>
      </c>
      <c r="C45" s="6" t="str" cm="1">
        <f t="array" ref="C45">_xlfn.SWITCH(LEFT(Tasks[[#This Row],[Type]], 2), "Fi", "Field Report", "Co", "Contractor QC", "Ge", "Contractor QC", "Pu", "Punch List")</f>
        <v>Contractor QC</v>
      </c>
      <c r="D45" s="6" t="str">
        <f>LEFT(Tasks[[#This Row],[Description]], 50)</f>
        <v>Center Jesus</v>
      </c>
      <c r="E45" s="6" t="str" cm="1">
        <f t="array" ref="E45">_xlfn.LET(
_xlpm.inTower, COUNTIF(Tower_Num_Table[Tower Rm Numbers], LEFT(Task_Summary_Table[[#This Row],[Area/Room]], 3)) &gt; 0,
_xlpm.typeResult, _xlfn.SWITCH(LEFT(Tasks[[#This Row],[Page]], 2), "Hi", "Historic", "An", "Annex", "Si", "Site", "S5", "Project Task", "SWITCH ERROR"),
IF(_xlpm.inTower, "West Tower", _xlpm.typeResult)
)</f>
        <v>Annex</v>
      </c>
      <c r="F45" t="str">
        <f>IFERROR(MID(Tasks[[#This Row],[Page]], FIND("Level", Tasks[[#This Row],[Page]]), 7), IF(ISNUMBER(FIND("Roof", Tasks[[#This Row],[Page]])), "Roof",  IF(ISNUMBER(FIND("S590", Tasks[[#This Row],[Page]])), "",  IF(ISNUMBER(FIND("Site", Tasks[[#This Row],[Page]])), "", "ERROR"))))</f>
        <v>Level 1</v>
      </c>
      <c r="G45" t="str">
        <f>IF(Tasks[[#This Row],[Location]]=0, "", Tasks[[#This Row],[Location]])</f>
        <v>110 - Chapel</v>
      </c>
      <c r="H45" t="str">
        <f>Tasks[[#This Row],[To Package]]</f>
        <v>Westland -- Annex</v>
      </c>
      <c r="I45" t="str">
        <f>Tasks[[#This Row],[To Organisation]]</f>
        <v>Westland Construction, Inc.</v>
      </c>
    </row>
    <row r="46" spans="1:9" x14ac:dyDescent="0.35">
      <c r="A46" s="9" t="str">
        <f>HYPERLINK(_xlfn.CONCAT(Edit_URL,Tasks[[#This Row],[Ref]]),Tasks[[#This Row],[Ref]])</f>
        <v>T74290.127</v>
      </c>
      <c r="B46" s="6" t="str" cm="1">
        <f t="array" ref="B46">_xlfn.SWITCH(LEFT(Tasks[[#This Row],[Status]],1),"O","Opened","C","Completed","S","Signed Off","ERROR")</f>
        <v>Completed</v>
      </c>
      <c r="C46" s="6" t="str" cm="1">
        <f t="array" ref="C46">_xlfn.SWITCH(LEFT(Tasks[[#This Row],[Type]], 2), "Fi", "Field Report", "Co", "Contractor QC", "Ge", "Contractor QC", "Pu", "Punch List")</f>
        <v>Contractor QC</v>
      </c>
      <c r="D46" s="6" t="str">
        <f>LEFT(Tasks[[#This Row],[Description]], 50)</f>
        <v>Paint wall and window splay</v>
      </c>
      <c r="E46" s="6" t="str" cm="1">
        <f t="array" ref="E46">_xlfn.LET(
_xlpm.inTower, COUNTIF(Tower_Num_Table[Tower Rm Numbers], LEFT(Task_Summary_Table[[#This Row],[Area/Room]], 3)) &gt; 0,
_xlpm.typeResult, _xlfn.SWITCH(LEFT(Tasks[[#This Row],[Page]], 2), "Hi", "Historic", "An", "Annex", "Si", "Site", "S5", "Project Task", "SWITCH ERROR"),
IF(_xlpm.inTower, "West Tower", _xlpm.typeResult)
)</f>
        <v>Annex</v>
      </c>
      <c r="F46" t="str">
        <f>IFERROR(MID(Tasks[[#This Row],[Page]], FIND("Level", Tasks[[#This Row],[Page]]), 7), IF(ISNUMBER(FIND("Roof", Tasks[[#This Row],[Page]])), "Roof",  IF(ISNUMBER(FIND("S590", Tasks[[#This Row],[Page]])), "",  IF(ISNUMBER(FIND("Site", Tasks[[#This Row],[Page]])), "", "ERROR"))))</f>
        <v>Level 1</v>
      </c>
      <c r="G46" t="str">
        <f>IF(Tasks[[#This Row],[Location]]=0, "", Tasks[[#This Row],[Location]])</f>
        <v/>
      </c>
      <c r="H46" t="str">
        <f>Tasks[[#This Row],[To Package]]</f>
        <v>Paint</v>
      </c>
      <c r="I46" t="str">
        <f>Tasks[[#This Row],[To Organisation]]</f>
        <v>Accent Painting and Special Coatings, LLC</v>
      </c>
    </row>
    <row r="47" spans="1:9" x14ac:dyDescent="0.35">
      <c r="A47" s="9" t="str">
        <f>HYPERLINK(_xlfn.CONCAT(Edit_URL,Tasks[[#This Row],[Ref]]),Tasks[[#This Row],[Ref]])</f>
        <v>T74290.126</v>
      </c>
      <c r="B47" s="6" t="str" cm="1">
        <f t="array" ref="B47">_xlfn.SWITCH(LEFT(Tasks[[#This Row],[Status]],1),"O","Opened","C","Completed","S","Signed Off","ERROR")</f>
        <v>Opened</v>
      </c>
      <c r="C47" s="6" t="str" cm="1">
        <f t="array" ref="C47">_xlfn.SWITCH(LEFT(Tasks[[#This Row],[Type]], 2), "Fi", "Field Report", "Co", "Contractor QC", "Ge", "Contractor QC", "Pu", "Punch List")</f>
        <v>Contractor QC</v>
      </c>
      <c r="D47" s="6" t="str">
        <f>LEFT(Tasks[[#This Row],[Description]], 50)</f>
        <v>Complete sill</v>
      </c>
      <c r="E47" s="6" t="str" cm="1">
        <f t="array" ref="E47">_xlfn.LET(
_xlpm.inTower, COUNTIF(Tower_Num_Table[Tower Rm Numbers], LEFT(Task_Summary_Table[[#This Row],[Area/Room]], 3)) &gt; 0,
_xlpm.typeResult, _xlfn.SWITCH(LEFT(Tasks[[#This Row],[Page]], 2), "Hi", "Historic", "An", "Annex", "Si", "Site", "S5", "Project Task", "SWITCH ERROR"),
IF(_xlpm.inTower, "West Tower", _xlpm.typeResult)
)</f>
        <v>Historic</v>
      </c>
      <c r="F47" t="str">
        <f>IFERROR(MID(Tasks[[#This Row],[Page]], FIND("Level", Tasks[[#This Row],[Page]]), 7), IF(ISNUMBER(FIND("Roof", Tasks[[#This Row],[Page]])), "Roof",  IF(ISNUMBER(FIND("S590", Tasks[[#This Row],[Page]])), "",  IF(ISNUMBER(FIND("Site", Tasks[[#This Row],[Page]])), "", "ERROR"))))</f>
        <v>Level 1</v>
      </c>
      <c r="G47" t="str">
        <f>IF(Tasks[[#This Row],[Location]]=0, "", Tasks[[#This Row],[Location]])</f>
        <v>190 - Elevator Lobby</v>
      </c>
      <c r="H47" t="str">
        <f>Tasks[[#This Row],[To Package]]</f>
        <v xml:space="preserve">Finish Carpentry </v>
      </c>
      <c r="I47" t="str">
        <f>Tasks[[#This Row],[To Organisation]]</f>
        <v>Fetzers' Inc.</v>
      </c>
    </row>
    <row r="48" spans="1:9" x14ac:dyDescent="0.35">
      <c r="A48" s="9" t="str">
        <f>HYPERLINK(_xlfn.CONCAT(Edit_URL,Tasks[[#This Row],[Ref]]),Tasks[[#This Row],[Ref]])</f>
        <v>T74290.125</v>
      </c>
      <c r="B48" s="6" t="str" cm="1">
        <f t="array" ref="B48">_xlfn.SWITCH(LEFT(Tasks[[#This Row],[Status]],1),"O","Opened","C","Completed","S","Signed Off","ERROR")</f>
        <v>Opened</v>
      </c>
      <c r="C48" s="6" t="str" cm="1">
        <f t="array" ref="C48">_xlfn.SWITCH(LEFT(Tasks[[#This Row],[Type]], 2), "Fi", "Field Report", "Co", "Contractor QC", "Ge", "Contractor QC", "Pu", "Punch List")</f>
        <v>Contractor QC</v>
      </c>
      <c r="D48" s="6" t="str">
        <f>LEFT(Tasks[[#This Row],[Description]], 50)</f>
        <v>Epoxy screws on trim</v>
      </c>
      <c r="E48" s="6" t="str" cm="1">
        <f t="array" ref="E48">_xlfn.LET(
_xlpm.inTower, COUNTIF(Tower_Num_Table[Tower Rm Numbers], LEFT(Task_Summary_Table[[#This Row],[Area/Room]], 3)) &gt; 0,
_xlpm.typeResult, _xlfn.SWITCH(LEFT(Tasks[[#This Row],[Page]], 2), "Hi", "Historic", "An", "Annex", "Si", "Site", "S5", "Project Task", "SWITCH ERROR"),
IF(_xlpm.inTower, "West Tower", _xlpm.typeResult)
)</f>
        <v>Annex</v>
      </c>
      <c r="F48" t="str">
        <f>IFERROR(MID(Tasks[[#This Row],[Page]], FIND("Level", Tasks[[#This Row],[Page]]), 7), IF(ISNUMBER(FIND("Roof", Tasks[[#This Row],[Page]])), "Roof",  IF(ISNUMBER(FIND("S590", Tasks[[#This Row],[Page]])), "",  IF(ISNUMBER(FIND("Site", Tasks[[#This Row],[Page]])), "", "ERROR"))))</f>
        <v>Level 1</v>
      </c>
      <c r="G48" t="str">
        <f>IF(Tasks[[#This Row],[Location]]=0, "", Tasks[[#This Row],[Location]])</f>
        <v>156 - Vest</v>
      </c>
      <c r="H48" t="str">
        <f>Tasks[[#This Row],[To Package]]</f>
        <v xml:space="preserve">Finish Carpentry </v>
      </c>
      <c r="I48" t="str">
        <f>Tasks[[#This Row],[To Organisation]]</f>
        <v>Fetzers' Inc.</v>
      </c>
    </row>
    <row r="49" spans="1:9" x14ac:dyDescent="0.35">
      <c r="A49" s="9" t="str">
        <f>HYPERLINK(_xlfn.CONCAT(Edit_URL,Tasks[[#This Row],[Ref]]),Tasks[[#This Row],[Ref]])</f>
        <v>T74290.124</v>
      </c>
      <c r="B49" s="6" t="str" cm="1">
        <f t="array" ref="B49">_xlfn.SWITCH(LEFT(Tasks[[#This Row],[Status]],1),"O","Opened","C","Completed","S","Signed Off","ERROR")</f>
        <v>Opened</v>
      </c>
      <c r="C49" s="6" t="str" cm="1">
        <f t="array" ref="C49">_xlfn.SWITCH(LEFT(Tasks[[#This Row],[Type]], 2), "Fi", "Field Report", "Co", "Contractor QC", "Ge", "Contractor QC", "Pu", "Punch List")</f>
        <v>Contractor QC</v>
      </c>
      <c r="D49" s="6" t="str">
        <f>LEFT(Tasks[[#This Row],[Description]], 50)</f>
        <v>Hardware for the 5th floor is not the specified ha</v>
      </c>
      <c r="E49" s="6" t="str" cm="1">
        <f t="array" ref="E49">_xlfn.LET(
_xlpm.inTower, COUNTIF(Tower_Num_Table[Tower Rm Numbers], LEFT(Task_Summary_Table[[#This Row],[Area/Room]], 3)) &gt; 0,
_xlpm.typeResult, _xlfn.SWITCH(LEFT(Tasks[[#This Row],[Page]], 2), "Hi", "Historic", "An", "Annex", "Si", "Site", "S5", "Project Task", "SWITCH ERROR"),
IF(_xlpm.inTower, "West Tower", _xlpm.typeResult)
)</f>
        <v>Historic</v>
      </c>
      <c r="F49" t="str">
        <f>IFERROR(MID(Tasks[[#This Row],[Page]], FIND("Level", Tasks[[#This Row],[Page]]), 7), IF(ISNUMBER(FIND("Roof", Tasks[[#This Row],[Page]])), "Roof",  IF(ISNUMBER(FIND("S590", Tasks[[#This Row],[Page]])), "",  IF(ISNUMBER(FIND("Site", Tasks[[#This Row],[Page]])), "", "ERROR"))))</f>
        <v>Level 5</v>
      </c>
      <c r="G49" t="str">
        <f>IF(Tasks[[#This Row],[Location]]=0, "", Tasks[[#This Row],[Location]])</f>
        <v>512 - Instruction 8</v>
      </c>
      <c r="H49" t="str">
        <f>Tasks[[#This Row],[To Package]]</f>
        <v xml:space="preserve">Finish Carpentry </v>
      </c>
      <c r="I49" t="str">
        <f>Tasks[[#This Row],[To Organisation]]</f>
        <v>Fetzers' Inc.</v>
      </c>
    </row>
    <row r="50" spans="1:9" x14ac:dyDescent="0.35">
      <c r="A50" s="9" t="str">
        <f>HYPERLINK(_xlfn.CONCAT(Edit_URL,Tasks[[#This Row],[Ref]]),Tasks[[#This Row],[Ref]])</f>
        <v>T74290.123</v>
      </c>
      <c r="B50" s="6" t="str" cm="1">
        <f t="array" ref="B50">_xlfn.SWITCH(LEFT(Tasks[[#This Row],[Status]],1),"O","Opened","C","Completed","S","Signed Off","ERROR")</f>
        <v>Opened</v>
      </c>
      <c r="C50" s="6" t="str" cm="1">
        <f t="array" ref="C50">_xlfn.SWITCH(LEFT(Tasks[[#This Row],[Type]], 2), "Fi", "Field Report", "Co", "Contractor QC", "Ge", "Contractor QC", "Pu", "Punch List")</f>
        <v>Contractor QC</v>
      </c>
      <c r="D50" s="6" t="str">
        <f>LEFT(Tasks[[#This Row],[Description]], 50)</f>
        <v>Lighting canopies have not been centered in the me</v>
      </c>
      <c r="E50" s="6" t="str" cm="1">
        <f t="array" ref="E50">_xlfn.LET(
_xlpm.inTower, COUNTIF(Tower_Num_Table[Tower Rm Numbers], LEFT(Task_Summary_Table[[#This Row],[Area/Room]], 3)) &gt; 0,
_xlpm.typeResult, _xlfn.SWITCH(LEFT(Tasks[[#This Row],[Page]], 2), "Hi", "Historic", "An", "Annex", "Si", "Site", "S5", "Project Task", "SWITCH ERROR"),
IF(_xlpm.inTower, "West Tower", _xlpm.typeResult)
)</f>
        <v>Historic</v>
      </c>
      <c r="F50" t="str">
        <f>IFERROR(MID(Tasks[[#This Row],[Page]], FIND("Level", Tasks[[#This Row],[Page]]), 7), IF(ISNUMBER(FIND("Roof", Tasks[[#This Row],[Page]])), "Roof",  IF(ISNUMBER(FIND("S590", Tasks[[#This Row],[Page]])), "",  IF(ISNUMBER(FIND("Site", Tasks[[#This Row],[Page]])), "", "ERROR"))))</f>
        <v>Level 4</v>
      </c>
      <c r="G50" t="str">
        <f>IF(Tasks[[#This Row],[Location]]=0, "", Tasks[[#This Row],[Location]])</f>
        <v>408 - Assembly Room</v>
      </c>
      <c r="H50" t="str">
        <f>Tasks[[#This Row],[To Package]]</f>
        <v>Electrical</v>
      </c>
      <c r="I50" t="str">
        <f>Tasks[[#This Row],[To Organisation]]</f>
        <v>Wilkinson Electric Inc</v>
      </c>
    </row>
    <row r="51" spans="1:9" x14ac:dyDescent="0.35">
      <c r="A51" s="9" t="str">
        <f>HYPERLINK(_xlfn.CONCAT(Edit_URL,Tasks[[#This Row],[Ref]]),Tasks[[#This Row],[Ref]])</f>
        <v>T74290.122</v>
      </c>
      <c r="B51" s="6" t="str" cm="1">
        <f t="array" ref="B51">_xlfn.SWITCH(LEFT(Tasks[[#This Row],[Status]],1),"O","Opened","C","Completed","S","Signed Off","ERROR")</f>
        <v>Completed</v>
      </c>
      <c r="C51" s="6" t="str" cm="1">
        <f t="array" ref="C51">_xlfn.SWITCH(LEFT(Tasks[[#This Row],[Type]], 2), "Fi", "Field Report", "Co", "Contractor QC", "Ge", "Contractor QC", "Pu", "Punch List")</f>
        <v>Contractor QC</v>
      </c>
      <c r="D51" s="6" t="str">
        <f>LEFT(Tasks[[#This Row],[Description]], 50)</f>
        <v>Mural in corner is peeling from the wall and needs</v>
      </c>
      <c r="E51" s="6" t="str" cm="1">
        <f t="array" ref="E51">_xlfn.LET(
_xlpm.inTower, COUNTIF(Tower_Num_Table[Tower Rm Numbers], LEFT(Task_Summary_Table[[#This Row],[Area/Room]], 3)) &gt; 0,
_xlpm.typeResult, _xlfn.SWITCH(LEFT(Tasks[[#This Row],[Page]], 2), "Hi", "Historic", "An", "Annex", "Si", "Site", "S5", "Project Task", "SWITCH ERROR"),
IF(_xlpm.inTower, "West Tower", _xlpm.typeResult)
)</f>
        <v>Historic</v>
      </c>
      <c r="F51" t="str">
        <f>IFERROR(MID(Tasks[[#This Row],[Page]], FIND("Level", Tasks[[#This Row],[Page]]), 7), IF(ISNUMBER(FIND("Roof", Tasks[[#This Row],[Page]])), "Roof",  IF(ISNUMBER(FIND("S590", Tasks[[#This Row],[Page]])), "",  IF(ISNUMBER(FIND("Site", Tasks[[#This Row],[Page]])), "", "ERROR"))))</f>
        <v>Level 2</v>
      </c>
      <c r="G51" t="str">
        <f>IF(Tasks[[#This Row],[Location]]=0, "", Tasks[[#This Row],[Location]])</f>
        <v>210 - Instruction Room A-3</v>
      </c>
      <c r="H51" t="str">
        <f>Tasks[[#This Row],[To Package]]</f>
        <v>Westland -- Historic</v>
      </c>
      <c r="I51" t="str">
        <f>Tasks[[#This Row],[To Organisation]]</f>
        <v>Westland Construction, Inc.</v>
      </c>
    </row>
    <row r="52" spans="1:9" x14ac:dyDescent="0.35">
      <c r="A52" s="9" t="str">
        <f>HYPERLINK(_xlfn.CONCAT(Edit_URL,Tasks[[#This Row],[Ref]]),Tasks[[#This Row],[Ref]])</f>
        <v>T74290.121</v>
      </c>
      <c r="B52" s="6" t="str" cm="1">
        <f t="array" ref="B52">_xlfn.SWITCH(LEFT(Tasks[[#This Row],[Status]],1),"O","Opened","C","Completed","S","Signed Off","ERROR")</f>
        <v>Opened</v>
      </c>
      <c r="C52" s="6" t="str" cm="1">
        <f t="array" ref="C52">_xlfn.SWITCH(LEFT(Tasks[[#This Row],[Type]], 2), "Fi", "Field Report", "Co", "Contractor QC", "Ge", "Contractor QC", "Pu", "Punch List")</f>
        <v>Contractor QC</v>
      </c>
      <c r="D52" s="6" t="str">
        <f>LEFT(Tasks[[#This Row],[Description]], 50)</f>
        <v xml:space="preserve">Cap at half wall at stair 4 is to sharp and needs </v>
      </c>
      <c r="E52" s="6" t="str" cm="1">
        <f t="array" ref="E52">_xlfn.LET(
_xlpm.inTower, COUNTIF(Tower_Num_Table[Tower Rm Numbers], LEFT(Task_Summary_Table[[#This Row],[Area/Room]], 3)) &gt; 0,
_xlpm.typeResult, _xlfn.SWITCH(LEFT(Tasks[[#This Row],[Page]], 2), "Hi", "Historic", "An", "Annex", "Si", "Site", "S5", "Project Task", "SWITCH ERROR"),
IF(_xlpm.inTower, "West Tower", _xlpm.typeResult)
)</f>
        <v>Historic</v>
      </c>
      <c r="F52" t="str">
        <f>IFERROR(MID(Tasks[[#This Row],[Page]], FIND("Level", Tasks[[#This Row],[Page]]), 7), IF(ISNUMBER(FIND("Roof", Tasks[[#This Row],[Page]])), "Roof",  IF(ISNUMBER(FIND("S590", Tasks[[#This Row],[Page]])), "",  IF(ISNUMBER(FIND("Site", Tasks[[#This Row],[Page]])), "", "ERROR"))))</f>
        <v>Level 0</v>
      </c>
      <c r="G52" t="str">
        <f>IF(Tasks[[#This Row],[Location]]=0, "", Tasks[[#This Row],[Location]])</f>
        <v>067B - LANDING</v>
      </c>
      <c r="H52" t="str">
        <f>Tasks[[#This Row],[To Package]]</f>
        <v xml:space="preserve">Finish Carpentry </v>
      </c>
      <c r="I52" t="str">
        <f>Tasks[[#This Row],[To Organisation]]</f>
        <v>Fetzers' Inc.</v>
      </c>
    </row>
    <row r="53" spans="1:9" x14ac:dyDescent="0.35">
      <c r="A53" s="9" t="str">
        <f>HYPERLINK(_xlfn.CONCAT(Edit_URL,Tasks[[#This Row],[Ref]]),Tasks[[#This Row],[Ref]])</f>
        <v>T74290.120</v>
      </c>
      <c r="B53" s="6" t="str" cm="1">
        <f t="array" ref="B53">_xlfn.SWITCH(LEFT(Tasks[[#This Row],[Status]],1),"O","Opened","C","Completed","S","Signed Off","ERROR")</f>
        <v>Opened</v>
      </c>
      <c r="C53" s="6" t="str" cm="1">
        <f t="array" ref="C53">_xlfn.SWITCH(LEFT(Tasks[[#This Row],[Type]], 2), "Fi", "Field Report", "Co", "Contractor QC", "Ge", "Contractor QC", "Pu", "Punch List")</f>
        <v>Contractor QC</v>
      </c>
      <c r="D53" s="6" t="str">
        <f>LEFT(Tasks[[#This Row],[Description]], 50)</f>
        <v>Replace and straighten tile in font. Contractor to</v>
      </c>
      <c r="E53" s="6" t="str" cm="1">
        <f t="array" ref="E53">_xlfn.LET(
_xlpm.inTower, COUNTIF(Tower_Num_Table[Tower Rm Numbers], LEFT(Task_Summary_Table[[#This Row],[Area/Room]], 3)) &gt; 0,
_xlpm.typeResult, _xlfn.SWITCH(LEFT(Tasks[[#This Row],[Page]], 2), "Hi", "Historic", "An", "Annex", "Si", "Site", "S5", "Project Task", "SWITCH ERROR"),
IF(_xlpm.inTower, "West Tower", _xlpm.typeResult)
)</f>
        <v>Historic</v>
      </c>
      <c r="F53" t="str">
        <f>IFERROR(MID(Tasks[[#This Row],[Page]], FIND("Level", Tasks[[#This Row],[Page]]), 7), IF(ISNUMBER(FIND("Roof", Tasks[[#This Row],[Page]])), "Roof",  IF(ISNUMBER(FIND("S590", Tasks[[#This Row],[Page]])), "",  IF(ISNUMBER(FIND("Site", Tasks[[#This Row],[Page]])), "", "ERROR"))))</f>
        <v>Level 0</v>
      </c>
      <c r="G53" t="str">
        <f>IF(Tasks[[#This Row],[Location]]=0, "", Tasks[[#This Row],[Location]])</f>
        <v>067 - Font</v>
      </c>
      <c r="H53" t="str">
        <f>Tasks[[#This Row],[To Package]]</f>
        <v>Tile</v>
      </c>
      <c r="I53" t="str">
        <f>Tasks[[#This Row],[To Organisation]]</f>
        <v>Global Stone and Tile, LLC</v>
      </c>
    </row>
    <row r="54" spans="1:9" x14ac:dyDescent="0.35">
      <c r="A54" s="9" t="str">
        <f>HYPERLINK(_xlfn.CONCAT(Edit_URL,Tasks[[#This Row],[Ref]]),Tasks[[#This Row],[Ref]])</f>
        <v>T74290.119</v>
      </c>
      <c r="B54" s="6" t="str" cm="1">
        <f t="array" ref="B54">_xlfn.SWITCH(LEFT(Tasks[[#This Row],[Status]],1),"O","Opened","C","Completed","S","Signed Off","ERROR")</f>
        <v>Opened</v>
      </c>
      <c r="C54" s="6" t="str" cm="1">
        <f t="array" ref="C54">_xlfn.SWITCH(LEFT(Tasks[[#This Row],[Type]], 2), "Fi", "Field Report", "Co", "Contractor QC", "Ge", "Contractor QC", "Pu", "Punch List")</f>
        <v>Contractor QC</v>
      </c>
      <c r="D54" s="6" t="str">
        <f>LEFT(Tasks[[#This Row],[Description]], 50)</f>
        <v xml:space="preserve">Upper cabinet lighting in the admin area has been </v>
      </c>
      <c r="E54" s="6" t="str" cm="1">
        <f t="array" ref="E54">_xlfn.LET(
_xlpm.inTower, COUNTIF(Tower_Num_Table[Tower Rm Numbers], LEFT(Task_Summary_Table[[#This Row],[Area/Room]], 3)) &gt; 0,
_xlpm.typeResult, _xlfn.SWITCH(LEFT(Tasks[[#This Row],[Page]], 2), "Hi", "Historic", "An", "Annex", "Si", "Site", "S5", "Project Task", "SWITCH ERROR"),
IF(_xlpm.inTower, "West Tower", _xlpm.typeResult)
)</f>
        <v>Annex</v>
      </c>
      <c r="F54" t="str">
        <f>IFERROR(MID(Tasks[[#This Row],[Page]], FIND("Level", Tasks[[#This Row],[Page]]), 7), IF(ISNUMBER(FIND("Roof", Tasks[[#This Row],[Page]])), "Roof",  IF(ISNUMBER(FIND("S590", Tasks[[#This Row],[Page]])), "",  IF(ISNUMBER(FIND("Site", Tasks[[#This Row],[Page]])), "", "ERROR"))))</f>
        <v>Level 1</v>
      </c>
      <c r="G54" t="str">
        <f>IF(Tasks[[#This Row],[Location]]=0, "", Tasks[[#This Row],[Location]])</f>
        <v>113 - Administration</v>
      </c>
      <c r="H54" t="str">
        <f>Tasks[[#This Row],[To Package]]</f>
        <v>Electrical</v>
      </c>
      <c r="I54" t="str">
        <f>Tasks[[#This Row],[To Organisation]]</f>
        <v>Wilkinson Electric Inc</v>
      </c>
    </row>
    <row r="55" spans="1:9" x14ac:dyDescent="0.35">
      <c r="A55" s="9" t="str">
        <f>HYPERLINK(_xlfn.CONCAT(Edit_URL,Tasks[[#This Row],[Ref]]),Tasks[[#This Row],[Ref]])</f>
        <v>T74290.118</v>
      </c>
      <c r="B55" s="6" t="str" cm="1">
        <f t="array" ref="B55">_xlfn.SWITCH(LEFT(Tasks[[#This Row],[Status]],1),"O","Opened","C","Completed","S","Signed Off","ERROR")</f>
        <v>Opened</v>
      </c>
      <c r="C55" s="6" t="str" cm="1">
        <f t="array" ref="C55">_xlfn.SWITCH(LEFT(Tasks[[#This Row],[Type]], 2), "Fi", "Field Report", "Co", "Contractor QC", "Ge", "Contractor QC", "Pu", "Punch List")</f>
        <v>Contractor QC</v>
      </c>
      <c r="D55" s="6" t="str">
        <f>LEFT(Tasks[[#This Row],[Description]], 50)</f>
        <v>North Entry 101 framing at the tri arched window d</v>
      </c>
      <c r="E55" s="6" t="str" cm="1">
        <f t="array" ref="E55">_xlfn.LET(
_xlpm.inTower, COUNTIF(Tower_Num_Table[Tower Rm Numbers], LEFT(Task_Summary_Table[[#This Row],[Area/Room]], 3)) &gt; 0,
_xlpm.typeResult, _xlfn.SWITCH(LEFT(Tasks[[#This Row],[Page]], 2), "Hi", "Historic", "An", "Annex", "Si", "Site", "S5", "Project Task", "SWITCH ERROR"),
IF(_xlpm.inTower, "West Tower", _xlpm.typeResult)
)</f>
        <v>Annex</v>
      </c>
      <c r="F55" t="str">
        <f>IFERROR(MID(Tasks[[#This Row],[Page]], FIND("Level", Tasks[[#This Row],[Page]]), 7), IF(ISNUMBER(FIND("Roof", Tasks[[#This Row],[Page]])), "Roof",  IF(ISNUMBER(FIND("S590", Tasks[[#This Row],[Page]])), "",  IF(ISNUMBER(FIND("Site", Tasks[[#This Row],[Page]])), "", "ERROR"))))</f>
        <v>Level 1</v>
      </c>
      <c r="G55" t="str">
        <f>IF(Tasks[[#This Row],[Location]]=0, "", Tasks[[#This Row],[Location]])</f>
        <v>101 - Entry</v>
      </c>
      <c r="H55" t="str">
        <f>Tasks[[#This Row],[To Package]]</f>
        <v>Metal Stud / Drywall</v>
      </c>
      <c r="I55" t="str">
        <f>Tasks[[#This Row],[To Organisation]]</f>
        <v>Pete King Construction</v>
      </c>
    </row>
    <row r="56" spans="1:9" x14ac:dyDescent="0.35">
      <c r="A56" s="9" t="str">
        <f>HYPERLINK(_xlfn.CONCAT(Edit_URL,Tasks[[#This Row],[Ref]]),Tasks[[#This Row],[Ref]])</f>
        <v>T74290.117</v>
      </c>
      <c r="B56" s="6" t="str" cm="1">
        <f t="array" ref="B56">_xlfn.SWITCH(LEFT(Tasks[[#This Row],[Status]],1),"O","Opened","C","Completed","S","Signed Off","ERROR")</f>
        <v>Opened</v>
      </c>
      <c r="C56" s="6" t="str" cm="1">
        <f t="array" ref="C56">_xlfn.SWITCH(LEFT(Tasks[[#This Row],[Type]], 2), "Fi", "Field Report", "Co", "Contractor QC", "Ge", "Contractor QC", "Pu", "Punch List")</f>
        <v>Contractor QC</v>
      </c>
      <c r="D56" s="6" t="str">
        <f>LEFT(Tasks[[#This Row],[Description]], 50)</f>
        <v>West tower top of concrete has exposed bar that ne</v>
      </c>
      <c r="E56" s="6" t="str" cm="1">
        <f t="array" ref="E56">_xlfn.LET(
_xlpm.inTower, COUNTIF(Tower_Num_Table[Tower Rm Numbers], LEFT(Task_Summary_Table[[#This Row],[Area/Room]], 3)) &gt; 0,
_xlpm.typeResult, _xlfn.SWITCH(LEFT(Tasks[[#This Row],[Page]], 2), "Hi", "Historic", "An", "Annex", "Si", "Site", "S5", "Project Task", "SWITCH ERROR"),
IF(_xlpm.inTower, "West Tower", _xlpm.typeResult)
)</f>
        <v>Historic</v>
      </c>
      <c r="F56" t="str">
        <f>IFERROR(MID(Tasks[[#This Row],[Page]], FIND("Level", Tasks[[#This Row],[Page]]), 7), IF(ISNUMBER(FIND("Roof", Tasks[[#This Row],[Page]])), "Roof",  IF(ISNUMBER(FIND("S590", Tasks[[#This Row],[Page]])), "",  IF(ISNUMBER(FIND("Site", Tasks[[#This Row],[Page]])), "", "ERROR"))))</f>
        <v>Roof</v>
      </c>
      <c r="G56" t="str">
        <f>IF(Tasks[[#This Row],[Location]]=0, "", Tasks[[#This Row],[Location]])</f>
        <v/>
      </c>
      <c r="H56" t="str">
        <f>Tasks[[#This Row],[To Package]]</f>
        <v>Concrete</v>
      </c>
      <c r="I56" t="str">
        <f>Tasks[[#This Row],[To Organisation]]</f>
        <v>Innovative Concrete, LLC</v>
      </c>
    </row>
    <row r="57" spans="1:9" x14ac:dyDescent="0.35">
      <c r="A57" s="9" t="str">
        <f>HYPERLINK(_xlfn.CONCAT(Edit_URL,Tasks[[#This Row],[Ref]]),Tasks[[#This Row],[Ref]])</f>
        <v>T74290.116</v>
      </c>
      <c r="B57" s="6" t="str" cm="1">
        <f t="array" ref="B57">_xlfn.SWITCH(LEFT(Tasks[[#This Row],[Status]],1),"O","Opened","C","Completed","S","Signed Off","ERROR")</f>
        <v>Opened</v>
      </c>
      <c r="C57" s="6" t="str" cm="1">
        <f t="array" ref="C57">_xlfn.SWITCH(LEFT(Tasks[[#This Row],[Type]], 2), "Fi", "Field Report", "Co", "Contractor QC", "Ge", "Contractor QC", "Pu", "Punch List")</f>
        <v>Contractor QC</v>
      </c>
      <c r="D57" s="6" t="str">
        <f>LEFT(Tasks[[#This Row],[Description]], 50)</f>
        <v>West historic wall at west tower addition connecti</v>
      </c>
      <c r="E57" s="6" t="str" cm="1">
        <f t="array" ref="E57">_xlfn.LET(
_xlpm.inTower, COUNTIF(Tower_Num_Table[Tower Rm Numbers], LEFT(Task_Summary_Table[[#This Row],[Area/Room]], 3)) &gt; 0,
_xlpm.typeResult, _xlfn.SWITCH(LEFT(Tasks[[#This Row],[Page]], 2), "Hi", "Historic", "An", "Annex", "Si", "Site", "S5", "Project Task", "SWITCH ERROR"),
IF(_xlpm.inTower, "West Tower", _xlpm.typeResult)
)</f>
        <v>Annex</v>
      </c>
      <c r="F57" t="str">
        <f>IFERROR(MID(Tasks[[#This Row],[Page]], FIND("Level", Tasks[[#This Row],[Page]]), 7), IF(ISNUMBER(FIND("Roof", Tasks[[#This Row],[Page]])), "Roof",  IF(ISNUMBER(FIND("S590", Tasks[[#This Row],[Page]])), "",  IF(ISNUMBER(FIND("Site", Tasks[[#This Row],[Page]])), "", "ERROR"))))</f>
        <v>Level 1</v>
      </c>
      <c r="G57" t="str">
        <f>IF(Tasks[[#This Row],[Location]]=0, "", Tasks[[#This Row],[Location]])</f>
        <v/>
      </c>
      <c r="H57" t="str">
        <f>Tasks[[#This Row],[To Package]]</f>
        <v>Plaster</v>
      </c>
      <c r="I57" t="str">
        <f>Tasks[[#This Row],[To Organisation]]</f>
        <v>R. Phillips Plastering LLC</v>
      </c>
    </row>
    <row r="58" spans="1:9" x14ac:dyDescent="0.35">
      <c r="A58" s="9" t="str">
        <f>HYPERLINK(_xlfn.CONCAT(Edit_URL,Tasks[[#This Row],[Ref]]),Tasks[[#This Row],[Ref]])</f>
        <v>T74290.115</v>
      </c>
      <c r="B58" s="6" t="str" cm="1">
        <f t="array" ref="B58">_xlfn.SWITCH(LEFT(Tasks[[#This Row],[Status]],1),"O","Opened","C","Completed","S","Signed Off","ERROR")</f>
        <v>Completed</v>
      </c>
      <c r="C58" s="6" t="str" cm="1">
        <f t="array" ref="C58">_xlfn.SWITCH(LEFT(Tasks[[#This Row],[Type]], 2), "Fi", "Field Report", "Co", "Contractor QC", "Ge", "Contractor QC", "Pu", "Punch List")</f>
        <v>Contractor QC</v>
      </c>
      <c r="D58" s="6" t="str">
        <f>LEFT(Tasks[[#This Row],[Description]], 50)</f>
        <v>North precast panel form joint has been skimmed an</v>
      </c>
      <c r="E58" s="6" t="str" cm="1">
        <f t="array" ref="E58">_xlfn.LET(
_xlpm.inTower, COUNTIF(Tower_Num_Table[Tower Rm Numbers], LEFT(Task_Summary_Table[[#This Row],[Area/Room]], 3)) &gt; 0,
_xlpm.typeResult, _xlfn.SWITCH(LEFT(Tasks[[#This Row],[Page]], 2), "Hi", "Historic", "An", "Annex", "Si", "Site", "S5", "Project Task", "SWITCH ERROR"),
IF(_xlpm.inTower, "West Tower", _xlpm.typeResult)
)</f>
        <v>Annex</v>
      </c>
      <c r="F58" t="str">
        <f>IFERROR(MID(Tasks[[#This Row],[Page]], FIND("Level", Tasks[[#This Row],[Page]]), 7), IF(ISNUMBER(FIND("Roof", Tasks[[#This Row],[Page]])), "Roof",  IF(ISNUMBER(FIND("S590", Tasks[[#This Row],[Page]])), "",  IF(ISNUMBER(FIND("Site", Tasks[[#This Row],[Page]])), "", "ERROR"))))</f>
        <v>Level 1</v>
      </c>
      <c r="G58" t="str">
        <f>IF(Tasks[[#This Row],[Location]]=0, "", Tasks[[#This Row],[Location]])</f>
        <v/>
      </c>
      <c r="H58" t="str">
        <f>Tasks[[#This Row],[To Package]]</f>
        <v>Westland -- Annex</v>
      </c>
      <c r="I58" t="str">
        <f>Tasks[[#This Row],[To Organisation]]</f>
        <v>Westland Construction, Inc.</v>
      </c>
    </row>
    <row r="59" spans="1:9" x14ac:dyDescent="0.35">
      <c r="A59" s="9" t="str">
        <f>HYPERLINK(_xlfn.CONCAT(Edit_URL,Tasks[[#This Row],[Ref]]),Tasks[[#This Row],[Ref]])</f>
        <v>T74290.114</v>
      </c>
      <c r="B59" s="6" t="str" cm="1">
        <f t="array" ref="B59">_xlfn.SWITCH(LEFT(Tasks[[#This Row],[Status]],1),"O","Opened","C","Completed","S","Signed Off","ERROR")</f>
        <v>Completed</v>
      </c>
      <c r="C59" s="6" t="str" cm="1">
        <f t="array" ref="C59">_xlfn.SWITCH(LEFT(Tasks[[#This Row],[Type]], 2), "Fi", "Field Report", "Co", "Contractor QC", "Ge", "Contractor QC", "Pu", "Punch List")</f>
        <v>Field Report</v>
      </c>
      <c r="D59" s="6" t="str">
        <f>LEFT(Tasks[[#This Row],[Description]], 50)</f>
        <v xml:space="preserve">Curb at maintenance loading dock driveway was not </v>
      </c>
      <c r="E59" s="6" t="str" cm="1">
        <f t="array" ref="E59">_xlfn.LET(
_xlpm.inTower, COUNTIF(Tower_Num_Table[Tower Rm Numbers], LEFT(Task_Summary_Table[[#This Row],[Area/Room]], 3)) &gt; 0,
_xlpm.typeResult, _xlfn.SWITCH(LEFT(Tasks[[#This Row],[Page]], 2), "Hi", "Historic", "An", "Annex", "Si", "Site", "S5", "Project Task", "SWITCH ERROR"),
IF(_xlpm.inTower, "West Tower", _xlpm.typeResult)
)</f>
        <v>Annex</v>
      </c>
      <c r="F59" t="str">
        <f>IFERROR(MID(Tasks[[#This Row],[Page]], FIND("Level", Tasks[[#This Row],[Page]]), 7), IF(ISNUMBER(FIND("Roof", Tasks[[#This Row],[Page]])), "Roof",  IF(ISNUMBER(FIND("S590", Tasks[[#This Row],[Page]])), "",  IF(ISNUMBER(FIND("Site", Tasks[[#This Row],[Page]])), "", "ERROR"))))</f>
        <v>Level 1</v>
      </c>
      <c r="G59" t="str">
        <f>IF(Tasks[[#This Row],[Location]]=0, "", Tasks[[#This Row],[Location]])</f>
        <v/>
      </c>
      <c r="H59" t="str">
        <f>Tasks[[#This Row],[To Package]]</f>
        <v>Concrete</v>
      </c>
      <c r="I59" t="str">
        <f>Tasks[[#This Row],[To Organisation]]</f>
        <v>Innovative Concrete, LLC</v>
      </c>
    </row>
    <row r="60" spans="1:9" x14ac:dyDescent="0.35">
      <c r="A60" s="9" t="str">
        <f>HYPERLINK(_xlfn.CONCAT(Edit_URL,Tasks[[#This Row],[Ref]]),Tasks[[#This Row],[Ref]])</f>
        <v>T77326.1</v>
      </c>
      <c r="B60" s="6" t="str" cm="1">
        <f t="array" ref="B60">_xlfn.SWITCH(LEFT(Tasks[[#This Row],[Status]],1),"O","Opened","C","Completed","S","Signed Off","ERROR")</f>
        <v>Opened</v>
      </c>
      <c r="C60" s="6" t="str" cm="1">
        <f t="array" ref="C60">_xlfn.SWITCH(LEFT(Tasks[[#This Row],[Type]], 2), "Fi", "Field Report", "Co", "Contractor QC", "Ge", "Contractor QC", "Pu", "Punch List")</f>
        <v>Contractor QC</v>
      </c>
      <c r="D60" s="6" t="str">
        <f>LEFT(Tasks[[#This Row],[Description]], 50)</f>
        <v>Touch up window paint</v>
      </c>
      <c r="E60" s="6" t="str" cm="1">
        <f t="array" ref="E60">_xlfn.LET(
_xlpm.inTower, COUNTIF(Tower_Num_Table[Tower Rm Numbers], LEFT(Task_Summary_Table[[#This Row],[Area/Room]], 3)) &gt; 0,
_xlpm.typeResult, _xlfn.SWITCH(LEFT(Tasks[[#This Row],[Page]], 2), "Hi", "Historic", "An", "Annex", "Si", "Site", "S5", "Project Task", "SWITCH ERROR"),
IF(_xlpm.inTower, "West Tower", _xlpm.typeResult)
)</f>
        <v>Historic</v>
      </c>
      <c r="F60" t="str">
        <f>IFERROR(MID(Tasks[[#This Row],[Page]], FIND("Level", Tasks[[#This Row],[Page]]), 7), IF(ISNUMBER(FIND("Roof", Tasks[[#This Row],[Page]])), "Roof",  IF(ISNUMBER(FIND("S590", Tasks[[#This Row],[Page]])), "",  IF(ISNUMBER(FIND("Site", Tasks[[#This Row],[Page]])), "", "ERROR"))))</f>
        <v>Level 0</v>
      </c>
      <c r="G60" t="str">
        <f>IF(Tasks[[#This Row],[Location]]=0, "", Tasks[[#This Row],[Location]])</f>
        <v>082 - Clothing</v>
      </c>
      <c r="H60" t="str">
        <f>Tasks[[#This Row],[To Package]]</f>
        <v>Paint</v>
      </c>
      <c r="I60" t="str">
        <f>Tasks[[#This Row],[To Organisation]]</f>
        <v>Accent Painting and Special Coatings, LLC</v>
      </c>
    </row>
    <row r="61" spans="1:9" x14ac:dyDescent="0.35">
      <c r="A61" s="9" t="str">
        <f>HYPERLINK(_xlfn.CONCAT(Edit_URL,Tasks[[#This Row],[Ref]]),Tasks[[#This Row],[Ref]])</f>
        <v>T74290.113</v>
      </c>
      <c r="B61" s="6" t="str" cm="1">
        <f t="array" ref="B61">_xlfn.SWITCH(LEFT(Tasks[[#This Row],[Status]],1),"O","Opened","C","Completed","S","Signed Off","ERROR")</f>
        <v>Signed Off</v>
      </c>
      <c r="C61" s="6" t="str" cm="1">
        <f t="array" ref="C61">_xlfn.SWITCH(LEFT(Tasks[[#This Row],[Type]], 2), "Fi", "Field Report", "Co", "Contractor QC", "Ge", "Contractor QC", "Pu", "Punch List")</f>
        <v>Contractor QC</v>
      </c>
      <c r="D61" s="6" t="str">
        <f>LEFT(Tasks[[#This Row],[Description]], 50)</f>
        <v>Repair chip on entablature</v>
      </c>
      <c r="E61" s="6" t="str" cm="1">
        <f t="array" ref="E61">_xlfn.LET(
_xlpm.inTower, COUNTIF(Tower_Num_Table[Tower Rm Numbers], LEFT(Task_Summary_Table[[#This Row],[Area/Room]], 3)) &gt; 0,
_xlpm.typeResult, _xlfn.SWITCH(LEFT(Tasks[[#This Row],[Page]], 2), "Hi", "Historic", "An", "Annex", "Si", "Site", "S5", "Project Task", "SWITCH ERROR"),
IF(_xlpm.inTower, "West Tower", _xlpm.typeResult)
)</f>
        <v>Annex</v>
      </c>
      <c r="F61" t="str">
        <f>IFERROR(MID(Tasks[[#This Row],[Page]], FIND("Level", Tasks[[#This Row],[Page]]), 7), IF(ISNUMBER(FIND("Roof", Tasks[[#This Row],[Page]])), "Roof",  IF(ISNUMBER(FIND("S590", Tasks[[#This Row],[Page]])), "",  IF(ISNUMBER(FIND("Site", Tasks[[#This Row],[Page]])), "", "ERROR"))))</f>
        <v>Level 1</v>
      </c>
      <c r="G61" t="str">
        <f>IF(Tasks[[#This Row],[Location]]=0, "", Tasks[[#This Row],[Location]])</f>
        <v>109 - Waiting</v>
      </c>
      <c r="H61" t="str">
        <f>Tasks[[#This Row],[To Package]]</f>
        <v>GFRG</v>
      </c>
      <c r="I61" t="str">
        <f>Tasks[[#This Row],[To Organisation]]</f>
        <v>Pete King Construction</v>
      </c>
    </row>
    <row r="62" spans="1:9" x14ac:dyDescent="0.35">
      <c r="A62" s="9" t="str">
        <f>HYPERLINK(_xlfn.CONCAT(Edit_URL,Tasks[[#This Row],[Ref]]),Tasks[[#This Row],[Ref]])</f>
        <v>T74290.112</v>
      </c>
      <c r="B62" s="6" t="str" cm="1">
        <f t="array" ref="B62">_xlfn.SWITCH(LEFT(Tasks[[#This Row],[Status]],1),"O","Opened","C","Completed","S","Signed Off","ERROR")</f>
        <v>Opened</v>
      </c>
      <c r="C62" s="6" t="str" cm="1">
        <f t="array" ref="C62">_xlfn.SWITCH(LEFT(Tasks[[#This Row],[Type]], 2), "Fi", "Field Report", "Co", "Contractor QC", "Ge", "Contractor QC", "Pu", "Punch List")</f>
        <v>Contractor QC</v>
      </c>
      <c r="D62" s="6" t="str">
        <f>LEFT(Tasks[[#This Row],[Description]], 50)</f>
        <v>Align the concrete boxes with conduit to make them</v>
      </c>
      <c r="E62" s="6" t="str" cm="1">
        <f t="array" ref="E62">_xlfn.LET(
_xlpm.inTower, COUNTIF(Tower_Num_Table[Tower Rm Numbers], LEFT(Task_Summary_Table[[#This Row],[Area/Room]], 3)) &gt; 0,
_xlpm.typeResult, _xlfn.SWITCH(LEFT(Tasks[[#This Row],[Page]], 2), "Hi", "Historic", "An", "Annex", "Si", "Site", "S5", "Project Task", "SWITCH ERROR"),
IF(_xlpm.inTower, "West Tower", _xlpm.typeResult)
)</f>
        <v>Annex</v>
      </c>
      <c r="F62" t="str">
        <f>IFERROR(MID(Tasks[[#This Row],[Page]], FIND("Level", Tasks[[#This Row],[Page]]), 7), IF(ISNUMBER(FIND("Roof", Tasks[[#This Row],[Page]])), "Roof",  IF(ISNUMBER(FIND("S590", Tasks[[#This Row],[Page]])), "",  IF(ISNUMBER(FIND("Site", Tasks[[#This Row],[Page]])), "", "ERROR"))))</f>
        <v>Level 1</v>
      </c>
      <c r="G62" t="str">
        <f>IF(Tasks[[#This Row],[Location]]=0, "", Tasks[[#This Row],[Location]])</f>
        <v/>
      </c>
      <c r="H62" t="str">
        <f>Tasks[[#This Row],[To Package]]</f>
        <v>Electrical</v>
      </c>
      <c r="I62" t="str">
        <f>Tasks[[#This Row],[To Organisation]]</f>
        <v>Wilkinson Electric Inc</v>
      </c>
    </row>
    <row r="63" spans="1:9" x14ac:dyDescent="0.35">
      <c r="A63" s="9" t="str">
        <f>HYPERLINK(_xlfn.CONCAT(Edit_URL,Tasks[[#This Row],[Ref]]),Tasks[[#This Row],[Ref]])</f>
        <v>T74290.111</v>
      </c>
      <c r="B63" s="6" t="str" cm="1">
        <f t="array" ref="B63">_xlfn.SWITCH(LEFT(Tasks[[#This Row],[Status]],1),"O","Opened","C","Completed","S","Signed Off","ERROR")</f>
        <v>Opened</v>
      </c>
      <c r="C63" s="6" t="str" cm="1">
        <f t="array" ref="C63">_xlfn.SWITCH(LEFT(Tasks[[#This Row],[Type]], 2), "Fi", "Field Report", "Co", "Contractor QC", "Ge", "Contractor QC", "Pu", "Punch List")</f>
        <v>Contractor QC</v>
      </c>
      <c r="D63" s="6" t="str">
        <f>LEFT(Tasks[[#This Row],[Description]], 50)</f>
        <v>Finish trim between window and sill</v>
      </c>
      <c r="E63" s="6" t="str" cm="1">
        <f t="array" ref="E63">_xlfn.LET(
_xlpm.inTower, COUNTIF(Tower_Num_Table[Tower Rm Numbers], LEFT(Task_Summary_Table[[#This Row],[Area/Room]], 3)) &gt; 0,
_xlpm.typeResult, _xlfn.SWITCH(LEFT(Tasks[[#This Row],[Page]], 2), "Hi", "Historic", "An", "Annex", "Si", "Site", "S5", "Project Task", "SWITCH ERROR"),
IF(_xlpm.inTower, "West Tower", _xlpm.typeResult)
)</f>
        <v>Historic</v>
      </c>
      <c r="F63" t="str">
        <f>IFERROR(MID(Tasks[[#This Row],[Page]], FIND("Level", Tasks[[#This Row],[Page]]), 7), IF(ISNUMBER(FIND("Roof", Tasks[[#This Row],[Page]])), "Roof",  IF(ISNUMBER(FIND("S590", Tasks[[#This Row],[Page]])), "",  IF(ISNUMBER(FIND("Site", Tasks[[#This Row],[Page]])), "", "ERROR"))))</f>
        <v>Level 3</v>
      </c>
      <c r="G63" t="str">
        <f>IF(Tasks[[#This Row],[Location]]=0, "", Tasks[[#This Row],[Location]])</f>
        <v>329B - SE Stairs</v>
      </c>
      <c r="H63" t="str">
        <f>Tasks[[#This Row],[To Package]]</f>
        <v xml:space="preserve">Finish Carpentry </v>
      </c>
      <c r="I63" t="str">
        <f>Tasks[[#This Row],[To Organisation]]</f>
        <v>Fetzers' Inc.</v>
      </c>
    </row>
    <row r="64" spans="1:9" x14ac:dyDescent="0.35">
      <c r="A64" s="9" t="str">
        <f>HYPERLINK(_xlfn.CONCAT(Edit_URL,Tasks[[#This Row],[Ref]]),Tasks[[#This Row],[Ref]])</f>
        <v>T74290.110</v>
      </c>
      <c r="B64" s="6" t="str" cm="1">
        <f t="array" ref="B64">_xlfn.SWITCH(LEFT(Tasks[[#This Row],[Status]],1),"O","Opened","C","Completed","S","Signed Off","ERROR")</f>
        <v>Opened</v>
      </c>
      <c r="C64" s="6" t="str" cm="1">
        <f t="array" ref="C64">_xlfn.SWITCH(LEFT(Tasks[[#This Row],[Type]], 2), "Fi", "Field Report", "Co", "Contractor QC", "Ge", "Contractor QC", "Pu", "Punch List")</f>
        <v>Contractor QC</v>
      </c>
      <c r="D64" s="6" t="str">
        <f>LEFT(Tasks[[#This Row],[Description]], 50)</f>
        <v>Finish plaster around trim</v>
      </c>
      <c r="E64" s="6" t="str" cm="1">
        <f t="array" ref="E64">_xlfn.LET(
_xlpm.inTower, COUNTIF(Tower_Num_Table[Tower Rm Numbers], LEFT(Task_Summary_Table[[#This Row],[Area/Room]], 3)) &gt; 0,
_xlpm.typeResult, _xlfn.SWITCH(LEFT(Tasks[[#This Row],[Page]], 2), "Hi", "Historic", "An", "Annex", "Si", "Site", "S5", "Project Task", "SWITCH ERROR"),
IF(_xlpm.inTower, "West Tower", _xlpm.typeResult)
)</f>
        <v>Historic</v>
      </c>
      <c r="F64" t="str">
        <f>IFERROR(MID(Tasks[[#This Row],[Page]], FIND("Level", Tasks[[#This Row],[Page]]), 7), IF(ISNUMBER(FIND("Roof", Tasks[[#This Row],[Page]])), "Roof",  IF(ISNUMBER(FIND("S590", Tasks[[#This Row],[Page]])), "",  IF(ISNUMBER(FIND("Site", Tasks[[#This Row],[Page]])), "", "ERROR"))))</f>
        <v>Level 3</v>
      </c>
      <c r="G64" t="str">
        <f>IF(Tasks[[#This Row],[Location]]=0, "", Tasks[[#This Row],[Location]])</f>
        <v>320 - Hallway</v>
      </c>
      <c r="H64" t="str">
        <f>Tasks[[#This Row],[To Package]]</f>
        <v>Plaster</v>
      </c>
      <c r="I64" t="str">
        <f>Tasks[[#This Row],[To Organisation]]</f>
        <v>R. Phillips Plastering LLC</v>
      </c>
    </row>
    <row r="65" spans="1:9" x14ac:dyDescent="0.35">
      <c r="A65" s="9" t="str">
        <f>HYPERLINK(_xlfn.CONCAT(Edit_URL,Tasks[[#This Row],[Ref]]),Tasks[[#This Row],[Ref]])</f>
        <v>T74290.109</v>
      </c>
      <c r="B65" s="6" t="str" cm="1">
        <f t="array" ref="B65">_xlfn.SWITCH(LEFT(Tasks[[#This Row],[Status]],1),"O","Opened","C","Completed","S","Signed Off","ERROR")</f>
        <v>Completed</v>
      </c>
      <c r="C65" s="6" t="str" cm="1">
        <f t="array" ref="C65">_xlfn.SWITCH(LEFT(Tasks[[#This Row],[Type]], 2), "Fi", "Field Report", "Co", "Contractor QC", "Ge", "Contractor QC", "Pu", "Punch List")</f>
        <v>Contractor QC</v>
      </c>
      <c r="D65" s="6" t="str">
        <f>LEFT(Tasks[[#This Row],[Description]], 50)</f>
        <v>Fill in outlet opening</v>
      </c>
      <c r="E65" s="6" t="str" cm="1">
        <f t="array" ref="E65">_xlfn.LET(
_xlpm.inTower, COUNTIF(Tower_Num_Table[Tower Rm Numbers], LEFT(Task_Summary_Table[[#This Row],[Area/Room]], 3)) &gt; 0,
_xlpm.typeResult, _xlfn.SWITCH(LEFT(Tasks[[#This Row],[Page]], 2), "Hi", "Historic", "An", "Annex", "Si", "Site", "S5", "Project Task", "SWITCH ERROR"),
IF(_xlpm.inTower, "West Tower", _xlpm.typeResult)
)</f>
        <v>Historic</v>
      </c>
      <c r="F65" t="str">
        <f>IFERROR(MID(Tasks[[#This Row],[Page]], FIND("Level", Tasks[[#This Row],[Page]]), 7), IF(ISNUMBER(FIND("Roof", Tasks[[#This Row],[Page]])), "Roof",  IF(ISNUMBER(FIND("S590", Tasks[[#This Row],[Page]])), "",  IF(ISNUMBER(FIND("Site", Tasks[[#This Row],[Page]])), "", "ERROR"))))</f>
        <v>Level 3</v>
      </c>
      <c r="G65" t="str">
        <f>IF(Tasks[[#This Row],[Location]]=0, "", Tasks[[#This Row],[Location]])</f>
        <v>321 - Study</v>
      </c>
      <c r="H65" t="str">
        <f>Tasks[[#This Row],[To Package]]</f>
        <v>Metal Stud / Drywall</v>
      </c>
      <c r="I65" t="str">
        <f>Tasks[[#This Row],[To Organisation]]</f>
        <v>Pete King Construction</v>
      </c>
    </row>
    <row r="66" spans="1:9" x14ac:dyDescent="0.35">
      <c r="A66" s="9" t="str">
        <f>HYPERLINK(_xlfn.CONCAT(Edit_URL,Tasks[[#This Row],[Ref]]),Tasks[[#This Row],[Ref]])</f>
        <v>T74290.108</v>
      </c>
      <c r="B66" s="6" t="str" cm="1">
        <f t="array" ref="B66">_xlfn.SWITCH(LEFT(Tasks[[#This Row],[Status]],1),"O","Opened","C","Completed","S","Signed Off","ERROR")</f>
        <v>Completed</v>
      </c>
      <c r="C66" s="6" t="str" cm="1">
        <f t="array" ref="C66">_xlfn.SWITCH(LEFT(Tasks[[#This Row],[Type]], 2), "Fi", "Field Report", "Co", "Contractor QC", "Ge", "Contractor QC", "Pu", "Punch List")</f>
        <v>Contractor QC</v>
      </c>
      <c r="D66" s="6" t="str">
        <f>LEFT(Tasks[[#This Row],[Description]], 50)</f>
        <v>Close in vanity light box</v>
      </c>
      <c r="E66" s="6" t="str" cm="1">
        <f t="array" ref="E66">_xlfn.LET(
_xlpm.inTower, COUNTIF(Tower_Num_Table[Tower Rm Numbers], LEFT(Task_Summary_Table[[#This Row],[Area/Room]], 3)) &gt; 0,
_xlpm.typeResult, _xlfn.SWITCH(LEFT(Tasks[[#This Row],[Page]], 2), "Hi", "Historic", "An", "Annex", "Si", "Site", "S5", "Project Task", "SWITCH ERROR"),
IF(_xlpm.inTower, "West Tower", _xlpm.typeResult)
)</f>
        <v>Historic</v>
      </c>
      <c r="F66" t="str">
        <f>IFERROR(MID(Tasks[[#This Row],[Page]], FIND("Level", Tasks[[#This Row],[Page]]), 7), IF(ISNUMBER(FIND("Roof", Tasks[[#This Row],[Page]])), "Roof",  IF(ISNUMBER(FIND("S590", Tasks[[#This Row],[Page]])), "",  IF(ISNUMBER(FIND("Site", Tasks[[#This Row],[Page]])), "", "ERROR"))))</f>
        <v>Level 2</v>
      </c>
      <c r="G66" t="str">
        <f>IF(Tasks[[#This Row],[Location]]=0, "", Tasks[[#This Row],[Location]])</f>
        <v>216 - Mens Restroom</v>
      </c>
      <c r="H66" t="str">
        <f>Tasks[[#This Row],[To Package]]</f>
        <v>Metal Stud / Drywall</v>
      </c>
      <c r="I66" t="str">
        <f>Tasks[[#This Row],[To Organisation]]</f>
        <v>Pete King Construction</v>
      </c>
    </row>
    <row r="67" spans="1:9" x14ac:dyDescent="0.35">
      <c r="A67" s="9" t="str">
        <f>HYPERLINK(_xlfn.CONCAT(Edit_URL,Tasks[[#This Row],[Ref]]),Tasks[[#This Row],[Ref]])</f>
        <v>T74290.107</v>
      </c>
      <c r="B67" s="6" t="str" cm="1">
        <f t="array" ref="B67">_xlfn.SWITCH(LEFT(Tasks[[#This Row],[Status]],1),"O","Opened","C","Completed","S","Signed Off","ERROR")</f>
        <v>Completed</v>
      </c>
      <c r="C67" s="6" t="str" cm="1">
        <f t="array" ref="C67">_xlfn.SWITCH(LEFT(Tasks[[#This Row],[Type]], 2), "Fi", "Field Report", "Co", "Contractor QC", "Ge", "Contractor QC", "Pu", "Punch List")</f>
        <v>Contractor QC</v>
      </c>
      <c r="D67" s="6" t="str">
        <f>LEFT(Tasks[[#This Row],[Description]], 50)</f>
        <v>Close in vanity light box</v>
      </c>
      <c r="E67" s="6" t="str" cm="1">
        <f t="array" ref="E67">_xlfn.LET(
_xlpm.inTower, COUNTIF(Tower_Num_Table[Tower Rm Numbers], LEFT(Task_Summary_Table[[#This Row],[Area/Room]], 3)) &gt; 0,
_xlpm.typeResult, _xlfn.SWITCH(LEFT(Tasks[[#This Row],[Page]], 2), "Hi", "Historic", "An", "Annex", "Si", "Site", "S5", "Project Task", "SWITCH ERROR"),
IF(_xlpm.inTower, "West Tower", _xlpm.typeResult)
)</f>
        <v>Historic</v>
      </c>
      <c r="F67" t="str">
        <f>IFERROR(MID(Tasks[[#This Row],[Page]], FIND("Level", Tasks[[#This Row],[Page]]), 7), IF(ISNUMBER(FIND("Roof", Tasks[[#This Row],[Page]])), "Roof",  IF(ISNUMBER(FIND("S590", Tasks[[#This Row],[Page]])), "",  IF(ISNUMBER(FIND("Site", Tasks[[#This Row],[Page]])), "", "ERROR"))))</f>
        <v>Level 2</v>
      </c>
      <c r="G67" t="str">
        <f>IF(Tasks[[#This Row],[Location]]=0, "", Tasks[[#This Row],[Location]])</f>
        <v>215 - Womens Restroom</v>
      </c>
      <c r="H67" t="str">
        <f>Tasks[[#This Row],[To Package]]</f>
        <v>Metal Stud / Drywall</v>
      </c>
      <c r="I67" t="str">
        <f>Tasks[[#This Row],[To Organisation]]</f>
        <v>Pete King Construction</v>
      </c>
    </row>
    <row r="68" spans="1:9" x14ac:dyDescent="0.35">
      <c r="A68" s="9" t="str">
        <f>HYPERLINK(_xlfn.CONCAT(Edit_URL,Tasks[[#This Row],[Ref]]),Tasks[[#This Row],[Ref]])</f>
        <v>T1.9652847</v>
      </c>
      <c r="B68" s="6" t="str" cm="1">
        <f t="array" ref="B68">_xlfn.SWITCH(LEFT(Tasks[[#This Row],[Status]],1),"O","Opened","C","Completed","S","Signed Off","ERROR")</f>
        <v>Opened</v>
      </c>
      <c r="C68" s="6" t="str" cm="1">
        <f t="array" ref="C68">_xlfn.SWITCH(LEFT(Tasks[[#This Row],[Type]], 2), "Fi", "Field Report", "Co", "Contractor QC", "Ge", "Contractor QC", "Pu", "Punch List")</f>
        <v>Field Report</v>
      </c>
      <c r="D68" s="6" t="str">
        <f>LEFT(Tasks[[#This Row],[Description]], 50)</f>
        <v>CxA Site Visit Report 20220706, Item 04: Floor Dra</v>
      </c>
      <c r="E68" s="6" t="str" cm="1">
        <f t="array" ref="E68">_xlfn.LET(
_xlpm.inTower, COUNTIF(Tower_Num_Table[Tower Rm Numbers], LEFT(Task_Summary_Table[[#This Row],[Area/Room]], 3)) &gt; 0,
_xlpm.typeResult, _xlfn.SWITCH(LEFT(Tasks[[#This Row],[Page]], 2), "Hi", "Historic", "An", "Annex", "Si", "Site", "S5", "Project Task", "SWITCH ERROR"),
IF(_xlpm.inTower, "West Tower", _xlpm.typeResult)
)</f>
        <v>Historic</v>
      </c>
      <c r="F68" t="str">
        <f>IFERROR(MID(Tasks[[#This Row],[Page]], FIND("Level", Tasks[[#This Row],[Page]]), 7), IF(ISNUMBER(FIND("Roof", Tasks[[#This Row],[Page]])), "Roof",  IF(ISNUMBER(FIND("S590", Tasks[[#This Row],[Page]])), "",  IF(ISNUMBER(FIND("Site", Tasks[[#This Row],[Page]])), "", "ERROR"))))</f>
        <v>Level 3</v>
      </c>
      <c r="G68" t="str">
        <f>IF(Tasks[[#This Row],[Location]]=0, "", Tasks[[#This Row],[Location]])</f>
        <v/>
      </c>
      <c r="H68" t="str">
        <f>Tasks[[#This Row],[To Package]]</f>
        <v>Plumbing</v>
      </c>
      <c r="I68" t="str">
        <f>Tasks[[#This Row],[To Organisation]]</f>
        <v>US Mechanical</v>
      </c>
    </row>
    <row r="69" spans="1:9" x14ac:dyDescent="0.35">
      <c r="A69" s="9" t="str">
        <f>HYPERLINK(_xlfn.CONCAT(Edit_URL,Tasks[[#This Row],[Ref]]),Tasks[[#This Row],[Ref]])</f>
        <v>T1.9652846</v>
      </c>
      <c r="B69" s="6" t="str" cm="1">
        <f t="array" ref="B69">_xlfn.SWITCH(LEFT(Tasks[[#This Row],[Status]],1),"O","Opened","C","Completed","S","Signed Off","ERROR")</f>
        <v>Opened</v>
      </c>
      <c r="C69" s="6" t="str" cm="1">
        <f t="array" ref="C69">_xlfn.SWITCH(LEFT(Tasks[[#This Row],[Type]], 2), "Fi", "Field Report", "Co", "Contractor QC", "Ge", "Contractor QC", "Pu", "Punch List")</f>
        <v>Field Report</v>
      </c>
      <c r="D69" s="6" t="str">
        <f>LEFT(Tasks[[#This Row],[Description]], 50)</f>
        <v>CxA Site Visit Report 20220706, Item 03: Shutoff V</v>
      </c>
      <c r="E69" s="6" t="str" cm="1">
        <f t="array" ref="E69">_xlfn.LET(
_xlpm.inTower, COUNTIF(Tower_Num_Table[Tower Rm Numbers], LEFT(Task_Summary_Table[[#This Row],[Area/Room]], 3)) &gt; 0,
_xlpm.typeResult, _xlfn.SWITCH(LEFT(Tasks[[#This Row],[Page]], 2), "Hi", "Historic", "An", "Annex", "Si", "Site", "S5", "Project Task", "SWITCH ERROR"),
IF(_xlpm.inTower, "West Tower", _xlpm.typeResult)
)</f>
        <v>Historic</v>
      </c>
      <c r="F69" t="str">
        <f>IFERROR(MID(Tasks[[#This Row],[Page]], FIND("Level", Tasks[[#This Row],[Page]]), 7), IF(ISNUMBER(FIND("Roof", Tasks[[#This Row],[Page]])), "Roof",  IF(ISNUMBER(FIND("S590", Tasks[[#This Row],[Page]])), "",  IF(ISNUMBER(FIND("Site", Tasks[[#This Row],[Page]])), "", "ERROR"))))</f>
        <v>Level 2</v>
      </c>
      <c r="G69" t="str">
        <f>IF(Tasks[[#This Row],[Location]]=0, "", Tasks[[#This Row],[Location]])</f>
        <v/>
      </c>
      <c r="H69" t="str">
        <f>Tasks[[#This Row],[To Package]]</f>
        <v>Plumbing</v>
      </c>
      <c r="I69" t="str">
        <f>Tasks[[#This Row],[To Organisation]]</f>
        <v>US Mechanical</v>
      </c>
    </row>
    <row r="70" spans="1:9" x14ac:dyDescent="0.35">
      <c r="A70" s="9" t="str">
        <f>HYPERLINK(_xlfn.CONCAT(Edit_URL,Tasks[[#This Row],[Ref]]),Tasks[[#This Row],[Ref]])</f>
        <v>T1.9652845</v>
      </c>
      <c r="B70" s="6" t="str" cm="1">
        <f t="array" ref="B70">_xlfn.SWITCH(LEFT(Tasks[[#This Row],[Status]],1),"O","Opened","C","Completed","S","Signed Off","ERROR")</f>
        <v>Opened</v>
      </c>
      <c r="C70" s="6" t="str" cm="1">
        <f t="array" ref="C70">_xlfn.SWITCH(LEFT(Tasks[[#This Row],[Type]], 2), "Fi", "Field Report", "Co", "Contractor QC", "Ge", "Contractor QC", "Pu", "Punch List")</f>
        <v>Field Report</v>
      </c>
      <c r="D70" s="6" t="str">
        <f>LEFT(Tasks[[#This Row],[Description]], 50)</f>
        <v>CxA Site Visit Report 20220706, Item 02: Pipe Slop</v>
      </c>
      <c r="E70" s="6" t="str" cm="1">
        <f t="array" ref="E70">_xlfn.LET(
_xlpm.inTower, COUNTIF(Tower_Num_Table[Tower Rm Numbers], LEFT(Task_Summary_Table[[#This Row],[Area/Room]], 3)) &gt; 0,
_xlpm.typeResult, _xlfn.SWITCH(LEFT(Tasks[[#This Row],[Page]], 2), "Hi", "Historic", "An", "Annex", "Si", "Site", "S5", "Project Task", "SWITCH ERROR"),
IF(_xlpm.inTower, "West Tower", _xlpm.typeResult)
)</f>
        <v>Annex</v>
      </c>
      <c r="F70" t="str">
        <f>IFERROR(MID(Tasks[[#This Row],[Page]], FIND("Level", Tasks[[#This Row],[Page]]), 7), IF(ISNUMBER(FIND("Roof", Tasks[[#This Row],[Page]])), "Roof",  IF(ISNUMBER(FIND("S590", Tasks[[#This Row],[Page]])), "",  IF(ISNUMBER(FIND("Site", Tasks[[#This Row],[Page]])), "", "ERROR"))))</f>
        <v>Level 0</v>
      </c>
      <c r="G70" t="str">
        <f>IF(Tasks[[#This Row],[Location]]=0, "", Tasks[[#This Row],[Location]])</f>
        <v/>
      </c>
      <c r="H70" t="str">
        <f>Tasks[[#This Row],[To Package]]</f>
        <v>Plumbing</v>
      </c>
      <c r="I70" t="str">
        <f>Tasks[[#This Row],[To Organisation]]</f>
        <v>US Mechanical</v>
      </c>
    </row>
    <row r="71" spans="1:9" x14ac:dyDescent="0.35">
      <c r="A71" s="9" t="str">
        <f>HYPERLINK(_xlfn.CONCAT(Edit_URL,Tasks[[#This Row],[Ref]]),Tasks[[#This Row],[Ref]])</f>
        <v>T1.9652844</v>
      </c>
      <c r="B71" s="6" t="str" cm="1">
        <f t="array" ref="B71">_xlfn.SWITCH(LEFT(Tasks[[#This Row],[Status]],1),"O","Opened","C","Completed","S","Signed Off","ERROR")</f>
        <v>Opened</v>
      </c>
      <c r="C71" s="6" t="str" cm="1">
        <f t="array" ref="C71">_xlfn.SWITCH(LEFT(Tasks[[#This Row],[Type]], 2), "Fi", "Field Report", "Co", "Contractor QC", "Ge", "Contractor QC", "Pu", "Punch List")</f>
        <v>Field Report</v>
      </c>
      <c r="D71" s="6" t="str">
        <f>LEFT(Tasks[[#This Row],[Description]], 50)</f>
        <v>CxA Site Visit Report 20220706, Item 01: Missing C</v>
      </c>
      <c r="E71" s="6" t="str" cm="1">
        <f t="array" ref="E71">_xlfn.LET(
_xlpm.inTower, COUNTIF(Tower_Num_Table[Tower Rm Numbers], LEFT(Task_Summary_Table[[#This Row],[Area/Room]], 3)) &gt; 0,
_xlpm.typeResult, _xlfn.SWITCH(LEFT(Tasks[[#This Row],[Page]], 2), "Hi", "Historic", "An", "Annex", "Si", "Site", "S5", "Project Task", "SWITCH ERROR"),
IF(_xlpm.inTower, "West Tower", _xlpm.typeResult)
)</f>
        <v>Annex</v>
      </c>
      <c r="F71" t="str">
        <f>IFERROR(MID(Tasks[[#This Row],[Page]], FIND("Level", Tasks[[#This Row],[Page]]), 7), IF(ISNUMBER(FIND("Roof", Tasks[[#This Row],[Page]])), "Roof",  IF(ISNUMBER(FIND("S590", Tasks[[#This Row],[Page]])), "",  IF(ISNUMBER(FIND("Site", Tasks[[#This Row],[Page]])), "", "ERROR"))))</f>
        <v>Level 0</v>
      </c>
      <c r="G71" t="str">
        <f>IF(Tasks[[#This Row],[Location]]=0, "", Tasks[[#This Row],[Location]])</f>
        <v/>
      </c>
      <c r="H71" t="str">
        <f>Tasks[[#This Row],[To Package]]</f>
        <v>Plumbing</v>
      </c>
      <c r="I71" t="str">
        <f>Tasks[[#This Row],[To Organisation]]</f>
        <v>US Mechanical</v>
      </c>
    </row>
    <row r="72" spans="1:9" x14ac:dyDescent="0.35">
      <c r="A72" s="9" t="str">
        <f>HYPERLINK(_xlfn.CONCAT(Edit_URL,Tasks[[#This Row],[Ref]]),Tasks[[#This Row],[Ref]])</f>
        <v>T74291.2</v>
      </c>
      <c r="B72" s="6" t="str" cm="1">
        <f t="array" ref="B72">_xlfn.SWITCH(LEFT(Tasks[[#This Row],[Status]],1),"O","Opened","C","Completed","S","Signed Off","ERROR")</f>
        <v>Opened</v>
      </c>
      <c r="C72" s="6" t="str" cm="1">
        <f t="array" ref="C72">_xlfn.SWITCH(LEFT(Tasks[[#This Row],[Type]], 2), "Fi", "Field Report", "Co", "Contractor QC", "Ge", "Contractor QC", "Pu", "Punch List")</f>
        <v>Contractor QC</v>
      </c>
      <c r="D72" s="6" t="str">
        <f>LEFT(Tasks[[#This Row],[Description]], 50)</f>
        <v xml:space="preserve">Sprinkler piping throughout electrical room needs </v>
      </c>
      <c r="E72" s="6" t="str" cm="1">
        <f t="array" ref="E72">_xlfn.LET(
_xlpm.inTower, COUNTIF(Tower_Num_Table[Tower Rm Numbers], LEFT(Task_Summary_Table[[#This Row],[Area/Room]], 3)) &gt; 0,
_xlpm.typeResult, _xlfn.SWITCH(LEFT(Tasks[[#This Row],[Page]], 2), "Hi", "Historic", "An", "Annex", "Si", "Site", "S5", "Project Task", "SWITCH ERROR"),
IF(_xlpm.inTower, "West Tower", _xlpm.typeResult)
)</f>
        <v>Annex</v>
      </c>
      <c r="F72" t="str">
        <f>IFERROR(MID(Tasks[[#This Row],[Page]], FIND("Level", Tasks[[#This Row],[Page]]), 7), IF(ISNUMBER(FIND("Roof", Tasks[[#This Row],[Page]])), "Roof",  IF(ISNUMBER(FIND("S590", Tasks[[#This Row],[Page]])), "",  IF(ISNUMBER(FIND("Site", Tasks[[#This Row],[Page]])), "", "ERROR"))))</f>
        <v>Level 0</v>
      </c>
      <c r="G72" t="str">
        <f>IF(Tasks[[#This Row],[Location]]=0, "", Tasks[[#This Row],[Location]])</f>
        <v>040 - Elec.</v>
      </c>
      <c r="H72" t="str">
        <f>Tasks[[#This Row],[To Package]]</f>
        <v>Fire Suppression</v>
      </c>
      <c r="I72" t="str">
        <f>Tasks[[#This Row],[To Organisation]]</f>
        <v>Broken Arrow Construction Corporation</v>
      </c>
    </row>
    <row r="73" spans="1:9" x14ac:dyDescent="0.35">
      <c r="A73" s="9" t="str">
        <f>HYPERLINK(_xlfn.CONCAT(Edit_URL,Tasks[[#This Row],[Ref]]),Tasks[[#This Row],[Ref]])</f>
        <v>T74291.1</v>
      </c>
      <c r="B73" s="6" t="str" cm="1">
        <f t="array" ref="B73">_xlfn.SWITCH(LEFT(Tasks[[#This Row],[Status]],1),"O","Opened","C","Completed","S","Signed Off","ERROR")</f>
        <v>Opened</v>
      </c>
      <c r="C73" s="6" t="str" cm="1">
        <f t="array" ref="C73">_xlfn.SWITCH(LEFT(Tasks[[#This Row],[Type]], 2), "Fi", "Field Report", "Co", "Contractor QC", "Ge", "Contractor QC", "Pu", "Punch List")</f>
        <v>Contractor QC</v>
      </c>
      <c r="D73" s="6" t="str">
        <f>LEFT(Tasks[[#This Row],[Description]], 50)</f>
        <v>Plumbing access cabinet for instruction sinks need</v>
      </c>
      <c r="E73" s="6" t="str" cm="1">
        <f t="array" ref="E73">_xlfn.LET(
_xlpm.inTower, COUNTIF(Tower_Num_Table[Tower Rm Numbers], LEFT(Task_Summary_Table[[#This Row],[Area/Room]], 3)) &gt; 0,
_xlpm.typeResult, _xlfn.SWITCH(LEFT(Tasks[[#This Row],[Page]], 2), "Hi", "Historic", "An", "Annex", "Si", "Site", "S5", "Project Task", "SWITCH ERROR"),
IF(_xlpm.inTower, "West Tower", _xlpm.typeResult)
)</f>
        <v>Historic</v>
      </c>
      <c r="F73" t="str">
        <f>IFERROR(MID(Tasks[[#This Row],[Page]], FIND("Level", Tasks[[#This Row],[Page]]), 7), IF(ISNUMBER(FIND("Roof", Tasks[[#This Row],[Page]])), "Roof",  IF(ISNUMBER(FIND("S590", Tasks[[#This Row],[Page]])), "",  IF(ISNUMBER(FIND("Site", Tasks[[#This Row],[Page]])), "", "ERROR"))))</f>
        <v>Level 3</v>
      </c>
      <c r="G73" t="str">
        <f>IF(Tasks[[#This Row],[Location]]=0, "", Tasks[[#This Row],[Location]])</f>
        <v>313 - Instruction Womens</v>
      </c>
      <c r="H73" t="str">
        <f>Tasks[[#This Row],[To Package]]</f>
        <v>Westland -- Historic</v>
      </c>
      <c r="I73" t="str">
        <f>Tasks[[#This Row],[To Organisation]]</f>
        <v>Westland Construction, Inc.</v>
      </c>
    </row>
    <row r="74" spans="1:9" x14ac:dyDescent="0.35">
      <c r="A74" s="9" t="str">
        <f>HYPERLINK(_xlfn.CONCAT(Edit_URL,Tasks[[#This Row],[Ref]]),Tasks[[#This Row],[Ref]])</f>
        <v>T74290.106</v>
      </c>
      <c r="B74" s="6" t="str" cm="1">
        <f t="array" ref="B74">_xlfn.SWITCH(LEFT(Tasks[[#This Row],[Status]],1),"O","Opened","C","Completed","S","Signed Off","ERROR")</f>
        <v>Signed Off</v>
      </c>
      <c r="C74" s="6" t="str" cm="1">
        <f t="array" ref="C74">_xlfn.SWITCH(LEFT(Tasks[[#This Row],[Type]], 2), "Fi", "Field Report", "Co", "Contractor QC", "Ge", "Contractor QC", "Pu", "Punch List")</f>
        <v>Contractor QC</v>
      </c>
      <c r="D74" s="6" t="str">
        <f>LEFT(Tasks[[#This Row],[Description]], 50)</f>
        <v>Exit light needs to be moved up. It is touching th</v>
      </c>
      <c r="E74" s="6" t="str" cm="1">
        <f t="array" ref="E74">_xlfn.LET(
_xlpm.inTower, COUNTIF(Tower_Num_Table[Tower Rm Numbers], LEFT(Task_Summary_Table[[#This Row],[Area/Room]], 3)) &gt; 0,
_xlpm.typeResult, _xlfn.SWITCH(LEFT(Tasks[[#This Row],[Page]], 2), "Hi", "Historic", "An", "Annex", "Si", "Site", "S5", "Project Task", "SWITCH ERROR"),
IF(_xlpm.inTower, "West Tower", _xlpm.typeResult)
)</f>
        <v>Annex</v>
      </c>
      <c r="F74" t="str">
        <f>IFERROR(MID(Tasks[[#This Row],[Page]], FIND("Level", Tasks[[#This Row],[Page]]), 7), IF(ISNUMBER(FIND("Roof", Tasks[[#This Row],[Page]])), "Roof",  IF(ISNUMBER(FIND("S590", Tasks[[#This Row],[Page]])), "",  IF(ISNUMBER(FIND("Site", Tasks[[#This Row],[Page]])), "", "ERROR"))))</f>
        <v>Level 1</v>
      </c>
      <c r="G74" t="str">
        <f>IF(Tasks[[#This Row],[Location]]=0, "", Tasks[[#This Row],[Location]])</f>
        <v>138 - Folding</v>
      </c>
      <c r="H74" t="str">
        <f>Tasks[[#This Row],[To Package]]</f>
        <v>Electrical</v>
      </c>
      <c r="I74" t="str">
        <f>Tasks[[#This Row],[To Organisation]]</f>
        <v>Wilkinson Electric Inc</v>
      </c>
    </row>
    <row r="75" spans="1:9" x14ac:dyDescent="0.35">
      <c r="A75" s="9" t="str">
        <f>HYPERLINK(_xlfn.CONCAT(Edit_URL,Tasks[[#This Row],[Ref]]),Tasks[[#This Row],[Ref]])</f>
        <v>T1.9646166</v>
      </c>
      <c r="B75" s="6" t="str" cm="1">
        <f t="array" ref="B75">_xlfn.SWITCH(LEFT(Tasks[[#This Row],[Status]],1),"O","Opened","C","Completed","S","Signed Off","ERROR")</f>
        <v>Opened</v>
      </c>
      <c r="C75" s="6" t="str" cm="1">
        <f t="array" ref="C75">_xlfn.SWITCH(LEFT(Tasks[[#This Row],[Type]], 2), "Fi", "Field Report", "Co", "Contractor QC", "Ge", "Contractor QC", "Pu", "Punch List")</f>
        <v>Field Report</v>
      </c>
      <c r="D75" s="6" t="str">
        <f>LEFT(Tasks[[#This Row],[Description]], 50)</f>
        <v>Form joints at the precast panels have become visi</v>
      </c>
      <c r="E75" s="6" t="str" cm="1">
        <f t="array" ref="E75">_xlfn.LET(
_xlpm.inTower, COUNTIF(Tower_Num_Table[Tower Rm Numbers], LEFT(Task_Summary_Table[[#This Row],[Area/Room]], 3)) &gt; 0,
_xlpm.typeResult, _xlfn.SWITCH(LEFT(Tasks[[#This Row],[Page]], 2), "Hi", "Historic", "An", "Annex", "Si", "Site", "S5", "Project Task", "SWITCH ERROR"),
IF(_xlpm.inTower, "West Tower", _xlpm.typeResult)
)</f>
        <v>Annex</v>
      </c>
      <c r="F75" t="str">
        <f>IFERROR(MID(Tasks[[#This Row],[Page]], FIND("Level", Tasks[[#This Row],[Page]]), 7), IF(ISNUMBER(FIND("Roof", Tasks[[#This Row],[Page]])), "Roof",  IF(ISNUMBER(FIND("S590", Tasks[[#This Row],[Page]])), "",  IF(ISNUMBER(FIND("Site", Tasks[[#This Row],[Page]])), "", "ERROR"))))</f>
        <v>Level 1</v>
      </c>
      <c r="G75" t="str">
        <f>IF(Tasks[[#This Row],[Location]]=0, "", Tasks[[#This Row],[Location]])</f>
        <v/>
      </c>
      <c r="H75" t="str">
        <f>Tasks[[#This Row],[To Package]]</f>
        <v>Paint</v>
      </c>
      <c r="I75" t="str">
        <f>Tasks[[#This Row],[To Organisation]]</f>
        <v>Accent Painting and Special Coatings, LLC</v>
      </c>
    </row>
    <row r="76" spans="1:9" x14ac:dyDescent="0.35">
      <c r="A76" s="9" t="str">
        <f>HYPERLINK(_xlfn.CONCAT(Edit_URL,Tasks[[#This Row],[Ref]]),Tasks[[#This Row],[Ref]])</f>
        <v>T74290.105</v>
      </c>
      <c r="B76" s="6" t="str" cm="1">
        <f t="array" ref="B76">_xlfn.SWITCH(LEFT(Tasks[[#This Row],[Status]],1),"O","Opened","C","Completed","S","Signed Off","ERROR")</f>
        <v>Signed Off</v>
      </c>
      <c r="C76" s="6" t="str" cm="1">
        <f t="array" ref="C76">_xlfn.SWITCH(LEFT(Tasks[[#This Row],[Type]], 2), "Fi", "Field Report", "Co", "Contractor QC", "Ge", "Contractor QC", "Pu", "Punch List")</f>
        <v>Contractor QC</v>
      </c>
      <c r="D76" s="6" t="str">
        <f>LEFT(Tasks[[#This Row],[Description]], 50)</f>
        <v>Prime and paint ceiling￼</v>
      </c>
      <c r="E76" s="6" t="str" cm="1">
        <f t="array" ref="E76">_xlfn.LET(
_xlpm.inTower, COUNTIF(Tower_Num_Table[Tower Rm Numbers], LEFT(Task_Summary_Table[[#This Row],[Area/Room]], 3)) &gt; 0,
_xlpm.typeResult, _xlfn.SWITCH(LEFT(Tasks[[#This Row],[Page]], 2), "Hi", "Historic", "An", "Annex", "Si", "Site", "S5", "Project Task", "SWITCH ERROR"),
IF(_xlpm.inTower, "West Tower", _xlpm.typeResult)
)</f>
        <v>Annex</v>
      </c>
      <c r="F76" t="str">
        <f>IFERROR(MID(Tasks[[#This Row],[Page]], FIND("Level", Tasks[[#This Row],[Page]]), 7), IF(ISNUMBER(FIND("Roof", Tasks[[#This Row],[Page]])), "Roof",  IF(ISNUMBER(FIND("S590", Tasks[[#This Row],[Page]])), "",  IF(ISNUMBER(FIND("Site", Tasks[[#This Row],[Page]])), "", "ERROR"))))</f>
        <v>Level 1</v>
      </c>
      <c r="G76" t="str">
        <f>IF(Tasks[[#This Row],[Location]]=0, "", Tasks[[#This Row],[Location]])</f>
        <v>152A - Jan</v>
      </c>
      <c r="H76" t="str">
        <f>Tasks[[#This Row],[To Package]]</f>
        <v>Paint</v>
      </c>
      <c r="I76" t="str">
        <f>Tasks[[#This Row],[To Organisation]]</f>
        <v>Accent Painting and Special Coatings, LLC</v>
      </c>
    </row>
    <row r="77" spans="1:9" x14ac:dyDescent="0.35">
      <c r="A77" s="9" t="str">
        <f>HYPERLINK(_xlfn.CONCAT(Edit_URL,Tasks[[#This Row],[Ref]]),Tasks[[#This Row],[Ref]])</f>
        <v>T74290.104</v>
      </c>
      <c r="B77" s="6" t="str" cm="1">
        <f t="array" ref="B77">_xlfn.SWITCH(LEFT(Tasks[[#This Row],[Status]],1),"O","Opened","C","Completed","S","Signed Off","ERROR")</f>
        <v>Opened</v>
      </c>
      <c r="C77" s="6" t="str" cm="1">
        <f t="array" ref="C77">_xlfn.SWITCH(LEFT(Tasks[[#This Row],[Type]], 2), "Fi", "Field Report", "Co", "Contractor QC", "Ge", "Contractor QC", "Pu", "Punch List")</f>
        <v>Contractor QC</v>
      </c>
      <c r="D77" s="6" t="str">
        <f>LEFT(Tasks[[#This Row],[Description]], 50)</f>
        <v>Paint access panels￼</v>
      </c>
      <c r="E77" s="6" t="str" cm="1">
        <f t="array" ref="E77">_xlfn.LET(
_xlpm.inTower, COUNTIF(Tower_Num_Table[Tower Rm Numbers], LEFT(Task_Summary_Table[[#This Row],[Area/Room]], 3)) &gt; 0,
_xlpm.typeResult, _xlfn.SWITCH(LEFT(Tasks[[#This Row],[Page]], 2), "Hi", "Historic", "An", "Annex", "Si", "Site", "S5", "Project Task", "SWITCH ERROR"),
IF(_xlpm.inTower, "West Tower", _xlpm.typeResult)
)</f>
        <v>Annex</v>
      </c>
      <c r="F77" t="str">
        <f>IFERROR(MID(Tasks[[#This Row],[Page]], FIND("Level", Tasks[[#This Row],[Page]]), 7), IF(ISNUMBER(FIND("Roof", Tasks[[#This Row],[Page]])), "Roof",  IF(ISNUMBER(FIND("S590", Tasks[[#This Row],[Page]])), "",  IF(ISNUMBER(FIND("Site", Tasks[[#This Row],[Page]])), "", "ERROR"))))</f>
        <v>Level 1</v>
      </c>
      <c r="G77" t="str">
        <f>IF(Tasks[[#This Row],[Location]]=0, "", Tasks[[#This Row],[Location]])</f>
        <v>152 - Women</v>
      </c>
      <c r="H77" t="str">
        <f>Tasks[[#This Row],[To Package]]</f>
        <v>Paint</v>
      </c>
      <c r="I77" t="str">
        <f>Tasks[[#This Row],[To Organisation]]</f>
        <v>Accent Painting and Special Coatings, LLC</v>
      </c>
    </row>
    <row r="78" spans="1:9" x14ac:dyDescent="0.35">
      <c r="A78" s="9" t="str">
        <f>HYPERLINK(_xlfn.CONCAT(Edit_URL,Tasks[[#This Row],[Ref]]),Tasks[[#This Row],[Ref]])</f>
        <v>T74290.103</v>
      </c>
      <c r="B78" s="6" t="str" cm="1">
        <f t="array" ref="B78">_xlfn.SWITCH(LEFT(Tasks[[#This Row],[Status]],1),"O","Opened","C","Completed","S","Signed Off","ERROR")</f>
        <v>Signed Off</v>
      </c>
      <c r="C78" s="6" t="str" cm="1">
        <f t="array" ref="C78">_xlfn.SWITCH(LEFT(Tasks[[#This Row],[Type]], 2), "Fi", "Field Report", "Co", "Contractor QC", "Ge", "Contractor QC", "Pu", "Punch List")</f>
        <v>Contractor QC</v>
      </c>
      <c r="D78" s="6" t="str">
        <f>LEFT(Tasks[[#This Row],[Description]], 50)</f>
        <v>Exit light needs to be moved up, touching casing￼</v>
      </c>
      <c r="E78" s="6" t="str" cm="1">
        <f t="array" ref="E78">_xlfn.LET(
_xlpm.inTower, COUNTIF(Tower_Num_Table[Tower Rm Numbers], LEFT(Task_Summary_Table[[#This Row],[Area/Room]], 3)) &gt; 0,
_xlpm.typeResult, _xlfn.SWITCH(LEFT(Tasks[[#This Row],[Page]], 2), "Hi", "Historic", "An", "Annex", "Si", "Site", "S5", "Project Task", "SWITCH ERROR"),
IF(_xlpm.inTower, "West Tower", _xlpm.typeResult)
)</f>
        <v>Annex</v>
      </c>
      <c r="F78" t="str">
        <f>IFERROR(MID(Tasks[[#This Row],[Page]], FIND("Level", Tasks[[#This Row],[Page]]), 7), IF(ISNUMBER(FIND("Roof", Tasks[[#This Row],[Page]])), "Roof",  IF(ISNUMBER(FIND("S590", Tasks[[#This Row],[Page]])), "",  IF(ISNUMBER(FIND("Site", Tasks[[#This Row],[Page]])), "", "ERROR"))))</f>
        <v>Level 1</v>
      </c>
      <c r="G78" t="str">
        <f>IF(Tasks[[#This Row],[Location]]=0, "", Tasks[[#This Row],[Location]])</f>
        <v/>
      </c>
      <c r="H78" t="str">
        <f>Tasks[[#This Row],[To Package]]</f>
        <v>Electrical</v>
      </c>
      <c r="I78" t="str">
        <f>Tasks[[#This Row],[To Organisation]]</f>
        <v>Wilkinson Electric Inc</v>
      </c>
    </row>
    <row r="79" spans="1:9" x14ac:dyDescent="0.35">
      <c r="A79" s="9" t="str">
        <f>HYPERLINK(_xlfn.CONCAT(Edit_URL,Tasks[[#This Row],[Ref]]),Tasks[[#This Row],[Ref]])</f>
        <v>T74290.102</v>
      </c>
      <c r="B79" s="6" t="str" cm="1">
        <f t="array" ref="B79">_xlfn.SWITCH(LEFT(Tasks[[#This Row],[Status]],1),"O","Opened","C","Completed","S","Signed Off","ERROR")</f>
        <v>Signed Off</v>
      </c>
      <c r="C79" s="6" t="str" cm="1">
        <f t="array" ref="C79">_xlfn.SWITCH(LEFT(Tasks[[#This Row],[Type]], 2), "Fi", "Field Report", "Co", "Contractor QC", "Ge", "Contractor QC", "Pu", "Punch List")</f>
        <v>Contractor QC</v>
      </c>
      <c r="D79" s="6" t="str">
        <f>LEFT(Tasks[[#This Row],[Description]], 50)</f>
        <v>GFRG crack repair - mock up for future repairs</v>
      </c>
      <c r="E79" s="6" t="str" cm="1">
        <f t="array" ref="E79">_xlfn.LET(
_xlpm.inTower, COUNTIF(Tower_Num_Table[Tower Rm Numbers], LEFT(Task_Summary_Table[[#This Row],[Area/Room]], 3)) &gt; 0,
_xlpm.typeResult, _xlfn.SWITCH(LEFT(Tasks[[#This Row],[Page]], 2), "Hi", "Historic", "An", "Annex", "Si", "Site", "S5", "Project Task", "SWITCH ERROR"),
IF(_xlpm.inTower, "West Tower", _xlpm.typeResult)
)</f>
        <v>Annex</v>
      </c>
      <c r="F79" t="str">
        <f>IFERROR(MID(Tasks[[#This Row],[Page]], FIND("Level", Tasks[[#This Row],[Page]]), 7), IF(ISNUMBER(FIND("Roof", Tasks[[#This Row],[Page]])), "Roof",  IF(ISNUMBER(FIND("S590", Tasks[[#This Row],[Page]])), "",  IF(ISNUMBER(FIND("Site", Tasks[[#This Row],[Page]])), "", "ERROR"))))</f>
        <v>Level 1</v>
      </c>
      <c r="G79" t="str">
        <f>IF(Tasks[[#This Row],[Location]]=0, "", Tasks[[#This Row],[Location]])</f>
        <v>114 - Family File</v>
      </c>
      <c r="H79" t="str">
        <f>Tasks[[#This Row],[To Package]]</f>
        <v>GFRG</v>
      </c>
      <c r="I79" t="str">
        <f>Tasks[[#This Row],[To Organisation]]</f>
        <v>Pete King Construction</v>
      </c>
    </row>
    <row r="80" spans="1:9" x14ac:dyDescent="0.35">
      <c r="A80" s="9" t="str">
        <f>HYPERLINK(_xlfn.CONCAT(Edit_URL,Tasks[[#This Row],[Ref]]),Tasks[[#This Row],[Ref]])</f>
        <v>T74290.101</v>
      </c>
      <c r="B80" s="6" t="str" cm="1">
        <f t="array" ref="B80">_xlfn.SWITCH(LEFT(Tasks[[#This Row],[Status]],1),"O","Opened","C","Completed","S","Signed Off","ERROR")</f>
        <v>Opened</v>
      </c>
      <c r="C80" s="6" t="str" cm="1">
        <f t="array" ref="C80">_xlfn.SWITCH(LEFT(Tasks[[#This Row],[Type]], 2), "Fi", "Field Report", "Co", "Contractor QC", "Ge", "Contractor QC", "Pu", "Punch List")</f>
        <v>Contractor QC</v>
      </c>
      <c r="D80" s="6" t="str">
        <f>LEFT(Tasks[[#This Row],[Description]], 50)</f>
        <v>Smooth out joints in handrail for both north and s</v>
      </c>
      <c r="E80" s="6" t="str" cm="1">
        <f t="array" ref="E80">_xlfn.LET(
_xlpm.inTower, COUNTIF(Tower_Num_Table[Tower Rm Numbers], LEFT(Task_Summary_Table[[#This Row],[Area/Room]], 3)) &gt; 0,
_xlpm.typeResult, _xlfn.SWITCH(LEFT(Tasks[[#This Row],[Page]], 2), "Hi", "Historic", "An", "Annex", "Si", "Site", "S5", "Project Task", "SWITCH ERROR"),
IF(_xlpm.inTower, "West Tower", _xlpm.typeResult)
)</f>
        <v>Historic</v>
      </c>
      <c r="F80" t="str">
        <f>IFERROR(MID(Tasks[[#This Row],[Page]], FIND("Level", Tasks[[#This Row],[Page]]), 7), IF(ISNUMBER(FIND("Roof", Tasks[[#This Row],[Page]])), "Roof",  IF(ISNUMBER(FIND("S590", Tasks[[#This Row],[Page]])), "",  IF(ISNUMBER(FIND("Site", Tasks[[#This Row],[Page]])), "", "ERROR"))))</f>
        <v>Level 2</v>
      </c>
      <c r="G80" t="str">
        <f>IF(Tasks[[#This Row],[Location]]=0, "", Tasks[[#This Row],[Location]])</f>
        <v>227 - SE Stair Tower</v>
      </c>
      <c r="H80" t="str">
        <f>Tasks[[#This Row],[To Package]]</f>
        <v xml:space="preserve">Finish Carpentry </v>
      </c>
      <c r="I80" t="str">
        <f>Tasks[[#This Row],[To Organisation]]</f>
        <v>Fetzers' Inc.</v>
      </c>
    </row>
    <row r="81" spans="1:9" x14ac:dyDescent="0.35">
      <c r="A81" s="9" t="str">
        <f>HYPERLINK(_xlfn.CONCAT(Edit_URL,Tasks[[#This Row],[Ref]]),Tasks[[#This Row],[Ref]])</f>
        <v>T74290.100</v>
      </c>
      <c r="B81" s="6" t="str" cm="1">
        <f t="array" ref="B81">_xlfn.SWITCH(LEFT(Tasks[[#This Row],[Status]],1),"O","Opened","C","Completed","S","Signed Off","ERROR")</f>
        <v>Opened</v>
      </c>
      <c r="C81" s="6" t="str" cm="1">
        <f t="array" ref="C81">_xlfn.SWITCH(LEFT(Tasks[[#This Row],[Type]], 2), "Fi", "Field Report", "Co", "Contractor QC", "Ge", "Contractor QC", "Pu", "Punch List")</f>
        <v>Contractor QC</v>
      </c>
      <c r="D81" s="6" t="str">
        <f>LEFT(Tasks[[#This Row],[Description]], 50)</f>
        <v>Remove screws from inside the track￼</v>
      </c>
      <c r="E81" s="6" t="str" cm="1">
        <f t="array" ref="E81">_xlfn.LET(
_xlpm.inTower, COUNTIF(Tower_Num_Table[Tower Rm Numbers], LEFT(Task_Summary_Table[[#This Row],[Area/Room]], 3)) &gt; 0,
_xlpm.typeResult, _xlfn.SWITCH(LEFT(Tasks[[#This Row],[Page]], 2), "Hi", "Historic", "An", "Annex", "Si", "Site", "S5", "Project Task", "SWITCH ERROR"),
IF(_xlpm.inTower, "West Tower", _xlpm.typeResult)
)</f>
        <v>Annex</v>
      </c>
      <c r="F81" t="str">
        <f>IFERROR(MID(Tasks[[#This Row],[Page]], FIND("Level", Tasks[[#This Row],[Page]]), 7), IF(ISNUMBER(FIND("Roof", Tasks[[#This Row],[Page]])), "Roof",  IF(ISNUMBER(FIND("S590", Tasks[[#This Row],[Page]])), "",  IF(ISNUMBER(FIND("Site", Tasks[[#This Row],[Page]])), "", "ERROR"))))</f>
        <v>Level 1</v>
      </c>
      <c r="G81" t="str">
        <f>IF(Tasks[[#This Row],[Location]]=0, "", Tasks[[#This Row],[Location]])</f>
        <v>162 - Instruction Women</v>
      </c>
      <c r="H81" t="str">
        <f>Tasks[[#This Row],[To Package]]</f>
        <v xml:space="preserve">Finish Carpentry </v>
      </c>
      <c r="I81" t="str">
        <f>Tasks[[#This Row],[To Organisation]]</f>
        <v>Fetzers' Inc.</v>
      </c>
    </row>
    <row r="82" spans="1:9" x14ac:dyDescent="0.35">
      <c r="A82" s="9" t="str">
        <f>HYPERLINK(_xlfn.CONCAT(Edit_URL,Tasks[[#This Row],[Ref]]),Tasks[[#This Row],[Ref]])</f>
        <v>T74290.99</v>
      </c>
      <c r="B82" s="6" t="str" cm="1">
        <f t="array" ref="B82">_xlfn.SWITCH(LEFT(Tasks[[#This Row],[Status]],1),"O","Opened","C","Completed","S","Signed Off","ERROR")</f>
        <v>Completed</v>
      </c>
      <c r="C82" s="6" t="str" cm="1">
        <f t="array" ref="C82">_xlfn.SWITCH(LEFT(Tasks[[#This Row],[Type]], 2), "Fi", "Field Report", "Co", "Contractor QC", "Ge", "Contractor QC", "Pu", "Punch List")</f>
        <v>Contractor QC</v>
      </c>
      <c r="D82" s="6" t="str">
        <f>LEFT(Tasks[[#This Row],[Description]], 50)</f>
        <v>Clean up overspray and caulking and repaint￼</v>
      </c>
      <c r="E82" s="6" t="str" cm="1">
        <f t="array" ref="E82">_xlfn.LET(
_xlpm.inTower, COUNTIF(Tower_Num_Table[Tower Rm Numbers], LEFT(Task_Summary_Table[[#This Row],[Area/Room]], 3)) &gt; 0,
_xlpm.typeResult, _xlfn.SWITCH(LEFT(Tasks[[#This Row],[Page]], 2), "Hi", "Historic", "An", "Annex", "Si", "Site", "S5", "Project Task", "SWITCH ERROR"),
IF(_xlpm.inTower, "West Tower", _xlpm.typeResult)
)</f>
        <v>Historic</v>
      </c>
      <c r="F82" t="str">
        <f>IFERROR(MID(Tasks[[#This Row],[Page]], FIND("Level", Tasks[[#This Row],[Page]]), 7), IF(ISNUMBER(FIND("Roof", Tasks[[#This Row],[Page]])), "Roof",  IF(ISNUMBER(FIND("S590", Tasks[[#This Row],[Page]])), "",  IF(ISNUMBER(FIND("Site", Tasks[[#This Row],[Page]])), "", "ERROR"))))</f>
        <v>Level 4</v>
      </c>
      <c r="G82" t="str">
        <f>IF(Tasks[[#This Row],[Location]]=0, "", Tasks[[#This Row],[Location]])</f>
        <v>408 - Assembly Room</v>
      </c>
      <c r="H82" t="str">
        <f>Tasks[[#This Row],[To Package]]</f>
        <v>Paint</v>
      </c>
      <c r="I82" t="str">
        <f>Tasks[[#This Row],[To Organisation]]</f>
        <v>Accent Painting and Special Coatings, LLC</v>
      </c>
    </row>
    <row r="83" spans="1:9" x14ac:dyDescent="0.35">
      <c r="A83" s="9" t="str">
        <f>HYPERLINK(_xlfn.CONCAT(Edit_URL,Tasks[[#This Row],[Ref]]),Tasks[[#This Row],[Ref]])</f>
        <v>T74290.98</v>
      </c>
      <c r="B83" s="6" t="str" cm="1">
        <f t="array" ref="B83">_xlfn.SWITCH(LEFT(Tasks[[#This Row],[Status]],1),"O","Opened","C","Completed","S","Signed Off","ERROR")</f>
        <v>Completed</v>
      </c>
      <c r="C83" s="6" t="str" cm="1">
        <f t="array" ref="C83">_xlfn.SWITCH(LEFT(Tasks[[#This Row],[Type]], 2), "Fi", "Field Report", "Co", "Contractor QC", "Ge", "Contractor QC", "Pu", "Punch List")</f>
        <v>Contractor QC</v>
      </c>
      <c r="D83" s="6" t="str">
        <f>LEFT(Tasks[[#This Row],[Description]], 50)</f>
        <v>Sand and repaint￼</v>
      </c>
      <c r="E83" s="6" t="str" cm="1">
        <f t="array" ref="E83">_xlfn.LET(
_xlpm.inTower, COUNTIF(Tower_Num_Table[Tower Rm Numbers], LEFT(Task_Summary_Table[[#This Row],[Area/Room]], 3)) &gt; 0,
_xlpm.typeResult, _xlfn.SWITCH(LEFT(Tasks[[#This Row],[Page]], 2), "Hi", "Historic", "An", "Annex", "Si", "Site", "S5", "Project Task", "SWITCH ERROR"),
IF(_xlpm.inTower, "West Tower", _xlpm.typeResult)
)</f>
        <v>Historic</v>
      </c>
      <c r="F83" t="str">
        <f>IFERROR(MID(Tasks[[#This Row],[Page]], FIND("Level", Tasks[[#This Row],[Page]]), 7), IF(ISNUMBER(FIND("Roof", Tasks[[#This Row],[Page]])), "Roof",  IF(ISNUMBER(FIND("S590", Tasks[[#This Row],[Page]])), "",  IF(ISNUMBER(FIND("Site", Tasks[[#This Row],[Page]])), "", "ERROR"))))</f>
        <v>Level 4</v>
      </c>
      <c r="G83" t="str">
        <f>IF(Tasks[[#This Row],[Location]]=0, "", Tasks[[#This Row],[Location]])</f>
        <v>408 - Assembly Room</v>
      </c>
      <c r="H83" t="str">
        <f>Tasks[[#This Row],[To Package]]</f>
        <v>Paint</v>
      </c>
      <c r="I83" t="str">
        <f>Tasks[[#This Row],[To Organisation]]</f>
        <v>Accent Painting and Special Coatings, LLC</v>
      </c>
    </row>
    <row r="84" spans="1:9" x14ac:dyDescent="0.35">
      <c r="A84" s="9" t="str">
        <f>HYPERLINK(_xlfn.CONCAT(Edit_URL,Tasks[[#This Row],[Ref]]),Tasks[[#This Row],[Ref]])</f>
        <v>T74290.97</v>
      </c>
      <c r="B84" s="6" t="str" cm="1">
        <f t="array" ref="B84">_xlfn.SWITCH(LEFT(Tasks[[#This Row],[Status]],1),"O","Opened","C","Completed","S","Signed Off","ERROR")</f>
        <v>Opened</v>
      </c>
      <c r="C84" s="6" t="str" cm="1">
        <f t="array" ref="C84">_xlfn.SWITCH(LEFT(Tasks[[#This Row],[Type]], 2), "Fi", "Field Report", "Co", "Contractor QC", "Ge", "Contractor QC", "Pu", "Punch List")</f>
        <v>Contractor QC</v>
      </c>
      <c r="D84" s="6" t="str">
        <f>LEFT(Tasks[[#This Row],[Description]], 50)</f>
        <v>Remove paint off of finished cabinetry. Remove mas</v>
      </c>
      <c r="E84" s="6" t="str" cm="1">
        <f t="array" ref="E84">_xlfn.LET(
_xlpm.inTower, COUNTIF(Tower_Num_Table[Tower Rm Numbers], LEFT(Task_Summary_Table[[#This Row],[Area/Room]], 3)) &gt; 0,
_xlpm.typeResult, _xlfn.SWITCH(LEFT(Tasks[[#This Row],[Page]], 2), "Hi", "Historic", "An", "Annex", "Si", "Site", "S5", "Project Task", "SWITCH ERROR"),
IF(_xlpm.inTower, "West Tower", _xlpm.typeResult)
)</f>
        <v>Annex</v>
      </c>
      <c r="F84" t="str">
        <f>IFERROR(MID(Tasks[[#This Row],[Page]], FIND("Level", Tasks[[#This Row],[Page]]), 7), IF(ISNUMBER(FIND("Roof", Tasks[[#This Row],[Page]])), "Roof",  IF(ISNUMBER(FIND("S590", Tasks[[#This Row],[Page]])), "",  IF(ISNUMBER(FIND("Site", Tasks[[#This Row],[Page]])), "", "ERROR"))))</f>
        <v>Level 0</v>
      </c>
      <c r="G84" t="str">
        <f>IF(Tasks[[#This Row],[Location]]=0, "", Tasks[[#This Row],[Location]])</f>
        <v>015 - WORKER TRAINING</v>
      </c>
      <c r="H84" t="str">
        <f>Tasks[[#This Row],[To Package]]</f>
        <v>Paint</v>
      </c>
      <c r="I84" t="str">
        <f>Tasks[[#This Row],[To Organisation]]</f>
        <v>Accent Painting and Special Coatings, LLC</v>
      </c>
    </row>
    <row r="85" spans="1:9" x14ac:dyDescent="0.35">
      <c r="A85" s="9" t="str">
        <f>HYPERLINK(_xlfn.CONCAT(Edit_URL,Tasks[[#This Row],[Ref]]),Tasks[[#This Row],[Ref]])</f>
        <v>T74290.96</v>
      </c>
      <c r="B85" s="6" t="str" cm="1">
        <f t="array" ref="B85">_xlfn.SWITCH(LEFT(Tasks[[#This Row],[Status]],1),"O","Opened","C","Completed","S","Signed Off","ERROR")</f>
        <v>Opened</v>
      </c>
      <c r="C85" s="6" t="str" cm="1">
        <f t="array" ref="C85">_xlfn.SWITCH(LEFT(Tasks[[#This Row],[Type]], 2), "Fi", "Field Report", "Co", "Contractor QC", "Ge", "Contractor QC", "Pu", "Punch List")</f>
        <v>Contractor QC</v>
      </c>
      <c r="D85" s="6" t="str">
        <f>LEFT(Tasks[[#This Row],[Description]], 50)</f>
        <v>Complete ceiling paint around fire sprinkler￼</v>
      </c>
      <c r="E85" s="6" t="str" cm="1">
        <f t="array" ref="E85">_xlfn.LET(
_xlpm.inTower, COUNTIF(Tower_Num_Table[Tower Rm Numbers], LEFT(Task_Summary_Table[[#This Row],[Area/Room]], 3)) &gt; 0,
_xlpm.typeResult, _xlfn.SWITCH(LEFT(Tasks[[#This Row],[Page]], 2), "Hi", "Historic", "An", "Annex", "Si", "Site", "S5", "Project Task", "SWITCH ERROR"),
IF(_xlpm.inTower, "West Tower", _xlpm.typeResult)
)</f>
        <v>Annex</v>
      </c>
      <c r="F85" t="str">
        <f>IFERROR(MID(Tasks[[#This Row],[Page]], FIND("Level", Tasks[[#This Row],[Page]]), 7), IF(ISNUMBER(FIND("Roof", Tasks[[#This Row],[Page]])), "Roof",  IF(ISNUMBER(FIND("S590", Tasks[[#This Row],[Page]])), "",  IF(ISNUMBER(FIND("Site", Tasks[[#This Row],[Page]])), "", "ERROR"))))</f>
        <v>Level 0</v>
      </c>
      <c r="G85" t="str">
        <f>IF(Tasks[[#This Row],[Location]]=0, "", Tasks[[#This Row],[Location]])</f>
        <v>015 - WORKER TRAINING</v>
      </c>
      <c r="H85" t="str">
        <f>Tasks[[#This Row],[To Package]]</f>
        <v>Paint</v>
      </c>
      <c r="I85" t="str">
        <f>Tasks[[#This Row],[To Organisation]]</f>
        <v>Accent Painting and Special Coatings, LLC</v>
      </c>
    </row>
    <row r="86" spans="1:9" x14ac:dyDescent="0.35">
      <c r="A86" s="9" t="str">
        <f>HYPERLINK(_xlfn.CONCAT(Edit_URL,Tasks[[#This Row],[Ref]]),Tasks[[#This Row],[Ref]])</f>
        <v>T74290.95</v>
      </c>
      <c r="B86" s="6" t="str" cm="1">
        <f t="array" ref="B86">_xlfn.SWITCH(LEFT(Tasks[[#This Row],[Status]],1),"O","Opened","C","Completed","S","Signed Off","ERROR")</f>
        <v>Signed Off</v>
      </c>
      <c r="C86" s="6" t="str" cm="1">
        <f t="array" ref="C86">_xlfn.SWITCH(LEFT(Tasks[[#This Row],[Type]], 2), "Fi", "Field Report", "Co", "Contractor QC", "Ge", "Contractor QC", "Pu", "Punch List")</f>
        <v>Contractor QC</v>
      </c>
      <c r="D86" s="6" t="str">
        <f>LEFT(Tasks[[#This Row],[Description]], 50)</f>
        <v>Move electrical outlet up￼</v>
      </c>
      <c r="E86" s="6" t="str" cm="1">
        <f t="array" ref="E86">_xlfn.LET(
_xlpm.inTower, COUNTIF(Tower_Num_Table[Tower Rm Numbers], LEFT(Task_Summary_Table[[#This Row],[Area/Room]], 3)) &gt; 0,
_xlpm.typeResult, _xlfn.SWITCH(LEFT(Tasks[[#This Row],[Page]], 2), "Hi", "Historic", "An", "Annex", "Si", "Site", "S5", "Project Task", "SWITCH ERROR"),
IF(_xlpm.inTower, "West Tower", _xlpm.typeResult)
)</f>
        <v>Historic</v>
      </c>
      <c r="F86" t="str">
        <f>IFERROR(MID(Tasks[[#This Row],[Page]], FIND("Level", Tasks[[#This Row],[Page]]), 7), IF(ISNUMBER(FIND("Roof", Tasks[[#This Row],[Page]])), "Roof",  IF(ISNUMBER(FIND("S590", Tasks[[#This Row],[Page]])), "",  IF(ISNUMBER(FIND("Site", Tasks[[#This Row],[Page]])), "", "ERROR"))))</f>
        <v>Level 4</v>
      </c>
      <c r="G86" t="str">
        <f>IF(Tasks[[#This Row],[Location]]=0, "", Tasks[[#This Row],[Location]])</f>
        <v>414 - NE Stair Tower</v>
      </c>
      <c r="H86" t="str">
        <f>Tasks[[#This Row],[To Package]]</f>
        <v>Electrical</v>
      </c>
      <c r="I86" t="str">
        <f>Tasks[[#This Row],[To Organisation]]</f>
        <v>Wilkinson Electric Inc</v>
      </c>
    </row>
    <row r="87" spans="1:9" x14ac:dyDescent="0.35">
      <c r="A87" s="9" t="str">
        <f>HYPERLINK(_xlfn.CONCAT(Edit_URL,Tasks[[#This Row],[Ref]]),Tasks[[#This Row],[Ref]])</f>
        <v>T74290.94</v>
      </c>
      <c r="B87" s="6" t="str" cm="1">
        <f t="array" ref="B87">_xlfn.SWITCH(LEFT(Tasks[[#This Row],[Status]],1),"O","Opened","C","Completed","S","Signed Off","ERROR")</f>
        <v>Opened</v>
      </c>
      <c r="C87" s="6" t="str" cm="1">
        <f t="array" ref="C87">_xlfn.SWITCH(LEFT(Tasks[[#This Row],[Type]], 2), "Fi", "Field Report", "Co", "Contractor QC", "Ge", "Contractor QC", "Pu", "Punch List")</f>
        <v>Contractor QC</v>
      </c>
      <c r="D87" s="6" t="str">
        <f>LEFT(Tasks[[#This Row],[Description]], 50)</f>
        <v>Grout holes and honeycomb in exterior of walls</v>
      </c>
      <c r="E87" s="6" t="str" cm="1">
        <f t="array" ref="E87">_xlfn.LET(
_xlpm.inTower, COUNTIF(Tower_Num_Table[Tower Rm Numbers], LEFT(Task_Summary_Table[[#This Row],[Area/Room]], 3)) &gt; 0,
_xlpm.typeResult, _xlfn.SWITCH(LEFT(Tasks[[#This Row],[Page]], 2), "Hi", "Historic", "An", "Annex", "Si", "Site", "S5", "Project Task", "SWITCH ERROR"),
IF(_xlpm.inTower, "West Tower", _xlpm.typeResult)
)</f>
        <v>Historic</v>
      </c>
      <c r="F87" t="str">
        <f>IFERROR(MID(Tasks[[#This Row],[Page]], FIND("Level", Tasks[[#This Row],[Page]]), 7), IF(ISNUMBER(FIND("Roof", Tasks[[#This Row],[Page]])), "Roof",  IF(ISNUMBER(FIND("S590", Tasks[[#This Row],[Page]])), "",  IF(ISNUMBER(FIND("Site", Tasks[[#This Row],[Page]])), "", "ERROR"))))</f>
        <v>Level 1</v>
      </c>
      <c r="G87" t="str">
        <f>IF(Tasks[[#This Row],[Location]]=0, "", Tasks[[#This Row],[Location]])</f>
        <v/>
      </c>
      <c r="H87" t="str">
        <f>Tasks[[#This Row],[To Package]]</f>
        <v>Concrete</v>
      </c>
      <c r="I87" t="str">
        <f>Tasks[[#This Row],[To Organisation]]</f>
        <v>Innovative Concrete, LLC</v>
      </c>
    </row>
    <row r="88" spans="1:9" x14ac:dyDescent="0.35">
      <c r="A88" s="9" t="str">
        <f>HYPERLINK(_xlfn.CONCAT(Edit_URL,Tasks[[#This Row],[Ref]]),Tasks[[#This Row],[Ref]])</f>
        <v>T74290.93</v>
      </c>
      <c r="B88" s="6" t="str" cm="1">
        <f t="array" ref="B88">_xlfn.SWITCH(LEFT(Tasks[[#This Row],[Status]],1),"O","Opened","C","Completed","S","Signed Off","ERROR")</f>
        <v>Completed</v>
      </c>
      <c r="C88" s="6" t="str" cm="1">
        <f t="array" ref="C88">_xlfn.SWITCH(LEFT(Tasks[[#This Row],[Type]], 2), "Fi", "Field Report", "Co", "Contractor QC", "Ge", "Contractor QC", "Pu", "Punch List")</f>
        <v>Contractor QC</v>
      </c>
      <c r="D88" s="6" t="str">
        <f>LEFT(Tasks[[#This Row],[Description]], 50)</f>
        <v xml:space="preserve">Grout honeycomb and holes on exterior </v>
      </c>
      <c r="E88" s="6" t="str" cm="1">
        <f t="array" ref="E88">_xlfn.LET(
_xlpm.inTower, COUNTIF(Tower_Num_Table[Tower Rm Numbers], LEFT(Task_Summary_Table[[#This Row],[Area/Room]], 3)) &gt; 0,
_xlpm.typeResult, _xlfn.SWITCH(LEFT(Tasks[[#This Row],[Page]], 2), "Hi", "Historic", "An", "Annex", "Si", "Site", "S5", "Project Task", "SWITCH ERROR"),
IF(_xlpm.inTower, "West Tower", _xlpm.typeResult)
)</f>
        <v>Historic</v>
      </c>
      <c r="F88" t="str">
        <f>IFERROR(MID(Tasks[[#This Row],[Page]], FIND("Level", Tasks[[#This Row],[Page]]), 7), IF(ISNUMBER(FIND("Roof", Tasks[[#This Row],[Page]])), "Roof",  IF(ISNUMBER(FIND("S590", Tasks[[#This Row],[Page]])), "",  IF(ISNUMBER(FIND("Site", Tasks[[#This Row],[Page]])), "", "ERROR"))))</f>
        <v>Level 0</v>
      </c>
      <c r="G88" t="str">
        <f>IF(Tasks[[#This Row],[Location]]=0, "", Tasks[[#This Row],[Location]])</f>
        <v/>
      </c>
      <c r="H88" t="str">
        <f>Tasks[[#This Row],[To Package]]</f>
        <v>Concrete</v>
      </c>
      <c r="I88" t="str">
        <f>Tasks[[#This Row],[To Organisation]]</f>
        <v>Innovative Concrete, LLC</v>
      </c>
    </row>
    <row r="89" spans="1:9" x14ac:dyDescent="0.35">
      <c r="A89" s="9" t="str">
        <f>HYPERLINK(_xlfn.CONCAT(Edit_URL,Tasks[[#This Row],[Ref]]),Tasks[[#This Row],[Ref]])</f>
        <v>T74290.92</v>
      </c>
      <c r="B89" s="6" t="str" cm="1">
        <f t="array" ref="B89">_xlfn.SWITCH(LEFT(Tasks[[#This Row],[Status]],1),"O","Opened","C","Completed","S","Signed Off","ERROR")</f>
        <v>Signed Off</v>
      </c>
      <c r="C89" s="6" t="str" cm="1">
        <f t="array" ref="C89">_xlfn.SWITCH(LEFT(Tasks[[#This Row],[Type]], 2), "Fi", "Field Report", "Co", "Contractor QC", "Ge", "Contractor QC", "Pu", "Punch List")</f>
        <v>Contractor QC</v>
      </c>
      <c r="D89" s="6" t="str">
        <f>LEFT(Tasks[[#This Row],[Description]], 50)</f>
        <v>Cut off bracket</v>
      </c>
      <c r="E89" s="6" t="str" cm="1">
        <f t="array" ref="E89">_xlfn.LET(
_xlpm.inTower, COUNTIF(Tower_Num_Table[Tower Rm Numbers], LEFT(Task_Summary_Table[[#This Row],[Area/Room]], 3)) &gt; 0,
_xlpm.typeResult, _xlfn.SWITCH(LEFT(Tasks[[#This Row],[Page]], 2), "Hi", "Historic", "An", "Annex", "Si", "Site", "S5", "Project Task", "SWITCH ERROR"),
IF(_xlpm.inTower, "West Tower", _xlpm.typeResult)
)</f>
        <v>Historic</v>
      </c>
      <c r="F89" t="str">
        <f>IFERROR(MID(Tasks[[#This Row],[Page]], FIND("Level", Tasks[[#This Row],[Page]]), 7), IF(ISNUMBER(FIND("Roof", Tasks[[#This Row],[Page]])), "Roof",  IF(ISNUMBER(FIND("S590", Tasks[[#This Row],[Page]])), "",  IF(ISNUMBER(FIND("Site", Tasks[[#This Row],[Page]])), "", "ERROR"))))</f>
        <v>Level 0</v>
      </c>
      <c r="G89" t="str">
        <f>IF(Tasks[[#This Row],[Location]]=0, "", Tasks[[#This Row],[Location]])</f>
        <v>075 - Showers - Boys</v>
      </c>
      <c r="H89" t="str">
        <f>Tasks[[#This Row],[To Package]]</f>
        <v>Plumbing</v>
      </c>
      <c r="I89" t="str">
        <f>Tasks[[#This Row],[To Organisation]]</f>
        <v>US Mechanical</v>
      </c>
    </row>
    <row r="90" spans="1:9" x14ac:dyDescent="0.35">
      <c r="A90" s="9" t="str">
        <f>HYPERLINK(_xlfn.CONCAT(Edit_URL,Tasks[[#This Row],[Ref]]),Tasks[[#This Row],[Ref]])</f>
        <v>T74290.91</v>
      </c>
      <c r="B90" s="6" t="str" cm="1">
        <f t="array" ref="B90">_xlfn.SWITCH(LEFT(Tasks[[#This Row],[Status]],1),"O","Opened","C","Completed","S","Signed Off","ERROR")</f>
        <v>Opened</v>
      </c>
      <c r="C90" s="6" t="str" cm="1">
        <f t="array" ref="C90">_xlfn.SWITCH(LEFT(Tasks[[#This Row],[Type]], 2), "Fi", "Field Report", "Co", "Contractor QC", "Ge", "Contractor QC", "Pu", "Punch List")</f>
        <v>Contractor QC</v>
      </c>
      <c r="D90" s="6" t="str">
        <f>LEFT(Tasks[[#This Row],[Description]], 50)</f>
        <v>Seal along foundation￼</v>
      </c>
      <c r="E90" s="6" t="str" cm="1">
        <f t="array" ref="E90">_xlfn.LET(
_xlpm.inTower, COUNTIF(Tower_Num_Table[Tower Rm Numbers], LEFT(Task_Summary_Table[[#This Row],[Area/Room]], 3)) &gt; 0,
_xlpm.typeResult, _xlfn.SWITCH(LEFT(Tasks[[#This Row],[Page]], 2), "Hi", "Historic", "An", "Annex", "Si", "Site", "S5", "Project Task", "SWITCH ERROR"),
IF(_xlpm.inTower, "West Tower", _xlpm.typeResult)
)</f>
        <v>Annex</v>
      </c>
      <c r="F90" t="str">
        <f>IFERROR(MID(Tasks[[#This Row],[Page]], FIND("Level", Tasks[[#This Row],[Page]]), 7), IF(ISNUMBER(FIND("Roof", Tasks[[#This Row],[Page]])), "Roof",  IF(ISNUMBER(FIND("S590", Tasks[[#This Row],[Page]])), "",  IF(ISNUMBER(FIND("Site", Tasks[[#This Row],[Page]])), "", "ERROR"))))</f>
        <v>Level 1</v>
      </c>
      <c r="G90" t="str">
        <f>IF(Tasks[[#This Row],[Location]]=0, "", Tasks[[#This Row],[Location]])</f>
        <v/>
      </c>
      <c r="H90" t="str">
        <f>Tasks[[#This Row],[To Package]]</f>
        <v>Westland -- Annex</v>
      </c>
      <c r="I90" t="str">
        <f>Tasks[[#This Row],[To Organisation]]</f>
        <v>Westland Construction, Inc.</v>
      </c>
    </row>
    <row r="91" spans="1:9" x14ac:dyDescent="0.35">
      <c r="A91" s="9" t="str">
        <f>HYPERLINK(_xlfn.CONCAT(Edit_URL,Tasks[[#This Row],[Ref]]),Tasks[[#This Row],[Ref]])</f>
        <v>T74290.90</v>
      </c>
      <c r="B91" s="6" t="str" cm="1">
        <f t="array" ref="B91">_xlfn.SWITCH(LEFT(Tasks[[#This Row],[Status]],1),"O","Opened","C","Completed","S","Signed Off","ERROR")</f>
        <v>Opened</v>
      </c>
      <c r="C91" s="6" t="str" cm="1">
        <f t="array" ref="C91">_xlfn.SWITCH(LEFT(Tasks[[#This Row],[Type]], 2), "Fi", "Field Report", "Co", "Contractor QC", "Ge", "Contractor QC", "Pu", "Punch List")</f>
        <v>Contractor QC</v>
      </c>
      <c r="D91" s="6" t="str">
        <f>LEFT(Tasks[[#This Row],[Description]], 50)</f>
        <v>Complete stainless steel drip edge along roof line</v>
      </c>
      <c r="E91" s="6" t="str" cm="1">
        <f t="array" ref="E91">_xlfn.LET(
_xlpm.inTower, COUNTIF(Tower_Num_Table[Tower Rm Numbers], LEFT(Task_Summary_Table[[#This Row],[Area/Room]], 3)) &gt; 0,
_xlpm.typeResult, _xlfn.SWITCH(LEFT(Tasks[[#This Row],[Page]], 2), "Hi", "Historic", "An", "Annex", "Si", "Site", "S5", "Project Task", "SWITCH ERROR"),
IF(_xlpm.inTower, "West Tower", _xlpm.typeResult)
)</f>
        <v>Annex</v>
      </c>
      <c r="F91" t="str">
        <f>IFERROR(MID(Tasks[[#This Row],[Page]], FIND("Level", Tasks[[#This Row],[Page]]), 7), IF(ISNUMBER(FIND("Roof", Tasks[[#This Row],[Page]])), "Roof",  IF(ISNUMBER(FIND("S590", Tasks[[#This Row],[Page]])), "",  IF(ISNUMBER(FIND("Site", Tasks[[#This Row],[Page]])), "", "ERROR"))))</f>
        <v>Roof</v>
      </c>
      <c r="G91" t="str">
        <f>IF(Tasks[[#This Row],[Location]]=0, "", Tasks[[#This Row],[Location]])</f>
        <v>Roof West</v>
      </c>
      <c r="H91" t="str">
        <f>Tasks[[#This Row],[To Package]]</f>
        <v>Roofing</v>
      </c>
      <c r="I91" t="str">
        <f>Tasks[[#This Row],[To Organisation]]</f>
        <v>Broken Arrow Construction Corporation</v>
      </c>
    </row>
    <row r="92" spans="1:9" x14ac:dyDescent="0.35">
      <c r="A92" s="9" t="str">
        <f>HYPERLINK(_xlfn.CONCAT(Edit_URL,Tasks[[#This Row],[Ref]]),Tasks[[#This Row],[Ref]])</f>
        <v>T74290.89</v>
      </c>
      <c r="B92" s="6" t="str" cm="1">
        <f t="array" ref="B92">_xlfn.SWITCH(LEFT(Tasks[[#This Row],[Status]],1),"O","Opened","C","Completed","S","Signed Off","ERROR")</f>
        <v>Signed Off</v>
      </c>
      <c r="C92" s="6" t="str" cm="1">
        <f t="array" ref="C92">_xlfn.SWITCH(LEFT(Tasks[[#This Row],[Type]], 2), "Fi", "Field Report", "Co", "Contractor QC", "Ge", "Contractor QC", "Pu", "Punch List")</f>
        <v>Contractor QC</v>
      </c>
      <c r="D92" s="6" t="str">
        <f>LEFT(Tasks[[#This Row],[Description]], 50)</f>
        <v>Drywall and finish around switch￼</v>
      </c>
      <c r="E92" s="6" t="str" cm="1">
        <f t="array" ref="E92">_xlfn.LET(
_xlpm.inTower, COUNTIF(Tower_Num_Table[Tower Rm Numbers], LEFT(Task_Summary_Table[[#This Row],[Area/Room]], 3)) &gt; 0,
_xlpm.typeResult, _xlfn.SWITCH(LEFT(Tasks[[#This Row],[Page]], 2), "Hi", "Historic", "An", "Annex", "Si", "Site", "S5", "Project Task", "SWITCH ERROR"),
IF(_xlpm.inTower, "West Tower", _xlpm.typeResult)
)</f>
        <v>Annex</v>
      </c>
      <c r="F92" t="str">
        <f>IFERROR(MID(Tasks[[#This Row],[Page]], FIND("Level", Tasks[[#This Row],[Page]]), 7), IF(ISNUMBER(FIND("Roof", Tasks[[#This Row],[Page]])), "Roof",  IF(ISNUMBER(FIND("S590", Tasks[[#This Row],[Page]])), "",  IF(ISNUMBER(FIND("Site", Tasks[[#This Row],[Page]])), "", "ERROR"))))</f>
        <v>Level 1</v>
      </c>
      <c r="G92" t="str">
        <f>IF(Tasks[[#This Row],[Location]]=0, "", Tasks[[#This Row],[Location]])</f>
        <v>110 - Chapel</v>
      </c>
      <c r="H92" t="str">
        <f>Tasks[[#This Row],[To Package]]</f>
        <v>Metal Stud / Drywall</v>
      </c>
      <c r="I92" t="str">
        <f>Tasks[[#This Row],[To Organisation]]</f>
        <v>Pete King Construction</v>
      </c>
    </row>
    <row r="93" spans="1:9" x14ac:dyDescent="0.35">
      <c r="A93" s="9" t="str">
        <f>HYPERLINK(_xlfn.CONCAT(Edit_URL,Tasks[[#This Row],[Ref]]),Tasks[[#This Row],[Ref]])</f>
        <v>T74290.88</v>
      </c>
      <c r="B93" s="6" t="str" cm="1">
        <f t="array" ref="B93">_xlfn.SWITCH(LEFT(Tasks[[#This Row],[Status]],1),"O","Opened","C","Completed","S","Signed Off","ERROR")</f>
        <v>Opened</v>
      </c>
      <c r="C93" s="6" t="str" cm="1">
        <f t="array" ref="C93">_xlfn.SWITCH(LEFT(Tasks[[#This Row],[Type]], 2), "Fi", "Field Report", "Co", "Contractor QC", "Ge", "Contractor QC", "Pu", "Punch List")</f>
        <v>Contractor QC</v>
      </c>
      <c r="D93" s="6" t="str">
        <f>LEFT(Tasks[[#This Row],[Description]], 50)</f>
        <v>Need to frame in access panel￼</v>
      </c>
      <c r="E93" s="6" t="str" cm="1">
        <f t="array" ref="E93">_xlfn.LET(
_xlpm.inTower, COUNTIF(Tower_Num_Table[Tower Rm Numbers], LEFT(Task_Summary_Table[[#This Row],[Area/Room]], 3)) &gt; 0,
_xlpm.typeResult, _xlfn.SWITCH(LEFT(Tasks[[#This Row],[Page]], 2), "Hi", "Historic", "An", "Annex", "Si", "Site", "S5", "Project Task", "SWITCH ERROR"),
IF(_xlpm.inTower, "West Tower", _xlpm.typeResult)
)</f>
        <v>Historic</v>
      </c>
      <c r="F93" t="str">
        <f>IFERROR(MID(Tasks[[#This Row],[Page]], FIND("Level", Tasks[[#This Row],[Page]]), 7), IF(ISNUMBER(FIND("Roof", Tasks[[#This Row],[Page]])), "Roof",  IF(ISNUMBER(FIND("S590", Tasks[[#This Row],[Page]])), "",  IF(ISNUMBER(FIND("Site", Tasks[[#This Row],[Page]])), "", "ERROR"))))</f>
        <v>Level 0</v>
      </c>
      <c r="G93" t="str">
        <f>IF(Tasks[[#This Row],[Location]]=0, "", Tasks[[#This Row],[Location]])</f>
        <v>STAIR 10</v>
      </c>
      <c r="H93" t="str">
        <f>Tasks[[#This Row],[To Package]]</f>
        <v>Metal Stud / Drywall</v>
      </c>
      <c r="I93" t="str">
        <f>Tasks[[#This Row],[To Organisation]]</f>
        <v>Pete King Construction</v>
      </c>
    </row>
    <row r="94" spans="1:9" x14ac:dyDescent="0.35">
      <c r="A94" s="9" t="str">
        <f>HYPERLINK(_xlfn.CONCAT(Edit_URL,Tasks[[#This Row],[Ref]]),Tasks[[#This Row],[Ref]])</f>
        <v>T74290.87</v>
      </c>
      <c r="B94" s="6" t="str" cm="1">
        <f t="array" ref="B94">_xlfn.SWITCH(LEFT(Tasks[[#This Row],[Status]],1),"O","Opened","C","Completed","S","Signed Off","ERROR")</f>
        <v>Opened</v>
      </c>
      <c r="C94" s="6" t="str" cm="1">
        <f t="array" ref="C94">_xlfn.SWITCH(LEFT(Tasks[[#This Row],[Type]], 2), "Fi", "Field Report", "Co", "Contractor QC", "Ge", "Contractor QC", "Pu", "Punch List")</f>
        <v>Contractor QC</v>
      </c>
      <c r="D94" s="6" t="str">
        <f>LEFT(Tasks[[#This Row],[Description]], 50)</f>
        <v xml:space="preserve">Straighten reveal along entablature on both north </v>
      </c>
      <c r="E94" s="6" t="str" cm="1">
        <f t="array" ref="E94">_xlfn.LET(
_xlpm.inTower, COUNTIF(Tower_Num_Table[Tower Rm Numbers], LEFT(Task_Summary_Table[[#This Row],[Area/Room]], 3)) &gt; 0,
_xlpm.typeResult, _xlfn.SWITCH(LEFT(Tasks[[#This Row],[Page]], 2), "Hi", "Historic", "An", "Annex", "Si", "Site", "S5", "Project Task", "SWITCH ERROR"),
IF(_xlpm.inTower, "West Tower", _xlpm.typeResult)
)</f>
        <v>Historic</v>
      </c>
      <c r="F94" t="str">
        <f>IFERROR(MID(Tasks[[#This Row],[Page]], FIND("Level", Tasks[[#This Row],[Page]]), 7), IF(ISNUMBER(FIND("Roof", Tasks[[#This Row],[Page]])), "Roof",  IF(ISNUMBER(FIND("S590", Tasks[[#This Row],[Page]])), "",  IF(ISNUMBER(FIND("Site", Tasks[[#This Row],[Page]])), "", "ERROR"))))</f>
        <v>Level 4</v>
      </c>
      <c r="G94" t="str">
        <f>IF(Tasks[[#This Row],[Location]]=0, "", Tasks[[#This Row],[Location]])</f>
        <v>408 - Assembly Room</v>
      </c>
      <c r="H94" t="str">
        <f>Tasks[[#This Row],[To Package]]</f>
        <v>GFRG</v>
      </c>
      <c r="I94" t="str">
        <f>Tasks[[#This Row],[To Organisation]]</f>
        <v>Pete King Construction</v>
      </c>
    </row>
    <row r="95" spans="1:9" x14ac:dyDescent="0.35">
      <c r="A95" s="9" t="str">
        <f>HYPERLINK(_xlfn.CONCAT(Edit_URL,Tasks[[#This Row],[Ref]]),Tasks[[#This Row],[Ref]])</f>
        <v>T74290.86</v>
      </c>
      <c r="B95" s="6" t="str" cm="1">
        <f t="array" ref="B95">_xlfn.SWITCH(LEFT(Tasks[[#This Row],[Status]],1),"O","Opened","C","Completed","S","Signed Off","ERROR")</f>
        <v>Completed</v>
      </c>
      <c r="C95" s="6" t="str" cm="1">
        <f t="array" ref="C95">_xlfn.SWITCH(LEFT(Tasks[[#This Row],[Type]], 2), "Fi", "Field Report", "Co", "Contractor QC", "Ge", "Contractor QC", "Pu", "Punch List")</f>
        <v>Contractor QC</v>
      </c>
      <c r="D95" s="6" t="str">
        <f>LEFT(Tasks[[#This Row],[Description]], 50)</f>
        <v>Straighten GFRG￼</v>
      </c>
      <c r="E95" s="6" t="str" cm="1">
        <f t="array" ref="E95">_xlfn.LET(
_xlpm.inTower, COUNTIF(Tower_Num_Table[Tower Rm Numbers], LEFT(Task_Summary_Table[[#This Row],[Area/Room]], 3)) &gt; 0,
_xlpm.typeResult, _xlfn.SWITCH(LEFT(Tasks[[#This Row],[Page]], 2), "Hi", "Historic", "An", "Annex", "Si", "Site", "S5", "Project Task", "SWITCH ERROR"),
IF(_xlpm.inTower, "West Tower", _xlpm.typeResult)
)</f>
        <v>Historic</v>
      </c>
      <c r="F95" t="str">
        <f>IFERROR(MID(Tasks[[#This Row],[Page]], FIND("Level", Tasks[[#This Row],[Page]]), 7), IF(ISNUMBER(FIND("Roof", Tasks[[#This Row],[Page]])), "Roof",  IF(ISNUMBER(FIND("S590", Tasks[[#This Row],[Page]])), "",  IF(ISNUMBER(FIND("Site", Tasks[[#This Row],[Page]])), "", "ERROR"))))</f>
        <v>Level 3</v>
      </c>
      <c r="G95" t="str">
        <f>IF(Tasks[[#This Row],[Location]]=0, "", Tasks[[#This Row],[Location]])</f>
        <v>310 - Instruction Womens</v>
      </c>
      <c r="H95" t="str">
        <f>Tasks[[#This Row],[To Package]]</f>
        <v>GFRG</v>
      </c>
      <c r="I95" t="str">
        <f>Tasks[[#This Row],[To Organisation]]</f>
        <v>Pete King Construction</v>
      </c>
    </row>
    <row r="96" spans="1:9" x14ac:dyDescent="0.35">
      <c r="A96" s="9" t="str">
        <f>HYPERLINK(_xlfn.CONCAT(Edit_URL,Tasks[[#This Row],[Ref]]),Tasks[[#This Row],[Ref]])</f>
        <v>T74290.85</v>
      </c>
      <c r="B96" s="6" t="str" cm="1">
        <f t="array" ref="B96">_xlfn.SWITCH(LEFT(Tasks[[#This Row],[Status]],1),"O","Opened","C","Completed","S","Signed Off","ERROR")</f>
        <v>Signed Off</v>
      </c>
      <c r="C96" s="6" t="str" cm="1">
        <f t="array" ref="C96">_xlfn.SWITCH(LEFT(Tasks[[#This Row],[Type]], 2), "Fi", "Field Report", "Co", "Contractor QC", "Ge", "Contractor QC", "Pu", "Punch List")</f>
        <v>Contractor QC</v>
      </c>
      <c r="D96" s="6" t="str">
        <f>LEFT(Tasks[[#This Row],[Description]], 50)</f>
        <v>Trim under countertops</v>
      </c>
      <c r="E96" s="6" t="str" cm="1">
        <f t="array" ref="E96">_xlfn.LET(
_xlpm.inTower, COUNTIF(Tower_Num_Table[Tower Rm Numbers], LEFT(Task_Summary_Table[[#This Row],[Area/Room]], 3)) &gt; 0,
_xlpm.typeResult, _xlfn.SWITCH(LEFT(Tasks[[#This Row],[Page]], 2), "Hi", "Historic", "An", "Annex", "Si", "Site", "S5", "Project Task", "SWITCH ERROR"),
IF(_xlpm.inTower, "West Tower", _xlpm.typeResult)
)</f>
        <v>Annex</v>
      </c>
      <c r="F96" t="str">
        <f>IFERROR(MID(Tasks[[#This Row],[Page]], FIND("Level", Tasks[[#This Row],[Page]]), 7), IF(ISNUMBER(FIND("Roof", Tasks[[#This Row],[Page]])), "Roof",  IF(ISNUMBER(FIND("S590", Tasks[[#This Row],[Page]])), "",  IF(ISNUMBER(FIND("Site", Tasks[[#This Row],[Page]])), "", "ERROR"))))</f>
        <v>Level 1</v>
      </c>
      <c r="G96" t="str">
        <f>IF(Tasks[[#This Row],[Location]]=0, "", Tasks[[#This Row],[Location]])</f>
        <v>114 - Family File</v>
      </c>
      <c r="H96" t="str">
        <f>Tasks[[#This Row],[To Package]]</f>
        <v xml:space="preserve">Finish Carpentry </v>
      </c>
      <c r="I96" t="str">
        <f>Tasks[[#This Row],[To Organisation]]</f>
        <v>Fetzers' Inc.</v>
      </c>
    </row>
    <row r="97" spans="1:9" x14ac:dyDescent="0.35">
      <c r="A97" s="9" t="str">
        <f>HYPERLINK(_xlfn.CONCAT(Edit_URL,Tasks[[#This Row],[Ref]]),Tasks[[#This Row],[Ref]])</f>
        <v>T74290.84</v>
      </c>
      <c r="B97" s="6" t="str" cm="1">
        <f t="array" ref="B97">_xlfn.SWITCH(LEFT(Tasks[[#This Row],[Status]],1),"O","Opened","C","Completed","S","Signed Off","ERROR")</f>
        <v>Completed</v>
      </c>
      <c r="C97" s="6" t="str" cm="1">
        <f t="array" ref="C97">_xlfn.SWITCH(LEFT(Tasks[[#This Row],[Type]], 2), "Fi", "Field Report", "Co", "Contractor QC", "Ge", "Contractor QC", "Pu", "Punch List")</f>
        <v>Contractor QC</v>
      </c>
      <c r="D97" s="6" t="str">
        <f>LEFT(Tasks[[#This Row],[Description]], 50)</f>
        <v>Damaged cabinet door</v>
      </c>
      <c r="E97" s="6" t="str" cm="1">
        <f t="array" ref="E97">_xlfn.LET(
_xlpm.inTower, COUNTIF(Tower_Num_Table[Tower Rm Numbers], LEFT(Task_Summary_Table[[#This Row],[Area/Room]], 3)) &gt; 0,
_xlpm.typeResult, _xlfn.SWITCH(LEFT(Tasks[[#This Row],[Page]], 2), "Hi", "Historic", "An", "Annex", "Si", "Site", "S5", "Project Task", "SWITCH ERROR"),
IF(_xlpm.inTower, "West Tower", _xlpm.typeResult)
)</f>
        <v>Annex</v>
      </c>
      <c r="F97" t="str">
        <f>IFERROR(MID(Tasks[[#This Row],[Page]], FIND("Level", Tasks[[#This Row],[Page]]), 7), IF(ISNUMBER(FIND("Roof", Tasks[[#This Row],[Page]])), "Roof",  IF(ISNUMBER(FIND("S590", Tasks[[#This Row],[Page]])), "",  IF(ISNUMBER(FIND("Site", Tasks[[#This Row],[Page]])), "", "ERROR"))))</f>
        <v>Level 1</v>
      </c>
      <c r="G97" t="str">
        <f>IF(Tasks[[#This Row],[Location]]=0, "", Tasks[[#This Row],[Location]])</f>
        <v>169 - Dressing</v>
      </c>
      <c r="H97" t="str">
        <f>Tasks[[#This Row],[To Package]]</f>
        <v>Paint</v>
      </c>
      <c r="I97" t="str">
        <f>Tasks[[#This Row],[To Organisation]]</f>
        <v>Accent Painting and Special Coatings, LLC</v>
      </c>
    </row>
    <row r="98" spans="1:9" x14ac:dyDescent="0.35">
      <c r="A98" s="9" t="str">
        <f>HYPERLINK(_xlfn.CONCAT(Edit_URL,Tasks[[#This Row],[Ref]]),Tasks[[#This Row],[Ref]])</f>
        <v>T74290.83</v>
      </c>
      <c r="B98" s="6" t="str" cm="1">
        <f t="array" ref="B98">_xlfn.SWITCH(LEFT(Tasks[[#This Row],[Status]],1),"O","Opened","C","Completed","S","Signed Off","ERROR")</f>
        <v>Signed Off</v>
      </c>
      <c r="C98" s="6" t="str" cm="1">
        <f t="array" ref="C98">_xlfn.SWITCH(LEFT(Tasks[[#This Row],[Type]], 2), "Fi", "Field Report", "Co", "Contractor QC", "Ge", "Contractor QC", "Pu", "Punch List")</f>
        <v>Contractor QC</v>
      </c>
      <c r="D98" s="6" t="str">
        <f>LEFT(Tasks[[#This Row],[Description]], 50)</f>
        <v>Complete GFRG￼</v>
      </c>
      <c r="E98" s="6" t="str" cm="1">
        <f t="array" ref="E98">_xlfn.LET(
_xlpm.inTower, COUNTIF(Tower_Num_Table[Tower Rm Numbers], LEFT(Task_Summary_Table[[#This Row],[Area/Room]], 3)) &gt; 0,
_xlpm.typeResult, _xlfn.SWITCH(LEFT(Tasks[[#This Row],[Page]], 2), "Hi", "Historic", "An", "Annex", "Si", "Site", "S5", "Project Task", "SWITCH ERROR"),
IF(_xlpm.inTower, "West Tower", _xlpm.typeResult)
)</f>
        <v>Annex</v>
      </c>
      <c r="F98" t="str">
        <f>IFERROR(MID(Tasks[[#This Row],[Page]], FIND("Level", Tasks[[#This Row],[Page]]), 7), IF(ISNUMBER(FIND("Roof", Tasks[[#This Row],[Page]])), "Roof",  IF(ISNUMBER(FIND("S590", Tasks[[#This Row],[Page]])), "",  IF(ISNUMBER(FIND("Site", Tasks[[#This Row],[Page]])), "", "ERROR"))))</f>
        <v>Level 1</v>
      </c>
      <c r="G98" t="str">
        <f>IF(Tasks[[#This Row],[Location]]=0, "", Tasks[[#This Row],[Location]])</f>
        <v>103 - Foyer</v>
      </c>
      <c r="H98" t="str">
        <f>Tasks[[#This Row],[To Package]]</f>
        <v>GFRG</v>
      </c>
      <c r="I98" t="str">
        <f>Tasks[[#This Row],[To Organisation]]</f>
        <v>Pete King Construction</v>
      </c>
    </row>
    <row r="99" spans="1:9" x14ac:dyDescent="0.35">
      <c r="A99" s="9" t="str">
        <f>HYPERLINK(_xlfn.CONCAT(Edit_URL,Tasks[[#This Row],[Ref]]),Tasks[[#This Row],[Ref]])</f>
        <v>T74290.82</v>
      </c>
      <c r="B99" s="6" t="str" cm="1">
        <f t="array" ref="B99">_xlfn.SWITCH(LEFT(Tasks[[#This Row],[Status]],1),"O","Opened","C","Completed","S","Signed Off","ERROR")</f>
        <v>Completed</v>
      </c>
      <c r="C99" s="6" t="str" cm="1">
        <f t="array" ref="C99">_xlfn.SWITCH(LEFT(Tasks[[#This Row],[Type]], 2), "Fi", "Field Report", "Co", "Contractor QC", "Ge", "Contractor QC", "Pu", "Punch List")</f>
        <v>Contractor QC</v>
      </c>
      <c r="D99" s="6" t="str">
        <f>LEFT(Tasks[[#This Row],[Description]], 50)</f>
        <v>Long crack in ceiling appeared after the final coa</v>
      </c>
      <c r="E99" s="6" t="str" cm="1">
        <f t="array" ref="E99">_xlfn.LET(
_xlpm.inTower, COUNTIF(Tower_Num_Table[Tower Rm Numbers], LEFT(Task_Summary_Table[[#This Row],[Area/Room]], 3)) &gt; 0,
_xlpm.typeResult, _xlfn.SWITCH(LEFT(Tasks[[#This Row],[Page]], 2), "Hi", "Historic", "An", "Annex", "Si", "Site", "S5", "Project Task", "SWITCH ERROR"),
IF(_xlpm.inTower, "West Tower", _xlpm.typeResult)
)</f>
        <v>Annex</v>
      </c>
      <c r="F99" t="str">
        <f>IFERROR(MID(Tasks[[#This Row],[Page]], FIND("Level", Tasks[[#This Row],[Page]]), 7), IF(ISNUMBER(FIND("Roof", Tasks[[#This Row],[Page]])), "Roof",  IF(ISNUMBER(FIND("S590", Tasks[[#This Row],[Page]])), "",  IF(ISNUMBER(FIND("Site", Tasks[[#This Row],[Page]])), "", "ERROR"))))</f>
        <v>Level 1</v>
      </c>
      <c r="G99" t="str">
        <f>IF(Tasks[[#This Row],[Location]]=0, "", Tasks[[#This Row],[Location]])</f>
        <v>105 - Waiting</v>
      </c>
      <c r="H99" t="str">
        <f>Tasks[[#This Row],[To Package]]</f>
        <v>Metal Stud / Drywall</v>
      </c>
      <c r="I99" t="str">
        <f>Tasks[[#This Row],[To Organisation]]</f>
        <v>Pete King Construction</v>
      </c>
    </row>
    <row r="100" spans="1:9" x14ac:dyDescent="0.35">
      <c r="A100" s="9" t="str">
        <f>HYPERLINK(_xlfn.CONCAT(Edit_URL,Tasks[[#This Row],[Ref]]),Tasks[[#This Row],[Ref]])</f>
        <v>T74290.81</v>
      </c>
      <c r="B100" s="6" t="str" cm="1">
        <f t="array" ref="B100">_xlfn.SWITCH(LEFT(Tasks[[#This Row],[Status]],1),"O","Opened","C","Completed","S","Signed Off","ERROR")</f>
        <v>Opened</v>
      </c>
      <c r="C100" s="6" t="str" cm="1">
        <f t="array" ref="C100">_xlfn.SWITCH(LEFT(Tasks[[#This Row],[Type]], 2), "Fi", "Field Report", "Co", "Contractor QC", "Ge", "Contractor QC", "Pu", "Punch List")</f>
        <v>Contractor QC</v>
      </c>
      <c r="D100" s="6" t="str">
        <f>LEFT(Tasks[[#This Row],[Description]], 50)</f>
        <v xml:space="preserve">Complete the GFRG for window￼ and crown mold </v>
      </c>
      <c r="E100" s="6" t="str" cm="1">
        <f t="array" ref="E100">_xlfn.LET(
_xlpm.inTower, COUNTIF(Tower_Num_Table[Tower Rm Numbers], LEFT(Task_Summary_Table[[#This Row],[Area/Room]], 3)) &gt; 0,
_xlpm.typeResult, _xlfn.SWITCH(LEFT(Tasks[[#This Row],[Page]], 2), "Hi", "Historic", "An", "Annex", "Si", "Site", "S5", "Project Task", "SWITCH ERROR"),
IF(_xlpm.inTower, "West Tower", _xlpm.typeResult)
)</f>
        <v>Annex</v>
      </c>
      <c r="F100" t="str">
        <f>IFERROR(MID(Tasks[[#This Row],[Page]], FIND("Level", Tasks[[#This Row],[Page]]), 7), IF(ISNUMBER(FIND("Roof", Tasks[[#This Row],[Page]])), "Roof",  IF(ISNUMBER(FIND("S590", Tasks[[#This Row],[Page]])), "",  IF(ISNUMBER(FIND("Site", Tasks[[#This Row],[Page]])), "", "ERROR"))))</f>
        <v>Level 1</v>
      </c>
      <c r="G100" t="str">
        <f>IF(Tasks[[#This Row],[Location]]=0, "", Tasks[[#This Row],[Location]])</f>
        <v/>
      </c>
      <c r="H100" t="str">
        <f>Tasks[[#This Row],[To Package]]</f>
        <v>GFRG</v>
      </c>
      <c r="I100" t="str">
        <f>Tasks[[#This Row],[To Organisation]]</f>
        <v>Pete King Construction</v>
      </c>
    </row>
    <row r="101" spans="1:9" x14ac:dyDescent="0.35">
      <c r="A101" s="9" t="str">
        <f>HYPERLINK(_xlfn.CONCAT(Edit_URL,Tasks[[#This Row],[Ref]]),Tasks[[#This Row],[Ref]])</f>
        <v>T74290.80</v>
      </c>
      <c r="B101" s="6" t="str" cm="1">
        <f t="array" ref="B101">_xlfn.SWITCH(LEFT(Tasks[[#This Row],[Status]],1),"O","Opened","C","Completed","S","Signed Off","ERROR")</f>
        <v>Signed Off</v>
      </c>
      <c r="C101" s="6" t="str" cm="1">
        <f t="array" ref="C101">_xlfn.SWITCH(LEFT(Tasks[[#This Row],[Type]], 2), "Fi", "Field Report", "Co", "Contractor QC", "Ge", "Contractor QC", "Pu", "Punch List")</f>
        <v>Contractor QC</v>
      </c>
      <c r="D101" s="6" t="str">
        <f>LEFT(Tasks[[#This Row],[Description]], 50)</f>
        <v>Flatten bulge in concrete wall of east fountain</v>
      </c>
      <c r="E101" s="6" t="str" cm="1">
        <f t="array" ref="E101">_xlfn.LET(
_xlpm.inTower, COUNTIF(Tower_Num_Table[Tower Rm Numbers], LEFT(Task_Summary_Table[[#This Row],[Area/Room]], 3)) &gt; 0,
_xlpm.typeResult, _xlfn.SWITCH(LEFT(Tasks[[#This Row],[Page]], 2), "Hi", "Historic", "An", "Annex", "Si", "Site", "S5", "Project Task", "SWITCH ERROR"),
IF(_xlpm.inTower, "West Tower", _xlpm.typeResult)
)</f>
        <v>Site</v>
      </c>
      <c r="F101" t="str">
        <f>IFERROR(MID(Tasks[[#This Row],[Page]], FIND("Level", Tasks[[#This Row],[Page]]), 7), IF(ISNUMBER(FIND("Roof", Tasks[[#This Row],[Page]])), "Roof",  IF(ISNUMBER(FIND("S590", Tasks[[#This Row],[Page]])), "",  IF(ISNUMBER(FIND("Site", Tasks[[#This Row],[Page]])), "", "ERROR"))))</f>
        <v/>
      </c>
      <c r="G101" t="str">
        <f>IF(Tasks[[#This Row],[Location]]=0, "", Tasks[[#This Row],[Location]])</f>
        <v>Site Area H</v>
      </c>
      <c r="H101" t="str">
        <f>Tasks[[#This Row],[To Package]]</f>
        <v>Concrete</v>
      </c>
      <c r="I101" t="str">
        <f>Tasks[[#This Row],[To Organisation]]</f>
        <v>Innovative Concrete, LLC</v>
      </c>
    </row>
    <row r="102" spans="1:9" x14ac:dyDescent="0.35">
      <c r="A102" s="9" t="str">
        <f>HYPERLINK(_xlfn.CONCAT(Edit_URL,Tasks[[#This Row],[Ref]]),Tasks[[#This Row],[Ref]])</f>
        <v>T74290.79</v>
      </c>
      <c r="B102" s="6" t="str" cm="1">
        <f t="array" ref="B102">_xlfn.SWITCH(LEFT(Tasks[[#This Row],[Status]],1),"O","Opened","C","Completed","S","Signed Off","ERROR")</f>
        <v>Completed</v>
      </c>
      <c r="C102" s="6" t="str" cm="1">
        <f t="array" ref="C102">_xlfn.SWITCH(LEFT(Tasks[[#This Row],[Type]], 2), "Fi", "Field Report", "Co", "Contractor QC", "Ge", "Contractor QC", "Pu", "Punch List")</f>
        <v>Contractor QC</v>
      </c>
      <c r="D102" s="6" t="str">
        <f>LEFT(Tasks[[#This Row],[Description]], 50)</f>
        <v>Chisel concrete against wall</v>
      </c>
      <c r="E102" s="6" t="str" cm="1">
        <f t="array" ref="E102">_xlfn.LET(
_xlpm.inTower, COUNTIF(Tower_Num_Table[Tower Rm Numbers], LEFT(Task_Summary_Table[[#This Row],[Area/Room]], 3)) &gt; 0,
_xlpm.typeResult, _xlfn.SWITCH(LEFT(Tasks[[#This Row],[Page]], 2), "Hi", "Historic", "An", "Annex", "Si", "Site", "S5", "Project Task", "SWITCH ERROR"),
IF(_xlpm.inTower, "West Tower", _xlpm.typeResult)
)</f>
        <v>Annex</v>
      </c>
      <c r="F102" t="str">
        <f>IFERROR(MID(Tasks[[#This Row],[Page]], FIND("Level", Tasks[[#This Row],[Page]]), 7), IF(ISNUMBER(FIND("Roof", Tasks[[#This Row],[Page]])), "Roof",  IF(ISNUMBER(FIND("S590", Tasks[[#This Row],[Page]])), "",  IF(ISNUMBER(FIND("Site", Tasks[[#This Row],[Page]])), "", "ERROR"))))</f>
        <v>Level 1</v>
      </c>
      <c r="G102" t="str">
        <f>IF(Tasks[[#This Row],[Location]]=0, "", Tasks[[#This Row],[Location]])</f>
        <v/>
      </c>
      <c r="H102" t="str">
        <f>Tasks[[#This Row],[To Package]]</f>
        <v>Westland -- Annex</v>
      </c>
      <c r="I102" t="str">
        <f>Tasks[[#This Row],[To Organisation]]</f>
        <v>Westland Construction, Inc.</v>
      </c>
    </row>
    <row r="103" spans="1:9" x14ac:dyDescent="0.35">
      <c r="A103" s="9" t="str">
        <f>HYPERLINK(_xlfn.CONCAT(Edit_URL,Tasks[[#This Row],[Ref]]),Tasks[[#This Row],[Ref]])</f>
        <v>T74290.78</v>
      </c>
      <c r="B103" s="6" t="str" cm="1">
        <f t="array" ref="B103">_xlfn.SWITCH(LEFT(Tasks[[#This Row],[Status]],1),"O","Opened","C","Completed","S","Signed Off","ERROR")</f>
        <v>Signed Off</v>
      </c>
      <c r="C103" s="6" t="str" cm="1">
        <f t="array" ref="C103">_xlfn.SWITCH(LEFT(Tasks[[#This Row],[Type]], 2), "Fi", "Field Report", "Co", "Contractor QC", "Ge", "Contractor QC", "Pu", "Punch List")</f>
        <v>Contractor QC</v>
      </c>
      <c r="D103" s="6" t="str">
        <f>LEFT(Tasks[[#This Row],[Description]], 50)</f>
        <v>Complete sub top for counter installation. Cut out</v>
      </c>
      <c r="E103" s="6" t="str" cm="1">
        <f t="array" ref="E103">_xlfn.LET(
_xlpm.inTower, COUNTIF(Tower_Num_Table[Tower Rm Numbers], LEFT(Task_Summary_Table[[#This Row],[Area/Room]], 3)) &gt; 0,
_xlpm.typeResult, _xlfn.SWITCH(LEFT(Tasks[[#This Row],[Page]], 2), "Hi", "Historic", "An", "Annex", "Si", "Site", "S5", "Project Task", "SWITCH ERROR"),
IF(_xlpm.inTower, "West Tower", _xlpm.typeResult)
)</f>
        <v>Annex</v>
      </c>
      <c r="F103" t="str">
        <f>IFERROR(MID(Tasks[[#This Row],[Page]], FIND("Level", Tasks[[#This Row],[Page]]), 7), IF(ISNUMBER(FIND("Roof", Tasks[[#This Row],[Page]])), "Roof",  IF(ISNUMBER(FIND("S590", Tasks[[#This Row],[Page]])), "",  IF(ISNUMBER(FIND("Site", Tasks[[#This Row],[Page]])), "", "ERROR"))))</f>
        <v>Level 1</v>
      </c>
      <c r="G103" t="str">
        <f>IF(Tasks[[#This Row],[Location]]=0, "", Tasks[[#This Row],[Location]])</f>
        <v>176 - Youth</v>
      </c>
      <c r="H103" t="str">
        <f>Tasks[[#This Row],[To Package]]</f>
        <v xml:space="preserve">Finish Carpentry </v>
      </c>
      <c r="I103" t="str">
        <f>Tasks[[#This Row],[To Organisation]]</f>
        <v>Fetzers' Inc.</v>
      </c>
    </row>
    <row r="104" spans="1:9" x14ac:dyDescent="0.35">
      <c r="A104" s="9" t="str">
        <f>HYPERLINK(_xlfn.CONCAT(Edit_URL,Tasks[[#This Row],[Ref]]),Tasks[[#This Row],[Ref]])</f>
        <v>T74290.77</v>
      </c>
      <c r="B104" s="6" t="str" cm="1">
        <f t="array" ref="B104">_xlfn.SWITCH(LEFT(Tasks[[#This Row],[Status]],1),"O","Opened","C","Completed","S","Signed Off","ERROR")</f>
        <v>Opened</v>
      </c>
      <c r="C104" s="6" t="str" cm="1">
        <f t="array" ref="C104">_xlfn.SWITCH(LEFT(Tasks[[#This Row],[Type]], 2), "Fi", "Field Report", "Co", "Contractor QC", "Ge", "Contractor QC", "Pu", "Punch List")</f>
        <v>Contractor QC</v>
      </c>
      <c r="D104" s="6" t="str">
        <f>LEFT(Tasks[[#This Row],[Description]], 50)</f>
        <v>Scratches on side panel of finished cabinets￼</v>
      </c>
      <c r="E104" s="6" t="str" cm="1">
        <f t="array" ref="E104">_xlfn.LET(
_xlpm.inTower, COUNTIF(Tower_Num_Table[Tower Rm Numbers], LEFT(Task_Summary_Table[[#This Row],[Area/Room]], 3)) &gt; 0,
_xlpm.typeResult, _xlfn.SWITCH(LEFT(Tasks[[#This Row],[Page]], 2), "Hi", "Historic", "An", "Annex", "Si", "Site", "S5", "Project Task", "SWITCH ERROR"),
IF(_xlpm.inTower, "West Tower", _xlpm.typeResult)
)</f>
        <v>Annex</v>
      </c>
      <c r="F104" t="str">
        <f>IFERROR(MID(Tasks[[#This Row],[Page]], FIND("Level", Tasks[[#This Row],[Page]]), 7), IF(ISNUMBER(FIND("Roof", Tasks[[#This Row],[Page]])), "Roof",  IF(ISNUMBER(FIND("S590", Tasks[[#This Row],[Page]])), "",  IF(ISNUMBER(FIND("Site", Tasks[[#This Row],[Page]])), "", "ERROR"))))</f>
        <v>Level 1</v>
      </c>
      <c r="G104" t="str">
        <f>IF(Tasks[[#This Row],[Location]]=0, "", Tasks[[#This Row],[Location]])</f>
        <v>176 - Youth</v>
      </c>
      <c r="H104" t="str">
        <f>Tasks[[#This Row],[To Package]]</f>
        <v xml:space="preserve">Finish Carpentry </v>
      </c>
      <c r="I104" t="str">
        <f>Tasks[[#This Row],[To Organisation]]</f>
        <v>Fetzers' Inc.</v>
      </c>
    </row>
    <row r="105" spans="1:9" x14ac:dyDescent="0.35">
      <c r="A105" s="9" t="str">
        <f>HYPERLINK(_xlfn.CONCAT(Edit_URL,Tasks[[#This Row],[Ref]]),Tasks[[#This Row],[Ref]])</f>
        <v>T74290.76</v>
      </c>
      <c r="B105" s="6" t="str" cm="1">
        <f t="array" ref="B105">_xlfn.SWITCH(LEFT(Tasks[[#This Row],[Status]],1),"O","Opened","C","Completed","S","Signed Off","ERROR")</f>
        <v>Signed Off</v>
      </c>
      <c r="C105" s="6" t="str" cm="1">
        <f t="array" ref="C105">_xlfn.SWITCH(LEFT(Tasks[[#This Row],[Type]], 2), "Fi", "Field Report", "Co", "Contractor QC", "Ge", "Contractor QC", "Pu", "Punch List")</f>
        <v>Contractor QC</v>
      </c>
      <c r="D105" s="6" t="str">
        <f>LEFT(Tasks[[#This Row],[Description]], 50)</f>
        <v>Is additional stainless steel required here?￼</v>
      </c>
      <c r="E105" s="6" t="str" cm="1">
        <f t="array" ref="E105">_xlfn.LET(
_xlpm.inTower, COUNTIF(Tower_Num_Table[Tower Rm Numbers], LEFT(Task_Summary_Table[[#This Row],[Area/Room]], 3)) &gt; 0,
_xlpm.typeResult, _xlfn.SWITCH(LEFT(Tasks[[#This Row],[Page]], 2), "Hi", "Historic", "An", "Annex", "Si", "Site", "S5", "Project Task", "SWITCH ERROR"),
IF(_xlpm.inTower, "West Tower", _xlpm.typeResult)
)</f>
        <v>Annex</v>
      </c>
      <c r="F105" t="str">
        <f>IFERROR(MID(Tasks[[#This Row],[Page]], FIND("Level", Tasks[[#This Row],[Page]]), 7), IF(ISNUMBER(FIND("Roof", Tasks[[#This Row],[Page]])), "Roof",  IF(ISNUMBER(FIND("S590", Tasks[[#This Row],[Page]])), "",  IF(ISNUMBER(FIND("Site", Tasks[[#This Row],[Page]])), "", "ERROR"))))</f>
        <v>Level 0</v>
      </c>
      <c r="G105" t="str">
        <f>IF(Tasks[[#This Row],[Location]]=0, "", Tasks[[#This Row],[Location]])</f>
        <v>005 - VESTIBULE</v>
      </c>
      <c r="H105" t="str">
        <f>Tasks[[#This Row],[To Package]]</f>
        <v>Westland -- Annex</v>
      </c>
      <c r="I105" t="str">
        <f>Tasks[[#This Row],[To Organisation]]</f>
        <v>Westland Construction, Inc.</v>
      </c>
    </row>
    <row r="106" spans="1:9" x14ac:dyDescent="0.35">
      <c r="A106" s="9" t="str">
        <f>HYPERLINK(_xlfn.CONCAT(Edit_URL,Tasks[[#This Row],[Ref]]),Tasks[[#This Row],[Ref]])</f>
        <v>T74290.75</v>
      </c>
      <c r="B106" s="6" t="str" cm="1">
        <f t="array" ref="B106">_xlfn.SWITCH(LEFT(Tasks[[#This Row],[Status]],1),"O","Opened","C","Completed","S","Signed Off","ERROR")</f>
        <v>Signed Off</v>
      </c>
      <c r="C106" s="6" t="str" cm="1">
        <f t="array" ref="C106">_xlfn.SWITCH(LEFT(Tasks[[#This Row],[Type]], 2), "Fi", "Field Report", "Co", "Contractor QC", "Ge", "Contractor QC", "Pu", "Punch List")</f>
        <v>Contractor QC</v>
      </c>
      <c r="D106" s="6" t="str">
        <f>LEFT(Tasks[[#This Row],[Description]], 50)</f>
        <v>Cut out access panel￼</v>
      </c>
      <c r="E106" s="6" t="str" cm="1">
        <f t="array" ref="E10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06" t="str">
        <f>IFERROR(MID(Tasks[[#This Row],[Page]], FIND("Level", Tasks[[#This Row],[Page]]), 7), IF(ISNUMBER(FIND("Roof", Tasks[[#This Row],[Page]])), "Roof",  IF(ISNUMBER(FIND("S590", Tasks[[#This Row],[Page]])), "",  IF(ISNUMBER(FIND("Site", Tasks[[#This Row],[Page]])), "", "ERROR"))))</f>
        <v>Level 0</v>
      </c>
      <c r="G106" t="str">
        <f>IF(Tasks[[#This Row],[Location]]=0, "", Tasks[[#This Row],[Location]])</f>
        <v>051 - HALLWAY</v>
      </c>
      <c r="H106" t="str">
        <f>Tasks[[#This Row],[To Package]]</f>
        <v>Metal Stud / Drywall</v>
      </c>
      <c r="I106" t="str">
        <f>Tasks[[#This Row],[To Organisation]]</f>
        <v>Pete King Construction</v>
      </c>
    </row>
    <row r="107" spans="1:9" x14ac:dyDescent="0.35">
      <c r="A107" s="9" t="str">
        <f>HYPERLINK(_xlfn.CONCAT(Edit_URL,Tasks[[#This Row],[Ref]]),Tasks[[#This Row],[Ref]])</f>
        <v>T74290.74</v>
      </c>
      <c r="B107" s="6" t="str" cm="1">
        <f t="array" ref="B107">_xlfn.SWITCH(LEFT(Tasks[[#This Row],[Status]],1),"O","Opened","C","Completed","S","Signed Off","ERROR")</f>
        <v>Opened</v>
      </c>
      <c r="C107" s="6" t="str" cm="1">
        <f t="array" ref="C107">_xlfn.SWITCH(LEFT(Tasks[[#This Row],[Type]], 2), "Fi", "Field Report", "Co", "Contractor QC", "Ge", "Contractor QC", "Pu", "Punch List")</f>
        <v>Contractor QC</v>
      </c>
      <c r="D107" s="6" t="str">
        <f>LEFT(Tasks[[#This Row],[Description]], 50)</f>
        <v>Seal around roof drains (3)</v>
      </c>
      <c r="E107" s="6" t="str" cm="1">
        <f t="array" ref="E107">_xlfn.LET(
_xlpm.inTower, COUNTIF(Tower_Num_Table[Tower Rm Numbers], LEFT(Task_Summary_Table[[#This Row],[Area/Room]], 3)) &gt; 0,
_xlpm.typeResult, _xlfn.SWITCH(LEFT(Tasks[[#This Row],[Page]], 2), "Hi", "Historic", "An", "Annex", "Si", "Site", "S5", "Project Task", "SWITCH ERROR"),
IF(_xlpm.inTower, "West Tower", _xlpm.typeResult)
)</f>
        <v>Annex</v>
      </c>
      <c r="F107" t="str">
        <f>IFERROR(MID(Tasks[[#This Row],[Page]], FIND("Level", Tasks[[#This Row],[Page]]), 7), IF(ISNUMBER(FIND("Roof", Tasks[[#This Row],[Page]])), "Roof",  IF(ISNUMBER(FIND("S590", Tasks[[#This Row],[Page]])), "",  IF(ISNUMBER(FIND("Site", Tasks[[#This Row],[Page]])), "", "ERROR"))))</f>
        <v>Level 1</v>
      </c>
      <c r="G107" t="str">
        <f>IF(Tasks[[#This Row],[Location]]=0, "", Tasks[[#This Row],[Location]])</f>
        <v/>
      </c>
      <c r="H107" t="str">
        <f>Tasks[[#This Row],[To Package]]</f>
        <v>Westland -- Annex</v>
      </c>
      <c r="I107" t="str">
        <f>Tasks[[#This Row],[To Organisation]]</f>
        <v>Westland Construction, Inc.</v>
      </c>
    </row>
    <row r="108" spans="1:9" x14ac:dyDescent="0.35">
      <c r="A108" s="9" t="str">
        <f>HYPERLINK(_xlfn.CONCAT(Edit_URL,Tasks[[#This Row],[Ref]]),Tasks[[#This Row],[Ref]])</f>
        <v>T74290.73</v>
      </c>
      <c r="B108" s="6" t="str" cm="1">
        <f t="array" ref="B108">_xlfn.SWITCH(LEFT(Tasks[[#This Row],[Status]],1),"O","Opened","C","Completed","S","Signed Off","ERROR")</f>
        <v>Signed Off</v>
      </c>
      <c r="C108" s="6" t="str" cm="1">
        <f t="array" ref="C108">_xlfn.SWITCH(LEFT(Tasks[[#This Row],[Type]], 2), "Fi", "Field Report", "Co", "Contractor QC", "Ge", "Contractor QC", "Pu", "Punch List")</f>
        <v>Contractor QC</v>
      </c>
      <c r="D108" s="6" t="str">
        <f>LEFT(Tasks[[#This Row],[Description]], 50)</f>
        <v>Install countertop￼</v>
      </c>
      <c r="E108" s="6" t="str" cm="1">
        <f t="array" ref="E108">_xlfn.LET(
_xlpm.inTower, COUNTIF(Tower_Num_Table[Tower Rm Numbers], LEFT(Task_Summary_Table[[#This Row],[Area/Room]], 3)) &gt; 0,
_xlpm.typeResult, _xlfn.SWITCH(LEFT(Tasks[[#This Row],[Page]], 2), "Hi", "Historic", "An", "Annex", "Si", "Site", "S5", "Project Task", "SWITCH ERROR"),
IF(_xlpm.inTower, "West Tower", _xlpm.typeResult)
)</f>
        <v>Annex</v>
      </c>
      <c r="F108" t="str">
        <f>IFERROR(MID(Tasks[[#This Row],[Page]], FIND("Level", Tasks[[#This Row],[Page]]), 7), IF(ISNUMBER(FIND("Roof", Tasks[[#This Row],[Page]])), "Roof",  IF(ISNUMBER(FIND("S590", Tasks[[#This Row],[Page]])), "",  IF(ISNUMBER(FIND("Site", Tasks[[#This Row],[Page]])), "", "ERROR"))))</f>
        <v>Level 1</v>
      </c>
      <c r="G108" t="str">
        <f>IF(Tasks[[#This Row],[Location]]=0, "", Tasks[[#This Row],[Location]])</f>
        <v>132B - Clothing</v>
      </c>
      <c r="H108" t="str">
        <f>Tasks[[#This Row],[To Package]]</f>
        <v>Tile</v>
      </c>
      <c r="I108" t="str">
        <f>Tasks[[#This Row],[To Organisation]]</f>
        <v>Global Stone and Tile, LLC</v>
      </c>
    </row>
    <row r="109" spans="1:9" x14ac:dyDescent="0.35">
      <c r="A109" s="9" t="str">
        <f>HYPERLINK(_xlfn.CONCAT(Edit_URL,Tasks[[#This Row],[Ref]]),Tasks[[#This Row],[Ref]])</f>
        <v>T74290.72</v>
      </c>
      <c r="B109" s="6" t="str" cm="1">
        <f t="array" ref="B109">_xlfn.SWITCH(LEFT(Tasks[[#This Row],[Status]],1),"O","Opened","C","Completed","S","Signed Off","ERROR")</f>
        <v>Signed Off</v>
      </c>
      <c r="C109" s="6" t="str" cm="1">
        <f t="array" ref="C109">_xlfn.SWITCH(LEFT(Tasks[[#This Row],[Type]], 2), "Fi", "Field Report", "Co", "Contractor QC", "Ge", "Contractor QC", "Pu", "Punch List")</f>
        <v>Contractor QC</v>
      </c>
      <c r="D109" s="6" t="str">
        <f>LEFT(Tasks[[#This Row],[Description]], 50)</f>
        <v>Address gaps on ends of countertops</v>
      </c>
      <c r="E109" s="6" t="str" cm="1">
        <f t="array" ref="E109">_xlfn.LET(
_xlpm.inTower, COUNTIF(Tower_Num_Table[Tower Rm Numbers], LEFT(Task_Summary_Table[[#This Row],[Area/Room]], 3)) &gt; 0,
_xlpm.typeResult, _xlfn.SWITCH(LEFT(Tasks[[#This Row],[Page]], 2), "Hi", "Historic", "An", "Annex", "Si", "Site", "S5", "Project Task", "SWITCH ERROR"),
IF(_xlpm.inTower, "West Tower", _xlpm.typeResult)
)</f>
        <v>Annex</v>
      </c>
      <c r="F109" t="str">
        <f>IFERROR(MID(Tasks[[#This Row],[Page]], FIND("Level", Tasks[[#This Row],[Page]]), 7), IF(ISNUMBER(FIND("Roof", Tasks[[#This Row],[Page]])), "Roof",  IF(ISNUMBER(FIND("S590", Tasks[[#This Row],[Page]])), "",  IF(ISNUMBER(FIND("Site", Tasks[[#This Row],[Page]])), "", "ERROR"))))</f>
        <v>Level 1</v>
      </c>
      <c r="G109" t="str">
        <f>IF(Tasks[[#This Row],[Location]]=0, "", Tasks[[#This Row],[Location]])</f>
        <v>114 - Family File</v>
      </c>
      <c r="H109" t="str">
        <f>Tasks[[#This Row],[To Package]]</f>
        <v>Tile</v>
      </c>
      <c r="I109" t="str">
        <f>Tasks[[#This Row],[To Organisation]]</f>
        <v>Global Stone and Tile, LLC</v>
      </c>
    </row>
    <row r="110" spans="1:9" x14ac:dyDescent="0.35">
      <c r="A110" s="9" t="str">
        <f>HYPERLINK(_xlfn.CONCAT(Edit_URL,Tasks[[#This Row],[Ref]]),Tasks[[#This Row],[Ref]])</f>
        <v>T74290.71</v>
      </c>
      <c r="B110" s="6" t="str" cm="1">
        <f t="array" ref="B110">_xlfn.SWITCH(LEFT(Tasks[[#This Row],[Status]],1),"O","Opened","C","Completed","S","Signed Off","ERROR")</f>
        <v>Completed</v>
      </c>
      <c r="C110" s="6" t="str" cm="1">
        <f t="array" ref="C110">_xlfn.SWITCH(LEFT(Tasks[[#This Row],[Type]], 2), "Fi", "Field Report", "Co", "Contractor QC", "Ge", "Contractor QC", "Pu", "Punch List")</f>
        <v>Contractor QC</v>
      </c>
      <c r="D110" s="6" t="str">
        <f>LEFT(Tasks[[#This Row],[Description]], 50)</f>
        <v>Repair the cracks in the windows splays</v>
      </c>
      <c r="E110" s="6" t="str" cm="1">
        <f t="array" ref="E110">_xlfn.LET(
_xlpm.inTower, COUNTIF(Tower_Num_Table[Tower Rm Numbers], LEFT(Task_Summary_Table[[#This Row],[Area/Room]], 3)) &gt; 0,
_xlpm.typeResult, _xlfn.SWITCH(LEFT(Tasks[[#This Row],[Page]], 2), "Hi", "Historic", "An", "Annex", "Si", "Site", "S5", "Project Task", "SWITCH ERROR"),
IF(_xlpm.inTower, "West Tower", _xlpm.typeResult)
)</f>
        <v>Annex</v>
      </c>
      <c r="F110" t="str">
        <f>IFERROR(MID(Tasks[[#This Row],[Page]], FIND("Level", Tasks[[#This Row],[Page]]), 7), IF(ISNUMBER(FIND("Roof", Tasks[[#This Row],[Page]])), "Roof",  IF(ISNUMBER(FIND("S590", Tasks[[#This Row],[Page]])), "",  IF(ISNUMBER(FIND("Site", Tasks[[#This Row],[Page]])), "", "ERROR"))))</f>
        <v>Level 1</v>
      </c>
      <c r="G110" t="str">
        <f>IF(Tasks[[#This Row],[Location]]=0, "", Tasks[[#This Row],[Location]])</f>
        <v>105 - Waiting</v>
      </c>
      <c r="H110" t="str">
        <f>Tasks[[#This Row],[To Package]]</f>
        <v>Metal Stud / Drywall</v>
      </c>
      <c r="I110" t="str">
        <f>Tasks[[#This Row],[To Organisation]]</f>
        <v>Pete King Construction</v>
      </c>
    </row>
    <row r="111" spans="1:9" x14ac:dyDescent="0.35">
      <c r="A111" s="9" t="str">
        <f>HYPERLINK(_xlfn.CONCAT(Edit_URL,Tasks[[#This Row],[Ref]]),Tasks[[#This Row],[Ref]])</f>
        <v>T74290.70</v>
      </c>
      <c r="B111" s="6" t="str" cm="1">
        <f t="array" ref="B111">_xlfn.SWITCH(LEFT(Tasks[[#This Row],[Status]],1),"O","Opened","C","Completed","S","Signed Off","ERROR")</f>
        <v>Completed</v>
      </c>
      <c r="C111" s="6" t="str" cm="1">
        <f t="array" ref="C111">_xlfn.SWITCH(LEFT(Tasks[[#This Row],[Type]], 2), "Fi", "Field Report", "Co", "Contractor QC", "Ge", "Contractor QC", "Pu", "Punch List")</f>
        <v>Contractor QC</v>
      </c>
      <c r="D111" s="6" t="str">
        <f>LEFT(Tasks[[#This Row],[Description]], 50)</f>
        <v>Complete floor leveling</v>
      </c>
      <c r="E111" s="6" t="str" cm="1">
        <f t="array" ref="E111">_xlfn.LET(
_xlpm.inTower, COUNTIF(Tower_Num_Table[Tower Rm Numbers], LEFT(Task_Summary_Table[[#This Row],[Area/Room]], 3)) &gt; 0,
_xlpm.typeResult, _xlfn.SWITCH(LEFT(Tasks[[#This Row],[Page]], 2), "Hi", "Historic", "An", "Annex", "Si", "Site", "S5", "Project Task", "SWITCH ERROR"),
IF(_xlpm.inTower, "West Tower", _xlpm.typeResult)
)</f>
        <v>Annex</v>
      </c>
      <c r="F111" t="str">
        <f>IFERROR(MID(Tasks[[#This Row],[Page]], FIND("Level", Tasks[[#This Row],[Page]]), 7), IF(ISNUMBER(FIND("Roof", Tasks[[#This Row],[Page]])), "Roof",  IF(ISNUMBER(FIND("S590", Tasks[[#This Row],[Page]])), "",  IF(ISNUMBER(FIND("Site", Tasks[[#This Row],[Page]])), "", "ERROR"))))</f>
        <v>Level 1</v>
      </c>
      <c r="G111" t="str">
        <f>IF(Tasks[[#This Row],[Location]]=0, "", Tasks[[#This Row],[Location]])</f>
        <v>131 - Elev Lobby</v>
      </c>
      <c r="H111" t="str">
        <f>Tasks[[#This Row],[To Package]]</f>
        <v>Westland -- Annex</v>
      </c>
      <c r="I111" t="str">
        <f>Tasks[[#This Row],[To Organisation]]</f>
        <v>Westland Construction, Inc.</v>
      </c>
    </row>
    <row r="112" spans="1:9" x14ac:dyDescent="0.35">
      <c r="A112" s="9" t="str">
        <f>HYPERLINK(_xlfn.CONCAT(Edit_URL,Tasks[[#This Row],[Ref]]),Tasks[[#This Row],[Ref]])</f>
        <v>T74290.69</v>
      </c>
      <c r="B112" s="6" t="str" cm="1">
        <f t="array" ref="B112">_xlfn.SWITCH(LEFT(Tasks[[#This Row],[Status]],1),"O","Opened","C","Completed","S","Signed Off","ERROR")</f>
        <v>Opened</v>
      </c>
      <c r="C112" s="6" t="str" cm="1">
        <f t="array" ref="C112">_xlfn.SWITCH(LEFT(Tasks[[#This Row],[Type]], 2), "Fi", "Field Report", "Co", "Contractor QC", "Ge", "Contractor QC", "Pu", "Punch List")</f>
        <v>Contractor QC</v>
      </c>
      <c r="D112" s="6" t="str">
        <f>LEFT(Tasks[[#This Row],[Description]], 50)</f>
        <v>How do we finish the base of each column on the to</v>
      </c>
      <c r="E112" s="6" t="str" cm="1">
        <f t="array" ref="E112">_xlfn.LET(
_xlpm.inTower, COUNTIF(Tower_Num_Table[Tower Rm Numbers], LEFT(Task_Summary_Table[[#This Row],[Area/Room]], 3)) &gt; 0,
_xlpm.typeResult, _xlfn.SWITCH(LEFT(Tasks[[#This Row],[Page]], 2), "Hi", "Historic", "An", "Annex", "Si", "Site", "S5", "Project Task", "SWITCH ERROR"),
IF(_xlpm.inTower, "West Tower", _xlpm.typeResult)
)</f>
        <v>Annex</v>
      </c>
      <c r="F112" t="str">
        <f>IFERROR(MID(Tasks[[#This Row],[Page]], FIND("Level", Tasks[[#This Row],[Page]]), 7), IF(ISNUMBER(FIND("Roof", Tasks[[#This Row],[Page]])), "Roof",  IF(ISNUMBER(FIND("S590", Tasks[[#This Row],[Page]])), "",  IF(ISNUMBER(FIND("Site", Tasks[[#This Row],[Page]])), "", "ERROR"))))</f>
        <v>Roof</v>
      </c>
      <c r="G112" t="str">
        <f>IF(Tasks[[#This Row],[Location]]=0, "", Tasks[[#This Row],[Location]])</f>
        <v>Roof Center</v>
      </c>
      <c r="H112" t="str">
        <f>Tasks[[#This Row],[To Package]]</f>
        <v>Metal Stud / Drywall</v>
      </c>
      <c r="I112" t="str">
        <f>Tasks[[#This Row],[To Organisation]]</f>
        <v>Pete King Construction</v>
      </c>
    </row>
    <row r="113" spans="1:9" x14ac:dyDescent="0.35">
      <c r="A113" s="9" t="str">
        <f>HYPERLINK(_xlfn.CONCAT(Edit_URL,Tasks[[#This Row],[Ref]]),Tasks[[#This Row],[Ref]])</f>
        <v>T74290.68</v>
      </c>
      <c r="B113" s="6" t="str" cm="1">
        <f t="array" ref="B113">_xlfn.SWITCH(LEFT(Tasks[[#This Row],[Status]],1),"O","Opened","C","Completed","S","Signed Off","ERROR")</f>
        <v>Completed</v>
      </c>
      <c r="C113" s="6" t="str" cm="1">
        <f t="array" ref="C113">_xlfn.SWITCH(LEFT(Tasks[[#This Row],[Type]], 2), "Fi", "Field Report", "Co", "Contractor QC", "Ge", "Contractor QC", "Pu", "Punch List")</f>
        <v>Contractor QC</v>
      </c>
      <c r="D113" s="6" t="str">
        <f>LEFT(Tasks[[#This Row],[Description]], 50)</f>
        <v>Complete windowsill￼</v>
      </c>
      <c r="E113" s="6" t="str" cm="1">
        <f t="array" ref="E113">_xlfn.LET(
_xlpm.inTower, COUNTIF(Tower_Num_Table[Tower Rm Numbers], LEFT(Task_Summary_Table[[#This Row],[Area/Room]], 3)) &gt; 0,
_xlpm.typeResult, _xlfn.SWITCH(LEFT(Tasks[[#This Row],[Page]], 2), "Hi", "Historic", "An", "Annex", "Si", "Site", "S5", "Project Task", "SWITCH ERROR"),
IF(_xlpm.inTower, "West Tower", _xlpm.typeResult)
)</f>
        <v>Annex</v>
      </c>
      <c r="F113" t="str">
        <f>IFERROR(MID(Tasks[[#This Row],[Page]], FIND("Level", Tasks[[#This Row],[Page]]), 7), IF(ISNUMBER(FIND("Roof", Tasks[[#This Row],[Page]])), "Roof",  IF(ISNUMBER(FIND("S590", Tasks[[#This Row],[Page]])), "",  IF(ISNUMBER(FIND("Site", Tasks[[#This Row],[Page]])), "", "ERROR"))))</f>
        <v>Level 1</v>
      </c>
      <c r="G113" t="str">
        <f>IF(Tasks[[#This Row],[Location]]=0, "", Tasks[[#This Row],[Location]])</f>
        <v>102A - Vestibule</v>
      </c>
      <c r="H113" t="str">
        <f>Tasks[[#This Row],[To Package]]</f>
        <v>Plaster</v>
      </c>
      <c r="I113" t="str">
        <f>Tasks[[#This Row],[To Organisation]]</f>
        <v>R. Phillips Plastering LLC</v>
      </c>
    </row>
    <row r="114" spans="1:9" x14ac:dyDescent="0.35">
      <c r="A114" s="9" t="str">
        <f>HYPERLINK(_xlfn.CONCAT(Edit_URL,Tasks[[#This Row],[Ref]]),Tasks[[#This Row],[Ref]])</f>
        <v>T74290.67</v>
      </c>
      <c r="B114" s="6" t="str" cm="1">
        <f t="array" ref="B114">_xlfn.SWITCH(LEFT(Tasks[[#This Row],[Status]],1),"O","Opened","C","Completed","S","Signed Off","ERROR")</f>
        <v>Completed</v>
      </c>
      <c r="C114" s="6" t="str" cm="1">
        <f t="array" ref="C114">_xlfn.SWITCH(LEFT(Tasks[[#This Row],[Type]], 2), "Fi", "Field Report", "Co", "Contractor QC", "Ge", "Contractor QC", "Pu", "Punch List")</f>
        <v>Contractor QC</v>
      </c>
      <c r="D114" s="6" t="str">
        <f>LEFT(Tasks[[#This Row],[Description]], 50)</f>
        <v>Complete drywall above door and finish￼</v>
      </c>
      <c r="E114" s="6" t="str" cm="1">
        <f t="array" ref="E114">_xlfn.LET(
_xlpm.inTower, COUNTIF(Tower_Num_Table[Tower Rm Numbers], LEFT(Task_Summary_Table[[#This Row],[Area/Room]], 3)) &gt; 0,
_xlpm.typeResult, _xlfn.SWITCH(LEFT(Tasks[[#This Row],[Page]], 2), "Hi", "Historic", "An", "Annex", "Si", "Site", "S5", "Project Task", "SWITCH ERROR"),
IF(_xlpm.inTower, "West Tower", _xlpm.typeResult)
)</f>
        <v>Annex</v>
      </c>
      <c r="F114" t="str">
        <f>IFERROR(MID(Tasks[[#This Row],[Page]], FIND("Level", Tasks[[#This Row],[Page]]), 7), IF(ISNUMBER(FIND("Roof", Tasks[[#This Row],[Page]])), "Roof",  IF(ISNUMBER(FIND("S590", Tasks[[#This Row],[Page]])), "",  IF(ISNUMBER(FIND("Site", Tasks[[#This Row],[Page]])), "", "ERROR"))))</f>
        <v>Level 0</v>
      </c>
      <c r="G114" t="str">
        <f>IF(Tasks[[#This Row],[Location]]=0, "", Tasks[[#This Row],[Location]])</f>
        <v>002 - Electrical</v>
      </c>
      <c r="H114" t="str">
        <f>Tasks[[#This Row],[To Package]]</f>
        <v>Metal Stud / Drywall</v>
      </c>
      <c r="I114" t="str">
        <f>Tasks[[#This Row],[To Organisation]]</f>
        <v>Pete King Construction</v>
      </c>
    </row>
    <row r="115" spans="1:9" x14ac:dyDescent="0.35">
      <c r="A115" s="9" t="str">
        <f>HYPERLINK(_xlfn.CONCAT(Edit_URL,Tasks[[#This Row],[Ref]]),Tasks[[#This Row],[Ref]])</f>
        <v>T74290.66</v>
      </c>
      <c r="B115" s="6" t="str" cm="1">
        <f t="array" ref="B115">_xlfn.SWITCH(LEFT(Tasks[[#This Row],[Status]],1),"O","Opened","C","Completed","S","Signed Off","ERROR")</f>
        <v>Signed Off</v>
      </c>
      <c r="C115" s="6" t="str" cm="1">
        <f t="array" ref="C115">_xlfn.SWITCH(LEFT(Tasks[[#This Row],[Type]], 2), "Fi", "Field Report", "Co", "Contractor QC", "Ge", "Contractor QC", "Pu", "Punch List")</f>
        <v>Contractor QC</v>
      </c>
      <c r="D115" s="6" t="str">
        <f>LEFT(Tasks[[#This Row],[Description]], 50)</f>
        <v>Paint walls￼</v>
      </c>
      <c r="E115" s="6" t="str" cm="1">
        <f t="array" ref="E11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15" t="str">
        <f>IFERROR(MID(Tasks[[#This Row],[Page]], FIND("Level", Tasks[[#This Row],[Page]]), 7), IF(ISNUMBER(FIND("Roof", Tasks[[#This Row],[Page]])), "Roof",  IF(ISNUMBER(FIND("S590", Tasks[[#This Row],[Page]])), "",  IF(ISNUMBER(FIND("Site", Tasks[[#This Row],[Page]])), "", "ERROR"))))</f>
        <v>Level 1</v>
      </c>
      <c r="G115" t="str">
        <f>IF(Tasks[[#This Row],[Location]]=0, "", Tasks[[#This Row],[Location]])</f>
        <v>183 - Storage</v>
      </c>
      <c r="H115" t="str">
        <f>Tasks[[#This Row],[To Package]]</f>
        <v>Paint</v>
      </c>
      <c r="I115" t="str">
        <f>Tasks[[#This Row],[To Organisation]]</f>
        <v>Accent Painting and Special Coatings, LLC</v>
      </c>
    </row>
    <row r="116" spans="1:9" x14ac:dyDescent="0.35">
      <c r="A116" s="9" t="str">
        <f>HYPERLINK(_xlfn.CONCAT(Edit_URL,Tasks[[#This Row],[Ref]]),Tasks[[#This Row],[Ref]])</f>
        <v>T74290.65</v>
      </c>
      <c r="B116" s="6" t="str" cm="1">
        <f t="array" ref="B116">_xlfn.SWITCH(LEFT(Tasks[[#This Row],[Status]],1),"O","Opened","C","Completed","S","Signed Off","ERROR")</f>
        <v>Signed Off</v>
      </c>
      <c r="C116" s="6" t="str" cm="1">
        <f t="array" ref="C116">_xlfn.SWITCH(LEFT(Tasks[[#This Row],[Type]], 2), "Fi", "Field Report", "Co", "Contractor QC", "Ge", "Contractor QC", "Pu", "Punch List")</f>
        <v>Contractor QC</v>
      </c>
      <c r="D116" s="6" t="str">
        <f>LEFT(Tasks[[#This Row],[Description]], 50)</f>
        <v>Complete marble base￼</v>
      </c>
      <c r="E116" s="6" t="str" cm="1">
        <f t="array" ref="E116">_xlfn.LET(
_xlpm.inTower, COUNTIF(Tower_Num_Table[Tower Rm Numbers], LEFT(Task_Summary_Table[[#This Row],[Area/Room]], 3)) &gt; 0,
_xlpm.typeResult, _xlfn.SWITCH(LEFT(Tasks[[#This Row],[Page]], 2), "Hi", "Historic", "An", "Annex", "Si", "Site", "S5", "Project Task", "SWITCH ERROR"),
IF(_xlpm.inTower, "West Tower", _xlpm.typeResult)
)</f>
        <v>Annex</v>
      </c>
      <c r="F116" t="str">
        <f>IFERROR(MID(Tasks[[#This Row],[Page]], FIND("Level", Tasks[[#This Row],[Page]]), 7), IF(ISNUMBER(FIND("Roof", Tasks[[#This Row],[Page]])), "Roof",  IF(ISNUMBER(FIND("S590", Tasks[[#This Row],[Page]])), "",  IF(ISNUMBER(FIND("Site", Tasks[[#This Row],[Page]])), "", "ERROR"))))</f>
        <v>Level 1</v>
      </c>
      <c r="G116" t="str">
        <f>IF(Tasks[[#This Row],[Location]]=0, "", Tasks[[#This Row],[Location]])</f>
        <v>151 - Folding</v>
      </c>
      <c r="H116" t="str">
        <f>Tasks[[#This Row],[To Package]]</f>
        <v>Tile</v>
      </c>
      <c r="I116" t="str">
        <f>Tasks[[#This Row],[To Organisation]]</f>
        <v>Global Stone and Tile, LLC</v>
      </c>
    </row>
    <row r="117" spans="1:9" x14ac:dyDescent="0.35">
      <c r="A117" s="9" t="str">
        <f>HYPERLINK(_xlfn.CONCAT(Edit_URL,Tasks[[#This Row],[Ref]]),Tasks[[#This Row],[Ref]])</f>
        <v>T74290.64</v>
      </c>
      <c r="B117" s="6" t="str" cm="1">
        <f t="array" ref="B117">_xlfn.SWITCH(LEFT(Tasks[[#This Row],[Status]],1),"O","Opened","C","Completed","S","Signed Off","ERROR")</f>
        <v>Signed Off</v>
      </c>
      <c r="C117" s="6" t="str" cm="1">
        <f t="array" ref="C117">_xlfn.SWITCH(LEFT(Tasks[[#This Row],[Type]], 2), "Fi", "Field Report", "Co", "Contractor QC", "Ge", "Contractor QC", "Pu", "Punch List")</f>
        <v>Contractor QC</v>
      </c>
      <c r="D117" s="6" t="str">
        <f>LEFT(Tasks[[#This Row],[Description]], 50)</f>
        <v>Fill gap behind trim￼</v>
      </c>
      <c r="E117" s="6" t="str" cm="1">
        <f t="array" ref="E117">_xlfn.LET(
_xlpm.inTower, COUNTIF(Tower_Num_Table[Tower Rm Numbers], LEFT(Task_Summary_Table[[#This Row],[Area/Room]], 3)) &gt; 0,
_xlpm.typeResult, _xlfn.SWITCH(LEFT(Tasks[[#This Row],[Page]], 2), "Hi", "Historic", "An", "Annex", "Si", "Site", "S5", "Project Task", "SWITCH ERROR"),
IF(_xlpm.inTower, "West Tower", _xlpm.typeResult)
)</f>
        <v>Annex</v>
      </c>
      <c r="F117" t="str">
        <f>IFERROR(MID(Tasks[[#This Row],[Page]], FIND("Level", Tasks[[#This Row],[Page]]), 7), IF(ISNUMBER(FIND("Roof", Tasks[[#This Row],[Page]])), "Roof",  IF(ISNUMBER(FIND("S590", Tasks[[#This Row],[Page]])), "",  IF(ISNUMBER(FIND("Site", Tasks[[#This Row],[Page]])), "", "ERROR"))))</f>
        <v>Level 1</v>
      </c>
      <c r="G117" t="str">
        <f>IF(Tasks[[#This Row],[Location]]=0, "", Tasks[[#This Row],[Location]])</f>
        <v>151 - Folding</v>
      </c>
      <c r="H117" t="str">
        <f>Tasks[[#This Row],[To Package]]</f>
        <v xml:space="preserve">Finish Carpentry </v>
      </c>
      <c r="I117" t="str">
        <f>Tasks[[#This Row],[To Organisation]]</f>
        <v>Fetzers' Inc.</v>
      </c>
    </row>
    <row r="118" spans="1:9" x14ac:dyDescent="0.35">
      <c r="A118" s="9" t="str">
        <f>HYPERLINK(_xlfn.CONCAT(Edit_URL,Tasks[[#This Row],[Ref]]),Tasks[[#This Row],[Ref]])</f>
        <v>T74290.63</v>
      </c>
      <c r="B118" s="6" t="str" cm="1">
        <f t="array" ref="B118">_xlfn.SWITCH(LEFT(Tasks[[#This Row],[Status]],1),"O","Opened","C","Completed","S","Signed Off","ERROR")</f>
        <v>Completed</v>
      </c>
      <c r="C118" s="6" t="str" cm="1">
        <f t="array" ref="C118">_xlfn.SWITCH(LEFT(Tasks[[#This Row],[Type]], 2), "Fi", "Field Report", "Co", "Contractor QC", "Ge", "Contractor QC", "Pu", "Punch List")</f>
        <v>Contractor QC</v>
      </c>
      <c r="D118" s="6" t="str">
        <f>LEFT(Tasks[[#This Row],[Description]], 50)</f>
        <v>File the tops of the columns￼</v>
      </c>
      <c r="E118" s="6" t="str" cm="1">
        <f t="array" ref="E118">_xlfn.LET(
_xlpm.inTower, COUNTIF(Tower_Num_Table[Tower Rm Numbers], LEFT(Task_Summary_Table[[#This Row],[Area/Room]], 3)) &gt; 0,
_xlpm.typeResult, _xlfn.SWITCH(LEFT(Tasks[[#This Row],[Page]], 2), "Hi", "Historic", "An", "Annex", "Si", "Site", "S5", "Project Task", "SWITCH ERROR"),
IF(_xlpm.inTower, "West Tower", _xlpm.typeResult)
)</f>
        <v>Annex</v>
      </c>
      <c r="F118" t="str">
        <f>IFERROR(MID(Tasks[[#This Row],[Page]], FIND("Level", Tasks[[#This Row],[Page]]), 7), IF(ISNUMBER(FIND("Roof", Tasks[[#This Row],[Page]])), "Roof",  IF(ISNUMBER(FIND("S590", Tasks[[#This Row],[Page]])), "",  IF(ISNUMBER(FIND("Site", Tasks[[#This Row],[Page]])), "", "ERROR"))))</f>
        <v>Level 1</v>
      </c>
      <c r="G118" t="str">
        <f>IF(Tasks[[#This Row],[Location]]=0, "", Tasks[[#This Row],[Location]])</f>
        <v>110 - Chapel</v>
      </c>
      <c r="H118" t="str">
        <f>Tasks[[#This Row],[To Package]]</f>
        <v>GFRG</v>
      </c>
      <c r="I118" t="str">
        <f>Tasks[[#This Row],[To Organisation]]</f>
        <v>Pete King Construction</v>
      </c>
    </row>
    <row r="119" spans="1:9" x14ac:dyDescent="0.35">
      <c r="A119" s="9" t="str">
        <f>HYPERLINK(_xlfn.CONCAT(Edit_URL,Tasks[[#This Row],[Ref]]),Tasks[[#This Row],[Ref]])</f>
        <v>T74290.62</v>
      </c>
      <c r="B119" s="6" t="str" cm="1">
        <f t="array" ref="B119">_xlfn.SWITCH(LEFT(Tasks[[#This Row],[Status]],1),"O","Opened","C","Completed","S","Signed Off","ERROR")</f>
        <v>Opened</v>
      </c>
      <c r="C119" s="6" t="str" cm="1">
        <f t="array" ref="C119">_xlfn.SWITCH(LEFT(Tasks[[#This Row],[Type]], 2), "Fi", "Field Report", "Co", "Contractor QC", "Ge", "Contractor QC", "Pu", "Punch List")</f>
        <v>Contractor QC</v>
      </c>
      <c r="D119" s="6" t="str">
        <f>LEFT(Tasks[[#This Row],[Description]], 50)</f>
        <v>Complete baseboard backing￼</v>
      </c>
      <c r="E119" s="6" t="str" cm="1">
        <f t="array" ref="E119">_xlfn.LET(
_xlpm.inTower, COUNTIF(Tower_Num_Table[Tower Rm Numbers], LEFT(Task_Summary_Table[[#This Row],[Area/Room]], 3)) &gt; 0,
_xlpm.typeResult, _xlfn.SWITCH(LEFT(Tasks[[#This Row],[Page]], 2), "Hi", "Historic", "An", "Annex", "Si", "Site", "S5", "Project Task", "SWITCH ERROR"),
IF(_xlpm.inTower, "West Tower", _xlpm.typeResult)
)</f>
        <v>Annex</v>
      </c>
      <c r="F119" t="str">
        <f>IFERROR(MID(Tasks[[#This Row],[Page]], FIND("Level", Tasks[[#This Row],[Page]]), 7), IF(ISNUMBER(FIND("Roof", Tasks[[#This Row],[Page]])), "Roof",  IF(ISNUMBER(FIND("S590", Tasks[[#This Row],[Page]])), "",  IF(ISNUMBER(FIND("Site", Tasks[[#This Row],[Page]])), "", "ERROR"))))</f>
        <v>Level 1</v>
      </c>
      <c r="G119" t="str">
        <f>IF(Tasks[[#This Row],[Location]]=0, "", Tasks[[#This Row],[Location]])</f>
        <v>101 - Entry</v>
      </c>
      <c r="H119" t="str">
        <f>Tasks[[#This Row],[To Package]]</f>
        <v>Westland -- Annex</v>
      </c>
      <c r="I119" t="str">
        <f>Tasks[[#This Row],[To Organisation]]</f>
        <v>Westland Construction, Inc.</v>
      </c>
    </row>
    <row r="120" spans="1:9" x14ac:dyDescent="0.35">
      <c r="A120" s="9" t="str">
        <f>HYPERLINK(_xlfn.CONCAT(Edit_URL,Tasks[[#This Row],[Ref]]),Tasks[[#This Row],[Ref]])</f>
        <v>T74290.61</v>
      </c>
      <c r="B120" s="6" t="str" cm="1">
        <f t="array" ref="B120">_xlfn.SWITCH(LEFT(Tasks[[#This Row],[Status]],1),"O","Opened","C","Completed","S","Signed Off","ERROR")</f>
        <v>Completed</v>
      </c>
      <c r="C120" s="6" t="str" cm="1">
        <f t="array" ref="C120">_xlfn.SWITCH(LEFT(Tasks[[#This Row],[Type]], 2), "Fi", "Field Report", "Co", "Contractor QC", "Ge", "Contractor QC", "Pu", "Punch List")</f>
        <v>Contractor QC</v>
      </c>
      <c r="D120" s="6" t="str">
        <f>LEFT(Tasks[[#This Row],[Description]], 50)</f>
        <v xml:space="preserve">Complete the trim on top of the door casing along </v>
      </c>
      <c r="E120" s="6" t="str" cm="1">
        <f t="array" ref="E120">_xlfn.LET(
_xlpm.inTower, COUNTIF(Tower_Num_Table[Tower Rm Numbers], LEFT(Task_Summary_Table[[#This Row],[Area/Room]], 3)) &gt; 0,
_xlpm.typeResult, _xlfn.SWITCH(LEFT(Tasks[[#This Row],[Page]], 2), "Hi", "Historic", "An", "Annex", "Si", "Site", "S5", "Project Task", "SWITCH ERROR"),
IF(_xlpm.inTower, "West Tower", _xlpm.typeResult)
)</f>
        <v>Historic</v>
      </c>
      <c r="F120" t="str">
        <f>IFERROR(MID(Tasks[[#This Row],[Page]], FIND("Level", Tasks[[#This Row],[Page]]), 7), IF(ISNUMBER(FIND("Roof", Tasks[[#This Row],[Page]])), "Roof",  IF(ISNUMBER(FIND("S590", Tasks[[#This Row],[Page]])), "",  IF(ISNUMBER(FIND("Site", Tasks[[#This Row],[Page]])), "", "ERROR"))))</f>
        <v>Level 1</v>
      </c>
      <c r="G120" t="str">
        <f>IF(Tasks[[#This Row],[Location]]=0, "", Tasks[[#This Row],[Location]])</f>
        <v/>
      </c>
      <c r="H120" t="str">
        <f>Tasks[[#This Row],[To Package]]</f>
        <v xml:space="preserve">Finish Carpentry </v>
      </c>
      <c r="I120" t="str">
        <f>Tasks[[#This Row],[To Organisation]]</f>
        <v>Fetzers' Inc.</v>
      </c>
    </row>
    <row r="121" spans="1:9" x14ac:dyDescent="0.35">
      <c r="A121" s="9" t="str">
        <f>HYPERLINK(_xlfn.CONCAT(Edit_URL,Tasks[[#This Row],[Ref]]),Tasks[[#This Row],[Ref]])</f>
        <v>T74290.60</v>
      </c>
      <c r="B121" s="6" t="str" cm="1">
        <f t="array" ref="B121">_xlfn.SWITCH(LEFT(Tasks[[#This Row],[Status]],1),"O","Opened","C","Completed","S","Signed Off","ERROR")</f>
        <v>Completed</v>
      </c>
      <c r="C121" s="6" t="str" cm="1">
        <f t="array" ref="C121">_xlfn.SWITCH(LEFT(Tasks[[#This Row],[Type]], 2), "Fi", "Field Report", "Co", "Contractor QC", "Ge", "Contractor QC", "Pu", "Punch List")</f>
        <v>Contractor QC</v>
      </c>
      <c r="D121" s="6" t="str">
        <f>LEFT(Tasks[[#This Row],[Description]], 50)</f>
        <v>Patch hole on exterior wall</v>
      </c>
      <c r="E121" s="6" t="str" cm="1">
        <f t="array" ref="E121">_xlfn.LET(
_xlpm.inTower, COUNTIF(Tower_Num_Table[Tower Rm Numbers], LEFT(Task_Summary_Table[[#This Row],[Area/Room]], 3)) &gt; 0,
_xlpm.typeResult, _xlfn.SWITCH(LEFT(Tasks[[#This Row],[Page]], 2), "Hi", "Historic", "An", "Annex", "Si", "Site", "S5", "Project Task", "SWITCH ERROR"),
IF(_xlpm.inTower, "West Tower", _xlpm.typeResult)
)</f>
        <v>Annex</v>
      </c>
      <c r="F121" t="str">
        <f>IFERROR(MID(Tasks[[#This Row],[Page]], FIND("Level", Tasks[[#This Row],[Page]]), 7), IF(ISNUMBER(FIND("Roof", Tasks[[#This Row],[Page]])), "Roof",  IF(ISNUMBER(FIND("S590", Tasks[[#This Row],[Page]])), "",  IF(ISNUMBER(FIND("Site", Tasks[[#This Row],[Page]])), "", "ERROR"))))</f>
        <v>Level 1</v>
      </c>
      <c r="G121" t="str">
        <f>IF(Tasks[[#This Row],[Location]]=0, "", Tasks[[#This Row],[Location]])</f>
        <v/>
      </c>
      <c r="H121" t="str">
        <f>Tasks[[#This Row],[To Package]]</f>
        <v>Westland -- Annex</v>
      </c>
      <c r="I121" t="str">
        <f>Tasks[[#This Row],[To Organisation]]</f>
        <v>Westland Construction, Inc.</v>
      </c>
    </row>
    <row r="122" spans="1:9" x14ac:dyDescent="0.35">
      <c r="A122" s="9" t="str">
        <f>HYPERLINK(_xlfn.CONCAT(Edit_URL,Tasks[[#This Row],[Ref]]),Tasks[[#This Row],[Ref]])</f>
        <v>T74290.59</v>
      </c>
      <c r="B122" s="6" t="str" cm="1">
        <f t="array" ref="B122">_xlfn.SWITCH(LEFT(Tasks[[#This Row],[Status]],1),"O","Opened","C","Completed","S","Signed Off","ERROR")</f>
        <v>Completed</v>
      </c>
      <c r="C122" s="6" t="str" cm="1">
        <f t="array" ref="C122">_xlfn.SWITCH(LEFT(Tasks[[#This Row],[Type]], 2), "Fi", "Field Report", "Co", "Contractor QC", "Ge", "Contractor QC", "Pu", "Punch List")</f>
        <v>Contractor QC</v>
      </c>
      <c r="D122" s="6" t="str">
        <f>LEFT(Tasks[[#This Row],[Description]], 50)</f>
        <v>Caulk around all the bases of the columns</v>
      </c>
      <c r="E122" s="6" t="str" cm="1">
        <f t="array" ref="E122">_xlfn.LET(
_xlpm.inTower, COUNTIF(Tower_Num_Table[Tower Rm Numbers], LEFT(Task_Summary_Table[[#This Row],[Area/Room]], 3)) &gt; 0,
_xlpm.typeResult, _xlfn.SWITCH(LEFT(Tasks[[#This Row],[Page]], 2), "Hi", "Historic", "An", "Annex", "Si", "Site", "S5", "Project Task", "SWITCH ERROR"),
IF(_xlpm.inTower, "West Tower", _xlpm.typeResult)
)</f>
        <v>Annex</v>
      </c>
      <c r="F122" t="str">
        <f>IFERROR(MID(Tasks[[#This Row],[Page]], FIND("Level", Tasks[[#This Row],[Page]]), 7), IF(ISNUMBER(FIND("Roof", Tasks[[#This Row],[Page]])), "Roof",  IF(ISNUMBER(FIND("S590", Tasks[[#This Row],[Page]])), "",  IF(ISNUMBER(FIND("Site", Tasks[[#This Row],[Page]])), "", "ERROR"))))</f>
        <v>Level 1</v>
      </c>
      <c r="G122" t="str">
        <f>IF(Tasks[[#This Row],[Location]]=0, "", Tasks[[#This Row],[Location]])</f>
        <v>109 - Waiting</v>
      </c>
      <c r="H122" t="str">
        <f>Tasks[[#This Row],[To Package]]</f>
        <v>Tile</v>
      </c>
      <c r="I122" t="str">
        <f>Tasks[[#This Row],[To Organisation]]</f>
        <v>Global Stone and Tile, LLC</v>
      </c>
    </row>
    <row r="123" spans="1:9" x14ac:dyDescent="0.35">
      <c r="A123" s="9" t="str">
        <f>HYPERLINK(_xlfn.CONCAT(Edit_URL,Tasks[[#This Row],[Ref]]),Tasks[[#This Row],[Ref]])</f>
        <v>T74290.58</v>
      </c>
      <c r="B123" s="6" t="str" cm="1">
        <f t="array" ref="B123">_xlfn.SWITCH(LEFT(Tasks[[#This Row],[Status]],1),"O","Opened","C","Completed","S","Signed Off","ERROR")</f>
        <v>Opened</v>
      </c>
      <c r="C123" s="6" t="str" cm="1">
        <f t="array" ref="C123">_xlfn.SWITCH(LEFT(Tasks[[#This Row],[Type]], 2), "Fi", "Field Report", "Co", "Contractor QC", "Ge", "Contractor QC", "Pu", "Punch List")</f>
        <v>Contractor QC</v>
      </c>
      <c r="D123" s="6" t="str">
        <f>LEFT(Tasks[[#This Row],[Description]], 50)</f>
        <v>Fill in honeycomb and holes with non shrink grout</v>
      </c>
      <c r="E123" s="6" t="str" cm="1">
        <f t="array" ref="E123">_xlfn.LET(
_xlpm.inTower, COUNTIF(Tower_Num_Table[Tower Rm Numbers], LEFT(Task_Summary_Table[[#This Row],[Area/Room]], 3)) &gt; 0,
_xlpm.typeResult, _xlfn.SWITCH(LEFT(Tasks[[#This Row],[Page]], 2), "Hi", "Historic", "An", "Annex", "Si", "Site", "S5", "Project Task", "SWITCH ERROR"),
IF(_xlpm.inTower, "West Tower", _xlpm.typeResult)
)</f>
        <v>Historic</v>
      </c>
      <c r="F123" t="str">
        <f>IFERROR(MID(Tasks[[#This Row],[Page]], FIND("Level", Tasks[[#This Row],[Page]]), 7), IF(ISNUMBER(FIND("Roof", Tasks[[#This Row],[Page]])), "Roof",  IF(ISNUMBER(FIND("S590", Tasks[[#This Row],[Page]])), "",  IF(ISNUMBER(FIND("Site", Tasks[[#This Row],[Page]])), "", "ERROR"))))</f>
        <v>Level 3</v>
      </c>
      <c r="G123" t="str">
        <f>IF(Tasks[[#This Row],[Location]]=0, "", Tasks[[#This Row],[Location]])</f>
        <v>Level 2 East Stairs</v>
      </c>
      <c r="H123" t="str">
        <f>Tasks[[#This Row],[To Package]]</f>
        <v>Concrete</v>
      </c>
      <c r="I123" t="str">
        <f>Tasks[[#This Row],[To Organisation]]</f>
        <v>Innovative Concrete, LLC</v>
      </c>
    </row>
    <row r="124" spans="1:9" x14ac:dyDescent="0.35">
      <c r="A124" s="9" t="str">
        <f>HYPERLINK(_xlfn.CONCAT(Edit_URL,Tasks[[#This Row],[Ref]]),Tasks[[#This Row],[Ref]])</f>
        <v>T74290.57</v>
      </c>
      <c r="B124" s="6" t="str" cm="1">
        <f t="array" ref="B124">_xlfn.SWITCH(LEFT(Tasks[[#This Row],[Status]],1),"O","Opened","C","Completed","S","Signed Off","ERROR")</f>
        <v>Opened</v>
      </c>
      <c r="C124" s="6" t="str" cm="1">
        <f t="array" ref="C124">_xlfn.SWITCH(LEFT(Tasks[[#This Row],[Type]], 2), "Fi", "Field Report", "Co", "Contractor QC", "Ge", "Contractor QC", "Pu", "Punch List")</f>
        <v>Contractor QC</v>
      </c>
      <c r="D124" s="6" t="str">
        <f>LEFT(Tasks[[#This Row],[Description]], 50)</f>
        <v>Fill in honeycomb and holes￼ with non shrink grout</v>
      </c>
      <c r="E124" s="6" t="str" cm="1">
        <f t="array" ref="E124">_xlfn.LET(
_xlpm.inTower, COUNTIF(Tower_Num_Table[Tower Rm Numbers], LEFT(Task_Summary_Table[[#This Row],[Area/Room]], 3)) &gt; 0,
_xlpm.typeResult, _xlfn.SWITCH(LEFT(Tasks[[#This Row],[Page]], 2), "Hi", "Historic", "An", "Annex", "Si", "Site", "S5", "Project Task", "SWITCH ERROR"),
IF(_xlpm.inTower, "West Tower", _xlpm.typeResult)
)</f>
        <v>Historic</v>
      </c>
      <c r="F124" t="str">
        <f>IFERROR(MID(Tasks[[#This Row],[Page]], FIND("Level", Tasks[[#This Row],[Page]]), 7), IF(ISNUMBER(FIND("Roof", Tasks[[#This Row],[Page]])), "Roof",  IF(ISNUMBER(FIND("S590", Tasks[[#This Row],[Page]])), "",  IF(ISNUMBER(FIND("Site", Tasks[[#This Row],[Page]])), "", "ERROR"))))</f>
        <v>Level 2</v>
      </c>
      <c r="G124" t="str">
        <f>IF(Tasks[[#This Row],[Location]]=0, "", Tasks[[#This Row],[Location]])</f>
        <v>Level 2 West Stair Tower</v>
      </c>
      <c r="H124" t="str">
        <f>Tasks[[#This Row],[To Package]]</f>
        <v>Concrete</v>
      </c>
      <c r="I124" t="str">
        <f>Tasks[[#This Row],[To Organisation]]</f>
        <v>Innovative Concrete, LLC</v>
      </c>
    </row>
    <row r="125" spans="1:9" x14ac:dyDescent="0.35">
      <c r="A125" s="9" t="str">
        <f>HYPERLINK(_xlfn.CONCAT(Edit_URL,Tasks[[#This Row],[Ref]]),Tasks[[#This Row],[Ref]])</f>
        <v>T74290.56</v>
      </c>
      <c r="B125" s="6" t="str" cm="1">
        <f t="array" ref="B125">_xlfn.SWITCH(LEFT(Tasks[[#This Row],[Status]],1),"O","Opened","C","Completed","S","Signed Off","ERROR")</f>
        <v>Completed</v>
      </c>
      <c r="C125" s="6" t="str" cm="1">
        <f t="array" ref="C125">_xlfn.SWITCH(LEFT(Tasks[[#This Row],[Type]], 2), "Fi", "Field Report", "Co", "Contractor QC", "Ge", "Contractor QC", "Pu", "Punch List")</f>
        <v>Contractor QC</v>
      </c>
      <c r="D125" s="6" t="str">
        <f>LEFT(Tasks[[#This Row],[Description]], 50)</f>
        <v>Level form for the forming of the window opening￼</v>
      </c>
      <c r="E125" s="6" t="str" cm="1">
        <f t="array" ref="E125">_xlfn.LET(
_xlpm.inTower, COUNTIF(Tower_Num_Table[Tower Rm Numbers], LEFT(Task_Summary_Table[[#This Row],[Area/Room]], 3)) &gt; 0,
_xlpm.typeResult, _xlfn.SWITCH(LEFT(Tasks[[#This Row],[Page]], 2), "Hi", "Historic", "An", "Annex", "Si", "Site", "S5", "Project Task", "SWITCH ERROR"),
IF(_xlpm.inTower, "West Tower", _xlpm.typeResult)
)</f>
        <v>Historic</v>
      </c>
      <c r="F125" t="str">
        <f>IFERROR(MID(Tasks[[#This Row],[Page]], FIND("Level", Tasks[[#This Row],[Page]]), 7), IF(ISNUMBER(FIND("Roof", Tasks[[#This Row],[Page]])), "Roof",  IF(ISNUMBER(FIND("S590", Tasks[[#This Row],[Page]])), "",  IF(ISNUMBER(FIND("Site", Tasks[[#This Row],[Page]])), "", "ERROR"))))</f>
        <v>Level 4</v>
      </c>
      <c r="G125" t="str">
        <f>IF(Tasks[[#This Row],[Location]]=0, "", Tasks[[#This Row],[Location]])</f>
        <v>Level 4 East Stair Tower</v>
      </c>
      <c r="H125" t="str">
        <f>Tasks[[#This Row],[To Package]]</f>
        <v>Concrete</v>
      </c>
      <c r="I125" t="str">
        <f>Tasks[[#This Row],[To Organisation]]</f>
        <v>Innovative Concrete, LLC</v>
      </c>
    </row>
    <row r="126" spans="1:9" x14ac:dyDescent="0.35">
      <c r="A126" s="9" t="str">
        <f>HYPERLINK(_xlfn.CONCAT(Edit_URL,Tasks[[#This Row],[Ref]]),Tasks[[#This Row],[Ref]])</f>
        <v>T74290.55</v>
      </c>
      <c r="B126" s="6" t="str" cm="1">
        <f t="array" ref="B126">_xlfn.SWITCH(LEFT(Tasks[[#This Row],[Status]],1),"O","Opened","C","Completed","S","Signed Off","ERROR")</f>
        <v>Completed</v>
      </c>
      <c r="C126" s="6" t="str" cm="1">
        <f t="array" ref="C126">_xlfn.SWITCH(LEFT(Tasks[[#This Row],[Type]], 2), "Fi", "Field Report", "Co", "Contractor QC", "Ge", "Contractor QC", "Pu", "Punch List")</f>
        <v>Contractor QC</v>
      </c>
      <c r="D126" s="6" t="str">
        <f>LEFT(Tasks[[#This Row],[Description]], 50)</f>
        <v>Complete landing below handrail in front of window</v>
      </c>
      <c r="E126" s="6" t="str" cm="1">
        <f t="array" ref="E126">_xlfn.LET(
_xlpm.inTower, COUNTIF(Tower_Num_Table[Tower Rm Numbers], LEFT(Task_Summary_Table[[#This Row],[Area/Room]], 3)) &gt; 0,
_xlpm.typeResult, _xlfn.SWITCH(LEFT(Tasks[[#This Row],[Page]], 2), "Hi", "Historic", "An", "Annex", "Si", "Site", "S5", "Project Task", "SWITCH ERROR"),
IF(_xlpm.inTower, "West Tower", _xlpm.typeResult)
)</f>
        <v>Historic</v>
      </c>
      <c r="F126" t="str">
        <f>IFERROR(MID(Tasks[[#This Row],[Page]], FIND("Level", Tasks[[#This Row],[Page]]), 7), IF(ISNUMBER(FIND("Roof", Tasks[[#This Row],[Page]])), "Roof",  IF(ISNUMBER(FIND("S590", Tasks[[#This Row],[Page]])), "",  IF(ISNUMBER(FIND("Site", Tasks[[#This Row],[Page]])), "", "ERROR"))))</f>
        <v>Level 4</v>
      </c>
      <c r="G126" t="str">
        <f>IF(Tasks[[#This Row],[Location]]=0, "", Tasks[[#This Row],[Location]])</f>
        <v>410 - Study</v>
      </c>
      <c r="H126" t="str">
        <f>Tasks[[#This Row],[To Package]]</f>
        <v xml:space="preserve">Finish Carpentry </v>
      </c>
      <c r="I126" t="str">
        <f>Tasks[[#This Row],[To Organisation]]</f>
        <v>Fetzers' Inc.</v>
      </c>
    </row>
    <row r="127" spans="1:9" x14ac:dyDescent="0.35">
      <c r="A127" s="9" t="str">
        <f>HYPERLINK(_xlfn.CONCAT(Edit_URL,Tasks[[#This Row],[Ref]]),Tasks[[#This Row],[Ref]])</f>
        <v>T74290.54</v>
      </c>
      <c r="B127" s="6" t="str" cm="1">
        <f t="array" ref="B127">_xlfn.SWITCH(LEFT(Tasks[[#This Row],[Status]],1),"O","Opened","C","Completed","S","Signed Off","ERROR")</f>
        <v>Completed</v>
      </c>
      <c r="C127" s="6" t="str" cm="1">
        <f t="array" ref="C127">_xlfn.SWITCH(LEFT(Tasks[[#This Row],[Type]], 2), "Fi", "Field Report", "Co", "Contractor QC", "Ge", "Contractor QC", "Pu", "Punch List")</f>
        <v>Contractor QC</v>
      </c>
      <c r="D127" s="6" t="str">
        <f>LEFT(Tasks[[#This Row],[Description]], 50)</f>
        <v>Measurement from wall to handrail is 33 inches. Wi</v>
      </c>
      <c r="E127" s="6" t="str" cm="1">
        <f t="array" ref="E127">_xlfn.LET(
_xlpm.inTower, COUNTIF(Tower_Num_Table[Tower Rm Numbers], LEFT(Task_Summary_Table[[#This Row],[Area/Room]], 3)) &gt; 0,
_xlpm.typeResult, _xlfn.SWITCH(LEFT(Tasks[[#This Row],[Page]], 2), "Hi", "Historic", "An", "Annex", "Si", "Site", "S5", "Project Task", "SWITCH ERROR"),
IF(_xlpm.inTower, "West Tower", _xlpm.typeResult)
)</f>
        <v>Historic</v>
      </c>
      <c r="F127" t="str">
        <f>IFERROR(MID(Tasks[[#This Row],[Page]], FIND("Level", Tasks[[#This Row],[Page]]), 7), IF(ISNUMBER(FIND("Roof", Tasks[[#This Row],[Page]])), "Roof",  IF(ISNUMBER(FIND("S590", Tasks[[#This Row],[Page]])), "",  IF(ISNUMBER(FIND("Site", Tasks[[#This Row],[Page]])), "", "ERROR"))))</f>
        <v>Level 0</v>
      </c>
      <c r="G127" t="str">
        <f>IF(Tasks[[#This Row],[Location]]=0, "", Tasks[[#This Row],[Location]])</f>
        <v>STAIR 10</v>
      </c>
      <c r="H127" t="str">
        <f>Tasks[[#This Row],[To Package]]</f>
        <v>Westland -- Historic</v>
      </c>
      <c r="I127" t="str">
        <f>Tasks[[#This Row],[To Organisation]]</f>
        <v>Westland Construction, Inc.</v>
      </c>
    </row>
    <row r="128" spans="1:9" x14ac:dyDescent="0.35">
      <c r="A128" s="9" t="str">
        <f>HYPERLINK(_xlfn.CONCAT(Edit_URL,Tasks[[#This Row],[Ref]]),Tasks[[#This Row],[Ref]])</f>
        <v>T74290.53</v>
      </c>
      <c r="B128" s="6" t="str" cm="1">
        <f t="array" ref="B128">_xlfn.SWITCH(LEFT(Tasks[[#This Row],[Status]],1),"O","Opened","C","Completed","S","Signed Off","ERROR")</f>
        <v>Signed Off</v>
      </c>
      <c r="C128" s="6" t="str" cm="1">
        <f t="array" ref="C128">_xlfn.SWITCH(LEFT(Tasks[[#This Row],[Type]], 2), "Fi", "Field Report", "Co", "Contractor QC", "Ge", "Contractor QC", "Pu", "Punch List")</f>
        <v>Contractor QC</v>
      </c>
      <c r="D128" s="6" t="str">
        <f>LEFT(Tasks[[#This Row],[Description]], 50)</f>
        <v>Does this MDF need to be changed to half inch MDF￼</v>
      </c>
      <c r="E128" s="6" t="str" cm="1">
        <f t="array" ref="E128">_xlfn.LET(
_xlpm.inTower, COUNTIF(Tower_Num_Table[Tower Rm Numbers], LEFT(Task_Summary_Table[[#This Row],[Area/Room]], 3)) &gt; 0,
_xlpm.typeResult, _xlfn.SWITCH(LEFT(Tasks[[#This Row],[Page]], 2), "Hi", "Historic", "An", "Annex", "Si", "Site", "S5", "Project Task", "SWITCH ERROR"),
IF(_xlpm.inTower, "West Tower", _xlpm.typeResult)
)</f>
        <v>Annex</v>
      </c>
      <c r="F128" t="str">
        <f>IFERROR(MID(Tasks[[#This Row],[Page]], FIND("Level", Tasks[[#This Row],[Page]]), 7), IF(ISNUMBER(FIND("Roof", Tasks[[#This Row],[Page]])), "Roof",  IF(ISNUMBER(FIND("S590", Tasks[[#This Row],[Page]])), "",  IF(ISNUMBER(FIND("Site", Tasks[[#This Row],[Page]])), "", "ERROR"))))</f>
        <v>Level 1</v>
      </c>
      <c r="G128" t="str">
        <f>IF(Tasks[[#This Row],[Location]]=0, "", Tasks[[#This Row],[Location]])</f>
        <v>114 - Family File</v>
      </c>
      <c r="H128" t="str">
        <f>Tasks[[#This Row],[To Package]]</f>
        <v xml:space="preserve">Finish Carpentry </v>
      </c>
      <c r="I128" t="str">
        <f>Tasks[[#This Row],[To Organisation]]</f>
        <v>Fetzers' Inc.</v>
      </c>
    </row>
    <row r="129" spans="1:9" x14ac:dyDescent="0.35">
      <c r="A129" s="9" t="str">
        <f>HYPERLINK(_xlfn.CONCAT(Edit_URL,Tasks[[#This Row],[Ref]]),Tasks[[#This Row],[Ref]])</f>
        <v>T74290.52</v>
      </c>
      <c r="B129" s="6" t="str" cm="1">
        <f t="array" ref="B129">_xlfn.SWITCH(LEFT(Tasks[[#This Row],[Status]],1),"O","Opened","C","Completed","S","Signed Off","ERROR")</f>
        <v>Signed Off</v>
      </c>
      <c r="C129" s="6" t="str" cm="1">
        <f t="array" ref="C129">_xlfn.SWITCH(LEFT(Tasks[[#This Row],[Type]], 2), "Fi", "Field Report", "Co", "Contractor QC", "Ge", "Contractor QC", "Pu", "Punch List")</f>
        <v>Contractor QC</v>
      </c>
      <c r="D129" s="6" t="str">
        <f>LEFT(Tasks[[#This Row],[Description]], 50)</f>
        <v>Install drywall for fire break￼</v>
      </c>
      <c r="E129" s="6" t="str" cm="1">
        <f t="array" ref="E129">_xlfn.LET(
_xlpm.inTower, COUNTIF(Tower_Num_Table[Tower Rm Numbers], LEFT(Task_Summary_Table[[#This Row],[Area/Room]], 3)) &gt; 0,
_xlpm.typeResult, _xlfn.SWITCH(LEFT(Tasks[[#This Row],[Page]], 2), "Hi", "Historic", "An", "Annex", "Si", "Site", "S5", "Project Task", "SWITCH ERROR"),
IF(_xlpm.inTower, "West Tower", _xlpm.typeResult)
)</f>
        <v>Annex</v>
      </c>
      <c r="F129" t="str">
        <f>IFERROR(MID(Tasks[[#This Row],[Page]], FIND("Level", Tasks[[#This Row],[Page]]), 7), IF(ISNUMBER(FIND("Roof", Tasks[[#This Row],[Page]])), "Roof",  IF(ISNUMBER(FIND("S590", Tasks[[#This Row],[Page]])), "",  IF(ISNUMBER(FIND("Site", Tasks[[#This Row],[Page]])), "", "ERROR"))))</f>
        <v>Level 1</v>
      </c>
      <c r="G129" t="str">
        <f>IF(Tasks[[#This Row],[Location]]=0, "", Tasks[[#This Row],[Location]])</f>
        <v>157 - Elec.</v>
      </c>
      <c r="H129" t="str">
        <f>Tasks[[#This Row],[To Package]]</f>
        <v>Metal Stud / Drywall</v>
      </c>
      <c r="I129" t="str">
        <f>Tasks[[#This Row],[To Organisation]]</f>
        <v>Pete King Construction</v>
      </c>
    </row>
    <row r="130" spans="1:9" x14ac:dyDescent="0.35">
      <c r="A130" s="9" t="str">
        <f>HYPERLINK(_xlfn.CONCAT(Edit_URL,Tasks[[#This Row],[Ref]]),Tasks[[#This Row],[Ref]])</f>
        <v>T74290.51</v>
      </c>
      <c r="B130" s="6" t="str" cm="1">
        <f t="array" ref="B130">_xlfn.SWITCH(LEFT(Tasks[[#This Row],[Status]],1),"O","Opened","C","Completed","S","Signed Off","ERROR")</f>
        <v>Signed Off</v>
      </c>
      <c r="C130" s="6" t="str" cm="1">
        <f t="array" ref="C130">_xlfn.SWITCH(LEFT(Tasks[[#This Row],[Type]], 2), "Fi", "Field Report", "Co", "Contractor QC", "Ge", "Contractor QC", "Pu", "Punch List")</f>
        <v>Contractor QC</v>
      </c>
      <c r="D130" s="6" t="str">
        <f>LEFT(Tasks[[#This Row],[Description]], 50)</f>
        <v>Change sprinkler head to nonflexible￼</v>
      </c>
      <c r="E130" s="6" t="str" cm="1">
        <f t="array" ref="E130">_xlfn.LET(
_xlpm.inTower, COUNTIF(Tower_Num_Table[Tower Rm Numbers], LEFT(Task_Summary_Table[[#This Row],[Area/Room]], 3)) &gt; 0,
_xlpm.typeResult, _xlfn.SWITCH(LEFT(Tasks[[#This Row],[Page]], 2), "Hi", "Historic", "An", "Annex", "Si", "Site", "S5", "Project Task", "SWITCH ERROR"),
IF(_xlpm.inTower, "West Tower", _xlpm.typeResult)
)</f>
        <v>Annex</v>
      </c>
      <c r="F130" t="str">
        <f>IFERROR(MID(Tasks[[#This Row],[Page]], FIND("Level", Tasks[[#This Row],[Page]]), 7), IF(ISNUMBER(FIND("Roof", Tasks[[#This Row],[Page]])), "Roof",  IF(ISNUMBER(FIND("S590", Tasks[[#This Row],[Page]])), "",  IF(ISNUMBER(FIND("Site", Tasks[[#This Row],[Page]])), "", "ERROR"))))</f>
        <v>Level 1</v>
      </c>
      <c r="G130" t="str">
        <f>IF(Tasks[[#This Row],[Location]]=0, "", Tasks[[#This Row],[Location]])</f>
        <v>157 - Elec.</v>
      </c>
      <c r="H130" t="str">
        <f>Tasks[[#This Row],[To Package]]</f>
        <v>Fire Suppression</v>
      </c>
      <c r="I130" t="str">
        <f>Tasks[[#This Row],[To Organisation]]</f>
        <v>Broken Arrow Construction Corporation</v>
      </c>
    </row>
    <row r="131" spans="1:9" x14ac:dyDescent="0.35">
      <c r="A131" s="9" t="str">
        <f>HYPERLINK(_xlfn.CONCAT(Edit_URL,Tasks[[#This Row],[Ref]]),Tasks[[#This Row],[Ref]])</f>
        <v>T74290.50</v>
      </c>
      <c r="B131" s="6" t="str" cm="1">
        <f t="array" ref="B131">_xlfn.SWITCH(LEFT(Tasks[[#This Row],[Status]],1),"O","Opened","C","Completed","S","Signed Off","ERROR")</f>
        <v>Signed Off</v>
      </c>
      <c r="C131" s="6" t="str" cm="1">
        <f t="array" ref="C131">_xlfn.SWITCH(LEFT(Tasks[[#This Row],[Type]], 2), "Fi", "Field Report", "Co", "Contractor QC", "Ge", "Contractor QC", "Pu", "Punch List")</f>
        <v>Contractor QC</v>
      </c>
      <c r="D131" s="6" t="str">
        <f>LEFT(Tasks[[#This Row],[Description]], 50)</f>
        <v>Complete cap for baseboard￼</v>
      </c>
      <c r="E131" s="6" t="str" cm="1">
        <f t="array" ref="E131">_xlfn.LET(
_xlpm.inTower, COUNTIF(Tower_Num_Table[Tower Rm Numbers], LEFT(Task_Summary_Table[[#This Row],[Area/Room]], 3)) &gt; 0,
_xlpm.typeResult, _xlfn.SWITCH(LEFT(Tasks[[#This Row],[Page]], 2), "Hi", "Historic", "An", "Annex", "Si", "Site", "S5", "Project Task", "SWITCH ERROR"),
IF(_xlpm.inTower, "West Tower", _xlpm.typeResult)
)</f>
        <v>Annex</v>
      </c>
      <c r="F131" t="str">
        <f>IFERROR(MID(Tasks[[#This Row],[Page]], FIND("Level", Tasks[[#This Row],[Page]]), 7), IF(ISNUMBER(FIND("Roof", Tasks[[#This Row],[Page]])), "Roof",  IF(ISNUMBER(FIND("S590", Tasks[[#This Row],[Page]])), "",  IF(ISNUMBER(FIND("Site", Tasks[[#This Row],[Page]])), "", "ERROR"))))</f>
        <v>Level 1</v>
      </c>
      <c r="G131" t="str">
        <f>IF(Tasks[[#This Row],[Location]]=0, "", Tasks[[#This Row],[Location]])</f>
        <v/>
      </c>
      <c r="H131" t="str">
        <f>Tasks[[#This Row],[To Package]]</f>
        <v xml:space="preserve">Finish Carpentry </v>
      </c>
      <c r="I131" t="str">
        <f>Tasks[[#This Row],[To Organisation]]</f>
        <v>Fetzers' Inc.</v>
      </c>
    </row>
    <row r="132" spans="1:9" x14ac:dyDescent="0.35">
      <c r="A132" s="9" t="str">
        <f>HYPERLINK(_xlfn.CONCAT(Edit_URL,Tasks[[#This Row],[Ref]]),Tasks[[#This Row],[Ref]])</f>
        <v>T74290.49</v>
      </c>
      <c r="B132" s="6" t="str" cm="1">
        <f t="array" ref="B132">_xlfn.SWITCH(LEFT(Tasks[[#This Row],[Status]],1),"O","Opened","C","Completed","S","Signed Off","ERROR")</f>
        <v>Signed Off</v>
      </c>
      <c r="C132" s="6" t="str" cm="1">
        <f t="array" ref="C132">_xlfn.SWITCH(LEFT(Tasks[[#This Row],[Type]], 2), "Fi", "Field Report", "Co", "Contractor QC", "Ge", "Contractor QC", "Pu", "Punch List")</f>
        <v>Contractor QC</v>
      </c>
      <c r="D132" s="6" t="str">
        <f>LEFT(Tasks[[#This Row],[Description]], 50)</f>
        <v>Finished exposed beam￼</v>
      </c>
      <c r="E132" s="6" t="str" cm="1">
        <f t="array" ref="E132">_xlfn.LET(
_xlpm.inTower, COUNTIF(Tower_Num_Table[Tower Rm Numbers], LEFT(Task_Summary_Table[[#This Row],[Area/Room]], 3)) &gt; 0,
_xlpm.typeResult, _xlfn.SWITCH(LEFT(Tasks[[#This Row],[Page]], 2), "Hi", "Historic", "An", "Annex", "Si", "Site", "S5", "Project Task", "SWITCH ERROR"),
IF(_xlpm.inTower, "West Tower", _xlpm.typeResult)
)</f>
        <v>Historic</v>
      </c>
      <c r="F132" t="str">
        <f>IFERROR(MID(Tasks[[#This Row],[Page]], FIND("Level", Tasks[[#This Row],[Page]]), 7), IF(ISNUMBER(FIND("Roof", Tasks[[#This Row],[Page]])), "Roof",  IF(ISNUMBER(FIND("S590", Tasks[[#This Row],[Page]])), "",  IF(ISNUMBER(FIND("Site", Tasks[[#This Row],[Page]])), "", "ERROR"))))</f>
        <v>Level 0</v>
      </c>
      <c r="G132" t="str">
        <f>IF(Tasks[[#This Row],[Location]]=0, "", Tasks[[#This Row],[Location]])</f>
        <v>067C - STAIR 4</v>
      </c>
      <c r="H132" t="str">
        <f>Tasks[[#This Row],[To Package]]</f>
        <v xml:space="preserve">Finish Carpentry </v>
      </c>
      <c r="I132" t="str">
        <f>Tasks[[#This Row],[To Organisation]]</f>
        <v>Fetzers' Inc.</v>
      </c>
    </row>
    <row r="133" spans="1:9" x14ac:dyDescent="0.35">
      <c r="A133" s="9" t="str">
        <f>HYPERLINK(_xlfn.CONCAT(Edit_URL,Tasks[[#This Row],[Ref]]),Tasks[[#This Row],[Ref]])</f>
        <v>T74290.48</v>
      </c>
      <c r="B133" s="6" t="str" cm="1">
        <f t="array" ref="B133">_xlfn.SWITCH(LEFT(Tasks[[#This Row],[Status]],1),"O","Opened","C","Completed","S","Signed Off","ERROR")</f>
        <v>Completed</v>
      </c>
      <c r="C133" s="6" t="str" cm="1">
        <f t="array" ref="C133">_xlfn.SWITCH(LEFT(Tasks[[#This Row],[Type]], 2), "Fi", "Field Report", "Co", "Contractor QC", "Ge", "Contractor QC", "Pu", "Punch List")</f>
        <v>Contractor QC</v>
      </c>
      <c r="D133" s="6" t="str">
        <f>LEFT(Tasks[[#This Row],[Description]], 50)</f>
        <v>Remove and replace walls as per new specs￼</v>
      </c>
      <c r="E133" s="6" t="str" cm="1">
        <f t="array" ref="E13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33" t="str">
        <f>IFERROR(MID(Tasks[[#This Row],[Page]], FIND("Level", Tasks[[#This Row],[Page]]), 7), IF(ISNUMBER(FIND("Roof", Tasks[[#This Row],[Page]])), "Roof",  IF(ISNUMBER(FIND("S590", Tasks[[#This Row],[Page]])), "",  IF(ISNUMBER(FIND("Site", Tasks[[#This Row],[Page]])), "", "ERROR"))))</f>
        <v>Level 0</v>
      </c>
      <c r="G133" t="str">
        <f>IF(Tasks[[#This Row],[Location]]=0, "", Tasks[[#This Row],[Location]])</f>
        <v>052D - Storage</v>
      </c>
      <c r="H133" t="str">
        <f>Tasks[[#This Row],[To Package]]</f>
        <v>Metal Stud / Drywall</v>
      </c>
      <c r="I133" t="str">
        <f>Tasks[[#This Row],[To Organisation]]</f>
        <v>Pete King Construction</v>
      </c>
    </row>
    <row r="134" spans="1:9" x14ac:dyDescent="0.35">
      <c r="A134" s="9" t="str">
        <f>HYPERLINK(_xlfn.CONCAT(Edit_URL,Tasks[[#This Row],[Ref]]),Tasks[[#This Row],[Ref]])</f>
        <v>T74290.47</v>
      </c>
      <c r="B134" s="6" t="str" cm="1">
        <f t="array" ref="B134">_xlfn.SWITCH(LEFT(Tasks[[#This Row],[Status]],1),"O","Opened","C","Completed","S","Signed Off","ERROR")</f>
        <v>Signed Off</v>
      </c>
      <c r="C134" s="6" t="str" cm="1">
        <f t="array" ref="C134">_xlfn.SWITCH(LEFT(Tasks[[#This Row],[Type]], 2), "Fi", "Field Report", "Co", "Contractor QC", "Ge", "Contractor QC", "Pu", "Punch List")</f>
        <v>Contractor QC</v>
      </c>
      <c r="D134" s="6" t="str">
        <f>LEFT(Tasks[[#This Row],[Description]], 50)</f>
        <v>Frame and drywall above pipe￼ to the height of the</v>
      </c>
      <c r="E134" s="6" t="str" cm="1">
        <f t="array" ref="E134">_xlfn.LET(
_xlpm.inTower, COUNTIF(Tower_Num_Table[Tower Rm Numbers], LEFT(Task_Summary_Table[[#This Row],[Area/Room]], 3)) &gt; 0,
_xlpm.typeResult, _xlfn.SWITCH(LEFT(Tasks[[#This Row],[Page]], 2), "Hi", "Historic", "An", "Annex", "Si", "Site", "S5", "Project Task", "SWITCH ERROR"),
IF(_xlpm.inTower, "West Tower", _xlpm.typeResult)
)</f>
        <v>Historic</v>
      </c>
      <c r="F134" t="str">
        <f>IFERROR(MID(Tasks[[#This Row],[Page]], FIND("Level", Tasks[[#This Row],[Page]]), 7), IF(ISNUMBER(FIND("Roof", Tasks[[#This Row],[Page]])), "Roof",  IF(ISNUMBER(FIND("S590", Tasks[[#This Row],[Page]])), "",  IF(ISNUMBER(FIND("Site", Tasks[[#This Row],[Page]])), "", "ERROR"))))</f>
        <v>Level 0</v>
      </c>
      <c r="G134" t="str">
        <f>IF(Tasks[[#This Row],[Location]]=0, "", Tasks[[#This Row],[Location]])</f>
        <v>067C - STAIR 4</v>
      </c>
      <c r="H134" t="str">
        <f>Tasks[[#This Row],[To Package]]</f>
        <v>Metal Stud / Drywall</v>
      </c>
      <c r="I134" t="str">
        <f>Tasks[[#This Row],[To Organisation]]</f>
        <v>Pete King Construction</v>
      </c>
    </row>
    <row r="135" spans="1:9" x14ac:dyDescent="0.35">
      <c r="A135" s="9" t="str">
        <f>HYPERLINK(_xlfn.CONCAT(Edit_URL,Tasks[[#This Row],[Ref]]),Tasks[[#This Row],[Ref]])</f>
        <v>T74290.46</v>
      </c>
      <c r="B135" s="6" t="str" cm="1">
        <f t="array" ref="B135">_xlfn.SWITCH(LEFT(Tasks[[#This Row],[Status]],1),"O","Opened","C","Completed","S","Signed Off","ERROR")</f>
        <v>Signed Off</v>
      </c>
      <c r="C135" s="6" t="str" cm="1">
        <f t="array" ref="C135">_xlfn.SWITCH(LEFT(Tasks[[#This Row],[Type]], 2), "Fi", "Field Report", "Co", "Contractor QC", "Ge", "Contractor QC", "Pu", "Punch List")</f>
        <v>Contractor QC</v>
      </c>
      <c r="D135" s="6" t="str">
        <f>LEFT(Tasks[[#This Row],[Description]], 50)</f>
        <v>Remove shims at the top of the columns￼</v>
      </c>
      <c r="E135" s="6" t="str" cm="1">
        <f t="array" ref="E135">_xlfn.LET(
_xlpm.inTower, COUNTIF(Tower_Num_Table[Tower Rm Numbers], LEFT(Task_Summary_Table[[#This Row],[Area/Room]], 3)) &gt; 0,
_xlpm.typeResult, _xlfn.SWITCH(LEFT(Tasks[[#This Row],[Page]], 2), "Hi", "Historic", "An", "Annex", "Si", "Site", "S5", "Project Task", "SWITCH ERROR"),
IF(_xlpm.inTower, "West Tower", _xlpm.typeResult)
)</f>
        <v>Historic</v>
      </c>
      <c r="F135" t="str">
        <f>IFERROR(MID(Tasks[[#This Row],[Page]], FIND("Level", Tasks[[#This Row],[Page]]), 7), IF(ISNUMBER(FIND("Roof", Tasks[[#This Row],[Page]])), "Roof",  IF(ISNUMBER(FIND("S590", Tasks[[#This Row],[Page]])), "",  IF(ISNUMBER(FIND("Site", Tasks[[#This Row],[Page]])), "", "ERROR"))))</f>
        <v>Level 3</v>
      </c>
      <c r="G135" t="str">
        <f>IF(Tasks[[#This Row],[Location]]=0, "", Tasks[[#This Row],[Location]])</f>
        <v>323 - Instruction Men</v>
      </c>
      <c r="H135" t="str">
        <f>Tasks[[#This Row],[To Package]]</f>
        <v xml:space="preserve">Finish Carpentry </v>
      </c>
      <c r="I135" t="str">
        <f>Tasks[[#This Row],[To Organisation]]</f>
        <v>Fetzers' Inc.</v>
      </c>
    </row>
    <row r="136" spans="1:9" x14ac:dyDescent="0.35">
      <c r="A136" s="9" t="str">
        <f>HYPERLINK(_xlfn.CONCAT(Edit_URL,Tasks[[#This Row],[Ref]]),Tasks[[#This Row],[Ref]])</f>
        <v>T74290.45</v>
      </c>
      <c r="B136" s="6" t="str" cm="1">
        <f t="array" ref="B136">_xlfn.SWITCH(LEFT(Tasks[[#This Row],[Status]],1),"O","Opened","C","Completed","S","Signed Off","ERROR")</f>
        <v>Signed Off</v>
      </c>
      <c r="C136" s="6" t="str" cm="1">
        <f t="array" ref="C136">_xlfn.SWITCH(LEFT(Tasks[[#This Row],[Type]], 2), "Fi", "Field Report", "Co", "Contractor QC", "Ge", "Contractor QC", "Pu", "Punch List")</f>
        <v>Contractor QC</v>
      </c>
      <c r="D136" s="6" t="str">
        <f>LEFT(Tasks[[#This Row],[Description]], 50)</f>
        <v>Prime and paint ceiling￼</v>
      </c>
      <c r="E136" s="6" t="str" cm="1">
        <f t="array" ref="E136">_xlfn.LET(
_xlpm.inTower, COUNTIF(Tower_Num_Table[Tower Rm Numbers], LEFT(Task_Summary_Table[[#This Row],[Area/Room]], 3)) &gt; 0,
_xlpm.typeResult, _xlfn.SWITCH(LEFT(Tasks[[#This Row],[Page]], 2), "Hi", "Historic", "An", "Annex", "Si", "Site", "S5", "Project Task", "SWITCH ERROR"),
IF(_xlpm.inTower, "West Tower", _xlpm.typeResult)
)</f>
        <v>Annex</v>
      </c>
      <c r="F136" t="str">
        <f>IFERROR(MID(Tasks[[#This Row],[Page]], FIND("Level", Tasks[[#This Row],[Page]]), 7), IF(ISNUMBER(FIND("Roof", Tasks[[#This Row],[Page]])), "Roof",  IF(ISNUMBER(FIND("S590", Tasks[[#This Row],[Page]])), "",  IF(ISNUMBER(FIND("Site", Tasks[[#This Row],[Page]])), "", "ERROR"))))</f>
        <v>Level 1</v>
      </c>
      <c r="G136" t="str">
        <f>IF(Tasks[[#This Row],[Location]]=0, "", Tasks[[#This Row],[Location]])</f>
        <v>121A - Jan</v>
      </c>
      <c r="H136" t="str">
        <f>Tasks[[#This Row],[To Package]]</f>
        <v>Paint</v>
      </c>
      <c r="I136" t="str">
        <f>Tasks[[#This Row],[To Organisation]]</f>
        <v>Accent Painting and Special Coatings, LLC</v>
      </c>
    </row>
    <row r="137" spans="1:9" x14ac:dyDescent="0.35">
      <c r="A137" s="9" t="str">
        <f>HYPERLINK(_xlfn.CONCAT(Edit_URL,Tasks[[#This Row],[Ref]]),Tasks[[#This Row],[Ref]])</f>
        <v>T74290.44</v>
      </c>
      <c r="B137" s="6" t="str" cm="1">
        <f t="array" ref="B137">_xlfn.SWITCH(LEFT(Tasks[[#This Row],[Status]],1),"O","Opened","C","Completed","S","Signed Off","ERROR")</f>
        <v>Signed Off</v>
      </c>
      <c r="C137" s="6" t="str" cm="1">
        <f t="array" ref="C137">_xlfn.SWITCH(LEFT(Tasks[[#This Row],[Type]], 2), "Fi", "Field Report", "Co", "Contractor QC", "Ge", "Contractor QC", "Pu", "Punch List")</f>
        <v>Contractor QC</v>
      </c>
      <c r="D137" s="6" t="str">
        <f>LEFT(Tasks[[#This Row],[Description]], 50)</f>
        <v>Complete the grout around the base of the toilet￼</v>
      </c>
      <c r="E137" s="6" t="str" cm="1">
        <f t="array" ref="E137">_xlfn.LET(
_xlpm.inTower, COUNTIF(Tower_Num_Table[Tower Rm Numbers], LEFT(Task_Summary_Table[[#This Row],[Area/Room]], 3)) &gt; 0,
_xlpm.typeResult, _xlfn.SWITCH(LEFT(Tasks[[#This Row],[Page]], 2), "Hi", "Historic", "An", "Annex", "Si", "Site", "S5", "Project Task", "SWITCH ERROR"),
IF(_xlpm.inTower, "West Tower", _xlpm.typeResult)
)</f>
        <v>Annex</v>
      </c>
      <c r="F137" t="str">
        <f>IFERROR(MID(Tasks[[#This Row],[Page]], FIND("Level", Tasks[[#This Row],[Page]]), 7), IF(ISNUMBER(FIND("Roof", Tasks[[#This Row],[Page]])), "Roof",  IF(ISNUMBER(FIND("S590", Tasks[[#This Row],[Page]])), "",  IF(ISNUMBER(FIND("Site", Tasks[[#This Row],[Page]])), "", "ERROR"))))</f>
        <v>Level 1</v>
      </c>
      <c r="G137" t="str">
        <f>IF(Tasks[[#This Row],[Location]]=0, "", Tasks[[#This Row],[Location]])</f>
        <v>125 - Receiving Restroom</v>
      </c>
      <c r="H137" t="str">
        <f>Tasks[[#This Row],[To Package]]</f>
        <v>Tile</v>
      </c>
      <c r="I137" t="str">
        <f>Tasks[[#This Row],[To Organisation]]</f>
        <v>Global Stone and Tile, LLC</v>
      </c>
    </row>
    <row r="138" spans="1:9" x14ac:dyDescent="0.35">
      <c r="A138" s="9" t="str">
        <f>HYPERLINK(_xlfn.CONCAT(Edit_URL,Tasks[[#This Row],[Ref]]),Tasks[[#This Row],[Ref]])</f>
        <v>T74290.43</v>
      </c>
      <c r="B138" s="6" t="str" cm="1">
        <f t="array" ref="B138">_xlfn.SWITCH(LEFT(Tasks[[#This Row],[Status]],1),"O","Opened","C","Completed","S","Signed Off","ERROR")</f>
        <v>Opened</v>
      </c>
      <c r="C138" s="6" t="str" cm="1">
        <f t="array" ref="C138">_xlfn.SWITCH(LEFT(Tasks[[#This Row],[Type]], 2), "Fi", "Field Report", "Co", "Contractor QC", "Ge", "Contractor QC", "Pu", "Punch List")</f>
        <v>Contractor QC</v>
      </c>
      <c r="D138" s="6" t="str">
        <f>LEFT(Tasks[[#This Row],[Description]], 50)</f>
        <v>Re/Re floor tile</v>
      </c>
      <c r="E138" s="6" t="str" cm="1">
        <f t="array" ref="E138">_xlfn.LET(
_xlpm.inTower, COUNTIF(Tower_Num_Table[Tower Rm Numbers], LEFT(Task_Summary_Table[[#This Row],[Area/Room]], 3)) &gt; 0,
_xlpm.typeResult, _xlfn.SWITCH(LEFT(Tasks[[#This Row],[Page]], 2), "Hi", "Historic", "An", "Annex", "Si", "Site", "S5", "Project Task", "SWITCH ERROR"),
IF(_xlpm.inTower, "West Tower", _xlpm.typeResult)
)</f>
        <v>Annex</v>
      </c>
      <c r="F138" t="str">
        <f>IFERROR(MID(Tasks[[#This Row],[Page]], FIND("Level", Tasks[[#This Row],[Page]]), 7), IF(ISNUMBER(FIND("Roof", Tasks[[#This Row],[Page]])), "Roof",  IF(ISNUMBER(FIND("S590", Tasks[[#This Row],[Page]])), "",  IF(ISNUMBER(FIND("Site", Tasks[[#This Row],[Page]])), "", "ERROR"))))</f>
        <v>Level 0</v>
      </c>
      <c r="G138" t="str">
        <f>IF(Tasks[[#This Row],[Location]]=0, "", Tasks[[#This Row],[Location]])</f>
        <v>007 - Custodial Supply Office</v>
      </c>
      <c r="H138" t="str">
        <f>Tasks[[#This Row],[To Package]]</f>
        <v>Tile</v>
      </c>
      <c r="I138" t="str">
        <f>Tasks[[#This Row],[To Organisation]]</f>
        <v>Global Stone and Tile, LLC</v>
      </c>
    </row>
    <row r="139" spans="1:9" x14ac:dyDescent="0.35">
      <c r="A139" s="9" t="str">
        <f>HYPERLINK(_xlfn.CONCAT(Edit_URL,Tasks[[#This Row],[Ref]]),Tasks[[#This Row],[Ref]])</f>
        <v>T74290.42</v>
      </c>
      <c r="B139" s="6" t="str" cm="1">
        <f t="array" ref="B139">_xlfn.SWITCH(LEFT(Tasks[[#This Row],[Status]],1),"O","Opened","C","Completed","S","Signed Off","ERROR")</f>
        <v>Signed Off</v>
      </c>
      <c r="C139" s="6" t="str" cm="1">
        <f t="array" ref="C139">_xlfn.SWITCH(LEFT(Tasks[[#This Row],[Type]], 2), "Fi", "Field Report", "Co", "Contractor QC", "Ge", "Contractor QC", "Pu", "Punch List")</f>
        <v>Contractor QC</v>
      </c>
      <c r="D139" s="6" t="str">
        <f>LEFT(Tasks[[#This Row],[Description]], 50)</f>
        <v>Prime and paint wall￼</v>
      </c>
      <c r="E139" s="6" t="str" cm="1">
        <f t="array" ref="E139">_xlfn.LET(
_xlpm.inTower, COUNTIF(Tower_Num_Table[Tower Rm Numbers], LEFT(Task_Summary_Table[[#This Row],[Area/Room]], 3)) &gt; 0,
_xlpm.typeResult, _xlfn.SWITCH(LEFT(Tasks[[#This Row],[Page]], 2), "Hi", "Historic", "An", "Annex", "Si", "Site", "S5", "Project Task", "SWITCH ERROR"),
IF(_xlpm.inTower, "West Tower", _xlpm.typeResult)
)</f>
        <v>Annex</v>
      </c>
      <c r="F139" t="str">
        <f>IFERROR(MID(Tasks[[#This Row],[Page]], FIND("Level", Tasks[[#This Row],[Page]]), 7), IF(ISNUMBER(FIND("Roof", Tasks[[#This Row],[Page]])), "Roof",  IF(ISNUMBER(FIND("S590", Tasks[[#This Row],[Page]])), "",  IF(ISNUMBER(FIND("Site", Tasks[[#This Row],[Page]])), "", "ERROR"))))</f>
        <v>Level 1</v>
      </c>
      <c r="G139" t="str">
        <f>IF(Tasks[[#This Row],[Location]]=0, "", Tasks[[#This Row],[Location]])</f>
        <v>162 - Instruction Women</v>
      </c>
      <c r="H139" t="str">
        <f>Tasks[[#This Row],[To Package]]</f>
        <v>Paint</v>
      </c>
      <c r="I139" t="str">
        <f>Tasks[[#This Row],[To Organisation]]</f>
        <v>Accent Painting and Special Coatings, LLC</v>
      </c>
    </row>
    <row r="140" spans="1:9" x14ac:dyDescent="0.35">
      <c r="A140" s="9" t="str">
        <f>HYPERLINK(_xlfn.CONCAT(Edit_URL,Tasks[[#This Row],[Ref]]),Tasks[[#This Row],[Ref]])</f>
        <v>T74290.41</v>
      </c>
      <c r="B140" s="6" t="str" cm="1">
        <f t="array" ref="B140">_xlfn.SWITCH(LEFT(Tasks[[#This Row],[Status]],1),"O","Opened","C","Completed","S","Signed Off","ERROR")</f>
        <v>Signed Off</v>
      </c>
      <c r="C140" s="6" t="str" cm="1">
        <f t="array" ref="C140">_xlfn.SWITCH(LEFT(Tasks[[#This Row],[Type]], 2), "Fi", "Field Report", "Co", "Contractor QC", "Ge", "Contractor QC", "Pu", "Punch List")</f>
        <v>Contractor QC</v>
      </c>
      <c r="D140" s="6" t="str">
        <f>LEFT(Tasks[[#This Row],[Description]], 50)</f>
        <v>Raise sconce light up to proper elevation￼</v>
      </c>
      <c r="E140" s="6" t="str" cm="1">
        <f t="array" ref="E140">_xlfn.LET(
_xlpm.inTower, COUNTIF(Tower_Num_Table[Tower Rm Numbers], LEFT(Task_Summary_Table[[#This Row],[Area/Room]], 3)) &gt; 0,
_xlpm.typeResult, _xlfn.SWITCH(LEFT(Tasks[[#This Row],[Page]], 2), "Hi", "Historic", "An", "Annex", "Si", "Site", "S5", "Project Task", "SWITCH ERROR"),
IF(_xlpm.inTower, "West Tower", _xlpm.typeResult)
)</f>
        <v>Historic</v>
      </c>
      <c r="F140" t="str">
        <f>IFERROR(MID(Tasks[[#This Row],[Page]], FIND("Level", Tasks[[#This Row],[Page]]), 7), IF(ISNUMBER(FIND("Roof", Tasks[[#This Row],[Page]])), "Roof",  IF(ISNUMBER(FIND("S590", Tasks[[#This Row],[Page]])), "",  IF(ISNUMBER(FIND("Site", Tasks[[#This Row],[Page]])), "", "ERROR"))))</f>
        <v>Level 3</v>
      </c>
      <c r="G140" t="str">
        <f>IF(Tasks[[#This Row],[Location]]=0, "", Tasks[[#This Row],[Location]])</f>
        <v>308 - Womens Restroom</v>
      </c>
      <c r="H140" t="str">
        <f>Tasks[[#This Row],[To Package]]</f>
        <v>Electrical</v>
      </c>
      <c r="I140" t="str">
        <f>Tasks[[#This Row],[To Organisation]]</f>
        <v>Wilkinson Electric Inc</v>
      </c>
    </row>
    <row r="141" spans="1:9" x14ac:dyDescent="0.35">
      <c r="A141" s="9" t="str">
        <f>HYPERLINK(_xlfn.CONCAT(Edit_URL,Tasks[[#This Row],[Ref]]),Tasks[[#This Row],[Ref]])</f>
        <v>T74290.40</v>
      </c>
      <c r="B141" s="6" t="str" cm="1">
        <f t="array" ref="B141">_xlfn.SWITCH(LEFT(Tasks[[#This Row],[Status]],1),"O","Opened","C","Completed","S","Signed Off","ERROR")</f>
        <v>Signed Off</v>
      </c>
      <c r="C141" s="6" t="str" cm="1">
        <f t="array" ref="C141">_xlfn.SWITCH(LEFT(Tasks[[#This Row],[Type]], 2), "Fi", "Field Report", "Co", "Contractor QC", "Ge", "Contractor QC", "Pu", "Punch List")</f>
        <v>Contractor QC</v>
      </c>
      <c r="D141" s="6" t="str">
        <f>LEFT(Tasks[[#This Row],[Description]], 50)</f>
        <v>Raise sconce light to proper elevation￼</v>
      </c>
      <c r="E141" s="6" t="str" cm="1">
        <f t="array" ref="E141">_xlfn.LET(
_xlpm.inTower, COUNTIF(Tower_Num_Table[Tower Rm Numbers], LEFT(Task_Summary_Table[[#This Row],[Area/Room]], 3)) &gt; 0,
_xlpm.typeResult, _xlfn.SWITCH(LEFT(Tasks[[#This Row],[Page]], 2), "Hi", "Historic", "An", "Annex", "Si", "Site", "S5", "Project Task", "SWITCH ERROR"),
IF(_xlpm.inTower, "West Tower", _xlpm.typeResult)
)</f>
        <v>Historic</v>
      </c>
      <c r="F141" t="str">
        <f>IFERROR(MID(Tasks[[#This Row],[Page]], FIND("Level", Tasks[[#This Row],[Page]]), 7), IF(ISNUMBER(FIND("Roof", Tasks[[#This Row],[Page]])), "Roof",  IF(ISNUMBER(FIND("S590", Tasks[[#This Row],[Page]])), "",  IF(ISNUMBER(FIND("Site", Tasks[[#This Row],[Page]])), "", "ERROR"))))</f>
        <v>Level 3</v>
      </c>
      <c r="G141" t="str">
        <f>IF(Tasks[[#This Row],[Location]]=0, "", Tasks[[#This Row],[Location]])</f>
        <v>328 - Mens Restroom</v>
      </c>
      <c r="H141" t="str">
        <f>Tasks[[#This Row],[To Package]]</f>
        <v>Electrical</v>
      </c>
      <c r="I141" t="str">
        <f>Tasks[[#This Row],[To Organisation]]</f>
        <v>Wilkinson Electric Inc</v>
      </c>
    </row>
    <row r="142" spans="1:9" x14ac:dyDescent="0.35">
      <c r="A142" s="9" t="str">
        <f>HYPERLINK(_xlfn.CONCAT(Edit_URL,Tasks[[#This Row],[Ref]]),Tasks[[#This Row],[Ref]])</f>
        <v>T74290.39</v>
      </c>
      <c r="B142" s="6" t="str" cm="1">
        <f t="array" ref="B142">_xlfn.SWITCH(LEFT(Tasks[[#This Row],[Status]],1),"O","Opened","C","Completed","S","Signed Off","ERROR")</f>
        <v>Signed Off</v>
      </c>
      <c r="C142" s="6" t="str" cm="1">
        <f t="array" ref="C142">_xlfn.SWITCH(LEFT(Tasks[[#This Row],[Type]], 2), "Fi", "Field Report", "Co", "Contractor QC", "Ge", "Contractor QC", "Pu", "Punch List")</f>
        <v>Contractor QC</v>
      </c>
      <c r="D142" s="6" t="str">
        <f>LEFT(Tasks[[#This Row],[Description]], 50)</f>
        <v>align electrical sconce rough in with plumbing and</v>
      </c>
      <c r="E142" s="6" t="str" cm="1">
        <f t="array" ref="E14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42" t="str">
        <f>IFERROR(MID(Tasks[[#This Row],[Page]], FIND("Level", Tasks[[#This Row],[Page]]), 7), IF(ISNUMBER(FIND("Roof", Tasks[[#This Row],[Page]])), "Roof",  IF(ISNUMBER(FIND("S590", Tasks[[#This Row],[Page]])), "",  IF(ISNUMBER(FIND("Site", Tasks[[#This Row],[Page]])), "", "ERROR"))))</f>
        <v>Level 1</v>
      </c>
      <c r="G142" t="str">
        <f>IF(Tasks[[#This Row],[Location]]=0, "", Tasks[[#This Row],[Location]])</f>
        <v>186 - Womens Restroom</v>
      </c>
      <c r="H142" t="str">
        <f>Tasks[[#This Row],[To Package]]</f>
        <v>Electrical</v>
      </c>
      <c r="I142" t="str">
        <f>Tasks[[#This Row],[To Organisation]]</f>
        <v>Wilkinson Electric Inc</v>
      </c>
    </row>
    <row r="143" spans="1:9" x14ac:dyDescent="0.35">
      <c r="A143" s="9" t="str">
        <f>HYPERLINK(_xlfn.CONCAT(Edit_URL,Tasks[[#This Row],[Ref]]),Tasks[[#This Row],[Ref]])</f>
        <v>T74290.38</v>
      </c>
      <c r="B143" s="6" t="str" cm="1">
        <f t="array" ref="B143">_xlfn.SWITCH(LEFT(Tasks[[#This Row],[Status]],1),"O","Opened","C","Completed","S","Signed Off","ERROR")</f>
        <v>Signed Off</v>
      </c>
      <c r="C143" s="6" t="str" cm="1">
        <f t="array" ref="C143">_xlfn.SWITCH(LEFT(Tasks[[#This Row],[Type]], 2), "Fi", "Field Report", "Co", "Contractor QC", "Ge", "Contractor QC", "Pu", "Punch List")</f>
        <v>Contractor QC</v>
      </c>
      <c r="D143" s="6" t="str">
        <f>LEFT(Tasks[[#This Row],[Description]], 50)</f>
        <v>Finish the stars and the Quatre foil on the entabl</v>
      </c>
      <c r="E143" s="6" t="str" cm="1">
        <f t="array" ref="E143">_xlfn.LET(
_xlpm.inTower, COUNTIF(Tower_Num_Table[Tower Rm Numbers], LEFT(Task_Summary_Table[[#This Row],[Area/Room]], 3)) &gt; 0,
_xlpm.typeResult, _xlfn.SWITCH(LEFT(Tasks[[#This Row],[Page]], 2), "Hi", "Historic", "An", "Annex", "Si", "Site", "S5", "Project Task", "SWITCH ERROR"),
IF(_xlpm.inTower, "West Tower", _xlpm.typeResult)
)</f>
        <v>Annex</v>
      </c>
      <c r="F143" t="str">
        <f>IFERROR(MID(Tasks[[#This Row],[Page]], FIND("Level", Tasks[[#This Row],[Page]]), 7), IF(ISNUMBER(FIND("Roof", Tasks[[#This Row],[Page]])), "Roof",  IF(ISNUMBER(FIND("S590", Tasks[[#This Row],[Page]])), "",  IF(ISNUMBER(FIND("Site", Tasks[[#This Row],[Page]])), "", "ERROR"))))</f>
        <v>Level 1</v>
      </c>
      <c r="G143" t="str">
        <f>IF(Tasks[[#This Row],[Location]]=0, "", Tasks[[#This Row],[Location]])</f>
        <v>111 - Instruction 1</v>
      </c>
      <c r="H143" t="str">
        <f>Tasks[[#This Row],[To Package]]</f>
        <v>GFRG</v>
      </c>
      <c r="I143" t="str">
        <f>Tasks[[#This Row],[To Organisation]]</f>
        <v>Pete King Construction</v>
      </c>
    </row>
    <row r="144" spans="1:9" x14ac:dyDescent="0.35">
      <c r="A144" s="9" t="str">
        <f>HYPERLINK(_xlfn.CONCAT(Edit_URL,Tasks[[#This Row],[Ref]]),Tasks[[#This Row],[Ref]])</f>
        <v>T74290.37</v>
      </c>
      <c r="B144" s="6" t="str" cm="1">
        <f t="array" ref="B144">_xlfn.SWITCH(LEFT(Tasks[[#This Row],[Status]],1),"O","Opened","C","Completed","S","Signed Off","ERROR")</f>
        <v>Signed Off</v>
      </c>
      <c r="C144" s="6" t="str" cm="1">
        <f t="array" ref="C144">_xlfn.SWITCH(LEFT(Tasks[[#This Row],[Type]], 2), "Fi", "Field Report", "Co", "Contractor QC", "Ge", "Contractor QC", "Pu", "Punch List")</f>
        <v>Contractor QC</v>
      </c>
      <c r="D144" s="6" t="str">
        <f>LEFT(Tasks[[#This Row],[Description]], 50)</f>
        <v>Skim coat the cove along the ceiling prep for prim</v>
      </c>
      <c r="E144" s="6" t="str" cm="1">
        <f t="array" ref="E144">_xlfn.LET(
_xlpm.inTower, COUNTIF(Tower_Num_Table[Tower Rm Numbers], LEFT(Task_Summary_Table[[#This Row],[Area/Room]], 3)) &gt; 0,
_xlpm.typeResult, _xlfn.SWITCH(LEFT(Tasks[[#This Row],[Page]], 2), "Hi", "Historic", "An", "Annex", "Si", "Site", "S5", "Project Task", "SWITCH ERROR"),
IF(_xlpm.inTower, "West Tower", _xlpm.typeResult)
)</f>
        <v>Annex</v>
      </c>
      <c r="F144" t="str">
        <f>IFERROR(MID(Tasks[[#This Row],[Page]], FIND("Level", Tasks[[#This Row],[Page]]), 7), IF(ISNUMBER(FIND("Roof", Tasks[[#This Row],[Page]])), "Roof",  IF(ISNUMBER(FIND("S590", Tasks[[#This Row],[Page]])), "",  IF(ISNUMBER(FIND("Site", Tasks[[#This Row],[Page]])), "", "ERROR"))))</f>
        <v>Level 1</v>
      </c>
      <c r="G144" t="str">
        <f>IF(Tasks[[#This Row],[Location]]=0, "", Tasks[[#This Row],[Location]])</f>
        <v>109 - Waiting</v>
      </c>
      <c r="H144" t="str">
        <f>Tasks[[#This Row],[To Package]]</f>
        <v>Metal Stud / Drywall</v>
      </c>
      <c r="I144" t="str">
        <f>Tasks[[#This Row],[To Organisation]]</f>
        <v>Pete King Construction</v>
      </c>
    </row>
    <row r="145" spans="1:9" x14ac:dyDescent="0.35">
      <c r="A145" s="9" t="str">
        <f>HYPERLINK(_xlfn.CONCAT(Edit_URL,Tasks[[#This Row],[Ref]]),Tasks[[#This Row],[Ref]])</f>
        <v>T74290.36</v>
      </c>
      <c r="B145" s="6" t="str" cm="1">
        <f t="array" ref="B145">_xlfn.SWITCH(LEFT(Tasks[[#This Row],[Status]],1),"O","Opened","C","Completed","S","Signed Off","ERROR")</f>
        <v>Opened</v>
      </c>
      <c r="C145" s="6" t="str" cm="1">
        <f t="array" ref="C145">_xlfn.SWITCH(LEFT(Tasks[[#This Row],[Type]], 2), "Fi", "Field Report", "Co", "Contractor QC", "Ge", "Contractor QC", "Pu", "Punch List")</f>
        <v>Contractor QC</v>
      </c>
      <c r="D145" s="6" t="str">
        <f>LEFT(Tasks[[#This Row],[Description]], 50)</f>
        <v>Install flashing</v>
      </c>
      <c r="E145" s="6" t="str" cm="1">
        <f t="array" ref="E145">_xlfn.LET(
_xlpm.inTower, COUNTIF(Tower_Num_Table[Tower Rm Numbers], LEFT(Task_Summary_Table[[#This Row],[Area/Room]], 3)) &gt; 0,
_xlpm.typeResult, _xlfn.SWITCH(LEFT(Tasks[[#This Row],[Page]], 2), "Hi", "Historic", "An", "Annex", "Si", "Site", "S5", "Project Task", "SWITCH ERROR"),
IF(_xlpm.inTower, "West Tower", _xlpm.typeResult)
)</f>
        <v>Annex</v>
      </c>
      <c r="F145" t="str">
        <f>IFERROR(MID(Tasks[[#This Row],[Page]], FIND("Level", Tasks[[#This Row],[Page]]), 7), IF(ISNUMBER(FIND("Roof", Tasks[[#This Row],[Page]])), "Roof",  IF(ISNUMBER(FIND("S590", Tasks[[#This Row],[Page]])), "",  IF(ISNUMBER(FIND("Site", Tasks[[#This Row],[Page]])), "", "ERROR"))))</f>
        <v>Roof</v>
      </c>
      <c r="G145" t="str">
        <f>IF(Tasks[[#This Row],[Location]]=0, "", Tasks[[#This Row],[Location]])</f>
        <v>Roof South</v>
      </c>
      <c r="H145" t="str">
        <f>Tasks[[#This Row],[To Package]]</f>
        <v>Roofing</v>
      </c>
      <c r="I145" t="str">
        <f>Tasks[[#This Row],[To Organisation]]</f>
        <v>Broken Arrow Construction Corporation</v>
      </c>
    </row>
    <row r="146" spans="1:9" x14ac:dyDescent="0.35">
      <c r="A146" s="9" t="str">
        <f>HYPERLINK(_xlfn.CONCAT(Edit_URL,Tasks[[#This Row],[Ref]]),Tasks[[#This Row],[Ref]])</f>
        <v>T74290.35</v>
      </c>
      <c r="B146" s="6" t="str" cm="1">
        <f t="array" ref="B146">_xlfn.SWITCH(LEFT(Tasks[[#This Row],[Status]],1),"O","Opened","C","Completed","S","Signed Off","ERROR")</f>
        <v>Opened</v>
      </c>
      <c r="C146" s="6" t="str" cm="1">
        <f t="array" ref="C146">_xlfn.SWITCH(LEFT(Tasks[[#This Row],[Type]], 2), "Fi", "Field Report", "Co", "Contractor QC", "Ge", "Contractor QC", "Pu", "Punch List")</f>
        <v>Contractor QC</v>
      </c>
      <c r="D146" s="6" t="str">
        <f>LEFT(Tasks[[#This Row],[Description]], 50)</f>
        <v>Clean out all roof drains</v>
      </c>
      <c r="E146" s="6" t="str" cm="1">
        <f t="array" ref="E146">_xlfn.LET(
_xlpm.inTower, COUNTIF(Tower_Num_Table[Tower Rm Numbers], LEFT(Task_Summary_Table[[#This Row],[Area/Room]], 3)) &gt; 0,
_xlpm.typeResult, _xlfn.SWITCH(LEFT(Tasks[[#This Row],[Page]], 2), "Hi", "Historic", "An", "Annex", "Si", "Site", "S5", "Project Task", "SWITCH ERROR"),
IF(_xlpm.inTower, "West Tower", _xlpm.typeResult)
)</f>
        <v>Annex</v>
      </c>
      <c r="F146" t="str">
        <f>IFERROR(MID(Tasks[[#This Row],[Page]], FIND("Level", Tasks[[#This Row],[Page]]), 7), IF(ISNUMBER(FIND("Roof", Tasks[[#This Row],[Page]])), "Roof",  IF(ISNUMBER(FIND("S590", Tasks[[#This Row],[Page]])), "",  IF(ISNUMBER(FIND("Site", Tasks[[#This Row],[Page]])), "", "ERROR"))))</f>
        <v>Roof</v>
      </c>
      <c r="G146" t="str">
        <f>IF(Tasks[[#This Row],[Location]]=0, "", Tasks[[#This Row],[Location]])</f>
        <v>Roof South</v>
      </c>
      <c r="H146" t="str">
        <f>Tasks[[#This Row],[To Package]]</f>
        <v>Westland -- Annex</v>
      </c>
      <c r="I146" t="str">
        <f>Tasks[[#This Row],[To Organisation]]</f>
        <v>Westland Construction, Inc.</v>
      </c>
    </row>
    <row r="147" spans="1:9" x14ac:dyDescent="0.35">
      <c r="A147" s="9" t="str">
        <f>HYPERLINK(_xlfn.CONCAT(Edit_URL,Tasks[[#This Row],[Ref]]),Tasks[[#This Row],[Ref]])</f>
        <v>T74290.34</v>
      </c>
      <c r="B147" s="6" t="str" cm="1">
        <f t="array" ref="B147">_xlfn.SWITCH(LEFT(Tasks[[#This Row],[Status]],1),"O","Opened","C","Completed","S","Signed Off","ERROR")</f>
        <v>Opened</v>
      </c>
      <c r="C147" s="6" t="str" cm="1">
        <f t="array" ref="C147">_xlfn.SWITCH(LEFT(Tasks[[#This Row],[Type]], 2), "Fi", "Field Report", "Co", "Contractor QC", "Ge", "Contractor QC", "Pu", "Punch List")</f>
        <v>Contractor QC</v>
      </c>
      <c r="D147" s="6" t="str">
        <f>LEFT(Tasks[[#This Row],[Description]], 50)</f>
        <v>Waterproof joint￼</v>
      </c>
      <c r="E147" s="6" t="str" cm="1">
        <f t="array" ref="E147">_xlfn.LET(
_xlpm.inTower, COUNTIF(Tower_Num_Table[Tower Rm Numbers], LEFT(Task_Summary_Table[[#This Row],[Area/Room]], 3)) &gt; 0,
_xlpm.typeResult, _xlfn.SWITCH(LEFT(Tasks[[#This Row],[Page]], 2), "Hi", "Historic", "An", "Annex", "Si", "Site", "S5", "Project Task", "SWITCH ERROR"),
IF(_xlpm.inTower, "West Tower", _xlpm.typeResult)
)</f>
        <v>Annex</v>
      </c>
      <c r="F147" t="str">
        <f>IFERROR(MID(Tasks[[#This Row],[Page]], FIND("Level", Tasks[[#This Row],[Page]]), 7), IF(ISNUMBER(FIND("Roof", Tasks[[#This Row],[Page]])), "Roof",  IF(ISNUMBER(FIND("S590", Tasks[[#This Row],[Page]])), "",  IF(ISNUMBER(FIND("Site", Tasks[[#This Row],[Page]])), "", "ERROR"))))</f>
        <v>Roof</v>
      </c>
      <c r="G147" t="str">
        <f>IF(Tasks[[#This Row],[Location]]=0, "", Tasks[[#This Row],[Location]])</f>
        <v>Roof South</v>
      </c>
      <c r="H147" t="str">
        <f>Tasks[[#This Row],[To Package]]</f>
        <v>Westland -- Annex</v>
      </c>
      <c r="I147" t="str">
        <f>Tasks[[#This Row],[To Organisation]]</f>
        <v>Westland Construction, Inc.</v>
      </c>
    </row>
    <row r="148" spans="1:9" x14ac:dyDescent="0.35">
      <c r="A148" s="9" t="str">
        <f>HYPERLINK(_xlfn.CONCAT(Edit_URL,Tasks[[#This Row],[Ref]]),Tasks[[#This Row],[Ref]])</f>
        <v>T74290.33</v>
      </c>
      <c r="B148" s="6" t="str" cm="1">
        <f t="array" ref="B148">_xlfn.SWITCH(LEFT(Tasks[[#This Row],[Status]],1),"O","Opened","C","Completed","S","Signed Off","ERROR")</f>
        <v>Opened</v>
      </c>
      <c r="C148" s="6" t="str" cm="1">
        <f t="array" ref="C148">_xlfn.SWITCH(LEFT(Tasks[[#This Row],[Type]], 2), "Fi", "Field Report", "Co", "Contractor QC", "Ge", "Contractor QC", "Pu", "Punch List")</f>
        <v>Contractor QC</v>
      </c>
      <c r="D148" s="6" t="str">
        <f>LEFT(Tasks[[#This Row],[Description]], 50)</f>
        <v>Seal along bottom of each of the tall windows on t</v>
      </c>
      <c r="E148" s="6" t="str" cm="1">
        <f t="array" ref="E148">_xlfn.LET(
_xlpm.inTower, COUNTIF(Tower_Num_Table[Tower Rm Numbers], LEFT(Task_Summary_Table[[#This Row],[Area/Room]], 3)) &gt; 0,
_xlpm.typeResult, _xlfn.SWITCH(LEFT(Tasks[[#This Row],[Page]], 2), "Hi", "Historic", "An", "Annex", "Si", "Site", "S5", "Project Task", "SWITCH ERROR"),
IF(_xlpm.inTower, "West Tower", _xlpm.typeResult)
)</f>
        <v>Annex</v>
      </c>
      <c r="F148" t="str">
        <f>IFERROR(MID(Tasks[[#This Row],[Page]], FIND("Level", Tasks[[#This Row],[Page]]), 7), IF(ISNUMBER(FIND("Roof", Tasks[[#This Row],[Page]])), "Roof",  IF(ISNUMBER(FIND("S590", Tasks[[#This Row],[Page]])), "",  IF(ISNUMBER(FIND("Site", Tasks[[#This Row],[Page]])), "", "ERROR"))))</f>
        <v>Roof</v>
      </c>
      <c r="G148" t="str">
        <f>IF(Tasks[[#This Row],[Location]]=0, "", Tasks[[#This Row],[Location]])</f>
        <v/>
      </c>
      <c r="H148" t="str">
        <f>Tasks[[#This Row],[To Package]]</f>
        <v>Roofing</v>
      </c>
      <c r="I148" t="str">
        <f>Tasks[[#This Row],[To Organisation]]</f>
        <v>Broken Arrow Construction Corporation</v>
      </c>
    </row>
    <row r="149" spans="1:9" x14ac:dyDescent="0.35">
      <c r="A149" s="9" t="str">
        <f>HYPERLINK(_xlfn.CONCAT(Edit_URL,Tasks[[#This Row],[Ref]]),Tasks[[#This Row],[Ref]])</f>
        <v>T74290.32</v>
      </c>
      <c r="B149" s="6" t="str" cm="1">
        <f t="array" ref="B149">_xlfn.SWITCH(LEFT(Tasks[[#This Row],[Status]],1),"O","Opened","C","Completed","S","Signed Off","ERROR")</f>
        <v>Completed</v>
      </c>
      <c r="C149" s="6" t="str" cm="1">
        <f t="array" ref="C149">_xlfn.SWITCH(LEFT(Tasks[[#This Row],[Type]], 2), "Fi", "Field Report", "Co", "Contractor QC", "Ge", "Contractor QC", "Pu", "Punch List")</f>
        <v>Contractor QC</v>
      </c>
      <c r="D149" s="6" t="str">
        <f>LEFT(Tasks[[#This Row],[Description]], 50)</f>
        <v>Finish the headers separate from the jamb and do n</v>
      </c>
      <c r="E149" s="6" t="str" cm="1">
        <f t="array" ref="E149">_xlfn.LET(
_xlpm.inTower, COUNTIF(Tower_Num_Table[Tower Rm Numbers], LEFT(Task_Summary_Table[[#This Row],[Area/Room]], 3)) &gt; 0,
_xlpm.typeResult, _xlfn.SWITCH(LEFT(Tasks[[#This Row],[Page]], 2), "Hi", "Historic", "An", "Annex", "Si", "Site", "S5", "Project Task", "SWITCH ERROR"),
IF(_xlpm.inTower, "West Tower", _xlpm.typeResult)
)</f>
        <v>Annex</v>
      </c>
      <c r="F149" t="str">
        <f>IFERROR(MID(Tasks[[#This Row],[Page]], FIND("Level", Tasks[[#This Row],[Page]]), 7), IF(ISNUMBER(FIND("Roof", Tasks[[#This Row],[Page]])), "Roof",  IF(ISNUMBER(FIND("S590", Tasks[[#This Row],[Page]])), "",  IF(ISNUMBER(FIND("Site", Tasks[[#This Row],[Page]])), "", "ERROR"))))</f>
        <v>Level 1</v>
      </c>
      <c r="G149" t="str">
        <f>IF(Tasks[[#This Row],[Location]]=0, "", Tasks[[#This Row],[Location]])</f>
        <v>101 - Entry</v>
      </c>
      <c r="H149" t="str">
        <f>Tasks[[#This Row],[To Package]]</f>
        <v>Paint</v>
      </c>
      <c r="I149" t="str">
        <f>Tasks[[#This Row],[To Organisation]]</f>
        <v>Accent Painting and Special Coatings, LLC</v>
      </c>
    </row>
    <row r="150" spans="1:9" x14ac:dyDescent="0.35">
      <c r="A150" s="9" t="str">
        <f>HYPERLINK(_xlfn.CONCAT(Edit_URL,Tasks[[#This Row],[Ref]]),Tasks[[#This Row],[Ref]])</f>
        <v>T74290.31</v>
      </c>
      <c r="B150" s="6" t="str" cm="1">
        <f t="array" ref="B150">_xlfn.SWITCH(LEFT(Tasks[[#This Row],[Status]],1),"O","Opened","C","Completed","S","Signed Off","ERROR")</f>
        <v>Completed</v>
      </c>
      <c r="C150" s="6" t="str" cm="1">
        <f t="array" ref="C150">_xlfn.SWITCH(LEFT(Tasks[[#This Row],[Type]], 2), "Fi", "Field Report", "Co", "Contractor QC", "Ge", "Contractor QC", "Pu", "Punch List")</f>
        <v>Contractor QC</v>
      </c>
      <c r="D150" s="6" t="str">
        <f>LEFT(Tasks[[#This Row],[Description]], 50)</f>
        <v>Position of fittings to be in the wall￼</v>
      </c>
      <c r="E150" s="6" t="str" cm="1">
        <f t="array" ref="E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0" t="str">
        <f>IFERROR(MID(Tasks[[#This Row],[Page]], FIND("Level", Tasks[[#This Row],[Page]]), 7), IF(ISNUMBER(FIND("Roof", Tasks[[#This Row],[Page]])), "Roof",  IF(ISNUMBER(FIND("S590", Tasks[[#This Row],[Page]])), "",  IF(ISNUMBER(FIND("Site", Tasks[[#This Row],[Page]])), "", "ERROR"))))</f>
        <v>Level 1</v>
      </c>
      <c r="G150" t="str">
        <f>IF(Tasks[[#This Row],[Location]]=0, "", Tasks[[#This Row],[Location]])</f>
        <v>189 - Jan</v>
      </c>
      <c r="H150" t="str">
        <f>Tasks[[#This Row],[To Package]]</f>
        <v>Fire Suppression</v>
      </c>
      <c r="I150" t="str">
        <f>Tasks[[#This Row],[To Organisation]]</f>
        <v>Broken Arrow Construction Corporation</v>
      </c>
    </row>
    <row r="151" spans="1:9" x14ac:dyDescent="0.35">
      <c r="A151" s="9" t="str">
        <f>HYPERLINK(_xlfn.CONCAT(Edit_URL,Tasks[[#This Row],[Ref]]),Tasks[[#This Row],[Ref]])</f>
        <v>T74290.30</v>
      </c>
      <c r="B151" s="6" t="str" cm="1">
        <f t="array" ref="B151">_xlfn.SWITCH(LEFT(Tasks[[#This Row],[Status]],1),"O","Opened","C","Completed","S","Signed Off","ERROR")</f>
        <v>Completed</v>
      </c>
      <c r="C151" s="6" t="str" cm="1">
        <f t="array" ref="C151">_xlfn.SWITCH(LEFT(Tasks[[#This Row],[Type]], 2), "Fi", "Field Report", "Co", "Contractor QC", "Ge", "Contractor QC", "Pu", "Punch List")</f>
        <v>Contractor QC</v>
      </c>
      <c r="D151" s="6" t="str">
        <f>LEFT(Tasks[[#This Row],[Description]], 50)</f>
        <v>Move access panel to the north 6 inches￼</v>
      </c>
      <c r="E151" s="6" t="str" cm="1">
        <f t="array" ref="E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1" t="str">
        <f>IFERROR(MID(Tasks[[#This Row],[Page]], FIND("Level", Tasks[[#This Row],[Page]]), 7), IF(ISNUMBER(FIND("Roof", Tasks[[#This Row],[Page]])), "Roof",  IF(ISNUMBER(FIND("S590", Tasks[[#This Row],[Page]])), "",  IF(ISNUMBER(FIND("Site", Tasks[[#This Row],[Page]])), "", "ERROR"))))</f>
        <v>Level 1</v>
      </c>
      <c r="G151" t="str">
        <f>IF(Tasks[[#This Row],[Location]]=0, "", Tasks[[#This Row],[Location]])</f>
        <v>184 - Stair Lobby</v>
      </c>
      <c r="H151" t="str">
        <f>Tasks[[#This Row],[To Package]]</f>
        <v>Metal Stud / Drywall</v>
      </c>
      <c r="I151" t="str">
        <f>Tasks[[#This Row],[To Organisation]]</f>
        <v>Pete King Construction</v>
      </c>
    </row>
    <row r="152" spans="1:9" x14ac:dyDescent="0.35">
      <c r="A152" s="9" t="str">
        <f>HYPERLINK(_xlfn.CONCAT(Edit_URL,Tasks[[#This Row],[Ref]]),Tasks[[#This Row],[Ref]])</f>
        <v>T74290.29</v>
      </c>
      <c r="B152" s="6" t="str" cm="1">
        <f t="array" ref="B152">_xlfn.SWITCH(LEFT(Tasks[[#This Row],[Status]],1),"O","Opened","C","Completed","S","Signed Off","ERROR")</f>
        <v>Signed Off</v>
      </c>
      <c r="C152" s="6" t="str" cm="1">
        <f t="array" ref="C152">_xlfn.SWITCH(LEFT(Tasks[[#This Row],[Type]], 2), "Fi", "Field Report", "Co", "Contractor QC", "Ge", "Contractor QC", "Pu", "Punch List")</f>
        <v>Contractor QC</v>
      </c>
      <c r="D152" s="6" t="str">
        <f>LEFT(Tasks[[#This Row],[Description]], 50)</f>
        <v>Complete conduit to be able to get ready for sheet</v>
      </c>
      <c r="E152" s="6" t="str" cm="1">
        <f t="array" ref="E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2" t="str">
        <f>IFERROR(MID(Tasks[[#This Row],[Page]], FIND("Level", Tasks[[#This Row],[Page]]), 7), IF(ISNUMBER(FIND("Roof", Tasks[[#This Row],[Page]])), "Roof",  IF(ISNUMBER(FIND("S590", Tasks[[#This Row],[Page]])), "",  IF(ISNUMBER(FIND("Site", Tasks[[#This Row],[Page]])), "", "ERROR"))))</f>
        <v>Level 0</v>
      </c>
      <c r="G152" t="str">
        <f>IF(Tasks[[#This Row],[Location]]=0, "", Tasks[[#This Row],[Location]])</f>
        <v>052 - Stair Lobby</v>
      </c>
      <c r="H152" t="str">
        <f>Tasks[[#This Row],[To Package]]</f>
        <v>Electrical</v>
      </c>
      <c r="I152" t="str">
        <f>Tasks[[#This Row],[To Organisation]]</f>
        <v>Wilkinson Electric Inc</v>
      </c>
    </row>
    <row r="153" spans="1:9" x14ac:dyDescent="0.35">
      <c r="A153" s="9" t="str">
        <f>HYPERLINK(_xlfn.CONCAT(Edit_URL,Tasks[[#This Row],[Ref]]),Tasks[[#This Row],[Ref]])</f>
        <v>T74290.28</v>
      </c>
      <c r="B153" s="6" t="str" cm="1">
        <f t="array" ref="B153">_xlfn.SWITCH(LEFT(Tasks[[#This Row],[Status]],1),"O","Opened","C","Completed","S","Signed Off","ERROR")</f>
        <v>Signed Off</v>
      </c>
      <c r="C153" s="6" t="str" cm="1">
        <f t="array" ref="C153">_xlfn.SWITCH(LEFT(Tasks[[#This Row],[Type]], 2), "Fi", "Field Report", "Co", "Contractor QC", "Ge", "Contractor QC", "Pu", "Punch List")</f>
        <v>Contractor QC</v>
      </c>
      <c r="D153" s="6" t="str">
        <f>LEFT(Tasks[[#This Row],[Description]], 50)</f>
        <v>Complete conduit to be able to get ready for sheet</v>
      </c>
      <c r="E153" s="6" t="str" cm="1">
        <f t="array" ref="E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3" t="str">
        <f>IFERROR(MID(Tasks[[#This Row],[Page]], FIND("Level", Tasks[[#This Row],[Page]]), 7), IF(ISNUMBER(FIND("Roof", Tasks[[#This Row],[Page]])), "Roof",  IF(ISNUMBER(FIND("S590", Tasks[[#This Row],[Page]])), "",  IF(ISNUMBER(FIND("Site", Tasks[[#This Row],[Page]])), "", "ERROR"))))</f>
        <v>Level 0</v>
      </c>
      <c r="G153" t="str">
        <f>IF(Tasks[[#This Row],[Location]]=0, "", Tasks[[#This Row],[Location]])</f>
        <v>052 - Stair Lobby</v>
      </c>
      <c r="H153" t="str">
        <f>Tasks[[#This Row],[To Package]]</f>
        <v>Electrical</v>
      </c>
      <c r="I153" t="str">
        <f>Tasks[[#This Row],[To Organisation]]</f>
        <v>Wilkinson Electric Inc</v>
      </c>
    </row>
    <row r="154" spans="1:9" x14ac:dyDescent="0.35">
      <c r="A154" s="9" t="str">
        <f>HYPERLINK(_xlfn.CONCAT(Edit_URL,Tasks[[#This Row],[Ref]]),Tasks[[#This Row],[Ref]])</f>
        <v>T74290.27</v>
      </c>
      <c r="B154" s="6" t="str" cm="1">
        <f t="array" ref="B154">_xlfn.SWITCH(LEFT(Tasks[[#This Row],[Status]],1),"O","Opened","C","Completed","S","Signed Off","ERROR")</f>
        <v>Opened</v>
      </c>
      <c r="C154" s="6" t="str" cm="1">
        <f t="array" ref="C154">_xlfn.SWITCH(LEFT(Tasks[[#This Row],[Type]], 2), "Fi", "Field Report", "Co", "Contractor QC", "Ge", "Contractor QC", "Pu", "Punch List")</f>
        <v>Contractor QC</v>
      </c>
      <c r="D154" s="6" t="str">
        <f>LEFT(Tasks[[#This Row],[Description]], 50)</f>
        <v>Thresholds have gaps on the sides</v>
      </c>
      <c r="E154" s="6" t="str" cm="1">
        <f t="array" ref="E154">_xlfn.LET(
_xlpm.inTower, COUNTIF(Tower_Num_Table[Tower Rm Numbers], LEFT(Task_Summary_Table[[#This Row],[Area/Room]], 3)) &gt; 0,
_xlpm.typeResult, _xlfn.SWITCH(LEFT(Tasks[[#This Row],[Page]], 2), "Hi", "Historic", "An", "Annex", "Si", "Site", "S5", "Project Task", "SWITCH ERROR"),
IF(_xlpm.inTower, "West Tower", _xlpm.typeResult)
)</f>
        <v>Historic</v>
      </c>
      <c r="F154" t="str">
        <f>IFERROR(MID(Tasks[[#This Row],[Page]], FIND("Level", Tasks[[#This Row],[Page]]), 7), IF(ISNUMBER(FIND("Roof", Tasks[[#This Row],[Page]])), "Roof",  IF(ISNUMBER(FIND("S590", Tasks[[#This Row],[Page]])), "",  IF(ISNUMBER(FIND("Site", Tasks[[#This Row],[Page]])), "", "ERROR"))))</f>
        <v>Level 5</v>
      </c>
      <c r="G154" t="str">
        <f>IF(Tasks[[#This Row],[Location]]=0, "", Tasks[[#This Row],[Location]])</f>
        <v/>
      </c>
      <c r="H154" t="str">
        <f>Tasks[[#This Row],[To Package]]</f>
        <v>Tile</v>
      </c>
      <c r="I154" t="str">
        <f>Tasks[[#This Row],[To Organisation]]</f>
        <v>Global Stone and Tile, LLC</v>
      </c>
    </row>
    <row r="155" spans="1:9" x14ac:dyDescent="0.35">
      <c r="A155" s="9" t="str">
        <f>HYPERLINK(_xlfn.CONCAT(Edit_URL,Tasks[[#This Row],[Ref]]),Tasks[[#This Row],[Ref]])</f>
        <v>T74290.26</v>
      </c>
      <c r="B155" s="6" t="str" cm="1">
        <f t="array" ref="B155">_xlfn.SWITCH(LEFT(Tasks[[#This Row],[Status]],1),"O","Opened","C","Completed","S","Signed Off","ERROR")</f>
        <v>Opened</v>
      </c>
      <c r="C155" s="6" t="str" cm="1">
        <f t="array" ref="C155">_xlfn.SWITCH(LEFT(Tasks[[#This Row],[Type]], 2), "Fi", "Field Report", "Co", "Contractor QC", "Ge", "Contractor QC", "Pu", "Punch List")</f>
        <v>Contractor QC</v>
      </c>
      <c r="D155" s="6" t="str">
        <f>LEFT(Tasks[[#This Row],[Description]], 50)</f>
        <v>Complete exterior around circle windows</v>
      </c>
      <c r="E155" s="6" t="str" cm="1">
        <f t="array" ref="E155">_xlfn.LET(
_xlpm.inTower, COUNTIF(Tower_Num_Table[Tower Rm Numbers], LEFT(Task_Summary_Table[[#This Row],[Area/Room]], 3)) &gt; 0,
_xlpm.typeResult, _xlfn.SWITCH(LEFT(Tasks[[#This Row],[Page]], 2), "Hi", "Historic", "An", "Annex", "Si", "Site", "S5", "Project Task", "SWITCH ERROR"),
IF(_xlpm.inTower, "West Tower", _xlpm.typeResult)
)</f>
        <v>Annex</v>
      </c>
      <c r="F155" t="str">
        <f>IFERROR(MID(Tasks[[#This Row],[Page]], FIND("Level", Tasks[[#This Row],[Page]]), 7), IF(ISNUMBER(FIND("Roof", Tasks[[#This Row],[Page]])), "Roof",  IF(ISNUMBER(FIND("S590", Tasks[[#This Row],[Page]])), "",  IF(ISNUMBER(FIND("Site", Tasks[[#This Row],[Page]])), "", "ERROR"))))</f>
        <v>Roof</v>
      </c>
      <c r="G155" t="str">
        <f>IF(Tasks[[#This Row],[Location]]=0, "", Tasks[[#This Row],[Location]])</f>
        <v>Roof West</v>
      </c>
      <c r="H155" t="str">
        <f>Tasks[[#This Row],[To Package]]</f>
        <v>Westland -- Annex</v>
      </c>
      <c r="I155" t="str">
        <f>Tasks[[#This Row],[To Organisation]]</f>
        <v>Westland Construction, Inc.</v>
      </c>
    </row>
    <row r="156" spans="1:9" x14ac:dyDescent="0.35">
      <c r="A156" s="9" t="str">
        <f>HYPERLINK(_xlfn.CONCAT(Edit_URL,Tasks[[#This Row],[Ref]]),Tasks[[#This Row],[Ref]])</f>
        <v>T55794.12</v>
      </c>
      <c r="B156" s="6" t="str" cm="1">
        <f t="array" ref="B156">_xlfn.SWITCH(LEFT(Tasks[[#This Row],[Status]],1),"O","Opened","C","Completed","S","Signed Off","ERROR")</f>
        <v>Opened</v>
      </c>
      <c r="C156" s="6" t="str" cm="1">
        <f t="array" ref="C156">_xlfn.SWITCH(LEFT(Tasks[[#This Row],[Type]], 2), "Fi", "Field Report", "Co", "Contractor QC", "Ge", "Contractor QC", "Pu", "Punch List")</f>
        <v>Contractor QC</v>
      </c>
      <c r="D156" s="6" t="str">
        <f>LEFT(Tasks[[#This Row],[Description]], 50)</f>
        <v>duct insulation at barrel ceiling needs to be rein</v>
      </c>
      <c r="E156" s="6" t="str" cm="1">
        <f t="array" ref="E156">_xlfn.LET(
_xlpm.inTower, COUNTIF(Tower_Num_Table[Tower Rm Numbers], LEFT(Task_Summary_Table[[#This Row],[Area/Room]], 3)) &gt; 0,
_xlpm.typeResult, _xlfn.SWITCH(LEFT(Tasks[[#This Row],[Page]], 2), "Hi", "Historic", "An", "Annex", "Si", "Site", "S5", "Project Task", "SWITCH ERROR"),
IF(_xlpm.inTower, "West Tower", _xlpm.typeResult)
)</f>
        <v>Historic</v>
      </c>
      <c r="F156" t="str">
        <f>IFERROR(MID(Tasks[[#This Row],[Page]], FIND("Level", Tasks[[#This Row],[Page]]), 7), IF(ISNUMBER(FIND("Roof", Tasks[[#This Row],[Page]])), "Roof",  IF(ISNUMBER(FIND("S590", Tasks[[#This Row],[Page]])), "",  IF(ISNUMBER(FIND("Site", Tasks[[#This Row],[Page]])), "", "ERROR"))))</f>
        <v>Level 2</v>
      </c>
      <c r="G156" t="str">
        <f>IF(Tasks[[#This Row],[Location]]=0, "", Tasks[[#This Row],[Location]])</f>
        <v>209 - Instruction Room A-2</v>
      </c>
      <c r="H156" t="str">
        <f>Tasks[[#This Row],[To Package]]</f>
        <v>HVAC</v>
      </c>
      <c r="I156" t="str">
        <f>Tasks[[#This Row],[To Organisation]]</f>
        <v>US Mechanical</v>
      </c>
    </row>
    <row r="157" spans="1:9" x14ac:dyDescent="0.35">
      <c r="A157" s="9" t="str">
        <f>HYPERLINK(_xlfn.CONCAT(Edit_URL,Tasks[[#This Row],[Ref]]),Tasks[[#This Row],[Ref]])</f>
        <v>T55794.11</v>
      </c>
      <c r="B157" s="6" t="str" cm="1">
        <f t="array" ref="B157">_xlfn.SWITCH(LEFT(Tasks[[#This Row],[Status]],1),"O","Opened","C","Completed","S","Signed Off","ERROR")</f>
        <v>Signed Off</v>
      </c>
      <c r="C157" s="6" t="str" cm="1">
        <f t="array" ref="C157">_xlfn.SWITCH(LEFT(Tasks[[#This Row],[Type]], 2), "Fi", "Field Report", "Co", "Contractor QC", "Ge", "Contractor QC", "Pu", "Punch List")</f>
        <v>Contractor QC</v>
      </c>
      <c r="D157" s="6" t="str">
        <f>LEFT(Tasks[[#This Row],[Description]], 50)</f>
        <v>Fire caulking required at all penetrations this wa</v>
      </c>
      <c r="E157" s="6" t="str" cm="1">
        <f t="array" ref="E1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7" t="str">
        <f>IFERROR(MID(Tasks[[#This Row],[Page]], FIND("Level", Tasks[[#This Row],[Page]]), 7), IF(ISNUMBER(FIND("Roof", Tasks[[#This Row],[Page]])), "Roof",  IF(ISNUMBER(FIND("S590", Tasks[[#This Row],[Page]])), "",  IF(ISNUMBER(FIND("Site", Tasks[[#This Row],[Page]])), "", "ERROR"))))</f>
        <v>Level 1</v>
      </c>
      <c r="G157" t="str">
        <f>IF(Tasks[[#This Row],[Location]]=0, "", Tasks[[#This Row],[Location]])</f>
        <v>184 - Stair Lobby</v>
      </c>
      <c r="H157" t="str">
        <f>Tasks[[#This Row],[To Package]]</f>
        <v>HVAC</v>
      </c>
      <c r="I157" t="str">
        <f>Tasks[[#This Row],[To Organisation]]</f>
        <v>US Mechanical</v>
      </c>
    </row>
    <row r="158" spans="1:9" x14ac:dyDescent="0.35">
      <c r="A158" s="9" t="str">
        <f>HYPERLINK(_xlfn.CONCAT(Edit_URL,Tasks[[#This Row],[Ref]]),Tasks[[#This Row],[Ref]])</f>
        <v>T55794.10</v>
      </c>
      <c r="B158" s="6" t="str" cm="1">
        <f t="array" ref="B158">_xlfn.SWITCH(LEFT(Tasks[[#This Row],[Status]],1),"O","Opened","C","Completed","S","Signed Off","ERROR")</f>
        <v>Signed Off</v>
      </c>
      <c r="C158" s="6" t="str" cm="1">
        <f t="array" ref="C158">_xlfn.SWITCH(LEFT(Tasks[[#This Row],[Type]], 2), "Fi", "Field Report", "Co", "Contractor QC", "Ge", "Contractor QC", "Pu", "Punch List")</f>
        <v>Contractor QC</v>
      </c>
      <c r="D158" s="6" t="str">
        <f>LEFT(Tasks[[#This Row],[Description]], 50)</f>
        <v>fire caulking required at all wall penetrations th</v>
      </c>
      <c r="E158" s="6" t="str" cm="1">
        <f t="array" ref="E15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8" t="str">
        <f>IFERROR(MID(Tasks[[#This Row],[Page]], FIND("Level", Tasks[[#This Row],[Page]]), 7), IF(ISNUMBER(FIND("Roof", Tasks[[#This Row],[Page]])), "Roof",  IF(ISNUMBER(FIND("S590", Tasks[[#This Row],[Page]])), "",  IF(ISNUMBER(FIND("Site", Tasks[[#This Row],[Page]])), "", "ERROR"))))</f>
        <v>Level 1</v>
      </c>
      <c r="G158" t="str">
        <f>IF(Tasks[[#This Row],[Location]]=0, "", Tasks[[#This Row],[Location]])</f>
        <v>184 - Stair Lobby</v>
      </c>
      <c r="H158" t="str">
        <f>Tasks[[#This Row],[To Package]]</f>
        <v>Fire Suppression</v>
      </c>
      <c r="I158" t="str">
        <f>Tasks[[#This Row],[To Organisation]]</f>
        <v>Broken Arrow Construction Corporation</v>
      </c>
    </row>
    <row r="159" spans="1:9" x14ac:dyDescent="0.35">
      <c r="A159" s="9" t="str">
        <f>HYPERLINK(_xlfn.CONCAT(Edit_URL,Tasks[[#This Row],[Ref]]),Tasks[[#This Row],[Ref]])</f>
        <v>T55794.9</v>
      </c>
      <c r="B159" s="6" t="str" cm="1">
        <f t="array" ref="B159">_xlfn.SWITCH(LEFT(Tasks[[#This Row],[Status]],1),"O","Opened","C","Completed","S","Signed Off","ERROR")</f>
        <v>Signed Off</v>
      </c>
      <c r="C159" s="6" t="str" cm="1">
        <f t="array" ref="C159">_xlfn.SWITCH(LEFT(Tasks[[#This Row],[Type]], 2), "Fi", "Field Report", "Co", "Contractor QC", "Ge", "Contractor QC", "Pu", "Punch List")</f>
        <v>Contractor QC</v>
      </c>
      <c r="D159" s="6" t="str">
        <f>LEFT(Tasks[[#This Row],[Description]], 50)</f>
        <v>Fire caulking required at all wall penetrations th</v>
      </c>
      <c r="E159" s="6" t="str" cm="1">
        <f t="array" ref="E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59" t="str">
        <f>IFERROR(MID(Tasks[[#This Row],[Page]], FIND("Level", Tasks[[#This Row],[Page]]), 7), IF(ISNUMBER(FIND("Roof", Tasks[[#This Row],[Page]])), "Roof",  IF(ISNUMBER(FIND("S590", Tasks[[#This Row],[Page]])), "",  IF(ISNUMBER(FIND("Site", Tasks[[#This Row],[Page]])), "", "ERROR"))))</f>
        <v>Level 1</v>
      </c>
      <c r="G159" t="str">
        <f>IF(Tasks[[#This Row],[Location]]=0, "", Tasks[[#This Row],[Location]])</f>
        <v>184 - Stair Lobby</v>
      </c>
      <c r="H159" t="str">
        <f>Tasks[[#This Row],[To Package]]</f>
        <v>Plumbing</v>
      </c>
      <c r="I159" t="str">
        <f>Tasks[[#This Row],[To Organisation]]</f>
        <v>US Mechanical</v>
      </c>
    </row>
    <row r="160" spans="1:9" x14ac:dyDescent="0.35">
      <c r="A160" s="9" t="str">
        <f>HYPERLINK(_xlfn.CONCAT(Edit_URL,Tasks[[#This Row],[Ref]]),Tasks[[#This Row],[Ref]])</f>
        <v>T55794.8</v>
      </c>
      <c r="B160" s="6" t="str" cm="1">
        <f t="array" ref="B160">_xlfn.SWITCH(LEFT(Tasks[[#This Row],[Status]],1),"O","Opened","C","Completed","S","Signed Off","ERROR")</f>
        <v>Signed Off</v>
      </c>
      <c r="C160" s="6" t="str" cm="1">
        <f t="array" ref="C160">_xlfn.SWITCH(LEFT(Tasks[[#This Row],[Type]], 2), "Fi", "Field Report", "Co", "Contractor QC", "Ge", "Contractor QC", "Pu", "Punch List")</f>
        <v>Contractor QC</v>
      </c>
      <c r="D160" s="6" t="str">
        <f>LEFT(Tasks[[#This Row],[Description]], 50)</f>
        <v>fire caulking at all wall penetrations required.</v>
      </c>
      <c r="E160" s="6" t="str" cm="1">
        <f t="array" ref="E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0" t="str">
        <f>IFERROR(MID(Tasks[[#This Row],[Page]], FIND("Level", Tasks[[#This Row],[Page]]), 7), IF(ISNUMBER(FIND("Roof", Tasks[[#This Row],[Page]])), "Roof",  IF(ISNUMBER(FIND("S590", Tasks[[#This Row],[Page]])), "",  IF(ISNUMBER(FIND("Site", Tasks[[#This Row],[Page]])), "", "ERROR"))))</f>
        <v>Level 1</v>
      </c>
      <c r="G160" t="str">
        <f>IF(Tasks[[#This Row],[Location]]=0, "", Tasks[[#This Row],[Location]])</f>
        <v>184 - Stair Lobby</v>
      </c>
      <c r="H160" t="str">
        <f>Tasks[[#This Row],[To Package]]</f>
        <v>Electrical</v>
      </c>
      <c r="I160" t="str">
        <f>Tasks[[#This Row],[To Organisation]]</f>
        <v>Wilkinson Electric Inc</v>
      </c>
    </row>
    <row r="161" spans="1:9" x14ac:dyDescent="0.35">
      <c r="A161" s="9" t="str">
        <f>HYPERLINK(_xlfn.CONCAT(Edit_URL,Tasks[[#This Row],[Ref]]),Tasks[[#This Row],[Ref]])</f>
        <v>T55794.7</v>
      </c>
      <c r="B161" s="6" t="str" cm="1">
        <f t="array" ref="B161">_xlfn.SWITCH(LEFT(Tasks[[#This Row],[Status]],1),"O","Opened","C","Completed","S","Signed Off","ERROR")</f>
        <v>Signed Off</v>
      </c>
      <c r="C161" s="6" t="str" cm="1">
        <f t="array" ref="C161">_xlfn.SWITCH(LEFT(Tasks[[#This Row],[Type]], 2), "Fi", "Field Report", "Co", "Contractor QC", "Ge", "Contractor QC", "Pu", "Punch List")</f>
        <v>Contractor QC</v>
      </c>
      <c r="D161" s="6" t="str">
        <f>LEFT(Tasks[[#This Row],[Description]], 50)</f>
        <v xml:space="preserve">Rough in for light sconce and plumbing for vanity </v>
      </c>
      <c r="E161" s="6" t="str" cm="1">
        <f t="array" ref="E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61" t="str">
        <f>IFERROR(MID(Tasks[[#This Row],[Page]], FIND("Level", Tasks[[#This Row],[Page]]), 7), IF(ISNUMBER(FIND("Roof", Tasks[[#This Row],[Page]])), "Roof",  IF(ISNUMBER(FIND("S590", Tasks[[#This Row],[Page]])), "",  IF(ISNUMBER(FIND("Site", Tasks[[#This Row],[Page]])), "", "ERROR"))))</f>
        <v>Level 1</v>
      </c>
      <c r="G161" t="str">
        <f>IF(Tasks[[#This Row],[Location]]=0, "", Tasks[[#This Row],[Location]])</f>
        <v>186 - Womens Restroom</v>
      </c>
      <c r="H161" t="str">
        <f>Tasks[[#This Row],[To Package]]</f>
        <v>Electrical</v>
      </c>
      <c r="I161" t="str">
        <f>Tasks[[#This Row],[To Organisation]]</f>
        <v>Wilkinson Electric Inc</v>
      </c>
    </row>
    <row r="162" spans="1:9" x14ac:dyDescent="0.35">
      <c r="A162" s="9" t="str">
        <f>HYPERLINK(_xlfn.CONCAT(Edit_URL,Tasks[[#This Row],[Ref]]),Tasks[[#This Row],[Ref]])</f>
        <v>T74290.25</v>
      </c>
      <c r="B162" s="6" t="str" cm="1">
        <f t="array" ref="B162">_xlfn.SWITCH(LEFT(Tasks[[#This Row],[Status]],1),"O","Opened","C","Completed","S","Signed Off","ERROR")</f>
        <v>Completed</v>
      </c>
      <c r="C162" s="6" t="str" cm="1">
        <f t="array" ref="C162">_xlfn.SWITCH(LEFT(Tasks[[#This Row],[Type]], 2), "Fi", "Field Report", "Co", "Contractor QC", "Ge", "Contractor QC", "Pu", "Punch List")</f>
        <v>Contractor QC</v>
      </c>
      <c r="D162" s="6" t="str">
        <f>LEFT(Tasks[[#This Row],[Description]], 50)</f>
        <v>Fill in honeycomb with non-shrink grout￼</v>
      </c>
      <c r="E162" s="6" t="str" cm="1">
        <f t="array" ref="E162">_xlfn.LET(
_xlpm.inTower, COUNTIF(Tower_Num_Table[Tower Rm Numbers], LEFT(Task_Summary_Table[[#This Row],[Area/Room]], 3)) &gt; 0,
_xlpm.typeResult, _xlfn.SWITCH(LEFT(Tasks[[#This Row],[Page]], 2), "Hi", "Historic", "An", "Annex", "Si", "Site", "S5", "Project Task", "SWITCH ERROR"),
IF(_xlpm.inTower, "West Tower", _xlpm.typeResult)
)</f>
        <v>Historic</v>
      </c>
      <c r="F162" t="str">
        <f>IFERROR(MID(Tasks[[#This Row],[Page]], FIND("Level", Tasks[[#This Row],[Page]]), 7), IF(ISNUMBER(FIND("Roof", Tasks[[#This Row],[Page]])), "Roof",  IF(ISNUMBER(FIND("S590", Tasks[[#This Row],[Page]])), "",  IF(ISNUMBER(FIND("Site", Tasks[[#This Row],[Page]])), "", "ERROR"))))</f>
        <v>Level 0</v>
      </c>
      <c r="G162" t="str">
        <f>IF(Tasks[[#This Row],[Location]]=0, "", Tasks[[#This Row],[Location]])</f>
        <v>Stairs Level 1</v>
      </c>
      <c r="H162" t="str">
        <f>Tasks[[#This Row],[To Package]]</f>
        <v>Concrete</v>
      </c>
      <c r="I162" t="str">
        <f>Tasks[[#This Row],[To Organisation]]</f>
        <v>Innovative Concrete, LLC</v>
      </c>
    </row>
    <row r="163" spans="1:9" x14ac:dyDescent="0.35">
      <c r="A163" s="9" t="str">
        <f>HYPERLINK(_xlfn.CONCAT(Edit_URL,Tasks[[#This Row],[Ref]]),Tasks[[#This Row],[Ref]])</f>
        <v>T74290.24</v>
      </c>
      <c r="B163" s="6" t="str" cm="1">
        <f t="array" ref="B163">_xlfn.SWITCH(LEFT(Tasks[[#This Row],[Status]],1),"O","Opened","C","Completed","S","Signed Off","ERROR")</f>
        <v>Opened</v>
      </c>
      <c r="C163" s="6" t="str" cm="1">
        <f t="array" ref="C163">_xlfn.SWITCH(LEFT(Tasks[[#This Row],[Type]], 2), "Fi", "Field Report", "Co", "Contractor QC", "Ge", "Contractor QC", "Pu", "Punch List")</f>
        <v>Contractor QC</v>
      </c>
      <c r="D163" s="6" t="str">
        <f>LEFT(Tasks[[#This Row],[Description]], 50)</f>
        <v>Fill in honeycomb and core holes with non-shrink g</v>
      </c>
      <c r="E163" s="6" t="str" cm="1">
        <f t="array" ref="E163">_xlfn.LET(
_xlpm.inTower, COUNTIF(Tower_Num_Table[Tower Rm Numbers], LEFT(Task_Summary_Table[[#This Row],[Area/Room]], 3)) &gt; 0,
_xlpm.typeResult, _xlfn.SWITCH(LEFT(Tasks[[#This Row],[Page]], 2), "Hi", "Historic", "An", "Annex", "Si", "Site", "S5", "Project Task", "SWITCH ERROR"),
IF(_xlpm.inTower, "West Tower", _xlpm.typeResult)
)</f>
        <v>Historic</v>
      </c>
      <c r="F163" t="str">
        <f>IFERROR(MID(Tasks[[#This Row],[Page]], FIND("Level", Tasks[[#This Row],[Page]]), 7), IF(ISNUMBER(FIND("Roof", Tasks[[#This Row],[Page]])), "Roof",  IF(ISNUMBER(FIND("S590", Tasks[[#This Row],[Page]])), "",  IF(ISNUMBER(FIND("Site", Tasks[[#This Row],[Page]])), "", "ERROR"))))</f>
        <v>Level 1</v>
      </c>
      <c r="G163" t="str">
        <f>IF(Tasks[[#This Row],[Location]]=0, "", Tasks[[#This Row],[Location]])</f>
        <v>Level 1 West Stair</v>
      </c>
      <c r="H163" t="str">
        <f>Tasks[[#This Row],[To Package]]</f>
        <v>Concrete</v>
      </c>
      <c r="I163" t="str">
        <f>Tasks[[#This Row],[To Organisation]]</f>
        <v>Innovative Concrete, LLC</v>
      </c>
    </row>
    <row r="164" spans="1:9" x14ac:dyDescent="0.35">
      <c r="A164" s="9" t="str">
        <f>HYPERLINK(_xlfn.CONCAT(Edit_URL,Tasks[[#This Row],[Ref]]),Tasks[[#This Row],[Ref]])</f>
        <v>T74290.23</v>
      </c>
      <c r="B164" s="6" t="str" cm="1">
        <f t="array" ref="B164">_xlfn.SWITCH(LEFT(Tasks[[#This Row],[Status]],1),"O","Opened","C","Completed","S","Signed Off","ERROR")</f>
        <v>Opened</v>
      </c>
      <c r="C164" s="6" t="str" cm="1">
        <f t="array" ref="C164">_xlfn.SWITCH(LEFT(Tasks[[#This Row],[Type]], 2), "Fi", "Field Report", "Co", "Contractor QC", "Ge", "Contractor QC", "Pu", "Punch List")</f>
        <v>Contractor QC</v>
      </c>
      <c r="D164" s="6" t="str">
        <f>LEFT(Tasks[[#This Row],[Description]], 50)</f>
        <v>Clean construction debris and materials from roof</v>
      </c>
      <c r="E164" s="6" t="str" cm="1">
        <f t="array" ref="E164">_xlfn.LET(
_xlpm.inTower, COUNTIF(Tower_Num_Table[Tower Rm Numbers], LEFT(Task_Summary_Table[[#This Row],[Area/Room]], 3)) &gt; 0,
_xlpm.typeResult, _xlfn.SWITCH(LEFT(Tasks[[#This Row],[Page]], 2), "Hi", "Historic", "An", "Annex", "Si", "Site", "S5", "Project Task", "SWITCH ERROR"),
IF(_xlpm.inTower, "West Tower", _xlpm.typeResult)
)</f>
        <v>Annex</v>
      </c>
      <c r="F164" t="str">
        <f>IFERROR(MID(Tasks[[#This Row],[Page]], FIND("Level", Tasks[[#This Row],[Page]]), 7), IF(ISNUMBER(FIND("Roof", Tasks[[#This Row],[Page]])), "Roof",  IF(ISNUMBER(FIND("S590", Tasks[[#This Row],[Page]])), "",  IF(ISNUMBER(FIND("Site", Tasks[[#This Row],[Page]])), "", "ERROR"))))</f>
        <v>Roof</v>
      </c>
      <c r="G164" t="str">
        <f>IF(Tasks[[#This Row],[Location]]=0, "", Tasks[[#This Row],[Location]])</f>
        <v>Roof West</v>
      </c>
      <c r="H164" t="str">
        <f>Tasks[[#This Row],[To Package]]</f>
        <v>Westland -- Annex</v>
      </c>
      <c r="I164" t="str">
        <f>Tasks[[#This Row],[To Organisation]]</f>
        <v>Westland Construction, Inc.</v>
      </c>
    </row>
    <row r="165" spans="1:9" x14ac:dyDescent="0.35">
      <c r="A165" s="9" t="str">
        <f>HYPERLINK(_xlfn.CONCAT(Edit_URL,Tasks[[#This Row],[Ref]]),Tasks[[#This Row],[Ref]])</f>
        <v>T74290.22</v>
      </c>
      <c r="B165" s="6" t="str" cm="1">
        <f t="array" ref="B165">_xlfn.SWITCH(LEFT(Tasks[[#This Row],[Status]],1),"O","Opened","C","Completed","S","Signed Off","ERROR")</f>
        <v>Completed</v>
      </c>
      <c r="C165" s="6" t="str" cm="1">
        <f t="array" ref="C165">_xlfn.SWITCH(LEFT(Tasks[[#This Row],[Type]], 2), "Fi", "Field Report", "Co", "Contractor QC", "Ge", "Contractor QC", "Pu", "Punch List")</f>
        <v>Contractor QC</v>
      </c>
      <c r="D165" s="6" t="str">
        <f>LEFT(Tasks[[#This Row],[Description]], 50)</f>
        <v>Patch roof for possible punctures￼</v>
      </c>
      <c r="E165" s="6" t="str" cm="1">
        <f t="array" ref="E165">_xlfn.LET(
_xlpm.inTower, COUNTIF(Tower_Num_Table[Tower Rm Numbers], LEFT(Task_Summary_Table[[#This Row],[Area/Room]], 3)) &gt; 0,
_xlpm.typeResult, _xlfn.SWITCH(LEFT(Tasks[[#This Row],[Page]], 2), "Hi", "Historic", "An", "Annex", "Si", "Site", "S5", "Project Task", "SWITCH ERROR"),
IF(_xlpm.inTower, "West Tower", _xlpm.typeResult)
)</f>
        <v>Historic</v>
      </c>
      <c r="F165" t="str">
        <f>IFERROR(MID(Tasks[[#This Row],[Page]], FIND("Level", Tasks[[#This Row],[Page]]), 7), IF(ISNUMBER(FIND("Roof", Tasks[[#This Row],[Page]])), "Roof",  IF(ISNUMBER(FIND("S590", Tasks[[#This Row],[Page]])), "",  IF(ISNUMBER(FIND("Site", Tasks[[#This Row],[Page]])), "", "ERROR"))))</f>
        <v>Roof</v>
      </c>
      <c r="G165" t="str">
        <f>IF(Tasks[[#This Row],[Location]]=0, "", Tasks[[#This Row],[Location]])</f>
        <v>Main Roof Area</v>
      </c>
      <c r="H165" t="str">
        <f>Tasks[[#This Row],[To Package]]</f>
        <v>Roofing</v>
      </c>
      <c r="I165" t="str">
        <f>Tasks[[#This Row],[To Organisation]]</f>
        <v>Broken Arrow Construction Corporation</v>
      </c>
    </row>
    <row r="166" spans="1:9" x14ac:dyDescent="0.35">
      <c r="A166" s="9" t="str">
        <f>HYPERLINK(_xlfn.CONCAT(Edit_URL,Tasks[[#This Row],[Ref]]),Tasks[[#This Row],[Ref]])</f>
        <v>T74290.21</v>
      </c>
      <c r="B166" s="6" t="str" cm="1">
        <f t="array" ref="B166">_xlfn.SWITCH(LEFT(Tasks[[#This Row],[Status]],1),"O","Opened","C","Completed","S","Signed Off","ERROR")</f>
        <v>Opened</v>
      </c>
      <c r="C166" s="6" t="str" cm="1">
        <f t="array" ref="C166">_xlfn.SWITCH(LEFT(Tasks[[#This Row],[Type]], 2), "Fi", "Field Report", "Co", "Contractor QC", "Ge", "Contractor QC", "Pu", "Punch List")</f>
        <v>Contractor QC</v>
      </c>
      <c r="D166" s="6" t="str">
        <f>LEFT(Tasks[[#This Row],[Description]], 50)</f>
        <v xml:space="preserve">Repair cuts in roofing membrane on first level of </v>
      </c>
      <c r="E166" s="6" t="str" cm="1">
        <f t="array" ref="E166">_xlfn.LET(
_xlpm.inTower, COUNTIF(Tower_Num_Table[Tower Rm Numbers], LEFT(Task_Summary_Table[[#This Row],[Area/Room]], 3)) &gt; 0,
_xlpm.typeResult, _xlfn.SWITCH(LEFT(Tasks[[#This Row],[Page]], 2), "Hi", "Historic", "An", "Annex", "Si", "Site", "S5", "Project Task", "SWITCH ERROR"),
IF(_xlpm.inTower, "West Tower", _xlpm.typeResult)
)</f>
        <v>Historic</v>
      </c>
      <c r="F166" t="str">
        <f>IFERROR(MID(Tasks[[#This Row],[Page]], FIND("Level", Tasks[[#This Row],[Page]]), 7), IF(ISNUMBER(FIND("Roof", Tasks[[#This Row],[Page]])), "Roof",  IF(ISNUMBER(FIND("S590", Tasks[[#This Row],[Page]])), "",  IF(ISNUMBER(FIND("Site", Tasks[[#This Row],[Page]])), "", "ERROR"))))</f>
        <v>Roof</v>
      </c>
      <c r="G166" t="str">
        <f>IF(Tasks[[#This Row],[Location]]=0, "", Tasks[[#This Row],[Location]])</f>
        <v>Spire Roof Area</v>
      </c>
      <c r="H166" t="str">
        <f>Tasks[[#This Row],[To Package]]</f>
        <v>Roofing</v>
      </c>
      <c r="I166" t="str">
        <f>Tasks[[#This Row],[To Organisation]]</f>
        <v>Broken Arrow Construction Corporation</v>
      </c>
    </row>
    <row r="167" spans="1:9" x14ac:dyDescent="0.35">
      <c r="A167" s="9" t="str">
        <f>HYPERLINK(_xlfn.CONCAT(Edit_URL,Tasks[[#This Row],[Ref]]),Tasks[[#This Row],[Ref]])</f>
        <v>T74290.20</v>
      </c>
      <c r="B167" s="6" t="str" cm="1">
        <f t="array" ref="B167">_xlfn.SWITCH(LEFT(Tasks[[#This Row],[Status]],1),"O","Opened","C","Completed","S","Signed Off","ERROR")</f>
        <v>Signed Off</v>
      </c>
      <c r="C167" s="6" t="str" cm="1">
        <f t="array" ref="C167">_xlfn.SWITCH(LEFT(Tasks[[#This Row],[Type]], 2), "Fi", "Field Report", "Co", "Contractor QC", "Ge", "Contractor QC", "Pu", "Punch List")</f>
        <v>Contractor QC</v>
      </c>
      <c r="D167" s="6" t="str">
        <f>LEFT(Tasks[[#This Row],[Description]], 50)</f>
        <v>Move rebar and reform window opening￼</v>
      </c>
      <c r="E167" s="6" t="str" cm="1">
        <f t="array" ref="E167">_xlfn.LET(
_xlpm.inTower, COUNTIF(Tower_Num_Table[Tower Rm Numbers], LEFT(Task_Summary_Table[[#This Row],[Area/Room]], 3)) &gt; 0,
_xlpm.typeResult, _xlfn.SWITCH(LEFT(Tasks[[#This Row],[Page]], 2), "Hi", "Historic", "An", "Annex", "Si", "Site", "S5", "Project Task", "SWITCH ERROR"),
IF(_xlpm.inTower, "West Tower", _xlpm.typeResult)
)</f>
        <v>Historic</v>
      </c>
      <c r="F167" t="str">
        <f>IFERROR(MID(Tasks[[#This Row],[Page]], FIND("Level", Tasks[[#This Row],[Page]]), 7), IF(ISNUMBER(FIND("Roof", Tasks[[#This Row],[Page]])), "Roof",  IF(ISNUMBER(FIND("S590", Tasks[[#This Row],[Page]])), "",  IF(ISNUMBER(FIND("Site", Tasks[[#This Row],[Page]])), "", "ERROR"))))</f>
        <v>Level 1</v>
      </c>
      <c r="G167" t="str">
        <f>IF(Tasks[[#This Row],[Location]]=0, "", Tasks[[#This Row],[Location]])</f>
        <v/>
      </c>
      <c r="H167" t="str">
        <f>Tasks[[#This Row],[To Package]]</f>
        <v>Concrete</v>
      </c>
      <c r="I167" t="str">
        <f>Tasks[[#This Row],[To Organisation]]</f>
        <v>Innovative Concrete, LLC</v>
      </c>
    </row>
    <row r="168" spans="1:9" x14ac:dyDescent="0.35">
      <c r="A168" s="9" t="str">
        <f>HYPERLINK(_xlfn.CONCAT(Edit_URL,Tasks[[#This Row],[Ref]]),Tasks[[#This Row],[Ref]])</f>
        <v>T74290.19</v>
      </c>
      <c r="B168" s="6" t="str" cm="1">
        <f t="array" ref="B168">_xlfn.SWITCH(LEFT(Tasks[[#This Row],[Status]],1),"O","Opened","C","Completed","S","Signed Off","ERROR")</f>
        <v>Signed Off</v>
      </c>
      <c r="C168" s="6" t="str" cm="1">
        <f t="array" ref="C168">_xlfn.SWITCH(LEFT(Tasks[[#This Row],[Type]], 2), "Fi", "Field Report", "Co", "Contractor QC", "Ge", "Contractor QC", "Pu", "Punch List")</f>
        <v>Contractor QC</v>
      </c>
      <c r="D168" s="6" t="str">
        <f>LEFT(Tasks[[#This Row],[Description]], 50)</f>
        <v>How is the being finished?￼</v>
      </c>
      <c r="E168" s="6" t="str" cm="1">
        <f t="array" ref="E168">_xlfn.LET(
_xlpm.inTower, COUNTIF(Tower_Num_Table[Tower Rm Numbers], LEFT(Task_Summary_Table[[#This Row],[Area/Room]], 3)) &gt; 0,
_xlpm.typeResult, _xlfn.SWITCH(LEFT(Tasks[[#This Row],[Page]], 2), "Hi", "Historic", "An", "Annex", "Si", "Site", "S5", "Project Task", "SWITCH ERROR"),
IF(_xlpm.inTower, "West Tower", _xlpm.typeResult)
)</f>
        <v>Annex</v>
      </c>
      <c r="F168" t="str">
        <f>IFERROR(MID(Tasks[[#This Row],[Page]], FIND("Level", Tasks[[#This Row],[Page]]), 7), IF(ISNUMBER(FIND("Roof", Tasks[[#This Row],[Page]])), "Roof",  IF(ISNUMBER(FIND("S590", Tasks[[#This Row],[Page]])), "",  IF(ISNUMBER(FIND("Site", Tasks[[#This Row],[Page]])), "", "ERROR"))))</f>
        <v>Level 1</v>
      </c>
      <c r="G168" t="str">
        <f>IF(Tasks[[#This Row],[Location]]=0, "", Tasks[[#This Row],[Location]])</f>
        <v>105 - Waiting</v>
      </c>
      <c r="H168" t="str">
        <f>Tasks[[#This Row],[To Package]]</f>
        <v xml:space="preserve">Finish Carpentry </v>
      </c>
      <c r="I168" t="str">
        <f>Tasks[[#This Row],[To Organisation]]</f>
        <v>Fetzers' Inc.</v>
      </c>
    </row>
    <row r="169" spans="1:9" x14ac:dyDescent="0.35">
      <c r="A169" s="9" t="str">
        <f>HYPERLINK(_xlfn.CONCAT(Edit_URL,Tasks[[#This Row],[Ref]]),Tasks[[#This Row],[Ref]])</f>
        <v>T74290.18</v>
      </c>
      <c r="B169" s="6" t="str" cm="1">
        <f t="array" ref="B169">_xlfn.SWITCH(LEFT(Tasks[[#This Row],[Status]],1),"O","Opened","C","Completed","S","Signed Off","ERROR")</f>
        <v>Signed Off</v>
      </c>
      <c r="C169" s="6" t="str" cm="1">
        <f t="array" ref="C169">_xlfn.SWITCH(LEFT(Tasks[[#This Row],[Type]], 2), "Fi", "Field Report", "Co", "Contractor QC", "Ge", "Contractor QC", "Pu", "Punch List")</f>
        <v>Contractor QC</v>
      </c>
      <c r="D169" s="6" t="str">
        <f>LEFT(Tasks[[#This Row],[Description]], 50)</f>
        <v>Replace cut out sheet rock around can light</v>
      </c>
      <c r="E169" s="6" t="str" cm="1">
        <f t="array" ref="E169">_xlfn.LET(
_xlpm.inTower, COUNTIF(Tower_Num_Table[Tower Rm Numbers], LEFT(Task_Summary_Table[[#This Row],[Area/Room]], 3)) &gt; 0,
_xlpm.typeResult, _xlfn.SWITCH(LEFT(Tasks[[#This Row],[Page]], 2), "Hi", "Historic", "An", "Annex", "Si", "Site", "S5", "Project Task", "SWITCH ERROR"),
IF(_xlpm.inTower, "West Tower", _xlpm.typeResult)
)</f>
        <v>Historic</v>
      </c>
      <c r="F169" t="str">
        <f>IFERROR(MID(Tasks[[#This Row],[Page]], FIND("Level", Tasks[[#This Row],[Page]]), 7), IF(ISNUMBER(FIND("Roof", Tasks[[#This Row],[Page]])), "Roof",  IF(ISNUMBER(FIND("S590", Tasks[[#This Row],[Page]])), "",  IF(ISNUMBER(FIND("Site", Tasks[[#This Row],[Page]])), "", "ERROR"))))</f>
        <v>Level 0</v>
      </c>
      <c r="G169" t="str">
        <f>IF(Tasks[[#This Row],[Location]]=0, "", Tasks[[#This Row],[Location]])</f>
        <v>061 - Anteroom</v>
      </c>
      <c r="H169" t="str">
        <f>Tasks[[#This Row],[To Package]]</f>
        <v>Metal Stud / Drywall</v>
      </c>
      <c r="I169" t="str">
        <f>Tasks[[#This Row],[To Organisation]]</f>
        <v>Pete King Construction</v>
      </c>
    </row>
    <row r="170" spans="1:9" x14ac:dyDescent="0.35">
      <c r="A170" s="9" t="str">
        <f>HYPERLINK(_xlfn.CONCAT(Edit_URL,Tasks[[#This Row],[Ref]]),Tasks[[#This Row],[Ref]])</f>
        <v>T74290.17</v>
      </c>
      <c r="B170" s="6" t="str" cm="1">
        <f t="array" ref="B170">_xlfn.SWITCH(LEFT(Tasks[[#This Row],[Status]],1),"O","Opened","C","Completed","S","Signed Off","ERROR")</f>
        <v>Opened</v>
      </c>
      <c r="C170" s="6" t="str" cm="1">
        <f t="array" ref="C170">_xlfn.SWITCH(LEFT(Tasks[[#This Row],[Type]], 2), "Fi", "Field Report", "Co", "Contractor QC", "Ge", "Contractor QC", "Pu", "Punch List")</f>
        <v>Contractor QC</v>
      </c>
      <c r="D170" s="6" t="str">
        <f>LEFT(Tasks[[#This Row],[Description]], 50)</f>
        <v>Chipped countertop￼</v>
      </c>
      <c r="E170" s="6" t="str" cm="1">
        <f t="array" ref="E170">_xlfn.LET(
_xlpm.inTower, COUNTIF(Tower_Num_Table[Tower Rm Numbers], LEFT(Task_Summary_Table[[#This Row],[Area/Room]], 3)) &gt; 0,
_xlpm.typeResult, _xlfn.SWITCH(LEFT(Tasks[[#This Row],[Page]], 2), "Hi", "Historic", "An", "Annex", "Si", "Site", "S5", "Project Task", "SWITCH ERROR"),
IF(_xlpm.inTower, "West Tower", _xlpm.typeResult)
)</f>
        <v>Annex</v>
      </c>
      <c r="F170" t="str">
        <f>IFERROR(MID(Tasks[[#This Row],[Page]], FIND("Level", Tasks[[#This Row],[Page]]), 7), IF(ISNUMBER(FIND("Roof", Tasks[[#This Row],[Page]])), "Roof",  IF(ISNUMBER(FIND("S590", Tasks[[#This Row],[Page]])), "",  IF(ISNUMBER(FIND("Site", Tasks[[#This Row],[Page]])), "", "ERROR"))))</f>
        <v>Level 0</v>
      </c>
      <c r="G170" t="str">
        <f>IF(Tasks[[#This Row],[Location]]=0, "", Tasks[[#This Row],[Location]])</f>
        <v>011 - GRAB-N-GO</v>
      </c>
      <c r="H170" t="str">
        <f>Tasks[[#This Row],[To Package]]</f>
        <v>Westland -- Annex</v>
      </c>
      <c r="I170" t="str">
        <f>Tasks[[#This Row],[To Organisation]]</f>
        <v>Westland Construction, Inc.</v>
      </c>
    </row>
    <row r="171" spans="1:9" x14ac:dyDescent="0.35">
      <c r="A171" s="9" t="str">
        <f>HYPERLINK(_xlfn.CONCAT(Edit_URL,Tasks[[#This Row],[Ref]]),Tasks[[#This Row],[Ref]])</f>
        <v>T74290.16</v>
      </c>
      <c r="B171" s="6" t="str" cm="1">
        <f t="array" ref="B171">_xlfn.SWITCH(LEFT(Tasks[[#This Row],[Status]],1),"O","Opened","C","Completed","S","Signed Off","ERROR")</f>
        <v>Signed Off</v>
      </c>
      <c r="C171" s="6" t="str" cm="1">
        <f t="array" ref="C171">_xlfn.SWITCH(LEFT(Tasks[[#This Row],[Type]], 2), "Fi", "Field Report", "Co", "Contractor QC", "Ge", "Contractor QC", "Pu", "Punch List")</f>
        <v>Contractor QC</v>
      </c>
      <c r="D171" s="6" t="str">
        <f>LEFT(Tasks[[#This Row],[Description]], 50)</f>
        <v>Fire suppression main hangs lower than the ceiling</v>
      </c>
      <c r="E171" s="6" t="str" cm="1">
        <f t="array" ref="E1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71" t="str">
        <f>IFERROR(MID(Tasks[[#This Row],[Page]], FIND("Level", Tasks[[#This Row],[Page]]), 7), IF(ISNUMBER(FIND("Roof", Tasks[[#This Row],[Page]])), "Roof",  IF(ISNUMBER(FIND("S590", Tasks[[#This Row],[Page]])), "",  IF(ISNUMBER(FIND("Site", Tasks[[#This Row],[Page]])), "", "ERROR"))))</f>
        <v>Level 1</v>
      </c>
      <c r="G171" t="str">
        <f>IF(Tasks[[#This Row],[Location]]=0, "", Tasks[[#This Row],[Location]])</f>
        <v>184 - Stair Lobby</v>
      </c>
      <c r="H171" t="str">
        <f>Tasks[[#This Row],[To Package]]</f>
        <v>Fire Suppression</v>
      </c>
      <c r="I171" t="str">
        <f>Tasks[[#This Row],[To Organisation]]</f>
        <v>Broken Arrow Construction Corporation</v>
      </c>
    </row>
    <row r="172" spans="1:9" x14ac:dyDescent="0.35">
      <c r="A172" s="9" t="str">
        <f>HYPERLINK(_xlfn.CONCAT(Edit_URL,Tasks[[#This Row],[Ref]]),Tasks[[#This Row],[Ref]])</f>
        <v>T74290.15</v>
      </c>
      <c r="B172" s="6" t="str" cm="1">
        <f t="array" ref="B172">_xlfn.SWITCH(LEFT(Tasks[[#This Row],[Status]],1),"O","Opened","C","Completed","S","Signed Off","ERROR")</f>
        <v>Opened</v>
      </c>
      <c r="C172" s="6" t="str" cm="1">
        <f t="array" ref="C172">_xlfn.SWITCH(LEFT(Tasks[[#This Row],[Type]], 2), "Fi", "Field Report", "Co", "Contractor QC", "Ge", "Contractor QC", "Pu", "Punch List")</f>
        <v>Contractor QC</v>
      </c>
      <c r="D172" s="6" t="str">
        <f>LEFT(Tasks[[#This Row],[Description]], 50)</f>
        <v>Spire needs final coat of paint</v>
      </c>
      <c r="E172" s="6" t="str" cm="1">
        <f t="array" ref="E172">_xlfn.LET(
_xlpm.inTower, COUNTIF(Tower_Num_Table[Tower Rm Numbers], LEFT(Task_Summary_Table[[#This Row],[Area/Room]], 3)) &gt; 0,
_xlpm.typeResult, _xlfn.SWITCH(LEFT(Tasks[[#This Row],[Page]], 2), "Hi", "Historic", "An", "Annex", "Si", "Site", "S5", "Project Task", "SWITCH ERROR"),
IF(_xlpm.inTower, "West Tower", _xlpm.typeResult)
)</f>
        <v>Historic</v>
      </c>
      <c r="F172" t="str">
        <f>IFERROR(MID(Tasks[[#This Row],[Page]], FIND("Level", Tasks[[#This Row],[Page]]), 7), IF(ISNUMBER(FIND("Roof", Tasks[[#This Row],[Page]])), "Roof",  IF(ISNUMBER(FIND("S590", Tasks[[#This Row],[Page]])), "",  IF(ISNUMBER(FIND("Site", Tasks[[#This Row],[Page]])), "", "ERROR"))))</f>
        <v>Roof</v>
      </c>
      <c r="G172" t="str">
        <f>IF(Tasks[[#This Row],[Location]]=0, "", Tasks[[#This Row],[Location]])</f>
        <v>Spire Roof Area</v>
      </c>
      <c r="H172" t="str">
        <f>Tasks[[#This Row],[To Package]]</f>
        <v>Paint</v>
      </c>
      <c r="I172" t="str">
        <f>Tasks[[#This Row],[To Organisation]]</f>
        <v>Accent Painting and Special Coatings, LLC</v>
      </c>
    </row>
    <row r="173" spans="1:9" x14ac:dyDescent="0.35">
      <c r="A173" s="9" t="str">
        <f>HYPERLINK(_xlfn.CONCAT(Edit_URL,Tasks[[#This Row],[Ref]]),Tasks[[#This Row],[Ref]])</f>
        <v>T74290.14</v>
      </c>
      <c r="B173" s="6" t="str" cm="1">
        <f t="array" ref="B173">_xlfn.SWITCH(LEFT(Tasks[[#This Row],[Status]],1),"O","Opened","C","Completed","S","Signed Off","ERROR")</f>
        <v>Opened</v>
      </c>
      <c r="C173" s="6" t="str" cm="1">
        <f t="array" ref="C173">_xlfn.SWITCH(LEFT(Tasks[[#This Row],[Type]], 2), "Fi", "Field Report", "Co", "Contractor QC", "Ge", "Contractor QC", "Pu", "Punch List")</f>
        <v>Contractor QC</v>
      </c>
      <c r="D173" s="6" t="str">
        <f>LEFT(Tasks[[#This Row],[Description]], 50)</f>
        <v>Hole for can light cut too big for finish trim</v>
      </c>
      <c r="E173" s="6" t="str" cm="1">
        <f t="array" ref="E173">_xlfn.LET(
_xlpm.inTower, COUNTIF(Tower_Num_Table[Tower Rm Numbers], LEFT(Task_Summary_Table[[#This Row],[Area/Room]], 3)) &gt; 0,
_xlpm.typeResult, _xlfn.SWITCH(LEFT(Tasks[[#This Row],[Page]], 2), "Hi", "Historic", "An", "Annex", "Si", "Site", "S5", "Project Task", "SWITCH ERROR"),
IF(_xlpm.inTower, "West Tower", _xlpm.typeResult)
)</f>
        <v>Annex</v>
      </c>
      <c r="F173" t="str">
        <f>IFERROR(MID(Tasks[[#This Row],[Page]], FIND("Level", Tasks[[#This Row],[Page]]), 7), IF(ISNUMBER(FIND("Roof", Tasks[[#This Row],[Page]])), "Roof",  IF(ISNUMBER(FIND("S590", Tasks[[#This Row],[Page]])), "",  IF(ISNUMBER(FIND("Site", Tasks[[#This Row],[Page]])), "", "ERROR"))))</f>
        <v>Level 1</v>
      </c>
      <c r="G173" t="str">
        <f>IF(Tasks[[#This Row],[Location]]=0, "", Tasks[[#This Row],[Location]])</f>
        <v>135 - Workers Dressing - Men</v>
      </c>
      <c r="H173" t="str">
        <f>Tasks[[#This Row],[To Package]]</f>
        <v>Metal Stud / Drywall</v>
      </c>
      <c r="I173" t="str">
        <f>Tasks[[#This Row],[To Organisation]]</f>
        <v>Pete King Construction</v>
      </c>
    </row>
    <row r="174" spans="1:9" x14ac:dyDescent="0.35">
      <c r="A174" s="9" t="str">
        <f>HYPERLINK(_xlfn.CONCAT(Edit_URL,Tasks[[#This Row],[Ref]]),Tasks[[#This Row],[Ref]])</f>
        <v>T74290.13</v>
      </c>
      <c r="B174" s="6" t="str" cm="1">
        <f t="array" ref="B174">_xlfn.SWITCH(LEFT(Tasks[[#This Row],[Status]],1),"O","Opened","C","Completed","S","Signed Off","ERROR")</f>
        <v>Completed</v>
      </c>
      <c r="C174" s="6" t="str" cm="1">
        <f t="array" ref="C174">_xlfn.SWITCH(LEFT(Tasks[[#This Row],[Type]], 2), "Fi", "Field Report", "Co", "Contractor QC", "Ge", "Contractor QC", "Pu", "Punch List")</f>
        <v>Contractor QC</v>
      </c>
      <c r="D174" s="6" t="str">
        <f>LEFT(Tasks[[#This Row],[Description]], 50)</f>
        <v>Does the top of this pony wall need to be finished</v>
      </c>
      <c r="E174" s="6" t="str" cm="1">
        <f t="array" ref="E174">_xlfn.LET(
_xlpm.inTower, COUNTIF(Tower_Num_Table[Tower Rm Numbers], LEFT(Task_Summary_Table[[#This Row],[Area/Room]], 3)) &gt; 0,
_xlpm.typeResult, _xlfn.SWITCH(LEFT(Tasks[[#This Row],[Page]], 2), "Hi", "Historic", "An", "Annex", "Si", "Site", "S5", "Project Task", "SWITCH ERROR"),
IF(_xlpm.inTower, "West Tower", _xlpm.typeResult)
)</f>
        <v>Historic</v>
      </c>
      <c r="F174" t="str">
        <f>IFERROR(MID(Tasks[[#This Row],[Page]], FIND("Level", Tasks[[#This Row],[Page]]), 7), IF(ISNUMBER(FIND("Roof", Tasks[[#This Row],[Page]])), "Roof",  IF(ISNUMBER(FIND("S590", Tasks[[#This Row],[Page]])), "",  IF(ISNUMBER(FIND("Site", Tasks[[#This Row],[Page]])), "", "ERROR"))))</f>
        <v>Level 3</v>
      </c>
      <c r="G174" t="str">
        <f>IF(Tasks[[#This Row],[Location]]=0, "", Tasks[[#This Row],[Location]])</f>
        <v/>
      </c>
      <c r="H174" t="str">
        <f>Tasks[[#This Row],[To Package]]</f>
        <v>Westland -- Historic</v>
      </c>
      <c r="I174" t="str">
        <f>Tasks[[#This Row],[To Organisation]]</f>
        <v>Westland Construction, Inc.</v>
      </c>
    </row>
    <row r="175" spans="1:9" x14ac:dyDescent="0.35">
      <c r="A175" s="9" t="str">
        <f>HYPERLINK(_xlfn.CONCAT(Edit_URL,Tasks[[#This Row],[Ref]]),Tasks[[#This Row],[Ref]])</f>
        <v>T74290.12</v>
      </c>
      <c r="B175" s="6" t="str" cm="1">
        <f t="array" ref="B175">_xlfn.SWITCH(LEFT(Tasks[[#This Row],[Status]],1),"O","Opened","C","Completed","S","Signed Off","ERROR")</f>
        <v>Signed Off</v>
      </c>
      <c r="C175" s="6" t="str" cm="1">
        <f t="array" ref="C175">_xlfn.SWITCH(LEFT(Tasks[[#This Row],[Type]], 2), "Fi", "Field Report", "Co", "Contractor QC", "Ge", "Contractor QC", "Pu", "Punch List")</f>
        <v>Contractor QC</v>
      </c>
      <c r="D175" s="6" t="str">
        <f>LEFT(Tasks[[#This Row],[Description]], 50)</f>
        <v>How will this sill be finished?</v>
      </c>
      <c r="E175" s="6" t="str" cm="1">
        <f t="array" ref="E175">_xlfn.LET(
_xlpm.inTower, COUNTIF(Tower_Num_Table[Tower Rm Numbers], LEFT(Task_Summary_Table[[#This Row],[Area/Room]], 3)) &gt; 0,
_xlpm.typeResult, _xlfn.SWITCH(LEFT(Tasks[[#This Row],[Page]], 2), "Hi", "Historic", "An", "Annex", "Si", "Site", "S5", "Project Task", "SWITCH ERROR"),
IF(_xlpm.inTower, "West Tower", _xlpm.typeResult)
)</f>
        <v>Annex</v>
      </c>
      <c r="F175" t="str">
        <f>IFERROR(MID(Tasks[[#This Row],[Page]], FIND("Level", Tasks[[#This Row],[Page]]), 7), IF(ISNUMBER(FIND("Roof", Tasks[[#This Row],[Page]])), "Roof",  IF(ISNUMBER(FIND("S590", Tasks[[#This Row],[Page]])), "",  IF(ISNUMBER(FIND("Site", Tasks[[#This Row],[Page]])), "", "ERROR"))))</f>
        <v>Level 1</v>
      </c>
      <c r="G175" t="str">
        <f>IF(Tasks[[#This Row],[Location]]=0, "", Tasks[[#This Row],[Location]])</f>
        <v>103 - Foyer</v>
      </c>
      <c r="H175" t="str">
        <f>Tasks[[#This Row],[To Package]]</f>
        <v>Westland -- Annex</v>
      </c>
      <c r="I175" t="str">
        <f>Tasks[[#This Row],[To Organisation]]</f>
        <v>Westland Construction, Inc.</v>
      </c>
    </row>
    <row r="176" spans="1:9" x14ac:dyDescent="0.35">
      <c r="A176" s="9" t="str">
        <f>HYPERLINK(_xlfn.CONCAT(Edit_URL,Tasks[[#This Row],[Ref]]),Tasks[[#This Row],[Ref]])</f>
        <v>T74290.11</v>
      </c>
      <c r="B176" s="6" t="str" cm="1">
        <f t="array" ref="B176">_xlfn.SWITCH(LEFT(Tasks[[#This Row],[Status]],1),"O","Opened","C","Completed","S","Signed Off","ERROR")</f>
        <v>Signed Off</v>
      </c>
      <c r="C176" s="6" t="str" cm="1">
        <f t="array" ref="C176">_xlfn.SWITCH(LEFT(Tasks[[#This Row],[Type]], 2), "Fi", "Field Report", "Co", "Contractor QC", "Ge", "Contractor QC", "Pu", "Punch List")</f>
        <v>Contractor QC</v>
      </c>
      <c r="D176" s="6" t="str">
        <f>LEFT(Tasks[[#This Row],[Description]], 50)</f>
        <v>Complete flashing under window￼</v>
      </c>
      <c r="E176" s="6" t="str" cm="1">
        <f t="array" ref="E176">_xlfn.LET(
_xlpm.inTower, COUNTIF(Tower_Num_Table[Tower Rm Numbers], LEFT(Task_Summary_Table[[#This Row],[Area/Room]], 3)) &gt; 0,
_xlpm.typeResult, _xlfn.SWITCH(LEFT(Tasks[[#This Row],[Page]], 2), "Hi", "Historic", "An", "Annex", "Si", "Site", "S5", "Project Task", "SWITCH ERROR"),
IF(_xlpm.inTower, "West Tower", _xlpm.typeResult)
)</f>
        <v>Historic</v>
      </c>
      <c r="F176" t="str">
        <f>IFERROR(MID(Tasks[[#This Row],[Page]], FIND("Level", Tasks[[#This Row],[Page]]), 7), IF(ISNUMBER(FIND("Roof", Tasks[[#This Row],[Page]])), "Roof",  IF(ISNUMBER(FIND("S590", Tasks[[#This Row],[Page]])), "",  IF(ISNUMBER(FIND("Site", Tasks[[#This Row],[Page]])), "", "ERROR"))))</f>
        <v>Level 2</v>
      </c>
      <c r="G176" t="str">
        <f>IF(Tasks[[#This Row],[Location]]=0, "", Tasks[[#This Row],[Location]])</f>
        <v>223 - Elevator Lobby</v>
      </c>
      <c r="H176" t="str">
        <f>Tasks[[#This Row],[To Package]]</f>
        <v>Westland -- Historic</v>
      </c>
      <c r="I176" t="str">
        <f>Tasks[[#This Row],[To Organisation]]</f>
        <v>Westland Construction, Inc.</v>
      </c>
    </row>
    <row r="177" spans="1:9" x14ac:dyDescent="0.35">
      <c r="A177" s="9" t="str">
        <f>HYPERLINK(_xlfn.CONCAT(Edit_URL,Tasks[[#This Row],[Ref]]),Tasks[[#This Row],[Ref]])</f>
        <v>T74290.10</v>
      </c>
      <c r="B177" s="6" t="str" cm="1">
        <f t="array" ref="B177">_xlfn.SWITCH(LEFT(Tasks[[#This Row],[Status]],1),"O","Opened","C","Completed","S","Signed Off","ERROR")</f>
        <v>Signed Off</v>
      </c>
      <c r="C177" s="6" t="str" cm="1">
        <f t="array" ref="C177">_xlfn.SWITCH(LEFT(Tasks[[#This Row],[Type]], 2), "Fi", "Field Report", "Co", "Contractor QC", "Ge", "Contractor QC", "Pu", "Punch List")</f>
        <v>Contractor QC</v>
      </c>
      <c r="D177" s="6" t="str">
        <f>LEFT(Tasks[[#This Row],[Description]], 50)</f>
        <v xml:space="preserve">Complete piping into crawlspace area. Remove core </v>
      </c>
      <c r="E177" s="6" t="str" cm="1">
        <f t="array" ref="E177">_xlfn.LET(
_xlpm.inTower, COUNTIF(Tower_Num_Table[Tower Rm Numbers], LEFT(Task_Summary_Table[[#This Row],[Area/Room]], 3)) &gt; 0,
_xlpm.typeResult, _xlfn.SWITCH(LEFT(Tasks[[#This Row],[Page]], 2), "Hi", "Historic", "An", "Annex", "Si", "Site", "S5", "Project Task", "SWITCH ERROR"),
IF(_xlpm.inTower, "West Tower", _xlpm.typeResult)
)</f>
        <v>Historic</v>
      </c>
      <c r="F177" t="str">
        <f>IFERROR(MID(Tasks[[#This Row],[Page]], FIND("Level", Tasks[[#This Row],[Page]]), 7), IF(ISNUMBER(FIND("Roof", Tasks[[#This Row],[Page]])), "Roof",  IF(ISNUMBER(FIND("S590", Tasks[[#This Row],[Page]])), "",  IF(ISNUMBER(FIND("Site", Tasks[[#This Row],[Page]])), "", "ERROR"))))</f>
        <v>Level 0</v>
      </c>
      <c r="G177" t="str">
        <f>IF(Tasks[[#This Row],[Location]]=0, "", Tasks[[#This Row],[Location]])</f>
        <v/>
      </c>
      <c r="H177" t="str">
        <f>Tasks[[#This Row],[To Package]]</f>
        <v>Fire Suppression</v>
      </c>
      <c r="I177" t="str">
        <f>Tasks[[#This Row],[To Organisation]]</f>
        <v>Broken Arrow Construction Corporation</v>
      </c>
    </row>
    <row r="178" spans="1:9" x14ac:dyDescent="0.35">
      <c r="A178" s="9" t="str">
        <f>HYPERLINK(_xlfn.CONCAT(Edit_URL,Tasks[[#This Row],[Ref]]),Tasks[[#This Row],[Ref]])</f>
        <v>T74290.9</v>
      </c>
      <c r="B178" s="6" t="str" cm="1">
        <f t="array" ref="B178">_xlfn.SWITCH(LEFT(Tasks[[#This Row],[Status]],1),"O","Opened","C","Completed","S","Signed Off","ERROR")</f>
        <v>Signed Off</v>
      </c>
      <c r="C178" s="6" t="str" cm="1">
        <f t="array" ref="C178">_xlfn.SWITCH(LEFT(Tasks[[#This Row],[Type]], 2), "Fi", "Field Report", "Co", "Contractor QC", "Ge", "Contractor QC", "Pu", "Punch List")</f>
        <v>Contractor QC</v>
      </c>
      <c r="D178" s="6" t="str">
        <f>LEFT(Tasks[[#This Row],[Description]], 50)</f>
        <v>From field report #26 item 26-23 The 24x24 light m</v>
      </c>
      <c r="E178" s="6" t="str" cm="1">
        <f t="array" ref="E178">_xlfn.LET(
_xlpm.inTower, COUNTIF(Tower_Num_Table[Tower Rm Numbers], LEFT(Task_Summary_Table[[#This Row],[Area/Room]], 3)) &gt; 0,
_xlpm.typeResult, _xlfn.SWITCH(LEFT(Tasks[[#This Row],[Page]], 2), "Hi", "Historic", "An", "Annex", "Si", "Site", "S5", "Project Task", "SWITCH ERROR"),
IF(_xlpm.inTower, "West Tower", _xlpm.typeResult)
)</f>
        <v>Annex</v>
      </c>
      <c r="F178" t="str">
        <f>IFERROR(MID(Tasks[[#This Row],[Page]], FIND("Level", Tasks[[#This Row],[Page]]), 7), IF(ISNUMBER(FIND("Roof", Tasks[[#This Row],[Page]])), "Roof",  IF(ISNUMBER(FIND("S590", Tasks[[#This Row],[Page]])), "",  IF(ISNUMBER(FIND("Site", Tasks[[#This Row],[Page]])), "", "ERROR"))))</f>
        <v>Level 1</v>
      </c>
      <c r="G178" t="str">
        <f>IF(Tasks[[#This Row],[Location]]=0, "", Tasks[[#This Row],[Location]])</f>
        <v>135 - Workers Dressing - Men</v>
      </c>
      <c r="H178" t="str">
        <f>Tasks[[#This Row],[To Package]]</f>
        <v>Westland -- Annex</v>
      </c>
      <c r="I178" t="str">
        <f>Tasks[[#This Row],[To Organisation]]</f>
        <v>Westland Construction, Inc.</v>
      </c>
    </row>
    <row r="179" spans="1:9" x14ac:dyDescent="0.35">
      <c r="A179" s="9" t="str">
        <f>HYPERLINK(_xlfn.CONCAT(Edit_URL,Tasks[[#This Row],[Ref]]),Tasks[[#This Row],[Ref]])</f>
        <v>T74290.8</v>
      </c>
      <c r="B179" s="6" t="str" cm="1">
        <f t="array" ref="B179">_xlfn.SWITCH(LEFT(Tasks[[#This Row],[Status]],1),"O","Opened","C","Completed","S","Signed Off","ERROR")</f>
        <v>Signed Off</v>
      </c>
      <c r="C179" s="6" t="str" cm="1">
        <f t="array" ref="C179">_xlfn.SWITCH(LEFT(Tasks[[#This Row],[Type]], 2), "Fi", "Field Report", "Co", "Contractor QC", "Ge", "Contractor QC", "Pu", "Punch List")</f>
        <v>Contractor QC</v>
      </c>
      <c r="D179" s="6" t="str">
        <f>LEFT(Tasks[[#This Row],[Description]], 50)</f>
        <v>Final coat on Cove and touch ups after primer coat</v>
      </c>
      <c r="E179" s="6" t="str" cm="1">
        <f t="array" ref="E179">_xlfn.LET(
_xlpm.inTower, COUNTIF(Tower_Num_Table[Tower Rm Numbers], LEFT(Task_Summary_Table[[#This Row],[Area/Room]], 3)) &gt; 0,
_xlpm.typeResult, _xlfn.SWITCH(LEFT(Tasks[[#This Row],[Page]], 2), "Hi", "Historic", "An", "Annex", "Si", "Site", "S5", "Project Task", "SWITCH ERROR"),
IF(_xlpm.inTower, "West Tower", _xlpm.typeResult)
)</f>
        <v>Annex</v>
      </c>
      <c r="F179" t="str">
        <f>IFERROR(MID(Tasks[[#This Row],[Page]], FIND("Level", Tasks[[#This Row],[Page]]), 7), IF(ISNUMBER(FIND("Roof", Tasks[[#This Row],[Page]])), "Roof",  IF(ISNUMBER(FIND("S590", Tasks[[#This Row],[Page]])), "",  IF(ISNUMBER(FIND("Site", Tasks[[#This Row],[Page]])), "", "ERROR"))))</f>
        <v>Level 1</v>
      </c>
      <c r="G179" t="str">
        <f>IF(Tasks[[#This Row],[Location]]=0, "", Tasks[[#This Row],[Location]])</f>
        <v>105 - Waiting</v>
      </c>
      <c r="H179" t="str">
        <f>Tasks[[#This Row],[To Package]]</f>
        <v>Westland -- Annex</v>
      </c>
      <c r="I179" t="str">
        <f>Tasks[[#This Row],[To Organisation]]</f>
        <v>Westland Construction, Inc.</v>
      </c>
    </row>
    <row r="180" spans="1:9" x14ac:dyDescent="0.35">
      <c r="A180" s="9" t="str">
        <f>HYPERLINK(_xlfn.CONCAT(Edit_URL,Tasks[[#This Row],[Ref]]),Tasks[[#This Row],[Ref]])</f>
        <v>T74290.7</v>
      </c>
      <c r="B180" s="6" t="str" cm="1">
        <f t="array" ref="B180">_xlfn.SWITCH(LEFT(Tasks[[#This Row],[Status]],1),"O","Opened","C","Completed","S","Signed Off","ERROR")</f>
        <v>Signed Off</v>
      </c>
      <c r="C180" s="6" t="str" cm="1">
        <f t="array" ref="C180">_xlfn.SWITCH(LEFT(Tasks[[#This Row],[Type]], 2), "Fi", "Field Report", "Co", "Contractor QC", "Ge", "Contractor QC", "Pu", "Punch List")</f>
        <v>Contractor QC</v>
      </c>
      <c r="D180" s="6" t="str">
        <f>LEFT(Tasks[[#This Row],[Description]], 50)</f>
        <v xml:space="preserve">Re/Re floor tile under toilet to allow the toilet </v>
      </c>
      <c r="E180" s="6" t="str" cm="1">
        <f t="array" ref="E180">_xlfn.LET(
_xlpm.inTower, COUNTIF(Tower_Num_Table[Tower Rm Numbers], LEFT(Task_Summary_Table[[#This Row],[Area/Room]], 3)) &gt; 0,
_xlpm.typeResult, _xlfn.SWITCH(LEFT(Tasks[[#This Row],[Page]], 2), "Hi", "Historic", "An", "Annex", "Si", "Site", "S5", "Project Task", "SWITCH ERROR"),
IF(_xlpm.inTower, "West Tower", _xlpm.typeResult)
)</f>
        <v>Annex</v>
      </c>
      <c r="F180" t="str">
        <f>IFERROR(MID(Tasks[[#This Row],[Page]], FIND("Level", Tasks[[#This Row],[Page]]), 7), IF(ISNUMBER(FIND("Roof", Tasks[[#This Row],[Page]])), "Roof",  IF(ISNUMBER(FIND("S590", Tasks[[#This Row],[Page]])), "",  IF(ISNUMBER(FIND("Site", Tasks[[#This Row],[Page]])), "", "ERROR"))))</f>
        <v>Level 1</v>
      </c>
      <c r="G180" t="str">
        <f>IF(Tasks[[#This Row],[Location]]=0, "", Tasks[[#This Row],[Location]])</f>
        <v>125 - Receiving Restroom</v>
      </c>
      <c r="H180" t="str">
        <f>Tasks[[#This Row],[To Package]]</f>
        <v>Westland -- Annex</v>
      </c>
      <c r="I180" t="str">
        <f>Tasks[[#This Row],[To Organisation]]</f>
        <v>Westland Construction, Inc.</v>
      </c>
    </row>
    <row r="181" spans="1:9" x14ac:dyDescent="0.35">
      <c r="A181" s="9" t="str">
        <f>HYPERLINK(_xlfn.CONCAT(Edit_URL,Tasks[[#This Row],[Ref]]),Tasks[[#This Row],[Ref]])</f>
        <v>T74290.6</v>
      </c>
      <c r="B181" s="6" t="str" cm="1">
        <f t="array" ref="B181">_xlfn.SWITCH(LEFT(Tasks[[#This Row],[Status]],1),"O","Opened","C","Completed","S","Signed Off","ERROR")</f>
        <v>Signed Off</v>
      </c>
      <c r="C181" s="6" t="str" cm="1">
        <f t="array" ref="C181">_xlfn.SWITCH(LEFT(Tasks[[#This Row],[Type]], 2), "Fi", "Field Report", "Co", "Contractor QC", "Ge", "Contractor QC", "Pu", "Punch List")</f>
        <v>Contractor QC</v>
      </c>
      <c r="D181" s="6" t="str">
        <f>LEFT(Tasks[[#This Row],[Description]], 50)</f>
        <v xml:space="preserve">Verify needed access opening to allow for ceiling </v>
      </c>
      <c r="E181" s="6" t="str" cm="1">
        <f t="array" ref="E1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1" t="str">
        <f>IFERROR(MID(Tasks[[#This Row],[Page]], FIND("Level", Tasks[[#This Row],[Page]]), 7), IF(ISNUMBER(FIND("Roof", Tasks[[#This Row],[Page]])), "Roof",  IF(ISNUMBER(FIND("S590", Tasks[[#This Row],[Page]])), "",  IF(ISNUMBER(FIND("Site", Tasks[[#This Row],[Page]])), "", "ERROR"))))</f>
        <v>Level 0</v>
      </c>
      <c r="G181" t="str">
        <f>IF(Tasks[[#This Row],[Location]]=0, "", Tasks[[#This Row],[Location]])</f>
        <v>052 - Stair Lobby</v>
      </c>
      <c r="H181" t="str">
        <f>Tasks[[#This Row],[To Package]]</f>
        <v>HVAC</v>
      </c>
      <c r="I181" t="str">
        <f>Tasks[[#This Row],[To Organisation]]</f>
        <v>US Mechanical</v>
      </c>
    </row>
    <row r="182" spans="1:9" x14ac:dyDescent="0.35">
      <c r="A182" s="9" t="str">
        <f>HYPERLINK(_xlfn.CONCAT(Edit_URL,Tasks[[#This Row],[Ref]]),Tasks[[#This Row],[Ref]])</f>
        <v>T74290.5</v>
      </c>
      <c r="B182" s="6" t="str" cm="1">
        <f t="array" ref="B182">_xlfn.SWITCH(LEFT(Tasks[[#This Row],[Status]],1),"O","Opened","C","Completed","S","Signed Off","ERROR")</f>
        <v>Signed Off</v>
      </c>
      <c r="C182" s="6" t="str" cm="1">
        <f t="array" ref="C182">_xlfn.SWITCH(LEFT(Tasks[[#This Row],[Type]], 2), "Fi", "Field Report", "Co", "Contractor QC", "Ge", "Contractor QC", "Pu", "Punch List")</f>
        <v>Contractor QC</v>
      </c>
      <c r="D182" s="6" t="str">
        <f>LEFT(Tasks[[#This Row],[Description]], 50)</f>
        <v>Ensure alignment of can lights￼</v>
      </c>
      <c r="E182" s="6" t="str" cm="1">
        <f t="array" ref="E182">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2" t="str">
        <f>IFERROR(MID(Tasks[[#This Row],[Page]], FIND("Level", Tasks[[#This Row],[Page]]), 7), IF(ISNUMBER(FIND("Roof", Tasks[[#This Row],[Page]])), "Roof",  IF(ISNUMBER(FIND("S590", Tasks[[#This Row],[Page]])), "",  IF(ISNUMBER(FIND("Site", Tasks[[#This Row],[Page]])), "", "ERROR"))))</f>
        <v>Level 0</v>
      </c>
      <c r="G182" t="str">
        <f>IF(Tasks[[#This Row],[Location]]=0, "", Tasks[[#This Row],[Location]])</f>
        <v>052 - Stair Lobby</v>
      </c>
      <c r="H182" t="str">
        <f>Tasks[[#This Row],[To Package]]</f>
        <v>Electrical</v>
      </c>
      <c r="I182" t="str">
        <f>Tasks[[#This Row],[To Organisation]]</f>
        <v>Wilkinson Electric Inc</v>
      </c>
    </row>
    <row r="183" spans="1:9" x14ac:dyDescent="0.35">
      <c r="A183" s="9" t="str">
        <f>HYPERLINK(_xlfn.CONCAT(Edit_URL,Tasks[[#This Row],[Ref]]),Tasks[[#This Row],[Ref]])</f>
        <v>T74290.4</v>
      </c>
      <c r="B183" s="6" t="str" cm="1">
        <f t="array" ref="B183">_xlfn.SWITCH(LEFT(Tasks[[#This Row],[Status]],1),"O","Opened","C","Completed","S","Signed Off","ERROR")</f>
        <v>Signed Off</v>
      </c>
      <c r="C183" s="6" t="str" cm="1">
        <f t="array" ref="C183">_xlfn.SWITCH(LEFT(Tasks[[#This Row],[Type]], 2), "Fi", "Field Report", "Co", "Contractor QC", "Ge", "Contractor QC", "Pu", "Punch List")</f>
        <v>Contractor QC</v>
      </c>
      <c r="D183" s="6" t="str">
        <f>LEFT(Tasks[[#This Row],[Description]], 50)</f>
        <v>Install bracket and fire sprinkler head￼</v>
      </c>
      <c r="E183" s="6" t="str" cm="1">
        <f t="array" ref="E183">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3" t="str">
        <f>IFERROR(MID(Tasks[[#This Row],[Page]], FIND("Level", Tasks[[#This Row],[Page]]), 7), IF(ISNUMBER(FIND("Roof", Tasks[[#This Row],[Page]])), "Roof",  IF(ISNUMBER(FIND("S590", Tasks[[#This Row],[Page]])), "",  IF(ISNUMBER(FIND("Site", Tasks[[#This Row],[Page]])), "", "ERROR"))))</f>
        <v>Level 0</v>
      </c>
      <c r="G183" t="str">
        <f>IF(Tasks[[#This Row],[Location]]=0, "", Tasks[[#This Row],[Location]])</f>
        <v>052 - Stair Lobby</v>
      </c>
      <c r="H183" t="str">
        <f>Tasks[[#This Row],[To Package]]</f>
        <v>Fire Suppression</v>
      </c>
      <c r="I183" t="str">
        <f>Tasks[[#This Row],[To Organisation]]</f>
        <v>Broken Arrow Construction Corporation</v>
      </c>
    </row>
    <row r="184" spans="1:9" x14ac:dyDescent="0.35">
      <c r="A184" s="9" t="str">
        <f>HYPERLINK(_xlfn.CONCAT(Edit_URL,Tasks[[#This Row],[Ref]]),Tasks[[#This Row],[Ref]])</f>
        <v>T74290.3</v>
      </c>
      <c r="B184" s="6" t="str" cm="1">
        <f t="array" ref="B184">_xlfn.SWITCH(LEFT(Tasks[[#This Row],[Status]],1),"O","Opened","C","Completed","S","Signed Off","ERROR")</f>
        <v>Completed</v>
      </c>
      <c r="C184" s="6" t="str" cm="1">
        <f t="array" ref="C184">_xlfn.SWITCH(LEFT(Tasks[[#This Row],[Type]], 2), "Fi", "Field Report", "Co", "Contractor QC", "Ge", "Contractor QC", "Pu", "Punch List")</f>
        <v>Contractor QC</v>
      </c>
      <c r="D184" s="6" t="str">
        <f>LEFT(Tasks[[#This Row],[Description]], 50)</f>
        <v>Reframe light opening to 28th and a quarter inch c</v>
      </c>
      <c r="E184" s="6" t="str" cm="1">
        <f t="array" ref="E1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4" t="str">
        <f>IFERROR(MID(Tasks[[#This Row],[Page]], FIND("Level", Tasks[[#This Row],[Page]]), 7), IF(ISNUMBER(FIND("Roof", Tasks[[#This Row],[Page]])), "Roof",  IF(ISNUMBER(FIND("S590", Tasks[[#This Row],[Page]])), "",  IF(ISNUMBER(FIND("Site", Tasks[[#This Row],[Page]])), "", "ERROR"))))</f>
        <v>Level 0</v>
      </c>
      <c r="G184" t="str">
        <f>IF(Tasks[[#This Row],[Location]]=0, "", Tasks[[#This Row],[Location]])</f>
        <v>052 - Stair Lobby</v>
      </c>
      <c r="H184" t="str">
        <f>Tasks[[#This Row],[To Package]]</f>
        <v>Metal Stud / Drywall</v>
      </c>
      <c r="I184" t="str">
        <f>Tasks[[#This Row],[To Organisation]]</f>
        <v>Pete King Construction</v>
      </c>
    </row>
    <row r="185" spans="1:9" x14ac:dyDescent="0.35">
      <c r="A185" s="9" t="str">
        <f>HYPERLINK(_xlfn.CONCAT(Edit_URL,Tasks[[#This Row],[Ref]]),Tasks[[#This Row],[Ref]])</f>
        <v>T74290.2</v>
      </c>
      <c r="B185" s="6" t="str" cm="1">
        <f t="array" ref="B185">_xlfn.SWITCH(LEFT(Tasks[[#This Row],[Status]],1),"O","Opened","C","Completed","S","Signed Off","ERROR")</f>
        <v>Signed Off</v>
      </c>
      <c r="C185" s="6" t="str" cm="1">
        <f t="array" ref="C185">_xlfn.SWITCH(LEFT(Tasks[[#This Row],[Type]], 2), "Fi", "Field Report", "Co", "Contractor QC", "Ge", "Contractor QC", "Pu", "Punch List")</f>
        <v>Contractor QC</v>
      </c>
      <c r="D185" s="6" t="str">
        <f>LEFT(Tasks[[#This Row],[Description]], 50)</f>
        <v>Missing wireless access point￼</v>
      </c>
      <c r="E185" s="6" t="str" cm="1">
        <f t="array" ref="E1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5" t="str">
        <f>IFERROR(MID(Tasks[[#This Row],[Page]], FIND("Level", Tasks[[#This Row],[Page]]), 7), IF(ISNUMBER(FIND("Roof", Tasks[[#This Row],[Page]])), "Roof",  IF(ISNUMBER(FIND("S590", Tasks[[#This Row],[Page]])), "",  IF(ISNUMBER(FIND("Site", Tasks[[#This Row],[Page]])), "", "ERROR"))))</f>
        <v>Level 0</v>
      </c>
      <c r="G185" t="str">
        <f>IF(Tasks[[#This Row],[Location]]=0, "", Tasks[[#This Row],[Location]])</f>
        <v>052 - Stair Lobby</v>
      </c>
      <c r="H185" t="str">
        <f>Tasks[[#This Row],[To Package]]</f>
        <v>Electrical</v>
      </c>
      <c r="I185" t="str">
        <f>Tasks[[#This Row],[To Organisation]]</f>
        <v>Wilkinson Electric Inc</v>
      </c>
    </row>
    <row r="186" spans="1:9" x14ac:dyDescent="0.35">
      <c r="A186" s="9" t="str">
        <f>HYPERLINK(_xlfn.CONCAT(Edit_URL,Tasks[[#This Row],[Ref]]),Tasks[[#This Row],[Ref]])</f>
        <v>T74290.1</v>
      </c>
      <c r="B186" s="6" t="str" cm="1">
        <f t="array" ref="B186">_xlfn.SWITCH(LEFT(Tasks[[#This Row],[Status]],1),"O","Opened","C","Completed","S","Signed Off","ERROR")</f>
        <v>Signed Off</v>
      </c>
      <c r="C186" s="6" t="str" cm="1">
        <f t="array" ref="C186">_xlfn.SWITCH(LEFT(Tasks[[#This Row],[Type]], 2), "Fi", "Field Report", "Co", "Contractor QC", "Ge", "Contractor QC", "Pu", "Punch List")</f>
        <v>Contractor QC</v>
      </c>
      <c r="D186" s="6" t="str">
        <f>LEFT(Tasks[[#This Row],[Description]], 50)</f>
        <v>Lower access panel to clear ceiling height</v>
      </c>
      <c r="E186" s="6" t="str" cm="1">
        <f t="array" ref="E186">_xlfn.LET(
_xlpm.inTower, COUNTIF(Tower_Num_Table[Tower Rm Numbers], LEFT(Task_Summary_Table[[#This Row],[Area/Room]], 3)) &gt; 0,
_xlpm.typeResult, _xlfn.SWITCH(LEFT(Tasks[[#This Row],[Page]], 2), "Hi", "Historic", "An", "Annex", "Si", "Site", "S5", "Project Task", "SWITCH ERROR"),
IF(_xlpm.inTower, "West Tower", _xlpm.typeResult)
)</f>
        <v>West Tower</v>
      </c>
      <c r="F186" t="str">
        <f>IFERROR(MID(Tasks[[#This Row],[Page]], FIND("Level", Tasks[[#This Row],[Page]]), 7), IF(ISNUMBER(FIND("Roof", Tasks[[#This Row],[Page]])), "Roof",  IF(ISNUMBER(FIND("S590", Tasks[[#This Row],[Page]])), "",  IF(ISNUMBER(FIND("Site", Tasks[[#This Row],[Page]])), "", "ERROR"))))</f>
        <v>Level 0</v>
      </c>
      <c r="G186" t="str">
        <f>IF(Tasks[[#This Row],[Location]]=0, "", Tasks[[#This Row],[Location]])</f>
        <v>052 - Stair Lobby</v>
      </c>
      <c r="H186" t="str">
        <f>Tasks[[#This Row],[To Package]]</f>
        <v>Metal Stud / Drywall</v>
      </c>
      <c r="I186" t="str">
        <f>Tasks[[#This Row],[To Organisation]]</f>
        <v>Pete King Construction</v>
      </c>
    </row>
    <row r="187" spans="1:9" x14ac:dyDescent="0.35">
      <c r="A187" s="9" t="str">
        <f>HYPERLINK(_xlfn.CONCAT(Edit_URL,Tasks[[#This Row],[Ref]]),Tasks[[#This Row],[Ref]])</f>
        <v>T1.9629083</v>
      </c>
      <c r="B187" s="6" t="str" cm="1">
        <f t="array" ref="B187">_xlfn.SWITCH(LEFT(Tasks[[#This Row],[Status]],1),"O","Opened","C","Completed","S","Signed Off","ERROR")</f>
        <v>Opened</v>
      </c>
      <c r="C187" s="6" t="str" cm="1">
        <f t="array" ref="C187">_xlfn.SWITCH(LEFT(Tasks[[#This Row],[Type]], 2), "Fi", "Field Report", "Co", "Contractor QC", "Ge", "Contractor QC", "Pu", "Punch List")</f>
        <v>Field Report</v>
      </c>
      <c r="D187" s="6" t="str">
        <f>LEFT(Tasks[[#This Row],[Description]], 50)</f>
        <v>CxA Site Visit Report 20220324, Item 20:
Pipe Clea</v>
      </c>
      <c r="E187" s="6" t="str" cm="1">
        <f t="array" ref="E187">_xlfn.LET(
_xlpm.inTower, COUNTIF(Tower_Num_Table[Tower Rm Numbers], LEFT(Task_Summary_Table[[#This Row],[Area/Room]], 3)) &gt; 0,
_xlpm.typeResult, _xlfn.SWITCH(LEFT(Tasks[[#This Row],[Page]], 2), "Hi", "Historic", "An", "Annex", "Si", "Site", "S5", "Project Task", "SWITCH ERROR"),
IF(_xlpm.inTower, "West Tower", _xlpm.typeResult)
)</f>
        <v>Historic</v>
      </c>
      <c r="F187" t="str">
        <f>IFERROR(MID(Tasks[[#This Row],[Page]], FIND("Level", Tasks[[#This Row],[Page]]), 7), IF(ISNUMBER(FIND("Roof", Tasks[[#This Row],[Page]])), "Roof",  IF(ISNUMBER(FIND("S590", Tasks[[#This Row],[Page]])), "",  IF(ISNUMBER(FIND("Site", Tasks[[#This Row],[Page]])), "", "ERROR"))))</f>
        <v>Level 0</v>
      </c>
      <c r="G187" t="str">
        <f>IF(Tasks[[#This Row],[Location]]=0, "", Tasks[[#This Row],[Location]])</f>
        <v/>
      </c>
      <c r="H187" t="str">
        <f>Tasks[[#This Row],[To Package]]</f>
        <v>Plumbing</v>
      </c>
      <c r="I187" t="str">
        <f>Tasks[[#This Row],[To Organisation]]</f>
        <v>US Mechanical</v>
      </c>
    </row>
    <row r="188" spans="1:9" x14ac:dyDescent="0.35">
      <c r="A188" s="9" t="str">
        <f>HYPERLINK(_xlfn.CONCAT(Edit_URL,Tasks[[#This Row],[Ref]]),Tasks[[#This Row],[Ref]])</f>
        <v>T1.9629082</v>
      </c>
      <c r="B188" s="6" t="str" cm="1">
        <f t="array" ref="B188">_xlfn.SWITCH(LEFT(Tasks[[#This Row],[Status]],1),"O","Opened","C","Completed","S","Signed Off","ERROR")</f>
        <v>Opened</v>
      </c>
      <c r="C188" s="6" t="str" cm="1">
        <f t="array" ref="C188">_xlfn.SWITCH(LEFT(Tasks[[#This Row],[Type]], 2), "Fi", "Field Report", "Co", "Contractor QC", "Ge", "Contractor QC", "Pu", "Punch List")</f>
        <v>Field Report</v>
      </c>
      <c r="D188" s="6" t="str">
        <f>LEFT(Tasks[[#This Row],[Description]], 50)</f>
        <v>CxA Site Visit Report 20220324, Item 19:
Font Make</v>
      </c>
      <c r="E188" s="6" t="str" cm="1">
        <f t="array" ref="E188">_xlfn.LET(
_xlpm.inTower, COUNTIF(Tower_Num_Table[Tower Rm Numbers], LEFT(Task_Summary_Table[[#This Row],[Area/Room]], 3)) &gt; 0,
_xlpm.typeResult, _xlfn.SWITCH(LEFT(Tasks[[#This Row],[Page]], 2), "Hi", "Historic", "An", "Annex", "Si", "Site", "S5", "Project Task", "SWITCH ERROR"),
IF(_xlpm.inTower, "West Tower", _xlpm.typeResult)
)</f>
        <v>Annex</v>
      </c>
      <c r="F188" t="str">
        <f>IFERROR(MID(Tasks[[#This Row],[Page]], FIND("Level", Tasks[[#This Row],[Page]]), 7), IF(ISNUMBER(FIND("Roof", Tasks[[#This Row],[Page]])), "Roof",  IF(ISNUMBER(FIND("S590", Tasks[[#This Row],[Page]])), "",  IF(ISNUMBER(FIND("Site", Tasks[[#This Row],[Page]])), "", "ERROR"))))</f>
        <v>Level 0</v>
      </c>
      <c r="G188" t="str">
        <f>IF(Tasks[[#This Row],[Location]]=0, "", Tasks[[#This Row],[Location]])</f>
        <v/>
      </c>
      <c r="H188" t="str">
        <f>Tasks[[#This Row],[To Package]]</f>
        <v>Plumbing</v>
      </c>
      <c r="I188" t="str">
        <f>Tasks[[#This Row],[To Organisation]]</f>
        <v>US Mechanical</v>
      </c>
    </row>
    <row r="189" spans="1:9" x14ac:dyDescent="0.35">
      <c r="A189" s="9" t="str">
        <f>HYPERLINK(_xlfn.CONCAT(Edit_URL,Tasks[[#This Row],[Ref]]),Tasks[[#This Row],[Ref]])</f>
        <v>T1.9629079</v>
      </c>
      <c r="B189" s="6" t="str" cm="1">
        <f t="array" ref="B189">_xlfn.SWITCH(LEFT(Tasks[[#This Row],[Status]],1),"O","Opened","C","Completed","S","Signed Off","ERROR")</f>
        <v>Completed</v>
      </c>
      <c r="C189" s="6" t="str" cm="1">
        <f t="array" ref="C189">_xlfn.SWITCH(LEFT(Tasks[[#This Row],[Type]], 2), "Fi", "Field Report", "Co", "Contractor QC", "Ge", "Contractor QC", "Pu", "Punch List")</f>
        <v>Field Report</v>
      </c>
      <c r="D189" s="6" t="str">
        <f>LEFT(Tasks[[#This Row],[Description]], 50)</f>
        <v>CxA Site Visit Report 20220324, Item 18: 
FC Filte</v>
      </c>
      <c r="E189" s="6" t="str" cm="1">
        <f t="array" ref="E189">_xlfn.LET(
_xlpm.inTower, COUNTIF(Tower_Num_Table[Tower Rm Numbers], LEFT(Task_Summary_Table[[#This Row],[Area/Room]], 3)) &gt; 0,
_xlpm.typeResult, _xlfn.SWITCH(LEFT(Tasks[[#This Row],[Page]], 2), "Hi", "Historic", "An", "Annex", "Si", "Site", "S5", "Project Task", "SWITCH ERROR"),
IF(_xlpm.inTower, "West Tower", _xlpm.typeResult)
)</f>
        <v>Annex</v>
      </c>
      <c r="F189" t="str">
        <f>IFERROR(MID(Tasks[[#This Row],[Page]], FIND("Level", Tasks[[#This Row],[Page]]), 7), IF(ISNUMBER(FIND("Roof", Tasks[[#This Row],[Page]])), "Roof",  IF(ISNUMBER(FIND("S590", Tasks[[#This Row],[Page]])), "",  IF(ISNUMBER(FIND("Site", Tasks[[#This Row],[Page]])), "", "ERROR"))))</f>
        <v>Level 0</v>
      </c>
      <c r="G189" t="str">
        <f>IF(Tasks[[#This Row],[Location]]=0, "", Tasks[[#This Row],[Location]])</f>
        <v/>
      </c>
      <c r="H189" t="str">
        <f>Tasks[[#This Row],[To Package]]</f>
        <v>HVAC</v>
      </c>
      <c r="I189" t="str">
        <f>Tasks[[#This Row],[To Organisation]]</f>
        <v>US Mechanical</v>
      </c>
    </row>
    <row r="190" spans="1:9" x14ac:dyDescent="0.35">
      <c r="A190" s="9" t="str">
        <f>HYPERLINK(_xlfn.CONCAT(Edit_URL,Tasks[[#This Row],[Ref]]),Tasks[[#This Row],[Ref]])</f>
        <v>T1.9629077</v>
      </c>
      <c r="B190" s="6" t="str" cm="1">
        <f t="array" ref="B190">_xlfn.SWITCH(LEFT(Tasks[[#This Row],[Status]],1),"O","Opened","C","Completed","S","Signed Off","ERROR")</f>
        <v>Completed</v>
      </c>
      <c r="C190" s="6" t="str" cm="1">
        <f t="array" ref="C190">_xlfn.SWITCH(LEFT(Tasks[[#This Row],[Type]], 2), "Fi", "Field Report", "Co", "Contractor QC", "Ge", "Contractor QC", "Pu", "Punch List")</f>
        <v>Field Report</v>
      </c>
      <c r="D190" s="6" t="str">
        <f>LEFT(Tasks[[#This Row],[Description]], 50)</f>
        <v>CxA Site Visit Report 20220324, Item 17:
Missing V</v>
      </c>
      <c r="E190" s="6" t="str" cm="1">
        <f t="array" ref="E190">_xlfn.LET(
_xlpm.inTower, COUNTIF(Tower_Num_Table[Tower Rm Numbers], LEFT(Task_Summary_Table[[#This Row],[Area/Room]], 3)) &gt; 0,
_xlpm.typeResult, _xlfn.SWITCH(LEFT(Tasks[[#This Row],[Page]], 2), "Hi", "Historic", "An", "Annex", "Si", "Site", "S5", "Project Task", "SWITCH ERROR"),
IF(_xlpm.inTower, "West Tower", _xlpm.typeResult)
)</f>
        <v>Historic</v>
      </c>
      <c r="F190" t="str">
        <f>IFERROR(MID(Tasks[[#This Row],[Page]], FIND("Level", Tasks[[#This Row],[Page]]), 7), IF(ISNUMBER(FIND("Roof", Tasks[[#This Row],[Page]])), "Roof",  IF(ISNUMBER(FIND("S590", Tasks[[#This Row],[Page]])), "",  IF(ISNUMBER(FIND("Site", Tasks[[#This Row],[Page]])), "", "ERROR"))))</f>
        <v>Level 0</v>
      </c>
      <c r="G190" t="str">
        <f>IF(Tasks[[#This Row],[Location]]=0, "", Tasks[[#This Row],[Location]])</f>
        <v/>
      </c>
      <c r="H190" t="str">
        <f>Tasks[[#This Row],[To Package]]</f>
        <v>HVAC</v>
      </c>
      <c r="I190" t="str">
        <f>Tasks[[#This Row],[To Organisation]]</f>
        <v>US Mechanical</v>
      </c>
    </row>
    <row r="191" spans="1:9" x14ac:dyDescent="0.35">
      <c r="A191" s="9" t="str">
        <f>HYPERLINK(_xlfn.CONCAT(Edit_URL,Tasks[[#This Row],[Ref]]),Tasks[[#This Row],[Ref]])</f>
        <v>T1.9629076</v>
      </c>
      <c r="B191" s="6" t="str" cm="1">
        <f t="array" ref="B191">_xlfn.SWITCH(LEFT(Tasks[[#This Row],[Status]],1),"O","Opened","C","Completed","S","Signed Off","ERROR")</f>
        <v>Completed</v>
      </c>
      <c r="C191" s="6" t="str" cm="1">
        <f t="array" ref="C191">_xlfn.SWITCH(LEFT(Tasks[[#This Row],[Type]], 2), "Fi", "Field Report", "Co", "Contractor QC", "Ge", "Contractor QC", "Pu", "Punch List")</f>
        <v>Field Report</v>
      </c>
      <c r="D191" s="6" t="str">
        <f>LEFT(Tasks[[#This Row],[Description]], 50)</f>
        <v>CxA Site Visit Report 20220324, Item 16:
Loose duc</v>
      </c>
      <c r="E191" s="6" t="str" cm="1">
        <f t="array" ref="E191">_xlfn.LET(
_xlpm.inTower, COUNTIF(Tower_Num_Table[Tower Rm Numbers], LEFT(Task_Summary_Table[[#This Row],[Area/Room]], 3)) &gt; 0,
_xlpm.typeResult, _xlfn.SWITCH(LEFT(Tasks[[#This Row],[Page]], 2), "Hi", "Historic", "An", "Annex", "Si", "Site", "S5", "Project Task", "SWITCH ERROR"),
IF(_xlpm.inTower, "West Tower", _xlpm.typeResult)
)</f>
        <v>Historic</v>
      </c>
      <c r="F191" t="str">
        <f>IFERROR(MID(Tasks[[#This Row],[Page]], FIND("Level", Tasks[[#This Row],[Page]]), 7), IF(ISNUMBER(FIND("Roof", Tasks[[#This Row],[Page]])), "Roof",  IF(ISNUMBER(FIND("S590", Tasks[[#This Row],[Page]])), "",  IF(ISNUMBER(FIND("Site", Tasks[[#This Row],[Page]])), "", "ERROR"))))</f>
        <v>Level 0</v>
      </c>
      <c r="G191" t="str">
        <f>IF(Tasks[[#This Row],[Location]]=0, "", Tasks[[#This Row],[Location]])</f>
        <v/>
      </c>
      <c r="H191" t="str">
        <f>Tasks[[#This Row],[To Package]]</f>
        <v>HVAC</v>
      </c>
      <c r="I191" t="str">
        <f>Tasks[[#This Row],[To Organisation]]</f>
        <v>US Mechanical</v>
      </c>
    </row>
    <row r="192" spans="1:9" x14ac:dyDescent="0.35">
      <c r="A192" s="9" t="str">
        <f>HYPERLINK(_xlfn.CONCAT(Edit_URL,Tasks[[#This Row],[Ref]]),Tasks[[#This Row],[Ref]])</f>
        <v>T1.9629074</v>
      </c>
      <c r="B192" s="6" t="str" cm="1">
        <f t="array" ref="B192">_xlfn.SWITCH(LEFT(Tasks[[#This Row],[Status]],1),"O","Opened","C","Completed","S","Signed Off","ERROR")</f>
        <v>Opened</v>
      </c>
      <c r="C192" s="6" t="str" cm="1">
        <f t="array" ref="C192">_xlfn.SWITCH(LEFT(Tasks[[#This Row],[Type]], 2), "Fi", "Field Report", "Co", "Contractor QC", "Ge", "Contractor QC", "Pu", "Punch List")</f>
        <v>Field Report</v>
      </c>
      <c r="D192" s="6" t="str">
        <f>LEFT(Tasks[[#This Row],[Description]], 50)</f>
        <v>CxA Site Visit Report 20220324, Item 15:
Steam Gen</v>
      </c>
      <c r="E192" s="6" t="str" cm="1">
        <f t="array" ref="E192">_xlfn.LET(
_xlpm.inTower, COUNTIF(Tower_Num_Table[Tower Rm Numbers], LEFT(Task_Summary_Table[[#This Row],[Area/Room]], 3)) &gt; 0,
_xlpm.typeResult, _xlfn.SWITCH(LEFT(Tasks[[#This Row],[Page]], 2), "Hi", "Historic", "An", "Annex", "Si", "Site", "S5", "Project Task", "SWITCH ERROR"),
IF(_xlpm.inTower, "West Tower", _xlpm.typeResult)
)</f>
        <v>Annex</v>
      </c>
      <c r="F192" t="str">
        <f>IFERROR(MID(Tasks[[#This Row],[Page]], FIND("Level", Tasks[[#This Row],[Page]]), 7), IF(ISNUMBER(FIND("Roof", Tasks[[#This Row],[Page]])), "Roof",  IF(ISNUMBER(FIND("S590", Tasks[[#This Row],[Page]])), "",  IF(ISNUMBER(FIND("Site", Tasks[[#This Row],[Page]])), "", "ERROR"))))</f>
        <v>Level 0</v>
      </c>
      <c r="G192" t="str">
        <f>IF(Tasks[[#This Row],[Location]]=0, "", Tasks[[#This Row],[Location]])</f>
        <v/>
      </c>
      <c r="H192" t="str">
        <f>Tasks[[#This Row],[To Package]]</f>
        <v>Plumbing</v>
      </c>
      <c r="I192" t="str">
        <f>Tasks[[#This Row],[To Organisation]]</f>
        <v>US Mechanical</v>
      </c>
    </row>
    <row r="193" spans="1:9" x14ac:dyDescent="0.35">
      <c r="A193" s="9" t="str">
        <f>HYPERLINK(_xlfn.CONCAT(Edit_URL,Tasks[[#This Row],[Ref]]),Tasks[[#This Row],[Ref]])</f>
        <v>T1.9629071</v>
      </c>
      <c r="B193" s="6" t="str" cm="1">
        <f t="array" ref="B193">_xlfn.SWITCH(LEFT(Tasks[[#This Row],[Status]],1),"O","Opened","C","Completed","S","Signed Off","ERROR")</f>
        <v>Completed</v>
      </c>
      <c r="C193" s="6" t="str" cm="1">
        <f t="array" ref="C193">_xlfn.SWITCH(LEFT(Tasks[[#This Row],[Type]], 2), "Fi", "Field Report", "Co", "Contractor QC", "Ge", "Contractor QC", "Pu", "Punch List")</f>
        <v>Field Report</v>
      </c>
      <c r="D193" s="6" t="str">
        <f>LEFT(Tasks[[#This Row],[Description]], 50)</f>
        <v>CxA Site Visit Report 20220324, Item 14:
Fire Junc</v>
      </c>
      <c r="E193" s="6" t="str" cm="1">
        <f t="array" ref="E193">_xlfn.LET(
_xlpm.inTower, COUNTIF(Tower_Num_Table[Tower Rm Numbers], LEFT(Task_Summary_Table[[#This Row],[Area/Room]], 3)) &gt; 0,
_xlpm.typeResult, _xlfn.SWITCH(LEFT(Tasks[[#This Row],[Page]], 2), "Hi", "Historic", "An", "Annex", "Si", "Site", "S5", "Project Task", "SWITCH ERROR"),
IF(_xlpm.inTower, "West Tower", _xlpm.typeResult)
)</f>
        <v>Annex</v>
      </c>
      <c r="F193" t="str">
        <f>IFERROR(MID(Tasks[[#This Row],[Page]], FIND("Level", Tasks[[#This Row],[Page]]), 7), IF(ISNUMBER(FIND("Roof", Tasks[[#This Row],[Page]])), "Roof",  IF(ISNUMBER(FIND("S590", Tasks[[#This Row],[Page]])), "",  IF(ISNUMBER(FIND("Site", Tasks[[#This Row],[Page]])), "", "ERROR"))))</f>
        <v>Level 0</v>
      </c>
      <c r="G193" t="str">
        <f>IF(Tasks[[#This Row],[Location]]=0, "", Tasks[[#This Row],[Location]])</f>
        <v/>
      </c>
      <c r="H193" t="str">
        <f>Tasks[[#This Row],[To Package]]</f>
        <v>Electrical</v>
      </c>
      <c r="I193" t="str">
        <f>Tasks[[#This Row],[To Organisation]]</f>
        <v>Wilkinson Electric Inc</v>
      </c>
    </row>
    <row r="194" spans="1:9" x14ac:dyDescent="0.35">
      <c r="A194" s="9" t="str">
        <f>HYPERLINK(_xlfn.CONCAT(Edit_URL,Tasks[[#This Row],[Ref]]),Tasks[[#This Row],[Ref]])</f>
        <v>T1.9629069</v>
      </c>
      <c r="B194" s="6" t="str" cm="1">
        <f t="array" ref="B194">_xlfn.SWITCH(LEFT(Tasks[[#This Row],[Status]],1),"O","Opened","C","Completed","S","Signed Off","ERROR")</f>
        <v>Completed</v>
      </c>
      <c r="C194" s="6" t="str" cm="1">
        <f t="array" ref="C194">_xlfn.SWITCH(LEFT(Tasks[[#This Row],[Type]], 2), "Fi", "Field Report", "Co", "Contractor QC", "Ge", "Contractor QC", "Pu", "Punch List")</f>
        <v>Field Report</v>
      </c>
      <c r="D194" s="6" t="str">
        <f>LEFT(Tasks[[#This Row],[Description]], 50)</f>
        <v>CxA Site Visit Report 20220324, Item 13:
Missing e</v>
      </c>
      <c r="E194" s="6" t="str" cm="1">
        <f t="array" ref="E194">_xlfn.LET(
_xlpm.inTower, COUNTIF(Tower_Num_Table[Tower Rm Numbers], LEFT(Task_Summary_Table[[#This Row],[Area/Room]], 3)) &gt; 0,
_xlpm.typeResult, _xlfn.SWITCH(LEFT(Tasks[[#This Row],[Page]], 2), "Hi", "Historic", "An", "Annex", "Si", "Site", "S5", "Project Task", "SWITCH ERROR"),
IF(_xlpm.inTower, "West Tower", _xlpm.typeResult)
)</f>
        <v>Annex</v>
      </c>
      <c r="F194" t="str">
        <f>IFERROR(MID(Tasks[[#This Row],[Page]], FIND("Level", Tasks[[#This Row],[Page]]), 7), IF(ISNUMBER(FIND("Roof", Tasks[[#This Row],[Page]])), "Roof",  IF(ISNUMBER(FIND("S590", Tasks[[#This Row],[Page]])), "",  IF(ISNUMBER(FIND("Site", Tasks[[#This Row],[Page]])), "", "ERROR"))))</f>
        <v>Level 0</v>
      </c>
      <c r="G194" t="str">
        <f>IF(Tasks[[#This Row],[Location]]=0, "", Tasks[[#This Row],[Location]])</f>
        <v/>
      </c>
      <c r="H194" t="str">
        <f>Tasks[[#This Row],[To Package]]</f>
        <v>Electrical</v>
      </c>
      <c r="I194" t="str">
        <f>Tasks[[#This Row],[To Organisation]]</f>
        <v>Wilkinson Electric Inc</v>
      </c>
    </row>
    <row r="195" spans="1:9" x14ac:dyDescent="0.35">
      <c r="A195" s="9" t="str">
        <f>HYPERLINK(_xlfn.CONCAT(Edit_URL,Tasks[[#This Row],[Ref]]),Tasks[[#This Row],[Ref]])</f>
        <v>T1.9629068</v>
      </c>
      <c r="B195" s="6" t="str" cm="1">
        <f t="array" ref="B195">_xlfn.SWITCH(LEFT(Tasks[[#This Row],[Status]],1),"O","Opened","C","Completed","S","Signed Off","ERROR")</f>
        <v>Opened</v>
      </c>
      <c r="C195" s="6" t="str" cm="1">
        <f t="array" ref="C195">_xlfn.SWITCH(LEFT(Tasks[[#This Row],[Type]], 2), "Fi", "Field Report", "Co", "Contractor QC", "Ge", "Contractor QC", "Pu", "Punch List")</f>
        <v>Field Report</v>
      </c>
      <c r="D195" s="6" t="str">
        <f>LEFT(Tasks[[#This Row],[Description]], 50)</f>
        <v>CxA Site Visit Report 20220324, Item 12:
Cooling T</v>
      </c>
      <c r="E195" s="6" t="str" cm="1">
        <f t="array" ref="E195">_xlfn.LET(
_xlpm.inTower, COUNTIF(Tower_Num_Table[Tower Rm Numbers], LEFT(Task_Summary_Table[[#This Row],[Area/Room]], 3)) &gt; 0,
_xlpm.typeResult, _xlfn.SWITCH(LEFT(Tasks[[#This Row],[Page]], 2), "Hi", "Historic", "An", "Annex", "Si", "Site", "S5", "Project Task", "SWITCH ERROR"),
IF(_xlpm.inTower, "West Tower", _xlpm.typeResult)
)</f>
        <v>Annex</v>
      </c>
      <c r="F195" t="str">
        <f>IFERROR(MID(Tasks[[#This Row],[Page]], FIND("Level", Tasks[[#This Row],[Page]]), 7), IF(ISNUMBER(FIND("Roof", Tasks[[#This Row],[Page]])), "Roof",  IF(ISNUMBER(FIND("S590", Tasks[[#This Row],[Page]])), "",  IF(ISNUMBER(FIND("Site", Tasks[[#This Row],[Page]])), "", "ERROR"))))</f>
        <v>Level 0</v>
      </c>
      <c r="G195" t="str">
        <f>IF(Tasks[[#This Row],[Location]]=0, "", Tasks[[#This Row],[Location]])</f>
        <v/>
      </c>
      <c r="H195" t="str">
        <f>Tasks[[#This Row],[To Package]]</f>
        <v>Plumbing</v>
      </c>
      <c r="I195" t="str">
        <f>Tasks[[#This Row],[To Organisation]]</f>
        <v>US Mechanical</v>
      </c>
    </row>
    <row r="196" spans="1:9" x14ac:dyDescent="0.35">
      <c r="A196" s="9" t="str">
        <f>HYPERLINK(_xlfn.CONCAT(Edit_URL,Tasks[[#This Row],[Ref]]),Tasks[[#This Row],[Ref]])</f>
        <v>T1.9629065</v>
      </c>
      <c r="B196" s="6" t="str" cm="1">
        <f t="array" ref="B196">_xlfn.SWITCH(LEFT(Tasks[[#This Row],[Status]],1),"O","Opened","C","Completed","S","Signed Off","ERROR")</f>
        <v>Opened</v>
      </c>
      <c r="C196" s="6" t="str" cm="1">
        <f t="array" ref="C196">_xlfn.SWITCH(LEFT(Tasks[[#This Row],[Type]], 2), "Fi", "Field Report", "Co", "Contractor QC", "Ge", "Contractor QC", "Pu", "Punch List")</f>
        <v>Field Report</v>
      </c>
      <c r="D196" s="6" t="str">
        <f>LEFT(Tasks[[#This Row],[Description]], 50)</f>
        <v>CxA Site Visit Report 20220324, Item 11:
Cooling T</v>
      </c>
      <c r="E196" s="6" t="str" cm="1">
        <f t="array" ref="E196">_xlfn.LET(
_xlpm.inTower, COUNTIF(Tower_Num_Table[Tower Rm Numbers], LEFT(Task_Summary_Table[[#This Row],[Area/Room]], 3)) &gt; 0,
_xlpm.typeResult, _xlfn.SWITCH(LEFT(Tasks[[#This Row],[Page]], 2), "Hi", "Historic", "An", "Annex", "Si", "Site", "S5", "Project Task", "SWITCH ERROR"),
IF(_xlpm.inTower, "West Tower", _xlpm.typeResult)
)</f>
        <v>Annex</v>
      </c>
      <c r="F196" t="str">
        <f>IFERROR(MID(Tasks[[#This Row],[Page]], FIND("Level", Tasks[[#This Row],[Page]]), 7), IF(ISNUMBER(FIND("Roof", Tasks[[#This Row],[Page]])), "Roof",  IF(ISNUMBER(FIND("S590", Tasks[[#This Row],[Page]])), "",  IF(ISNUMBER(FIND("Site", Tasks[[#This Row],[Page]])), "", "ERROR"))))</f>
        <v>Level 0</v>
      </c>
      <c r="G196" t="str">
        <f>IF(Tasks[[#This Row],[Location]]=0, "", Tasks[[#This Row],[Location]])</f>
        <v/>
      </c>
      <c r="H196" t="str">
        <f>Tasks[[#This Row],[To Package]]</f>
        <v>Plumbing</v>
      </c>
      <c r="I196" t="str">
        <f>Tasks[[#This Row],[To Organisation]]</f>
        <v>US Mechanical</v>
      </c>
    </row>
    <row r="197" spans="1:9" x14ac:dyDescent="0.35">
      <c r="A197" s="9" t="str">
        <f>HYPERLINK(_xlfn.CONCAT(Edit_URL,Tasks[[#This Row],[Ref]]),Tasks[[#This Row],[Ref]])</f>
        <v>T1.9629064</v>
      </c>
      <c r="B197" s="6" t="str" cm="1">
        <f t="array" ref="B197">_xlfn.SWITCH(LEFT(Tasks[[#This Row],[Status]],1),"O","Opened","C","Completed","S","Signed Off","ERROR")</f>
        <v>Opened</v>
      </c>
      <c r="C197" s="6" t="str" cm="1">
        <f t="array" ref="C197">_xlfn.SWITCH(LEFT(Tasks[[#This Row],[Type]], 2), "Fi", "Field Report", "Co", "Contractor QC", "Ge", "Contractor QC", "Pu", "Punch List")</f>
        <v>Field Report</v>
      </c>
      <c r="D197" s="6" t="str">
        <f>LEFT(Tasks[[#This Row],[Description]], 50)</f>
        <v>CxA Site Visit Report 20220324, Item 10:
Cooling T</v>
      </c>
      <c r="E197" s="6" t="str" cm="1">
        <f t="array" ref="E197">_xlfn.LET(
_xlpm.inTower, COUNTIF(Tower_Num_Table[Tower Rm Numbers], LEFT(Task_Summary_Table[[#This Row],[Area/Room]], 3)) &gt; 0,
_xlpm.typeResult, _xlfn.SWITCH(LEFT(Tasks[[#This Row],[Page]], 2), "Hi", "Historic", "An", "Annex", "Si", "Site", "S5", "Project Task", "SWITCH ERROR"),
IF(_xlpm.inTower, "West Tower", _xlpm.typeResult)
)</f>
        <v>Annex</v>
      </c>
      <c r="F197" t="str">
        <f>IFERROR(MID(Tasks[[#This Row],[Page]], FIND("Level", Tasks[[#This Row],[Page]]), 7), IF(ISNUMBER(FIND("Roof", Tasks[[#This Row],[Page]])), "Roof",  IF(ISNUMBER(FIND("S590", Tasks[[#This Row],[Page]])), "",  IF(ISNUMBER(FIND("Site", Tasks[[#This Row],[Page]])), "", "ERROR"))))</f>
        <v>Level 0</v>
      </c>
      <c r="G197" t="str">
        <f>IF(Tasks[[#This Row],[Location]]=0, "", Tasks[[#This Row],[Location]])</f>
        <v/>
      </c>
      <c r="H197" t="str">
        <f>Tasks[[#This Row],[To Package]]</f>
        <v>Plumbing</v>
      </c>
      <c r="I197" t="str">
        <f>Tasks[[#This Row],[To Organisation]]</f>
        <v>US Mechanical</v>
      </c>
    </row>
    <row r="198" spans="1:9" x14ac:dyDescent="0.35">
      <c r="A198" s="9" t="str">
        <f>HYPERLINK(_xlfn.CONCAT(Edit_URL,Tasks[[#This Row],[Ref]]),Tasks[[#This Row],[Ref]])</f>
        <v>T1.9629063</v>
      </c>
      <c r="B198" s="6" t="str" cm="1">
        <f t="array" ref="B198">_xlfn.SWITCH(LEFT(Tasks[[#This Row],[Status]],1),"O","Opened","C","Completed","S","Signed Off","ERROR")</f>
        <v>Opened</v>
      </c>
      <c r="C198" s="6" t="str" cm="1">
        <f t="array" ref="C198">_xlfn.SWITCH(LEFT(Tasks[[#This Row],[Type]], 2), "Fi", "Field Report", "Co", "Contractor QC", "Ge", "Contractor QC", "Pu", "Punch List")</f>
        <v>Field Report</v>
      </c>
      <c r="D198" s="6" t="str">
        <f>LEFT(Tasks[[#This Row],[Description]], 50)</f>
        <v>CxA Site Visit Report 20220324, Item 9:
Cooling To</v>
      </c>
      <c r="E198" s="6" t="str" cm="1">
        <f t="array" ref="E198">_xlfn.LET(
_xlpm.inTower, COUNTIF(Tower_Num_Table[Tower Rm Numbers], LEFT(Task_Summary_Table[[#This Row],[Area/Room]], 3)) &gt; 0,
_xlpm.typeResult, _xlfn.SWITCH(LEFT(Tasks[[#This Row],[Page]], 2), "Hi", "Historic", "An", "Annex", "Si", "Site", "S5", "Project Task", "SWITCH ERROR"),
IF(_xlpm.inTower, "West Tower", _xlpm.typeResult)
)</f>
        <v>Annex</v>
      </c>
      <c r="F198" t="str">
        <f>IFERROR(MID(Tasks[[#This Row],[Page]], FIND("Level", Tasks[[#This Row],[Page]]), 7), IF(ISNUMBER(FIND("Roof", Tasks[[#This Row],[Page]])), "Roof",  IF(ISNUMBER(FIND("S590", Tasks[[#This Row],[Page]])), "",  IF(ISNUMBER(FIND("Site", Tasks[[#This Row],[Page]])), "", "ERROR"))))</f>
        <v>Level 0</v>
      </c>
      <c r="G198" t="str">
        <f>IF(Tasks[[#This Row],[Location]]=0, "", Tasks[[#This Row],[Location]])</f>
        <v/>
      </c>
      <c r="H198" t="str">
        <f>Tasks[[#This Row],[To Package]]</f>
        <v>Plumbing</v>
      </c>
      <c r="I198" t="str">
        <f>Tasks[[#This Row],[To Organisation]]</f>
        <v>US Mechanical</v>
      </c>
    </row>
    <row r="199" spans="1:9" x14ac:dyDescent="0.35">
      <c r="A199" s="9" t="str">
        <f>HYPERLINK(_xlfn.CONCAT(Edit_URL,Tasks[[#This Row],[Ref]]),Tasks[[#This Row],[Ref]])</f>
        <v>T1.9629059</v>
      </c>
      <c r="B199" s="6" t="str" cm="1">
        <f t="array" ref="B199">_xlfn.SWITCH(LEFT(Tasks[[#This Row],[Status]],1),"O","Opened","C","Completed","S","Signed Off","ERROR")</f>
        <v>Completed</v>
      </c>
      <c r="C199" s="6" t="str" cm="1">
        <f t="array" ref="C199">_xlfn.SWITCH(LEFT(Tasks[[#This Row],[Type]], 2), "Fi", "Field Report", "Co", "Contractor QC", "Ge", "Contractor QC", "Pu", "Punch List")</f>
        <v>Field Report</v>
      </c>
      <c r="D199" s="6" t="str">
        <f>LEFT(Tasks[[#This Row],[Description]], 50)</f>
        <v>CxA Site Visit Report 20220324, Item 8:
Chiller Ro</v>
      </c>
      <c r="E199" s="6" t="str" cm="1">
        <f t="array" ref="E199">_xlfn.LET(
_xlpm.inTower, COUNTIF(Tower_Num_Table[Tower Rm Numbers], LEFT(Task_Summary_Table[[#This Row],[Area/Room]], 3)) &gt; 0,
_xlpm.typeResult, _xlfn.SWITCH(LEFT(Tasks[[#This Row],[Page]], 2), "Hi", "Historic", "An", "Annex", "Si", "Site", "S5", "Project Task", "SWITCH ERROR"),
IF(_xlpm.inTower, "West Tower", _xlpm.typeResult)
)</f>
        <v>Annex</v>
      </c>
      <c r="F199" t="str">
        <f>IFERROR(MID(Tasks[[#This Row],[Page]], FIND("Level", Tasks[[#This Row],[Page]]), 7), IF(ISNUMBER(FIND("Roof", Tasks[[#This Row],[Page]])), "Roof",  IF(ISNUMBER(FIND("S590", Tasks[[#This Row],[Page]])), "",  IF(ISNUMBER(FIND("Site", Tasks[[#This Row],[Page]])), "", "ERROR"))))</f>
        <v>Level 0</v>
      </c>
      <c r="G199" t="str">
        <f>IF(Tasks[[#This Row],[Location]]=0, "", Tasks[[#This Row],[Location]])</f>
        <v/>
      </c>
      <c r="H199" t="str">
        <f>Tasks[[#This Row],[To Package]]</f>
        <v>HVAC</v>
      </c>
      <c r="I199" t="str">
        <f>Tasks[[#This Row],[To Organisation]]</f>
        <v>US Mechanical</v>
      </c>
    </row>
    <row r="200" spans="1:9" x14ac:dyDescent="0.35">
      <c r="A200" s="9" t="str">
        <f>HYPERLINK(_xlfn.CONCAT(Edit_URL,Tasks[[#This Row],[Ref]]),Tasks[[#This Row],[Ref]])</f>
        <v>T1.9629058</v>
      </c>
      <c r="B200" s="6" t="str" cm="1">
        <f t="array" ref="B200">_xlfn.SWITCH(LEFT(Tasks[[#This Row],[Status]],1),"O","Opened","C","Completed","S","Signed Off","ERROR")</f>
        <v>Opened</v>
      </c>
      <c r="C200" s="6" t="str" cm="1">
        <f t="array" ref="C200">_xlfn.SWITCH(LEFT(Tasks[[#This Row],[Type]], 2), "Fi", "Field Report", "Co", "Contractor QC", "Ge", "Contractor QC", "Pu", "Punch List")</f>
        <v>Field Report</v>
      </c>
      <c r="D200" s="6" t="str">
        <f>LEFT(Tasks[[#This Row],[Description]], 50)</f>
        <v>CxA Site Visit Report 20220324, Item 7:
Chiller In</v>
      </c>
      <c r="E200" s="6" t="str" cm="1">
        <f t="array" ref="E200">_xlfn.LET(
_xlpm.inTower, COUNTIF(Tower_Num_Table[Tower Rm Numbers], LEFT(Task_Summary_Table[[#This Row],[Area/Room]], 3)) &gt; 0,
_xlpm.typeResult, _xlfn.SWITCH(LEFT(Tasks[[#This Row],[Page]], 2), "Hi", "Historic", "An", "Annex", "Si", "Site", "S5", "Project Task", "SWITCH ERROR"),
IF(_xlpm.inTower, "West Tower", _xlpm.typeResult)
)</f>
        <v>Annex</v>
      </c>
      <c r="F200" t="str">
        <f>IFERROR(MID(Tasks[[#This Row],[Page]], FIND("Level", Tasks[[#This Row],[Page]]), 7), IF(ISNUMBER(FIND("Roof", Tasks[[#This Row],[Page]])), "Roof",  IF(ISNUMBER(FIND("S590", Tasks[[#This Row],[Page]])), "",  IF(ISNUMBER(FIND("Site", Tasks[[#This Row],[Page]])), "", "ERROR"))))</f>
        <v>Level 0</v>
      </c>
      <c r="G200" t="str">
        <f>IF(Tasks[[#This Row],[Location]]=0, "", Tasks[[#This Row],[Location]])</f>
        <v/>
      </c>
      <c r="H200" t="str">
        <f>Tasks[[#This Row],[To Package]]</f>
        <v>Plumbing</v>
      </c>
      <c r="I200" t="str">
        <f>Tasks[[#This Row],[To Organisation]]</f>
        <v>US Mechanical</v>
      </c>
    </row>
    <row r="201" spans="1:9" x14ac:dyDescent="0.35">
      <c r="A201" s="9" t="str">
        <f>HYPERLINK(_xlfn.CONCAT(Edit_URL,Tasks[[#This Row],[Ref]]),Tasks[[#This Row],[Ref]])</f>
        <v>T1.9629056</v>
      </c>
      <c r="B201" s="6" t="str" cm="1">
        <f t="array" ref="B201">_xlfn.SWITCH(LEFT(Tasks[[#This Row],[Status]],1),"O","Opened","C","Completed","S","Signed Off","ERROR")</f>
        <v>Opened</v>
      </c>
      <c r="C201" s="6" t="str" cm="1">
        <f t="array" ref="C201">_xlfn.SWITCH(LEFT(Tasks[[#This Row],[Type]], 2), "Fi", "Field Report", "Co", "Contractor QC", "Ge", "Contractor QC", "Pu", "Punch List")</f>
        <v>Field Report</v>
      </c>
      <c r="D201" s="6" t="str">
        <f>LEFT(Tasks[[#This Row],[Description]], 50)</f>
        <v>CxA Site Visit Report 20220324, Item 6:
Electrical</v>
      </c>
      <c r="E201" s="6" t="str" cm="1">
        <f t="array" ref="E201">_xlfn.LET(
_xlpm.inTower, COUNTIF(Tower_Num_Table[Tower Rm Numbers], LEFT(Task_Summary_Table[[#This Row],[Area/Room]], 3)) &gt; 0,
_xlpm.typeResult, _xlfn.SWITCH(LEFT(Tasks[[#This Row],[Page]], 2), "Hi", "Historic", "An", "Annex", "Si", "Site", "S5", "Project Task", "SWITCH ERROR"),
IF(_xlpm.inTower, "West Tower", _xlpm.typeResult)
)</f>
        <v>Annex</v>
      </c>
      <c r="F201" t="str">
        <f>IFERROR(MID(Tasks[[#This Row],[Page]], FIND("Level", Tasks[[#This Row],[Page]]), 7), IF(ISNUMBER(FIND("Roof", Tasks[[#This Row],[Page]])), "Roof",  IF(ISNUMBER(FIND("S590", Tasks[[#This Row],[Page]])), "",  IF(ISNUMBER(FIND("Site", Tasks[[#This Row],[Page]])), "", "ERROR"))))</f>
        <v>Level 0</v>
      </c>
      <c r="G201" t="str">
        <f>IF(Tasks[[#This Row],[Location]]=0, "", Tasks[[#This Row],[Location]])</f>
        <v/>
      </c>
      <c r="H201" t="str">
        <f>Tasks[[#This Row],[To Package]]</f>
        <v>HVAC</v>
      </c>
      <c r="I201" t="str">
        <f>Tasks[[#This Row],[To Organisation]]</f>
        <v>US Mechanical</v>
      </c>
    </row>
    <row r="202" spans="1:9" x14ac:dyDescent="0.35">
      <c r="A202" s="9" t="str">
        <f>HYPERLINK(_xlfn.CONCAT(Edit_URL,Tasks[[#This Row],[Ref]]),Tasks[[#This Row],[Ref]])</f>
        <v>T1.9629054</v>
      </c>
      <c r="B202" s="6" t="str" cm="1">
        <f t="array" ref="B202">_xlfn.SWITCH(LEFT(Tasks[[#This Row],[Status]],1),"O","Opened","C","Completed","S","Signed Off","ERROR")</f>
        <v>Opened</v>
      </c>
      <c r="C202" s="6" t="str" cm="1">
        <f t="array" ref="C202">_xlfn.SWITCH(LEFT(Tasks[[#This Row],[Type]], 2), "Fi", "Field Report", "Co", "Contractor QC", "Ge", "Contractor QC", "Pu", "Punch List")</f>
        <v>Field Report</v>
      </c>
      <c r="D202" s="6" t="str">
        <f>LEFT(Tasks[[#This Row],[Description]], 50)</f>
        <v>CxA Site Visit Report 20220324, Item 5:
Insulation</v>
      </c>
      <c r="E202" s="6" t="str" cm="1">
        <f t="array" ref="E202">_xlfn.LET(
_xlpm.inTower, COUNTIF(Tower_Num_Table[Tower Rm Numbers], LEFT(Task_Summary_Table[[#This Row],[Area/Room]], 3)) &gt; 0,
_xlpm.typeResult, _xlfn.SWITCH(LEFT(Tasks[[#This Row],[Page]], 2), "Hi", "Historic", "An", "Annex", "Si", "Site", "S5", "Project Task", "SWITCH ERROR"),
IF(_xlpm.inTower, "West Tower", _xlpm.typeResult)
)</f>
        <v>Annex</v>
      </c>
      <c r="F202" t="str">
        <f>IFERROR(MID(Tasks[[#This Row],[Page]], FIND("Level", Tasks[[#This Row],[Page]]), 7), IF(ISNUMBER(FIND("Roof", Tasks[[#This Row],[Page]])), "Roof",  IF(ISNUMBER(FIND("S590", Tasks[[#This Row],[Page]])), "",  IF(ISNUMBER(FIND("Site", Tasks[[#This Row],[Page]])), "", "ERROR"))))</f>
        <v>Level 0</v>
      </c>
      <c r="G202" t="str">
        <f>IF(Tasks[[#This Row],[Location]]=0, "", Tasks[[#This Row],[Location]])</f>
        <v/>
      </c>
      <c r="H202" t="str">
        <f>Tasks[[#This Row],[To Package]]</f>
        <v>Plumbing</v>
      </c>
      <c r="I202" t="str">
        <f>Tasks[[#This Row],[To Organisation]]</f>
        <v>US Mechanical</v>
      </c>
    </row>
    <row r="203" spans="1:9" x14ac:dyDescent="0.35">
      <c r="A203" s="9" t="str">
        <f>HYPERLINK(_xlfn.CONCAT(Edit_URL,Tasks[[#This Row],[Ref]]),Tasks[[#This Row],[Ref]])</f>
        <v>T1.9629051</v>
      </c>
      <c r="B203" s="6" t="str" cm="1">
        <f t="array" ref="B203">_xlfn.SWITCH(LEFT(Tasks[[#This Row],[Status]],1),"O","Opened","C","Completed","S","Signed Off","ERROR")</f>
        <v>Opened</v>
      </c>
      <c r="C203" s="6" t="str" cm="1">
        <f t="array" ref="C203">_xlfn.SWITCH(LEFT(Tasks[[#This Row],[Type]], 2), "Fi", "Field Report", "Co", "Contractor QC", "Ge", "Contractor QC", "Pu", "Punch List")</f>
        <v>Field Report</v>
      </c>
      <c r="D203" s="6" t="str">
        <f>LEFT(Tasks[[#This Row],[Description]], 50)</f>
        <v xml:space="preserve">CxA Site Visit Report 20220324, Item 4:
SG-4A Top </v>
      </c>
      <c r="E203" s="6" t="str" cm="1">
        <f t="array" ref="E203">_xlfn.LET(
_xlpm.inTower, COUNTIF(Tower_Num_Table[Tower Rm Numbers], LEFT(Task_Summary_Table[[#This Row],[Area/Room]], 3)) &gt; 0,
_xlpm.typeResult, _xlfn.SWITCH(LEFT(Tasks[[#This Row],[Page]], 2), "Hi", "Historic", "An", "Annex", "Si", "Site", "S5", "Project Task", "SWITCH ERROR"),
IF(_xlpm.inTower, "West Tower", _xlpm.typeResult)
)</f>
        <v>Annex</v>
      </c>
      <c r="F203" t="str">
        <f>IFERROR(MID(Tasks[[#This Row],[Page]], FIND("Level", Tasks[[#This Row],[Page]]), 7), IF(ISNUMBER(FIND("Roof", Tasks[[#This Row],[Page]])), "Roof",  IF(ISNUMBER(FIND("S590", Tasks[[#This Row],[Page]])), "",  IF(ISNUMBER(FIND("Site", Tasks[[#This Row],[Page]])), "", "ERROR"))))</f>
        <v>Level 0</v>
      </c>
      <c r="G203" t="str">
        <f>IF(Tasks[[#This Row],[Location]]=0, "", Tasks[[#This Row],[Location]])</f>
        <v/>
      </c>
      <c r="H203" t="str">
        <f>Tasks[[#This Row],[To Package]]</f>
        <v>Plumbing</v>
      </c>
      <c r="I203" t="str">
        <f>Tasks[[#This Row],[To Organisation]]</f>
        <v>US Mechanical</v>
      </c>
    </row>
    <row r="204" spans="1:9" x14ac:dyDescent="0.35">
      <c r="A204" s="9" t="str">
        <f>HYPERLINK(_xlfn.CONCAT(Edit_URL,Tasks[[#This Row],[Ref]]),Tasks[[#This Row],[Ref]])</f>
        <v>T1.9629039</v>
      </c>
      <c r="B204" s="6" t="str" cm="1">
        <f t="array" ref="B204">_xlfn.SWITCH(LEFT(Tasks[[#This Row],[Status]],1),"O","Opened","C","Completed","S","Signed Off","ERROR")</f>
        <v>Opened</v>
      </c>
      <c r="C204" s="6" t="str" cm="1">
        <f t="array" ref="C204">_xlfn.SWITCH(LEFT(Tasks[[#This Row],[Type]], 2), "Fi", "Field Report", "Co", "Contractor QC", "Ge", "Contractor QC", "Pu", "Punch List")</f>
        <v>Field Report</v>
      </c>
      <c r="D204" s="6" t="str">
        <f>LEFT(Tasks[[#This Row],[Description]], 50)</f>
        <v>CxA Site Visit Report 20220324, Item 3:
FC 0-02 Dr</v>
      </c>
      <c r="E204" s="6" t="str" cm="1">
        <f t="array" ref="E204">_xlfn.LET(
_xlpm.inTower, COUNTIF(Tower_Num_Table[Tower Rm Numbers], LEFT(Task_Summary_Table[[#This Row],[Area/Room]], 3)) &gt; 0,
_xlpm.typeResult, _xlfn.SWITCH(LEFT(Tasks[[#This Row],[Page]], 2), "Hi", "Historic", "An", "Annex", "Si", "Site", "S5", "Project Task", "SWITCH ERROR"),
IF(_xlpm.inTower, "West Tower", _xlpm.typeResult)
)</f>
        <v>Annex</v>
      </c>
      <c r="F204" t="str">
        <f>IFERROR(MID(Tasks[[#This Row],[Page]], FIND("Level", Tasks[[#This Row],[Page]]), 7), IF(ISNUMBER(FIND("Roof", Tasks[[#This Row],[Page]])), "Roof",  IF(ISNUMBER(FIND("S590", Tasks[[#This Row],[Page]])), "",  IF(ISNUMBER(FIND("Site", Tasks[[#This Row],[Page]])), "", "ERROR"))))</f>
        <v>Level 0</v>
      </c>
      <c r="G204" t="str">
        <f>IF(Tasks[[#This Row],[Location]]=0, "", Tasks[[#This Row],[Location]])</f>
        <v/>
      </c>
      <c r="H204" t="str">
        <f>Tasks[[#This Row],[To Package]]</f>
        <v>Plumbing</v>
      </c>
      <c r="I204" t="str">
        <f>Tasks[[#This Row],[To Organisation]]</f>
        <v>US Mechanical</v>
      </c>
    </row>
    <row r="205" spans="1:9" x14ac:dyDescent="0.35">
      <c r="A205" s="9" t="str">
        <f>HYPERLINK(_xlfn.CONCAT(Edit_URL,Tasks[[#This Row],[Ref]]),Tasks[[#This Row],[Ref]])</f>
        <v>T1.9629037</v>
      </c>
      <c r="B205" s="6" t="str" cm="1">
        <f t="array" ref="B205">_xlfn.SWITCH(LEFT(Tasks[[#This Row],[Status]],1),"O","Opened","C","Completed","S","Signed Off","ERROR")</f>
        <v>Opened</v>
      </c>
      <c r="C205" s="6" t="str" cm="1">
        <f t="array" ref="C205">_xlfn.SWITCH(LEFT(Tasks[[#This Row],[Type]], 2), "Fi", "Field Report", "Co", "Contractor QC", "Ge", "Contractor QC", "Pu", "Punch List")</f>
        <v>Field Report</v>
      </c>
      <c r="D205" s="6" t="str">
        <f>LEFT(Tasks[[#This Row],[Description]], 50)</f>
        <v>CxA Site Visit Report 20220324, Item 2:
Pipe Insul</v>
      </c>
      <c r="E205" s="6" t="str" cm="1">
        <f t="array" ref="E205">_xlfn.LET(
_xlpm.inTower, COUNTIF(Tower_Num_Table[Tower Rm Numbers], LEFT(Task_Summary_Table[[#This Row],[Area/Room]], 3)) &gt; 0,
_xlpm.typeResult, _xlfn.SWITCH(LEFT(Tasks[[#This Row],[Page]], 2), "Hi", "Historic", "An", "Annex", "Si", "Site", "S5", "Project Task", "SWITCH ERROR"),
IF(_xlpm.inTower, "West Tower", _xlpm.typeResult)
)</f>
        <v>Annex</v>
      </c>
      <c r="F205" t="str">
        <f>IFERROR(MID(Tasks[[#This Row],[Page]], FIND("Level", Tasks[[#This Row],[Page]]), 7), IF(ISNUMBER(FIND("Roof", Tasks[[#This Row],[Page]])), "Roof",  IF(ISNUMBER(FIND("S590", Tasks[[#This Row],[Page]])), "",  IF(ISNUMBER(FIND("Site", Tasks[[#This Row],[Page]])), "", "ERROR"))))</f>
        <v>Level 0</v>
      </c>
      <c r="G205" t="str">
        <f>IF(Tasks[[#This Row],[Location]]=0, "", Tasks[[#This Row],[Location]])</f>
        <v/>
      </c>
      <c r="H205" t="str">
        <f>Tasks[[#This Row],[To Package]]</f>
        <v>Plumbing</v>
      </c>
      <c r="I205" t="str">
        <f>Tasks[[#This Row],[To Organisation]]</f>
        <v>US Mechanical</v>
      </c>
    </row>
    <row r="206" spans="1:9" x14ac:dyDescent="0.35">
      <c r="A206" s="9" t="str">
        <f>HYPERLINK(_xlfn.CONCAT(Edit_URL,Tasks[[#This Row],[Ref]]),Tasks[[#This Row],[Ref]])</f>
        <v>T1.9629025</v>
      </c>
      <c r="B206" s="6" t="str" cm="1">
        <f t="array" ref="B206">_xlfn.SWITCH(LEFT(Tasks[[#This Row],[Status]],1),"O","Opened","C","Completed","S","Signed Off","ERROR")</f>
        <v>Completed</v>
      </c>
      <c r="C206" s="6" t="str" cm="1">
        <f t="array" ref="C206">_xlfn.SWITCH(LEFT(Tasks[[#This Row],[Type]], 2), "Fi", "Field Report", "Co", "Contractor QC", "Ge", "Contractor QC", "Pu", "Punch List")</f>
        <v>Field Report</v>
      </c>
      <c r="D206" s="6" t="str">
        <f>LEFT(Tasks[[#This Row],[Description]], 50)</f>
        <v>CxA Site Visit Report 2022.03.24, Item 1:
FC-01 by</v>
      </c>
      <c r="E206" s="6" t="str" cm="1">
        <f t="array" ref="E206">_xlfn.LET(
_xlpm.inTower, COUNTIF(Tower_Num_Table[Tower Rm Numbers], LEFT(Task_Summary_Table[[#This Row],[Area/Room]], 3)) &gt; 0,
_xlpm.typeResult, _xlfn.SWITCH(LEFT(Tasks[[#This Row],[Page]], 2), "Hi", "Historic", "An", "Annex", "Si", "Site", "S5", "Project Task", "SWITCH ERROR"),
IF(_xlpm.inTower, "West Tower", _xlpm.typeResult)
)</f>
        <v>Annex</v>
      </c>
      <c r="F206" t="str">
        <f>IFERROR(MID(Tasks[[#This Row],[Page]], FIND("Level", Tasks[[#This Row],[Page]]), 7), IF(ISNUMBER(FIND("Roof", Tasks[[#This Row],[Page]])), "Roof",  IF(ISNUMBER(FIND("S590", Tasks[[#This Row],[Page]])), "",  IF(ISNUMBER(FIND("Site", Tasks[[#This Row],[Page]])), "", "ERROR"))))</f>
        <v>Level 0</v>
      </c>
      <c r="G206" t="str">
        <f>IF(Tasks[[#This Row],[Location]]=0, "", Tasks[[#This Row],[Location]])</f>
        <v/>
      </c>
      <c r="H206" t="str">
        <f>Tasks[[#This Row],[To Package]]</f>
        <v>HVAC</v>
      </c>
      <c r="I206" t="str">
        <f>Tasks[[#This Row],[To Organisation]]</f>
        <v>US Mechanical</v>
      </c>
    </row>
    <row r="207" spans="1:9" x14ac:dyDescent="0.35">
      <c r="A207" s="9" t="str">
        <f>HYPERLINK(_xlfn.CONCAT(Edit_URL,Tasks[[#This Row],[Ref]]),Tasks[[#This Row],[Ref]])</f>
        <v>T55794.6</v>
      </c>
      <c r="B207" s="6" t="str" cm="1">
        <f t="array" ref="B207">_xlfn.SWITCH(LEFT(Tasks[[#This Row],[Status]],1),"O","Opened","C","Completed","S","Signed Off","ERROR")</f>
        <v>Signed Off</v>
      </c>
      <c r="C207" s="6" t="str" cm="1">
        <f t="array" ref="C207">_xlfn.SWITCH(LEFT(Tasks[[#This Row],[Type]], 2), "Fi", "Field Report", "Co", "Contractor QC", "Ge", "Contractor QC", "Pu", "Punch List")</f>
        <v>Contractor QC</v>
      </c>
      <c r="D207" s="6" t="str">
        <f>LEFT(Tasks[[#This Row],[Description]], 50)</f>
        <v xml:space="preserve">Verify flex conduit is rated to pass through wall </v>
      </c>
      <c r="E207" s="6" t="str" cm="1">
        <f t="array" ref="E207">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7" t="str">
        <f>IFERROR(MID(Tasks[[#This Row],[Page]], FIND("Level", Tasks[[#This Row],[Page]]), 7), IF(ISNUMBER(FIND("Roof", Tasks[[#This Row],[Page]])), "Roof",  IF(ISNUMBER(FIND("S590", Tasks[[#This Row],[Page]])), "",  IF(ISNUMBER(FIND("Site", Tasks[[#This Row],[Page]])), "", "ERROR"))))</f>
        <v>Level 1</v>
      </c>
      <c r="G207" t="str">
        <f>IF(Tasks[[#This Row],[Location]]=0, "", Tasks[[#This Row],[Location]])</f>
        <v>189 - Jan</v>
      </c>
      <c r="H207" t="str">
        <f>Tasks[[#This Row],[To Package]]</f>
        <v>Electrical</v>
      </c>
      <c r="I207" t="str">
        <f>Tasks[[#This Row],[To Organisation]]</f>
        <v>Wilkinson Electric Inc</v>
      </c>
    </row>
    <row r="208" spans="1:9" x14ac:dyDescent="0.35">
      <c r="A208" s="9" t="str">
        <f>HYPERLINK(_xlfn.CONCAT(Edit_URL,Tasks[[#This Row],[Ref]]),Tasks[[#This Row],[Ref]])</f>
        <v>T55794.5</v>
      </c>
      <c r="B208" s="6" t="str" cm="1">
        <f t="array" ref="B208">_xlfn.SWITCH(LEFT(Tasks[[#This Row],[Status]],1),"O","Opened","C","Completed","S","Signed Off","ERROR")</f>
        <v>Signed Off</v>
      </c>
      <c r="C208" s="6" t="str" cm="1">
        <f t="array" ref="C208">_xlfn.SWITCH(LEFT(Tasks[[#This Row],[Type]], 2), "Fi", "Field Report", "Co", "Contractor QC", "Ge", "Contractor QC", "Pu", "Punch List")</f>
        <v>Contractor QC</v>
      </c>
      <c r="D208" s="6" t="str">
        <f>LEFT(Tasks[[#This Row],[Description]], 50)</f>
        <v>align electrical sconce rough in with plumbing and</v>
      </c>
      <c r="E208" s="6" t="str" cm="1">
        <f t="array" ref="E2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F208" t="str">
        <f>IFERROR(MID(Tasks[[#This Row],[Page]], FIND("Level", Tasks[[#This Row],[Page]]), 7), IF(ISNUMBER(FIND("Roof", Tasks[[#This Row],[Page]])), "Roof",  IF(ISNUMBER(FIND("S590", Tasks[[#This Row],[Page]])), "",  IF(ISNUMBER(FIND("Site", Tasks[[#This Row],[Page]])), "", "ERROR"))))</f>
        <v>Level 1</v>
      </c>
      <c r="G208" t="str">
        <f>IF(Tasks[[#This Row],[Location]]=0, "", Tasks[[#This Row],[Location]])</f>
        <v>187 - Mens Restroom</v>
      </c>
      <c r="H208" t="str">
        <f>Tasks[[#This Row],[To Package]]</f>
        <v>Electrical</v>
      </c>
      <c r="I208" t="str">
        <f>Tasks[[#This Row],[To Organisation]]</f>
        <v>Wilkinson Electric Inc</v>
      </c>
    </row>
    <row r="209" spans="1:9" x14ac:dyDescent="0.35">
      <c r="A209" s="9" t="str">
        <f>HYPERLINK(_xlfn.CONCAT(Edit_URL,Tasks[[#This Row],[Ref]]),Tasks[[#This Row],[Ref]])</f>
        <v>T55794.4</v>
      </c>
      <c r="B209" s="6" t="str" cm="1">
        <f t="array" ref="B209">_xlfn.SWITCH(LEFT(Tasks[[#This Row],[Status]],1),"O","Opened","C","Completed","S","Signed Off","ERROR")</f>
        <v>Opened</v>
      </c>
      <c r="C209" s="6" t="str" cm="1">
        <f t="array" ref="C209">_xlfn.SWITCH(LEFT(Tasks[[#This Row],[Type]], 2), "Fi", "Field Report", "Co", "Contractor QC", "Ge", "Contractor QC", "Pu", "Punch List")</f>
        <v>Punch List</v>
      </c>
      <c r="D209" s="6" t="str">
        <f>LEFT(Tasks[[#This Row],[Description]], 50)</f>
        <v>Fire Proofing needs to be replaced at floor deck a</v>
      </c>
      <c r="E209" s="6" t="str" cm="1">
        <f t="array" ref="E209">_xlfn.LET(
_xlpm.inTower, COUNTIF(Tower_Num_Table[Tower Rm Numbers], LEFT(Task_Summary_Table[[#This Row],[Area/Room]], 3)) &gt; 0,
_xlpm.typeResult, _xlfn.SWITCH(LEFT(Tasks[[#This Row],[Page]], 2), "Hi", "Historic", "An", "Annex", "Si", "Site", "S5", "Project Task", "SWITCH ERROR"),
IF(_xlpm.inTower, "West Tower", _xlpm.typeResult)
)</f>
        <v>Annex</v>
      </c>
      <c r="F209" t="str">
        <f>IFERROR(MID(Tasks[[#This Row],[Page]], FIND("Level", Tasks[[#This Row],[Page]]), 7), IF(ISNUMBER(FIND("Roof", Tasks[[#This Row],[Page]])), "Roof",  IF(ISNUMBER(FIND("S590", Tasks[[#This Row],[Page]])), "",  IF(ISNUMBER(FIND("Site", Tasks[[#This Row],[Page]])), "", "ERROR"))))</f>
        <v>Level 0</v>
      </c>
      <c r="G209" t="str">
        <f>IF(Tasks[[#This Row],[Location]]=0, "", Tasks[[#This Row],[Location]])</f>
        <v>001 - North Mechanical</v>
      </c>
      <c r="H209" t="str">
        <f>Tasks[[#This Row],[To Package]]</f>
        <v>HVAC</v>
      </c>
      <c r="I209" t="str">
        <f>Tasks[[#This Row],[To Organisation]]</f>
        <v>US Mechanical</v>
      </c>
    </row>
    <row r="210" spans="1:9" x14ac:dyDescent="0.35">
      <c r="A210" s="9" t="str">
        <f>HYPERLINK(_xlfn.CONCAT(Edit_URL,Tasks[[#This Row],[Ref]]),Tasks[[#This Row],[Ref]])</f>
        <v>T1.9628307</v>
      </c>
      <c r="B210" s="6" t="str" cm="1">
        <f t="array" ref="B210">_xlfn.SWITCH(LEFT(Tasks[[#This Row],[Status]],1),"O","Opened","C","Completed","S","Signed Off","ERROR")</f>
        <v>Signed Off</v>
      </c>
      <c r="C210" s="6" t="str" cm="1">
        <f t="array" ref="C210">_xlfn.SWITCH(LEFT(Tasks[[#This Row],[Type]], 2), "Fi", "Field Report", "Co", "Contractor QC", "Ge", "Contractor QC", "Pu", "Punch List")</f>
        <v>Contractor QC</v>
      </c>
      <c r="D210" s="6" t="str">
        <f>LEFT(Tasks[[#This Row],[Description]], 50)</f>
        <v>Cat 6 Wire for Session Clocks not per specificatio</v>
      </c>
      <c r="E210" s="6" t="str" cm="1">
        <f t="array" ref="E21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0" t="str">
        <f>IFERROR(MID(Tasks[[#This Row],[Page]], FIND("Level", Tasks[[#This Row],[Page]]), 7), IF(ISNUMBER(FIND("Roof", Tasks[[#This Row],[Page]])), "Roof",  IF(ISNUMBER(FIND("S590", Tasks[[#This Row],[Page]])), "",  IF(ISNUMBER(FIND("Site", Tasks[[#This Row],[Page]])), "", "ERROR"))))</f>
        <v/>
      </c>
      <c r="G210" t="str">
        <f>IF(Tasks[[#This Row],[Location]]=0, "", Tasks[[#This Row],[Location]])</f>
        <v/>
      </c>
      <c r="H210" t="str">
        <f>Tasks[[#This Row],[To Package]]</f>
        <v>Electrical</v>
      </c>
      <c r="I210" t="str">
        <f>Tasks[[#This Row],[To Organisation]]</f>
        <v>Wilkinson Electric Inc</v>
      </c>
    </row>
    <row r="211" spans="1:9" x14ac:dyDescent="0.35">
      <c r="A211" s="9" t="str">
        <f>HYPERLINK(_xlfn.CONCAT(Edit_URL,Tasks[[#This Row],[Ref]]),Tasks[[#This Row],[Ref]])</f>
        <v>T55794.3</v>
      </c>
      <c r="B211" s="6" t="str" cm="1">
        <f t="array" ref="B211">_xlfn.SWITCH(LEFT(Tasks[[#This Row],[Status]],1),"O","Opened","C","Completed","S","Signed Off","ERROR")</f>
        <v>Completed</v>
      </c>
      <c r="C211" s="6" t="str" cm="1">
        <f t="array" ref="C211">_xlfn.SWITCH(LEFT(Tasks[[#This Row],[Type]], 2), "Fi", "Field Report", "Co", "Contractor QC", "Ge", "Contractor QC", "Pu", "Punch List")</f>
        <v>Punch List</v>
      </c>
      <c r="D211" s="6" t="str">
        <f>LEFT(Tasks[[#This Row],[Description]], 50)</f>
        <v>Fire sprinkler installed over electrical panels ne</v>
      </c>
      <c r="E211" s="6" t="str" cm="1">
        <f t="array" ref="E211">_xlfn.LET(
_xlpm.inTower, COUNTIF(Tower_Num_Table[Tower Rm Numbers], LEFT(Task_Summary_Table[[#This Row],[Area/Room]], 3)) &gt; 0,
_xlpm.typeResult, _xlfn.SWITCH(LEFT(Tasks[[#This Row],[Page]], 2), "Hi", "Historic", "An", "Annex", "Si", "Site", "S5", "Project Task", "SWITCH ERROR"),
IF(_xlpm.inTower, "West Tower", _xlpm.typeResult)
)</f>
        <v>Annex</v>
      </c>
      <c r="F211" t="str">
        <f>IFERROR(MID(Tasks[[#This Row],[Page]], FIND("Level", Tasks[[#This Row],[Page]]), 7), IF(ISNUMBER(FIND("Roof", Tasks[[#This Row],[Page]])), "Roof",  IF(ISNUMBER(FIND("S590", Tasks[[#This Row],[Page]])), "",  IF(ISNUMBER(FIND("Site", Tasks[[#This Row],[Page]])), "", "ERROR"))))</f>
        <v>Level 0</v>
      </c>
      <c r="G211" t="str">
        <f>IF(Tasks[[#This Row],[Location]]=0, "", Tasks[[#This Row],[Location]])</f>
        <v>040 - Elec.</v>
      </c>
      <c r="H211" t="str">
        <f>Tasks[[#This Row],[To Package]]</f>
        <v>Fire Suppression</v>
      </c>
      <c r="I211" t="str">
        <f>Tasks[[#This Row],[To Organisation]]</f>
        <v>Broken Arrow Construction Corporation</v>
      </c>
    </row>
    <row r="212" spans="1:9" x14ac:dyDescent="0.35">
      <c r="A212" s="9" t="str">
        <f>HYPERLINK(_xlfn.CONCAT(Edit_URL,Tasks[[#This Row],[Ref]]),Tasks[[#This Row],[Ref]])</f>
        <v>T55794.2</v>
      </c>
      <c r="B212" s="6" t="str" cm="1">
        <f t="array" ref="B212">_xlfn.SWITCH(LEFT(Tasks[[#This Row],[Status]],1),"O","Opened","C","Completed","S","Signed Off","ERROR")</f>
        <v>Opened</v>
      </c>
      <c r="C212" s="6" t="str" cm="1">
        <f t="array" ref="C212">_xlfn.SWITCH(LEFT(Tasks[[#This Row],[Type]], 2), "Fi", "Field Report", "Co", "Contractor QC", "Ge", "Contractor QC", "Pu", "Punch List")</f>
        <v>Punch List</v>
      </c>
      <c r="D212" s="6" t="str">
        <f>LEFT(Tasks[[#This Row],[Description]], 50)</f>
        <v>Fire sprinkler sidewalls are not at same elevation</v>
      </c>
      <c r="E212" s="6" t="str" cm="1">
        <f t="array" ref="E212">_xlfn.LET(
_xlpm.inTower, COUNTIF(Tower_Num_Table[Tower Rm Numbers], LEFT(Task_Summary_Table[[#This Row],[Area/Room]], 3)) &gt; 0,
_xlpm.typeResult, _xlfn.SWITCH(LEFT(Tasks[[#This Row],[Page]], 2), "Hi", "Historic", "An", "Annex", "Si", "Site", "S5", "Project Task", "SWITCH ERROR"),
IF(_xlpm.inTower, "West Tower", _xlpm.typeResult)
)</f>
        <v>Historic</v>
      </c>
      <c r="F212" t="str">
        <f>IFERROR(MID(Tasks[[#This Row],[Page]], FIND("Level", Tasks[[#This Row],[Page]]), 7), IF(ISNUMBER(FIND("Roof", Tasks[[#This Row],[Page]])), "Roof",  IF(ISNUMBER(FIND("S590", Tasks[[#This Row],[Page]])), "",  IF(ISNUMBER(FIND("Site", Tasks[[#This Row],[Page]])), "", "ERROR"))))</f>
        <v>Level 3</v>
      </c>
      <c r="G212" t="str">
        <f>IF(Tasks[[#This Row],[Location]]=0, "", Tasks[[#This Row],[Location]])</f>
        <v>318 - Instruction 4</v>
      </c>
      <c r="H212" t="str">
        <f>Tasks[[#This Row],[To Package]]</f>
        <v>Fire Suppression</v>
      </c>
      <c r="I212" t="str">
        <f>Tasks[[#This Row],[To Organisation]]</f>
        <v>Broken Arrow Construction Corporation</v>
      </c>
    </row>
    <row r="213" spans="1:9" x14ac:dyDescent="0.35">
      <c r="A213" s="9" t="str">
        <f>HYPERLINK(_xlfn.CONCAT(Edit_URL,Tasks[[#This Row],[Ref]]),Tasks[[#This Row],[Ref]])</f>
        <v>T1.9619197</v>
      </c>
      <c r="B213" s="6" t="str" cm="1">
        <f t="array" ref="B213">_xlfn.SWITCH(LEFT(Tasks[[#This Row],[Status]],1),"O","Opened","C","Completed","S","Signed Off","ERROR")</f>
        <v>Signed Off</v>
      </c>
      <c r="C213" s="6" t="str" cm="1">
        <f t="array" ref="C213">_xlfn.SWITCH(LEFT(Tasks[[#This Row],[Type]], 2), "Fi", "Field Report", "Co", "Contractor QC", "Ge", "Contractor QC", "Pu", "Punch List")</f>
        <v>Punch List</v>
      </c>
      <c r="D213" s="6" t="str">
        <f>LEFT(Tasks[[#This Row],[Description]], 50)</f>
        <v xml:space="preserve">Office 112 - Wall outlets uneven on east wall. </v>
      </c>
      <c r="E213" s="6" t="str" cm="1">
        <f t="array" ref="E213">_xlfn.LET(
_xlpm.inTower, COUNTIF(Tower_Num_Table[Tower Rm Numbers], LEFT(Task_Summary_Table[[#This Row],[Area/Room]], 3)) &gt; 0,
_xlpm.typeResult, _xlfn.SWITCH(LEFT(Tasks[[#This Row],[Page]], 2), "Hi", "Historic", "An", "Annex", "Si", "Site", "S5", "Project Task", "SWITCH ERROR"),
IF(_xlpm.inTower, "West Tower", _xlpm.typeResult)
)</f>
        <v>Annex</v>
      </c>
      <c r="F213" t="str">
        <f>IFERROR(MID(Tasks[[#This Row],[Page]], FIND("Level", Tasks[[#This Row],[Page]]), 7), IF(ISNUMBER(FIND("Roof", Tasks[[#This Row],[Page]])), "Roof",  IF(ISNUMBER(FIND("S590", Tasks[[#This Row],[Page]])), "",  IF(ISNUMBER(FIND("Site", Tasks[[#This Row],[Page]])), "", "ERROR"))))</f>
        <v>Level 1</v>
      </c>
      <c r="G213" t="str">
        <f>IF(Tasks[[#This Row],[Location]]=0, "", Tasks[[#This Row],[Location]])</f>
        <v/>
      </c>
      <c r="H213" t="str">
        <f>Tasks[[#This Row],[To Package]]</f>
        <v>Electrical</v>
      </c>
      <c r="I213" t="str">
        <f>Tasks[[#This Row],[To Organisation]]</f>
        <v>Wilkinson Electric Inc</v>
      </c>
    </row>
    <row r="214" spans="1:9" x14ac:dyDescent="0.35">
      <c r="A214" s="9" t="str">
        <f>HYPERLINK(_xlfn.CONCAT(Edit_URL,Tasks[[#This Row],[Ref]]),Tasks[[#This Row],[Ref]])</f>
        <v>T1.9618560</v>
      </c>
      <c r="B214" s="6" t="str" cm="1">
        <f t="array" ref="B214">_xlfn.SWITCH(LEFT(Tasks[[#This Row],[Status]],1),"O","Opened","C","Completed","S","Signed Off","ERROR")</f>
        <v>Opened</v>
      </c>
      <c r="C214" s="6" t="str" cm="1">
        <f t="array" ref="C214">_xlfn.SWITCH(LEFT(Tasks[[#This Row],[Type]], 2), "Fi", "Field Report", "Co", "Contractor QC", "Ge", "Contractor QC", "Pu", "Punch List")</f>
        <v>Field Report</v>
      </c>
      <c r="D214" s="6" t="str">
        <f>LEFT(Tasks[[#This Row],[Description]], 50)</f>
        <v>StGeorge Site Visit Report 20220223, Item 6:
PPR p</v>
      </c>
      <c r="E214" s="6" t="str" cm="1">
        <f t="array" ref="E21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4" t="str">
        <f>IFERROR(MID(Tasks[[#This Row],[Page]], FIND("Level", Tasks[[#This Row],[Page]]), 7), IF(ISNUMBER(FIND("Roof", Tasks[[#This Row],[Page]])), "Roof",  IF(ISNUMBER(FIND("S590", Tasks[[#This Row],[Page]])), "",  IF(ISNUMBER(FIND("Site", Tasks[[#This Row],[Page]])), "", "ERROR"))))</f>
        <v/>
      </c>
      <c r="G214" t="str">
        <f>IF(Tasks[[#This Row],[Location]]=0, "", Tasks[[#This Row],[Location]])</f>
        <v/>
      </c>
      <c r="H214" t="str">
        <f>Tasks[[#This Row],[To Package]]</f>
        <v>Plumbing</v>
      </c>
      <c r="I214" t="str">
        <f>Tasks[[#This Row],[To Organisation]]</f>
        <v>US Mechanical</v>
      </c>
    </row>
    <row r="215" spans="1:9" x14ac:dyDescent="0.35">
      <c r="A215" s="9" t="str">
        <f>HYPERLINK(_xlfn.CONCAT(Edit_URL,Tasks[[#This Row],[Ref]]),Tasks[[#This Row],[Ref]])</f>
        <v>T1.9618559</v>
      </c>
      <c r="B215" s="6" t="str" cm="1">
        <f t="array" ref="B215">_xlfn.SWITCH(LEFT(Tasks[[#This Row],[Status]],1),"O","Opened","C","Completed","S","Signed Off","ERROR")</f>
        <v>Opened</v>
      </c>
      <c r="C215" s="6" t="str" cm="1">
        <f t="array" ref="C215">_xlfn.SWITCH(LEFT(Tasks[[#This Row],[Type]], 2), "Fi", "Field Report", "Co", "Contractor QC", "Ge", "Contractor QC", "Pu", "Punch List")</f>
        <v>Field Report</v>
      </c>
      <c r="D215" s="6" t="str">
        <f>LEFT(Tasks[[#This Row],[Description]], 50)</f>
        <v>StGeorge Site Visit Report 20220223, Item 5:
The c</v>
      </c>
      <c r="E215" s="6" t="str" cm="1">
        <f t="array" ref="E2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5" t="str">
        <f>IFERROR(MID(Tasks[[#This Row],[Page]], FIND("Level", Tasks[[#This Row],[Page]]), 7), IF(ISNUMBER(FIND("Roof", Tasks[[#This Row],[Page]])), "Roof",  IF(ISNUMBER(FIND("S590", Tasks[[#This Row],[Page]])), "",  IF(ISNUMBER(FIND("Site", Tasks[[#This Row],[Page]])), "", "ERROR"))))</f>
        <v/>
      </c>
      <c r="G215" t="str">
        <f>IF(Tasks[[#This Row],[Location]]=0, "", Tasks[[#This Row],[Location]])</f>
        <v/>
      </c>
      <c r="H215" t="str">
        <f>Tasks[[#This Row],[To Package]]</f>
        <v>HVAC</v>
      </c>
      <c r="I215" t="str">
        <f>Tasks[[#This Row],[To Organisation]]</f>
        <v>US Mechanical</v>
      </c>
    </row>
    <row r="216" spans="1:9" x14ac:dyDescent="0.35">
      <c r="A216" s="9" t="str">
        <f>HYPERLINK(_xlfn.CONCAT(Edit_URL,Tasks[[#This Row],[Ref]]),Tasks[[#This Row],[Ref]])</f>
        <v>T1.9618558</v>
      </c>
      <c r="B216" s="6" t="str" cm="1">
        <f t="array" ref="B216">_xlfn.SWITCH(LEFT(Tasks[[#This Row],[Status]],1),"O","Opened","C","Completed","S","Signed Off","ERROR")</f>
        <v>Opened</v>
      </c>
      <c r="C216" s="6" t="str" cm="1">
        <f t="array" ref="C216">_xlfn.SWITCH(LEFT(Tasks[[#This Row],[Type]], 2), "Fi", "Field Report", "Co", "Contractor QC", "Ge", "Contractor QC", "Pu", "Punch List")</f>
        <v>Field Report</v>
      </c>
      <c r="D216" s="6" t="str">
        <f>LEFT(Tasks[[#This Row],[Description]], 50)</f>
        <v>StGeorge Site Visit Report 20220223, Item 4:
Pipin</v>
      </c>
      <c r="E216" s="6" t="str" cm="1">
        <f t="array" ref="E21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6" t="str">
        <f>IFERROR(MID(Tasks[[#This Row],[Page]], FIND("Level", Tasks[[#This Row],[Page]]), 7), IF(ISNUMBER(FIND("Roof", Tasks[[#This Row],[Page]])), "Roof",  IF(ISNUMBER(FIND("S590", Tasks[[#This Row],[Page]])), "",  IF(ISNUMBER(FIND("Site", Tasks[[#This Row],[Page]])), "", "ERROR"))))</f>
        <v/>
      </c>
      <c r="G216" t="str">
        <f>IF(Tasks[[#This Row],[Location]]=0, "", Tasks[[#This Row],[Location]])</f>
        <v/>
      </c>
      <c r="H216" t="str">
        <f>Tasks[[#This Row],[To Package]]</f>
        <v>Plumbing</v>
      </c>
      <c r="I216" t="str">
        <f>Tasks[[#This Row],[To Organisation]]</f>
        <v>US Mechanical</v>
      </c>
    </row>
    <row r="217" spans="1:9" x14ac:dyDescent="0.35">
      <c r="A217" s="9" t="str">
        <f>HYPERLINK(_xlfn.CONCAT(Edit_URL,Tasks[[#This Row],[Ref]]),Tasks[[#This Row],[Ref]])</f>
        <v>T1.9618557</v>
      </c>
      <c r="B217" s="6" t="str" cm="1">
        <f t="array" ref="B217">_xlfn.SWITCH(LEFT(Tasks[[#This Row],[Status]],1),"O","Opened","C","Completed","S","Signed Off","ERROR")</f>
        <v>Opened</v>
      </c>
      <c r="C217" s="6" t="str" cm="1">
        <f t="array" ref="C217">_xlfn.SWITCH(LEFT(Tasks[[#This Row],[Type]], 2), "Fi", "Field Report", "Co", "Contractor QC", "Ge", "Contractor QC", "Pu", "Punch List")</f>
        <v>Field Report</v>
      </c>
      <c r="D217" s="6" t="str">
        <f>LEFT(Tasks[[#This Row],[Description]], 50)</f>
        <v>StGeorge Site Visit Report 20220223, Item 2:
Air v</v>
      </c>
      <c r="E217" s="6" t="str" cm="1">
        <f t="array" ref="E217">_xlfn.LET(
_xlpm.inTower, COUNTIF(Tower_Num_Table[Tower Rm Numbers], LEFT(Task_Summary_Table[[#This Row],[Area/Room]], 3)) &gt; 0,
_xlpm.typeResult, _xlfn.SWITCH(LEFT(Tasks[[#This Row],[Page]], 2), "Hi", "Historic", "An", "Annex", "Si", "Site", "S5", "Project Task", "SWITCH ERROR"),
IF(_xlpm.inTower, "West Tower", _xlpm.typeResult)
)</f>
        <v>Historic</v>
      </c>
      <c r="F217" t="str">
        <f>IFERROR(MID(Tasks[[#This Row],[Page]], FIND("Level", Tasks[[#This Row],[Page]]), 7), IF(ISNUMBER(FIND("Roof", Tasks[[#This Row],[Page]])), "Roof",  IF(ISNUMBER(FIND("S590", Tasks[[#This Row],[Page]])), "",  IF(ISNUMBER(FIND("Site", Tasks[[#This Row],[Page]])), "", "ERROR"))))</f>
        <v>Level 0</v>
      </c>
      <c r="G217" t="str">
        <f>IF(Tasks[[#This Row],[Location]]=0, "", Tasks[[#This Row],[Location]])</f>
        <v/>
      </c>
      <c r="H217" t="str">
        <f>Tasks[[#This Row],[To Package]]</f>
        <v>Plumbing</v>
      </c>
      <c r="I217" t="str">
        <f>Tasks[[#This Row],[To Organisation]]</f>
        <v>US Mechanical</v>
      </c>
    </row>
    <row r="218" spans="1:9" x14ac:dyDescent="0.35">
      <c r="A218" s="9" t="str">
        <f>HYPERLINK(_xlfn.CONCAT(Edit_URL,Tasks[[#This Row],[Ref]]),Tasks[[#This Row],[Ref]])</f>
        <v>T1.9618556</v>
      </c>
      <c r="B218" s="6" t="str" cm="1">
        <f t="array" ref="B218">_xlfn.SWITCH(LEFT(Tasks[[#This Row],[Status]],1),"O","Opened","C","Completed","S","Signed Off","ERROR")</f>
        <v>Opened</v>
      </c>
      <c r="C218" s="6" t="str" cm="1">
        <f t="array" ref="C218">_xlfn.SWITCH(LEFT(Tasks[[#This Row],[Type]], 2), "Fi", "Field Report", "Co", "Contractor QC", "Ge", "Contractor QC", "Pu", "Punch List")</f>
        <v>Field Report</v>
      </c>
      <c r="D218" s="6" t="str">
        <f>LEFT(Tasks[[#This Row],[Description]], 50)</f>
        <v>StGeorge Site Visit Report 20220223, Item 1:
The i</v>
      </c>
      <c r="E218" s="6" t="str" cm="1">
        <f t="array" ref="E218">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F218" t="str">
        <f>IFERROR(MID(Tasks[[#This Row],[Page]], FIND("Level", Tasks[[#This Row],[Page]]), 7), IF(ISNUMBER(FIND("Roof", Tasks[[#This Row],[Page]])), "Roof",  IF(ISNUMBER(FIND("S590", Tasks[[#This Row],[Page]])), "",  IF(ISNUMBER(FIND("Site", Tasks[[#This Row],[Page]])), "", "ERROR"))))</f>
        <v/>
      </c>
      <c r="G218" t="str">
        <f>IF(Tasks[[#This Row],[Location]]=0, "", Tasks[[#This Row],[Location]])</f>
        <v/>
      </c>
      <c r="H218" t="str">
        <f>Tasks[[#This Row],[To Package]]</f>
        <v>Plumbing</v>
      </c>
      <c r="I218" t="str">
        <f>Tasks[[#This Row],[To Organisation]]</f>
        <v>US Mechanical</v>
      </c>
    </row>
    <row r="219" spans="1:9" x14ac:dyDescent="0.35">
      <c r="A219" s="9" t="str">
        <f>HYPERLINK(_xlfn.CONCAT(Edit_URL,Tasks[[#This Row],[Ref]]),Tasks[[#This Row],[Ref]])</f>
        <v>T1.9612545</v>
      </c>
      <c r="B219" s="6" t="str" cm="1">
        <f t="array" ref="B219">_xlfn.SWITCH(LEFT(Tasks[[#This Row],[Status]],1),"O","Opened","C","Completed","S","Signed Off","ERROR")</f>
        <v>Opened</v>
      </c>
      <c r="C219" s="6" t="str" cm="1">
        <f t="array" ref="C219">_xlfn.SWITCH(LEFT(Tasks[[#This Row],[Type]], 2), "Fi", "Field Report", "Co", "Contractor QC", "Ge", "Contractor QC", "Pu", "Punch List")</f>
        <v>Field Report</v>
      </c>
      <c r="D219" s="6" t="str">
        <f>LEFT(Tasks[[#This Row],[Description]], 50)</f>
        <v>CxA Field Report 20220113, Item 3:
Pipe Insulation</v>
      </c>
      <c r="E219" s="6" t="str" cm="1">
        <f t="array" ref="E219">_xlfn.LET(
_xlpm.inTower, COUNTIF(Tower_Num_Table[Tower Rm Numbers], LEFT(Task_Summary_Table[[#This Row],[Area/Room]], 3)) &gt; 0,
_xlpm.typeResult, _xlfn.SWITCH(LEFT(Tasks[[#This Row],[Page]], 2), "Hi", "Historic", "An", "Annex", "Si", "Site", "S5", "Project Task", "SWITCH ERROR"),
IF(_xlpm.inTower, "West Tower", _xlpm.typeResult)
)</f>
        <v>Annex</v>
      </c>
      <c r="F219" t="str">
        <f>IFERROR(MID(Tasks[[#This Row],[Page]], FIND("Level", Tasks[[#This Row],[Page]]), 7), IF(ISNUMBER(FIND("Roof", Tasks[[#This Row],[Page]])), "Roof",  IF(ISNUMBER(FIND("S590", Tasks[[#This Row],[Page]])), "",  IF(ISNUMBER(FIND("Site", Tasks[[#This Row],[Page]])), "", "ERROR"))))</f>
        <v>Level 1</v>
      </c>
      <c r="G219" t="str">
        <f>IF(Tasks[[#This Row],[Location]]=0, "", Tasks[[#This Row],[Location]])</f>
        <v/>
      </c>
      <c r="H219" t="str">
        <f>Tasks[[#This Row],[To Package]]</f>
        <v>Plumbing</v>
      </c>
      <c r="I219" t="str">
        <f>Tasks[[#This Row],[To Organisation]]</f>
        <v>US Mechanical</v>
      </c>
    </row>
    <row r="220" spans="1:9" x14ac:dyDescent="0.35">
      <c r="A220" s="9" t="str">
        <f>HYPERLINK(_xlfn.CONCAT(Edit_URL,Tasks[[#This Row],[Ref]]),Tasks[[#This Row],[Ref]])</f>
        <v>T1.9612544</v>
      </c>
      <c r="B220" s="6" t="str" cm="1">
        <f t="array" ref="B220">_xlfn.SWITCH(LEFT(Tasks[[#This Row],[Status]],1),"O","Opened","C","Completed","S","Signed Off","ERROR")</f>
        <v>Opened</v>
      </c>
      <c r="C220" s="6" t="str" cm="1">
        <f t="array" ref="C220">_xlfn.SWITCH(LEFT(Tasks[[#This Row],[Type]], 2), "Fi", "Field Report", "Co", "Contractor QC", "Ge", "Contractor QC", "Pu", "Punch List")</f>
        <v>Field Report</v>
      </c>
      <c r="D220" s="6" t="str">
        <f>LEFT(Tasks[[#This Row],[Description]], 50)</f>
        <v>CxA Field Report 20220113, Item 2: 
Pipe Insulatio</v>
      </c>
      <c r="E220" s="6" t="str" cm="1">
        <f t="array" ref="E220">_xlfn.LET(
_xlpm.inTower, COUNTIF(Tower_Num_Table[Tower Rm Numbers], LEFT(Task_Summary_Table[[#This Row],[Area/Room]], 3)) &gt; 0,
_xlpm.typeResult, _xlfn.SWITCH(LEFT(Tasks[[#This Row],[Page]], 2), "Hi", "Historic", "An", "Annex", "Si", "Site", "S5", "Project Task", "SWITCH ERROR"),
IF(_xlpm.inTower, "West Tower", _xlpm.typeResult)
)</f>
        <v>Annex</v>
      </c>
      <c r="F220" t="str">
        <f>IFERROR(MID(Tasks[[#This Row],[Page]], FIND("Level", Tasks[[#This Row],[Page]]), 7), IF(ISNUMBER(FIND("Roof", Tasks[[#This Row],[Page]])), "Roof",  IF(ISNUMBER(FIND("S590", Tasks[[#This Row],[Page]])), "",  IF(ISNUMBER(FIND("Site", Tasks[[#This Row],[Page]])), "", "ERROR"))))</f>
        <v>Level 0</v>
      </c>
      <c r="G220" t="str">
        <f>IF(Tasks[[#This Row],[Location]]=0, "", Tasks[[#This Row],[Location]])</f>
        <v/>
      </c>
      <c r="H220" t="str">
        <f>Tasks[[#This Row],[To Package]]</f>
        <v>HVAC</v>
      </c>
      <c r="I220" t="str">
        <f>Tasks[[#This Row],[To Organisation]]</f>
        <v>US Mechanical</v>
      </c>
    </row>
    <row r="221" spans="1:9" x14ac:dyDescent="0.35">
      <c r="A221" s="9" t="str">
        <f>HYPERLINK(_xlfn.CONCAT(Edit_URL,Tasks[[#This Row],[Ref]]),Tasks[[#This Row],[Ref]])</f>
        <v>T1.9612543</v>
      </c>
      <c r="B221" s="6" t="str" cm="1">
        <f t="array" ref="B221">_xlfn.SWITCH(LEFT(Tasks[[#This Row],[Status]],1),"O","Opened","C","Completed","S","Signed Off","ERROR")</f>
        <v>Completed</v>
      </c>
      <c r="C221" s="6" t="str" cm="1">
        <f t="array" ref="C221">_xlfn.SWITCH(LEFT(Tasks[[#This Row],[Type]], 2), "Fi", "Field Report", "Co", "Contractor QC", "Ge", "Contractor QC", "Pu", "Punch List")</f>
        <v>Field Report</v>
      </c>
      <c r="D221" s="6" t="str">
        <f>LEFT(Tasks[[#This Row],[Description]], 50)</f>
        <v>CxA Field Report 20220113, Item 1: 
Fire Smoke Dam</v>
      </c>
      <c r="E221" s="6" t="str" cm="1">
        <f t="array" ref="E221">_xlfn.LET(
_xlpm.inTower, COUNTIF(Tower_Num_Table[Tower Rm Numbers], LEFT(Task_Summary_Table[[#This Row],[Area/Room]], 3)) &gt; 0,
_xlpm.typeResult, _xlfn.SWITCH(LEFT(Tasks[[#This Row],[Page]], 2), "Hi", "Historic", "An", "Annex", "Si", "Site", "S5", "Project Task", "SWITCH ERROR"),
IF(_xlpm.inTower, "West Tower", _xlpm.typeResult)
)</f>
        <v>Historic</v>
      </c>
      <c r="F221" t="str">
        <f>IFERROR(MID(Tasks[[#This Row],[Page]], FIND("Level", Tasks[[#This Row],[Page]]), 7), IF(ISNUMBER(FIND("Roof", Tasks[[#This Row],[Page]])), "Roof",  IF(ISNUMBER(FIND("S590", Tasks[[#This Row],[Page]])), "",  IF(ISNUMBER(FIND("Site", Tasks[[#This Row],[Page]])), "", "ERROR"))))</f>
        <v>Level 0</v>
      </c>
      <c r="G221" t="str">
        <f>IF(Tasks[[#This Row],[Location]]=0, "", Tasks[[#This Row],[Location]])</f>
        <v/>
      </c>
      <c r="H221" t="str">
        <f>Tasks[[#This Row],[To Package]]</f>
        <v>HVAC</v>
      </c>
      <c r="I221" t="str">
        <f>Tasks[[#This Row],[To Organisation]]</f>
        <v>US Mechanical</v>
      </c>
    </row>
    <row r="222" spans="1:9" x14ac:dyDescent="0.35">
      <c r="A222" s="9" t="str">
        <f>HYPERLINK(_xlfn.CONCAT(Edit_URL,Tasks[[#This Row],[Ref]]),Tasks[[#This Row],[Ref]])</f>
        <v>T1.9606607</v>
      </c>
      <c r="B222" s="6" t="str" cm="1">
        <f t="array" ref="B222">_xlfn.SWITCH(LEFT(Tasks[[#This Row],[Status]],1),"O","Opened","C","Completed","S","Signed Off","ERROR")</f>
        <v>Completed</v>
      </c>
      <c r="C222" s="6" t="str" cm="1">
        <f t="array" ref="C222">_xlfn.SWITCH(LEFT(Tasks[[#This Row],[Type]], 2), "Fi", "Field Report", "Co", "Contractor QC", "Ge", "Contractor QC", "Pu", "Punch List")</f>
        <v>Field Report</v>
      </c>
      <c r="D222" s="6" t="str">
        <f>LEFT(Tasks[[#This Row],[Description]], 50)</f>
        <v>CxA Report 11.30.2021 Item 7: 
AHUs Return Filters</v>
      </c>
      <c r="E222" s="6" t="str" cm="1">
        <f t="array" ref="E222">_xlfn.LET(
_xlpm.inTower, COUNTIF(Tower_Num_Table[Tower Rm Numbers], LEFT(Task_Summary_Table[[#This Row],[Area/Room]], 3)) &gt; 0,
_xlpm.typeResult, _xlfn.SWITCH(LEFT(Tasks[[#This Row],[Page]], 2), "Hi", "Historic", "An", "Annex", "Si", "Site", "S5", "Project Task", "SWITCH ERROR"),
IF(_xlpm.inTower, "West Tower", _xlpm.typeResult)
)</f>
        <v>Annex</v>
      </c>
      <c r="F222" t="str">
        <f>IFERROR(MID(Tasks[[#This Row],[Page]], FIND("Level", Tasks[[#This Row],[Page]]), 7), IF(ISNUMBER(FIND("Roof", Tasks[[#This Row],[Page]])), "Roof",  IF(ISNUMBER(FIND("S590", Tasks[[#This Row],[Page]])), "",  IF(ISNUMBER(FIND("Site", Tasks[[#This Row],[Page]])), "", "ERROR"))))</f>
        <v>Level 0</v>
      </c>
      <c r="G222" t="str">
        <f>IF(Tasks[[#This Row],[Location]]=0, "", Tasks[[#This Row],[Location]])</f>
        <v/>
      </c>
      <c r="H222" t="str">
        <f>Tasks[[#This Row],[To Package]]</f>
        <v>HVAC</v>
      </c>
      <c r="I222" t="str">
        <f>Tasks[[#This Row],[To Organisation]]</f>
        <v>US Mechanical</v>
      </c>
    </row>
    <row r="223" spans="1:9" x14ac:dyDescent="0.35">
      <c r="A223" s="9" t="str">
        <f>HYPERLINK(_xlfn.CONCAT(Edit_URL,Tasks[[#This Row],[Ref]]),Tasks[[#This Row],[Ref]])</f>
        <v>T1.9606606</v>
      </c>
      <c r="B223" s="6" t="str" cm="1">
        <f t="array" ref="B223">_xlfn.SWITCH(LEFT(Tasks[[#This Row],[Status]],1),"O","Opened","C","Completed","S","Signed Off","ERROR")</f>
        <v>Completed</v>
      </c>
      <c r="C223" s="6" t="str" cm="1">
        <f t="array" ref="C223">_xlfn.SWITCH(LEFT(Tasks[[#This Row],[Type]], 2), "Fi", "Field Report", "Co", "Contractor QC", "Ge", "Contractor QC", "Pu", "Punch List")</f>
        <v>Field Report</v>
      </c>
      <c r="D223" s="6" t="str">
        <f>LEFT(Tasks[[#This Row],[Description]], 50)</f>
        <v>CxA Report 11.30.2021 Item 6:
Damaged AHU coil fin</v>
      </c>
      <c r="E223" s="6" t="str" cm="1">
        <f t="array" ref="E223">_xlfn.LET(
_xlpm.inTower, COUNTIF(Tower_Num_Table[Tower Rm Numbers], LEFT(Task_Summary_Table[[#This Row],[Area/Room]], 3)) &gt; 0,
_xlpm.typeResult, _xlfn.SWITCH(LEFT(Tasks[[#This Row],[Page]], 2), "Hi", "Historic", "An", "Annex", "Si", "Site", "S5", "Project Task", "SWITCH ERROR"),
IF(_xlpm.inTower, "West Tower", _xlpm.typeResult)
)</f>
        <v>Annex</v>
      </c>
      <c r="F223" t="str">
        <f>IFERROR(MID(Tasks[[#This Row],[Page]], FIND("Level", Tasks[[#This Row],[Page]]), 7), IF(ISNUMBER(FIND("Roof", Tasks[[#This Row],[Page]])), "Roof",  IF(ISNUMBER(FIND("S590", Tasks[[#This Row],[Page]])), "",  IF(ISNUMBER(FIND("Site", Tasks[[#This Row],[Page]])), "", "ERROR"))))</f>
        <v>Level 0</v>
      </c>
      <c r="G223" t="str">
        <f>IF(Tasks[[#This Row],[Location]]=0, "", Tasks[[#This Row],[Location]])</f>
        <v/>
      </c>
      <c r="H223" t="str">
        <f>Tasks[[#This Row],[To Package]]</f>
        <v>HVAC</v>
      </c>
      <c r="I223" t="str">
        <f>Tasks[[#This Row],[To Organisation]]</f>
        <v>US Mechanical</v>
      </c>
    </row>
    <row r="224" spans="1:9" x14ac:dyDescent="0.35">
      <c r="A224" s="9" t="str">
        <f>HYPERLINK(_xlfn.CONCAT(Edit_URL,Tasks[[#This Row],[Ref]]),Tasks[[#This Row],[Ref]])</f>
        <v>T1.9606604</v>
      </c>
      <c r="B224" s="6" t="str" cm="1">
        <f t="array" ref="B224">_xlfn.SWITCH(LEFT(Tasks[[#This Row],[Status]],1),"O","Opened","C","Completed","S","Signed Off","ERROR")</f>
        <v>Completed</v>
      </c>
      <c r="C224" s="6" t="str" cm="1">
        <f t="array" ref="C224">_xlfn.SWITCH(LEFT(Tasks[[#This Row],[Type]], 2), "Fi", "Field Report", "Co", "Contractor QC", "Ge", "Contractor QC", "Pu", "Punch List")</f>
        <v>Field Report</v>
      </c>
      <c r="D224" s="6" t="str">
        <f>LEFT(Tasks[[#This Row],[Description]], 50)</f>
        <v>CxA Report 11.30.2021 Item 5:
Ductwork Covers: Two</v>
      </c>
      <c r="E224" s="6" t="str" cm="1">
        <f t="array" ref="E224">_xlfn.LET(
_xlpm.inTower, COUNTIF(Tower_Num_Table[Tower Rm Numbers], LEFT(Task_Summary_Table[[#This Row],[Area/Room]], 3)) &gt; 0,
_xlpm.typeResult, _xlfn.SWITCH(LEFT(Tasks[[#This Row],[Page]], 2), "Hi", "Historic", "An", "Annex", "Si", "Site", "S5", "Project Task", "SWITCH ERROR"),
IF(_xlpm.inTower, "West Tower", _xlpm.typeResult)
)</f>
        <v>Historic</v>
      </c>
      <c r="F224" t="str">
        <f>IFERROR(MID(Tasks[[#This Row],[Page]], FIND("Level", Tasks[[#This Row],[Page]]), 7), IF(ISNUMBER(FIND("Roof", Tasks[[#This Row],[Page]])), "Roof",  IF(ISNUMBER(FIND("S590", Tasks[[#This Row],[Page]])), "",  IF(ISNUMBER(FIND("Site", Tasks[[#This Row],[Page]])), "", "ERROR"))))</f>
        <v>Level 0</v>
      </c>
      <c r="G224" t="str">
        <f>IF(Tasks[[#This Row],[Location]]=0, "", Tasks[[#This Row],[Location]])</f>
        <v/>
      </c>
      <c r="H224" t="str">
        <f>Tasks[[#This Row],[To Package]]</f>
        <v>HVAC</v>
      </c>
      <c r="I224" t="str">
        <f>Tasks[[#This Row],[To Organisation]]</f>
        <v>US Mechanical</v>
      </c>
    </row>
    <row r="225" spans="1:9" x14ac:dyDescent="0.35">
      <c r="A225" s="9" t="str">
        <f>HYPERLINK(_xlfn.CONCAT(Edit_URL,Tasks[[#This Row],[Ref]]),Tasks[[#This Row],[Ref]])</f>
        <v>T1.9606601</v>
      </c>
      <c r="B225" s="6" t="str" cm="1">
        <f t="array" ref="B225">_xlfn.SWITCH(LEFT(Tasks[[#This Row],[Status]],1),"O","Opened","C","Completed","S","Signed Off","ERROR")</f>
        <v>Completed</v>
      </c>
      <c r="C225" s="6" t="str" cm="1">
        <f t="array" ref="C225">_xlfn.SWITCH(LEFT(Tasks[[#This Row],[Type]], 2), "Fi", "Field Report", "Co", "Contractor QC", "Ge", "Contractor QC", "Pu", "Punch List")</f>
        <v>Field Report</v>
      </c>
      <c r="D225" s="6" t="str">
        <f>LEFT(Tasks[[#This Row],[Description]], 50)</f>
        <v>CxA Report 11.30.2021 Item 4:
Mechanical Room Clea</v>
      </c>
      <c r="E225" s="6" t="str" cm="1">
        <f t="array" ref="E225">_xlfn.LET(
_xlpm.inTower, COUNTIF(Tower_Num_Table[Tower Rm Numbers], LEFT(Task_Summary_Table[[#This Row],[Area/Room]], 3)) &gt; 0,
_xlpm.typeResult, _xlfn.SWITCH(LEFT(Tasks[[#This Row],[Page]], 2), "Hi", "Historic", "An", "Annex", "Si", "Site", "S5", "Project Task", "SWITCH ERROR"),
IF(_xlpm.inTower, "West Tower", _xlpm.typeResult)
)</f>
        <v>Annex</v>
      </c>
      <c r="F225" t="str">
        <f>IFERROR(MID(Tasks[[#This Row],[Page]], FIND("Level", Tasks[[#This Row],[Page]]), 7), IF(ISNUMBER(FIND("Roof", Tasks[[#This Row],[Page]])), "Roof",  IF(ISNUMBER(FIND("S590", Tasks[[#This Row],[Page]])), "",  IF(ISNUMBER(FIND("Site", Tasks[[#This Row],[Page]])), "", "ERROR"))))</f>
        <v>Level 0</v>
      </c>
      <c r="G225" t="str">
        <f>IF(Tasks[[#This Row],[Location]]=0, "", Tasks[[#This Row],[Location]])</f>
        <v/>
      </c>
      <c r="H225" t="str">
        <f>Tasks[[#This Row],[To Package]]</f>
        <v>Plumbing</v>
      </c>
      <c r="I225" t="str">
        <f>Tasks[[#This Row],[To Organisation]]</f>
        <v>US Mechanical</v>
      </c>
    </row>
    <row r="226" spans="1:9" x14ac:dyDescent="0.35">
      <c r="A226" s="9" t="str">
        <f>HYPERLINK(_xlfn.CONCAT(Edit_URL,Tasks[[#This Row],[Ref]]),Tasks[[#This Row],[Ref]])</f>
        <v>T1.9606598</v>
      </c>
      <c r="B226" s="6" t="str" cm="1">
        <f t="array" ref="B226">_xlfn.SWITCH(LEFT(Tasks[[#This Row],[Status]],1),"O","Opened","C","Completed","S","Signed Off","ERROR")</f>
        <v>Completed</v>
      </c>
      <c r="C226" s="6" t="str" cm="1">
        <f t="array" ref="C226">_xlfn.SWITCH(LEFT(Tasks[[#This Row],[Type]], 2), "Fi", "Field Report", "Co", "Contractor QC", "Ge", "Contractor QC", "Pu", "Punch List")</f>
        <v>Field Report</v>
      </c>
      <c r="D226" s="6" t="str">
        <f>LEFT(Tasks[[#This Row],[Description]], 50)</f>
        <v>CxA Report 11.30.2021 - Item 3: 
Boiler Vent Lines</v>
      </c>
      <c r="E226" s="6" t="str" cm="1">
        <f t="array" ref="E226">_xlfn.LET(
_xlpm.inTower, COUNTIF(Tower_Num_Table[Tower Rm Numbers], LEFT(Task_Summary_Table[[#This Row],[Area/Room]], 3)) &gt; 0,
_xlpm.typeResult, _xlfn.SWITCH(LEFT(Tasks[[#This Row],[Page]], 2), "Hi", "Historic", "An", "Annex", "Si", "Site", "S5", "Project Task", "SWITCH ERROR"),
IF(_xlpm.inTower, "West Tower", _xlpm.typeResult)
)</f>
        <v>Annex</v>
      </c>
      <c r="F226" t="str">
        <f>IFERROR(MID(Tasks[[#This Row],[Page]], FIND("Level", Tasks[[#This Row],[Page]]), 7), IF(ISNUMBER(FIND("Roof", Tasks[[#This Row],[Page]])), "Roof",  IF(ISNUMBER(FIND("S590", Tasks[[#This Row],[Page]])), "",  IF(ISNUMBER(FIND("Site", Tasks[[#This Row],[Page]])), "", "ERROR"))))</f>
        <v>Level 0</v>
      </c>
      <c r="G226" t="str">
        <f>IF(Tasks[[#This Row],[Location]]=0, "", Tasks[[#This Row],[Location]])</f>
        <v/>
      </c>
      <c r="H226" t="str">
        <f>Tasks[[#This Row],[To Package]]</f>
        <v>HVAC</v>
      </c>
      <c r="I226" t="str">
        <f>Tasks[[#This Row],[To Organisation]]</f>
        <v>US Mechanical</v>
      </c>
    </row>
    <row r="227" spans="1:9" x14ac:dyDescent="0.35">
      <c r="A227" s="9" t="str">
        <f>HYPERLINK(_xlfn.CONCAT(Edit_URL,Tasks[[#This Row],[Ref]]),Tasks[[#This Row],[Ref]])</f>
        <v>T1.9606597</v>
      </c>
      <c r="B227" s="6" t="str" cm="1">
        <f t="array" ref="B227">_xlfn.SWITCH(LEFT(Tasks[[#This Row],[Status]],1),"O","Opened","C","Completed","S","Signed Off","ERROR")</f>
        <v>Opened</v>
      </c>
      <c r="C227" s="6" t="str" cm="1">
        <f t="array" ref="C227">_xlfn.SWITCH(LEFT(Tasks[[#This Row],[Type]], 2), "Fi", "Field Report", "Co", "Contractor QC", "Ge", "Contractor QC", "Pu", "Punch List")</f>
        <v>Field Report</v>
      </c>
      <c r="D227" s="6" t="str">
        <f>LEFT(Tasks[[#This Row],[Description]], 50)</f>
        <v>CxA Report 11.30.2021 - Item 2: 
Boiler Startup: D</v>
      </c>
      <c r="E227" s="6" t="str" cm="1">
        <f t="array" ref="E227">_xlfn.LET(
_xlpm.inTower, COUNTIF(Tower_Num_Table[Tower Rm Numbers], LEFT(Task_Summary_Table[[#This Row],[Area/Room]], 3)) &gt; 0,
_xlpm.typeResult, _xlfn.SWITCH(LEFT(Tasks[[#This Row],[Page]], 2), "Hi", "Historic", "An", "Annex", "Si", "Site", "S5", "Project Task", "SWITCH ERROR"),
IF(_xlpm.inTower, "West Tower", _xlpm.typeResult)
)</f>
        <v>Annex</v>
      </c>
      <c r="F227" t="str">
        <f>IFERROR(MID(Tasks[[#This Row],[Page]], FIND("Level", Tasks[[#This Row],[Page]]), 7), IF(ISNUMBER(FIND("Roof", Tasks[[#This Row],[Page]])), "Roof",  IF(ISNUMBER(FIND("S590", Tasks[[#This Row],[Page]])), "",  IF(ISNUMBER(FIND("Site", Tasks[[#This Row],[Page]])), "", "ERROR"))))</f>
        <v>Level 0</v>
      </c>
      <c r="G227" t="str">
        <f>IF(Tasks[[#This Row],[Location]]=0, "", Tasks[[#This Row],[Location]])</f>
        <v/>
      </c>
      <c r="H227" t="str">
        <f>Tasks[[#This Row],[To Package]]</f>
        <v>Plumbing</v>
      </c>
      <c r="I227" t="str">
        <f>Tasks[[#This Row],[To Organisation]]</f>
        <v>US Mechanical</v>
      </c>
    </row>
    <row r="228" spans="1:9" x14ac:dyDescent="0.35">
      <c r="A228" s="9" t="str">
        <f>HYPERLINK(_xlfn.CONCAT(Edit_URL,Tasks[[#This Row],[Ref]]),Tasks[[#This Row],[Ref]])</f>
        <v>T59123.75</v>
      </c>
      <c r="B228" s="6" t="str" cm="1">
        <f t="array" ref="B228">_xlfn.SWITCH(LEFT(Tasks[[#This Row],[Status]],1),"O","Opened","C","Completed","S","Signed Off","ERROR")</f>
        <v>Signed Off</v>
      </c>
      <c r="C228" s="6" t="str" cm="1">
        <f t="array" ref="C228">_xlfn.SWITCH(LEFT(Tasks[[#This Row],[Type]], 2), "Fi", "Field Report", "Co", "Contractor QC", "Ge", "Contractor QC", "Pu", "Punch List")</f>
        <v>Punch List</v>
      </c>
      <c r="D228" s="6" t="str">
        <f>LEFT(Tasks[[#This Row],[Description]], 50)</f>
        <v>Missing pendant light rough in</v>
      </c>
      <c r="E228" s="6" t="str" cm="1">
        <f t="array" ref="E228">_xlfn.LET(
_xlpm.inTower, COUNTIF(Tower_Num_Table[Tower Rm Numbers], LEFT(Task_Summary_Table[[#This Row],[Area/Room]], 3)) &gt; 0,
_xlpm.typeResult, _xlfn.SWITCH(LEFT(Tasks[[#This Row],[Page]], 2), "Hi", "Historic", "An", "Annex", "Si", "Site", "S5", "Project Task", "SWITCH ERROR"),
IF(_xlpm.inTower, "West Tower", _xlpm.typeResult)
)</f>
        <v>Historic</v>
      </c>
      <c r="F228" t="str">
        <f>IFERROR(MID(Tasks[[#This Row],[Page]], FIND("Level", Tasks[[#This Row],[Page]]), 7), IF(ISNUMBER(FIND("Roof", Tasks[[#This Row],[Page]])), "Roof",  IF(ISNUMBER(FIND("S590", Tasks[[#This Row],[Page]])), "",  IF(ISNUMBER(FIND("Site", Tasks[[#This Row],[Page]])), "", "ERROR"))))</f>
        <v>Level 0</v>
      </c>
      <c r="G228" t="str">
        <f>IF(Tasks[[#This Row],[Location]]=0, "", Tasks[[#This Row],[Location]])</f>
        <v>068 - Stairwell</v>
      </c>
      <c r="H228" t="str">
        <f>Tasks[[#This Row],[To Package]]</f>
        <v>Electrical</v>
      </c>
      <c r="I228" t="str">
        <f>Tasks[[#This Row],[To Organisation]]</f>
        <v>Wilkinson Electric Inc</v>
      </c>
    </row>
    <row r="229" spans="1:9" x14ac:dyDescent="0.35">
      <c r="A229" s="9" t="str">
        <f>HYPERLINK(_xlfn.CONCAT(Edit_URL,Tasks[[#This Row],[Ref]]),Tasks[[#This Row],[Ref]])</f>
        <v>T59123.74</v>
      </c>
      <c r="B229" s="6" t="str" cm="1">
        <f t="array" ref="B229">_xlfn.SWITCH(LEFT(Tasks[[#This Row],[Status]],1),"O","Opened","C","Completed","S","Signed Off","ERROR")</f>
        <v>Completed</v>
      </c>
      <c r="C229" s="6" t="str" cm="1">
        <f t="array" ref="C229">_xlfn.SWITCH(LEFT(Tasks[[#This Row],[Type]], 2), "Fi", "Field Report", "Co", "Contractor QC", "Ge", "Contractor QC", "Pu", "Punch List")</f>
        <v>Punch List</v>
      </c>
      <c r="D229" s="6" t="str">
        <f>LEFT(Tasks[[#This Row],[Description]], 50)</f>
        <v>Install Fire Stopping at plumbing floor penetratio</v>
      </c>
      <c r="E229" s="6" t="str" cm="1">
        <f t="array" ref="E229">_xlfn.LET(
_xlpm.inTower, COUNTIF(Tower_Num_Table[Tower Rm Numbers], LEFT(Task_Summary_Table[[#This Row],[Area/Room]], 3)) &gt; 0,
_xlpm.typeResult, _xlfn.SWITCH(LEFT(Tasks[[#This Row],[Page]], 2), "Hi", "Historic", "An", "Annex", "Si", "Site", "S5", "Project Task", "SWITCH ERROR"),
IF(_xlpm.inTower, "West Tower", _xlpm.typeResult)
)</f>
        <v>Historic</v>
      </c>
      <c r="F229" t="str">
        <f>IFERROR(MID(Tasks[[#This Row],[Page]], FIND("Level", Tasks[[#This Row],[Page]]), 7), IF(ISNUMBER(FIND("Roof", Tasks[[#This Row],[Page]])), "Roof",  IF(ISNUMBER(FIND("S590", Tasks[[#This Row],[Page]])), "",  IF(ISNUMBER(FIND("Site", Tasks[[#This Row],[Page]])), "", "ERROR"))))</f>
        <v>Level 0</v>
      </c>
      <c r="G229" t="str">
        <f>IF(Tasks[[#This Row],[Location]]=0, "", Tasks[[#This Row],[Location]])</f>
        <v>069 - Restroom Vest</v>
      </c>
      <c r="H229" t="str">
        <f>Tasks[[#This Row],[To Package]]</f>
        <v>HVAC</v>
      </c>
      <c r="I229" t="str">
        <f>Tasks[[#This Row],[To Organisation]]</f>
        <v>US Mechanical</v>
      </c>
    </row>
    <row r="230" spans="1:9" x14ac:dyDescent="0.35">
      <c r="A230" s="9" t="str">
        <f>HYPERLINK(_xlfn.CONCAT(Edit_URL,Tasks[[#This Row],[Ref]]),Tasks[[#This Row],[Ref]])</f>
        <v>T59123.73</v>
      </c>
      <c r="B230" s="6" t="str" cm="1">
        <f t="array" ref="B230">_xlfn.SWITCH(LEFT(Tasks[[#This Row],[Status]],1),"O","Opened","C","Completed","S","Signed Off","ERROR")</f>
        <v>Signed Off</v>
      </c>
      <c r="C230" s="6" t="str" cm="1">
        <f t="array" ref="C230">_xlfn.SWITCH(LEFT(Tasks[[#This Row],[Type]], 2), "Fi", "Field Report", "Co", "Contractor QC", "Ge", "Contractor QC", "Pu", "Punch List")</f>
        <v>Punch List</v>
      </c>
      <c r="D230" s="6" t="str">
        <f>LEFT(Tasks[[#This Row],[Description]], 50)</f>
        <v>Low volt switch located on west wall but not shown</v>
      </c>
      <c r="E230" s="6" t="str" cm="1">
        <f t="array" ref="E230">_xlfn.LET(
_xlpm.inTower, COUNTIF(Tower_Num_Table[Tower Rm Numbers], LEFT(Task_Summary_Table[[#This Row],[Area/Room]], 3)) &gt; 0,
_xlpm.typeResult, _xlfn.SWITCH(LEFT(Tasks[[#This Row],[Page]], 2), "Hi", "Historic", "An", "Annex", "Si", "Site", "S5", "Project Task", "SWITCH ERROR"),
IF(_xlpm.inTower, "West Tower", _xlpm.typeResult)
)</f>
        <v>Historic</v>
      </c>
      <c r="F230" t="str">
        <f>IFERROR(MID(Tasks[[#This Row],[Page]], FIND("Level", Tasks[[#This Row],[Page]]), 7), IF(ISNUMBER(FIND("Roof", Tasks[[#This Row],[Page]])), "Roof",  IF(ISNUMBER(FIND("S590", Tasks[[#This Row],[Page]])), "",  IF(ISNUMBER(FIND("Site", Tasks[[#This Row],[Page]])), "", "ERROR"))))</f>
        <v>Level 0</v>
      </c>
      <c r="G230" t="str">
        <f>IF(Tasks[[#This Row],[Location]]=0, "", Tasks[[#This Row],[Location]])</f>
        <v>071 - Lavatory</v>
      </c>
      <c r="H230" t="str">
        <f>Tasks[[#This Row],[To Package]]</f>
        <v>Electrical</v>
      </c>
      <c r="I230" t="str">
        <f>Tasks[[#This Row],[To Organisation]]</f>
        <v>Wilkinson Electric Inc</v>
      </c>
    </row>
    <row r="231" spans="1:9" x14ac:dyDescent="0.35">
      <c r="A231" s="9" t="str">
        <f>HYPERLINK(_xlfn.CONCAT(Edit_URL,Tasks[[#This Row],[Ref]]),Tasks[[#This Row],[Ref]])</f>
        <v>T59123.72</v>
      </c>
      <c r="B231" s="6" t="str" cm="1">
        <f t="array" ref="B231">_xlfn.SWITCH(LEFT(Tasks[[#This Row],[Status]],1),"O","Opened","C","Completed","S","Signed Off","ERROR")</f>
        <v>Signed Off</v>
      </c>
      <c r="C231" s="6" t="str" cm="1">
        <f t="array" ref="C231">_xlfn.SWITCH(LEFT(Tasks[[#This Row],[Type]], 2), "Fi", "Field Report", "Co", "Contractor QC", "Ge", "Contractor QC", "Pu", "Punch List")</f>
        <v>Punch List</v>
      </c>
      <c r="D231" s="6" t="str">
        <f>LEFT(Tasks[[#This Row],[Description]], 50)</f>
        <v>Fire alarm not located on south wall as shown on p</v>
      </c>
      <c r="E231" s="6" t="str" cm="1">
        <f t="array" ref="E231">_xlfn.LET(
_xlpm.inTower, COUNTIF(Tower_Num_Table[Tower Rm Numbers], LEFT(Task_Summary_Table[[#This Row],[Area/Room]], 3)) &gt; 0,
_xlpm.typeResult, _xlfn.SWITCH(LEFT(Tasks[[#This Row],[Page]], 2), "Hi", "Historic", "An", "Annex", "Si", "Site", "S5", "Project Task", "SWITCH ERROR"),
IF(_xlpm.inTower, "West Tower", _xlpm.typeResult)
)</f>
        <v>Historic</v>
      </c>
      <c r="F231" t="str">
        <f>IFERROR(MID(Tasks[[#This Row],[Page]], FIND("Level", Tasks[[#This Row],[Page]]), 7), IF(ISNUMBER(FIND("Roof", Tasks[[#This Row],[Page]])), "Roof",  IF(ISNUMBER(FIND("S590", Tasks[[#This Row],[Page]])), "",  IF(ISNUMBER(FIND("Site", Tasks[[#This Row],[Page]])), "", "ERROR"))))</f>
        <v>Level 0</v>
      </c>
      <c r="G231" t="str">
        <f>IF(Tasks[[#This Row],[Location]]=0, "", Tasks[[#This Row],[Location]])</f>
        <v>070 - Restroom Girls</v>
      </c>
      <c r="H231" t="str">
        <f>Tasks[[#This Row],[To Package]]</f>
        <v>Electrical</v>
      </c>
      <c r="I231" t="str">
        <f>Tasks[[#This Row],[To Organisation]]</f>
        <v>Wilkinson Electric Inc</v>
      </c>
    </row>
    <row r="232" spans="1:9" x14ac:dyDescent="0.35">
      <c r="A232" s="9" t="str">
        <f>HYPERLINK(_xlfn.CONCAT(Edit_URL,Tasks[[#This Row],[Ref]]),Tasks[[#This Row],[Ref]])</f>
        <v>T59123.71</v>
      </c>
      <c r="B232" s="6" t="str" cm="1">
        <f t="array" ref="B232">_xlfn.SWITCH(LEFT(Tasks[[#This Row],[Status]],1),"O","Opened","C","Completed","S","Signed Off","ERROR")</f>
        <v>Signed Off</v>
      </c>
      <c r="C232" s="6" t="str" cm="1">
        <f t="array" ref="C232">_xlfn.SWITCH(LEFT(Tasks[[#This Row],[Type]], 2), "Fi", "Field Report", "Co", "Contractor QC", "Ge", "Contractor QC", "Pu", "Punch List")</f>
        <v>Punch List</v>
      </c>
      <c r="D232" s="6" t="str">
        <f>LEFT(Tasks[[#This Row],[Description]], 50)</f>
        <v>Missing receptacle</v>
      </c>
      <c r="E232" s="6" t="str" cm="1">
        <f t="array" ref="E232">_xlfn.LET(
_xlpm.inTower, COUNTIF(Tower_Num_Table[Tower Rm Numbers], LEFT(Task_Summary_Table[[#This Row],[Area/Room]], 3)) &gt; 0,
_xlpm.typeResult, _xlfn.SWITCH(LEFT(Tasks[[#This Row],[Page]], 2), "Hi", "Historic", "An", "Annex", "Si", "Site", "S5", "Project Task", "SWITCH ERROR"),
IF(_xlpm.inTower, "West Tower", _xlpm.typeResult)
)</f>
        <v>Historic</v>
      </c>
      <c r="F232" t="str">
        <f>IFERROR(MID(Tasks[[#This Row],[Page]], FIND("Level", Tasks[[#This Row],[Page]]), 7), IF(ISNUMBER(FIND("Roof", Tasks[[#This Row],[Page]])), "Roof",  IF(ISNUMBER(FIND("S590", Tasks[[#This Row],[Page]])), "",  IF(ISNUMBER(FIND("Site", Tasks[[#This Row],[Page]])), "", "ERROR"))))</f>
        <v>Level 0</v>
      </c>
      <c r="G232" t="str">
        <f>IF(Tasks[[#This Row],[Location]]=0, "", Tasks[[#This Row],[Location]])</f>
        <v>074 - Jan</v>
      </c>
      <c r="H232" t="str">
        <f>Tasks[[#This Row],[To Package]]</f>
        <v>Electrical</v>
      </c>
      <c r="I232" t="str">
        <f>Tasks[[#This Row],[To Organisation]]</f>
        <v>Wilkinson Electric Inc</v>
      </c>
    </row>
    <row r="233" spans="1:9" x14ac:dyDescent="0.35">
      <c r="A233" s="9" t="str">
        <f>HYPERLINK(_xlfn.CONCAT(Edit_URL,Tasks[[#This Row],[Ref]]),Tasks[[#This Row],[Ref]])</f>
        <v>T59123.70</v>
      </c>
      <c r="B233" s="6" t="str" cm="1">
        <f t="array" ref="B233">_xlfn.SWITCH(LEFT(Tasks[[#This Row],[Status]],1),"O","Opened","C","Completed","S","Signed Off","ERROR")</f>
        <v>Signed Off</v>
      </c>
      <c r="C233" s="6" t="str" cm="1">
        <f t="array" ref="C233">_xlfn.SWITCH(LEFT(Tasks[[#This Row],[Type]], 2), "Fi", "Field Report", "Co", "Contractor QC", "Ge", "Contractor QC", "Pu", "Punch List")</f>
        <v>Punch List</v>
      </c>
      <c r="D233" s="6" t="str">
        <f>LEFT(Tasks[[#This Row],[Description]], 50)</f>
        <v>Align sprinkler head with can light￼</v>
      </c>
      <c r="E233" s="6" t="str" cm="1">
        <f t="array" ref="E233">_xlfn.LET(
_xlpm.inTower, COUNTIF(Tower_Num_Table[Tower Rm Numbers], LEFT(Task_Summary_Table[[#This Row],[Area/Room]], 3)) &gt; 0,
_xlpm.typeResult, _xlfn.SWITCH(LEFT(Tasks[[#This Row],[Page]], 2), "Hi", "Historic", "An", "Annex", "Si", "Site", "S5", "Project Task", "SWITCH ERROR"),
IF(_xlpm.inTower, "West Tower", _xlpm.typeResult)
)</f>
        <v>Historic</v>
      </c>
      <c r="F233" t="str">
        <f>IFERROR(MID(Tasks[[#This Row],[Page]], FIND("Level", Tasks[[#This Row],[Page]]), 7), IF(ISNUMBER(FIND("Roof", Tasks[[#This Row],[Page]])), "Roof",  IF(ISNUMBER(FIND("S590", Tasks[[#This Row],[Page]])), "",  IF(ISNUMBER(FIND("Site", Tasks[[#This Row],[Page]])), "", "ERROR"))))</f>
        <v>Level 0</v>
      </c>
      <c r="G233" t="str">
        <f>IF(Tasks[[#This Row],[Location]]=0, "", Tasks[[#This Row],[Location]])</f>
        <v>073 - Showers</v>
      </c>
      <c r="H233" t="str">
        <f>Tasks[[#This Row],[To Package]]</f>
        <v>Fire Suppression</v>
      </c>
      <c r="I233" t="str">
        <f>Tasks[[#This Row],[To Organisation]]</f>
        <v>Broken Arrow Construction Corporation</v>
      </c>
    </row>
    <row r="234" spans="1:9" x14ac:dyDescent="0.35">
      <c r="A234" s="9" t="str">
        <f>HYPERLINK(_xlfn.CONCAT(Edit_URL,Tasks[[#This Row],[Ref]]),Tasks[[#This Row],[Ref]])</f>
        <v>T59123.69</v>
      </c>
      <c r="B234" s="6" t="str" cm="1">
        <f t="array" ref="B234">_xlfn.SWITCH(LEFT(Tasks[[#This Row],[Status]],1),"O","Opened","C","Completed","S","Signed Off","ERROR")</f>
        <v>Signed Off</v>
      </c>
      <c r="C234" s="6" t="str" cm="1">
        <f t="array" ref="C234">_xlfn.SWITCH(LEFT(Tasks[[#This Row],[Type]], 2), "Fi", "Field Report", "Co", "Contractor QC", "Ge", "Contractor QC", "Pu", "Punch List")</f>
        <v>Punch List</v>
      </c>
      <c r="D234" s="6" t="str">
        <f>LEFT(Tasks[[#This Row],[Description]], 50)</f>
        <v>Access panel below instruction room sink not cente</v>
      </c>
      <c r="E234" s="6" t="str" cm="1">
        <f t="array" ref="E234">_xlfn.LET(
_xlpm.inTower, COUNTIF(Tower_Num_Table[Tower Rm Numbers], LEFT(Task_Summary_Table[[#This Row],[Area/Room]], 3)) &gt; 0,
_xlpm.typeResult, _xlfn.SWITCH(LEFT(Tasks[[#This Row],[Page]], 2), "Hi", "Historic", "An", "Annex", "Si", "Site", "S5", "Project Task", "SWITCH ERROR"),
IF(_xlpm.inTower, "West Tower", _xlpm.typeResult)
)</f>
        <v>Annex</v>
      </c>
      <c r="F234" t="str">
        <f>IFERROR(MID(Tasks[[#This Row],[Page]], FIND("Level", Tasks[[#This Row],[Page]]), 7), IF(ISNUMBER(FIND("Roof", Tasks[[#This Row],[Page]])), "Roof",  IF(ISNUMBER(FIND("S590", Tasks[[#This Row],[Page]])), "",  IF(ISNUMBER(FIND("Site", Tasks[[#This Row],[Page]])), "", "ERROR"))))</f>
        <v>Level 1</v>
      </c>
      <c r="G234" t="str">
        <f>IF(Tasks[[#This Row],[Location]]=0, "", Tasks[[#This Row],[Location]])</f>
        <v>162 - Instruction Women</v>
      </c>
      <c r="H234" t="str">
        <f>Tasks[[#This Row],[To Package]]</f>
        <v>Metal Stud / Drywall</v>
      </c>
      <c r="I234" t="str">
        <f>Tasks[[#This Row],[To Organisation]]</f>
        <v>Pete King Construction</v>
      </c>
    </row>
    <row r="235" spans="1:9" x14ac:dyDescent="0.35">
      <c r="A235" s="9" t="str">
        <f>HYPERLINK(_xlfn.CONCAT(Edit_URL,Tasks[[#This Row],[Ref]]),Tasks[[#This Row],[Ref]])</f>
        <v>T59123.68</v>
      </c>
      <c r="B235" s="6" t="str" cm="1">
        <f t="array" ref="B235">_xlfn.SWITCH(LEFT(Tasks[[#This Row],[Status]],1),"O","Opened","C","Completed","S","Signed Off","ERROR")</f>
        <v>Completed</v>
      </c>
      <c r="C235" s="6" t="str" cm="1">
        <f t="array" ref="C235">_xlfn.SWITCH(LEFT(Tasks[[#This Row],[Type]], 2), "Fi", "Field Report", "Co", "Contractor QC", "Ge", "Contractor QC", "Pu", "Punch List")</f>
        <v>Punch List</v>
      </c>
      <c r="D235" s="6" t="str">
        <f>LEFT(Tasks[[#This Row],[Description]], 50)</f>
        <v>Ceiling diffusers not symetrical</v>
      </c>
      <c r="E235" s="6" t="str" cm="1">
        <f t="array" ref="E235">_xlfn.LET(
_xlpm.inTower, COUNTIF(Tower_Num_Table[Tower Rm Numbers], LEFT(Task_Summary_Table[[#This Row],[Area/Room]], 3)) &gt; 0,
_xlpm.typeResult, _xlfn.SWITCH(LEFT(Tasks[[#This Row],[Page]], 2), "Hi", "Historic", "An", "Annex", "Si", "Site", "S5", "Project Task", "SWITCH ERROR"),
IF(_xlpm.inTower, "West Tower", _xlpm.typeResult)
)</f>
        <v>Annex</v>
      </c>
      <c r="F235" t="str">
        <f>IFERROR(MID(Tasks[[#This Row],[Page]], FIND("Level", Tasks[[#This Row],[Page]]), 7), IF(ISNUMBER(FIND("Roof", Tasks[[#This Row],[Page]])), "Roof",  IF(ISNUMBER(FIND("S590", Tasks[[#This Row],[Page]])), "",  IF(ISNUMBER(FIND("Site", Tasks[[#This Row],[Page]])), "", "ERROR"))))</f>
        <v>Level 1</v>
      </c>
      <c r="G235" t="str">
        <f>IF(Tasks[[#This Row],[Location]]=0, "", Tasks[[#This Row],[Location]])</f>
        <v>132A - Clothing</v>
      </c>
      <c r="H235" t="str">
        <f>Tasks[[#This Row],[To Package]]</f>
        <v>HVAC</v>
      </c>
      <c r="I235" t="str">
        <f>Tasks[[#This Row],[To Organisation]]</f>
        <v>US Mechanical</v>
      </c>
    </row>
    <row r="236" spans="1:9" x14ac:dyDescent="0.35">
      <c r="A236" s="9" t="str">
        <f>HYPERLINK(_xlfn.CONCAT(Edit_URL,Tasks[[#This Row],[Ref]]),Tasks[[#This Row],[Ref]])</f>
        <v>T1.9599817</v>
      </c>
      <c r="B236" s="6" t="str" cm="1">
        <f t="array" ref="B236">_xlfn.SWITCH(LEFT(Tasks[[#This Row],[Status]],1),"O","Opened","C","Completed","S","Signed Off","ERROR")</f>
        <v>Opened</v>
      </c>
      <c r="C236" s="6" t="str" cm="1">
        <f t="array" ref="C236">_xlfn.SWITCH(LEFT(Tasks[[#This Row],[Type]], 2), "Fi", "Field Report", "Co", "Contractor QC", "Ge", "Contractor QC", "Pu", "Punch List")</f>
        <v>Field Report</v>
      </c>
      <c r="D236" s="6" t="str">
        <f>LEFT(Tasks[[#This Row],[Description]], 50)</f>
        <v>SiteVisitReport 20211015, Item 3. 
Excess sediment</v>
      </c>
      <c r="E236" s="6" t="str" cm="1">
        <f t="array" ref="E236">_xlfn.LET(
_xlpm.inTower, COUNTIF(Tower_Num_Table[Tower Rm Numbers], LEFT(Task_Summary_Table[[#This Row],[Area/Room]], 3)) &gt; 0,
_xlpm.typeResult, _xlfn.SWITCH(LEFT(Tasks[[#This Row],[Page]], 2), "Hi", "Historic", "An", "Annex", "Si", "Site", "S5", "Project Task", "SWITCH ERROR"),
IF(_xlpm.inTower, "West Tower", _xlpm.typeResult)
)</f>
        <v>Annex</v>
      </c>
      <c r="F236" t="str">
        <f>IFERROR(MID(Tasks[[#This Row],[Page]], FIND("Level", Tasks[[#This Row],[Page]]), 7), IF(ISNUMBER(FIND("Roof", Tasks[[#This Row],[Page]])), "Roof",  IF(ISNUMBER(FIND("S590", Tasks[[#This Row],[Page]])), "",  IF(ISNUMBER(FIND("Site", Tasks[[#This Row],[Page]])), "", "ERROR"))))</f>
        <v>Level 1</v>
      </c>
      <c r="G236" t="str">
        <f>IF(Tasks[[#This Row],[Location]]=0, "", Tasks[[#This Row],[Location]])</f>
        <v/>
      </c>
      <c r="H236" t="str">
        <f>Tasks[[#This Row],[To Package]]</f>
        <v>Plumbing</v>
      </c>
      <c r="I236" t="str">
        <f>Tasks[[#This Row],[To Organisation]]</f>
        <v>US Mechanical</v>
      </c>
    </row>
    <row r="237" spans="1:9" x14ac:dyDescent="0.35">
      <c r="A237" s="9" t="str">
        <f>HYPERLINK(_xlfn.CONCAT(Edit_URL,Tasks[[#This Row],[Ref]]),Tasks[[#This Row],[Ref]])</f>
        <v>T1.9599815</v>
      </c>
      <c r="B237" s="6" t="str" cm="1">
        <f t="array" ref="B237">_xlfn.SWITCH(LEFT(Tasks[[#This Row],[Status]],1),"O","Opened","C","Completed","S","Signed Off","ERROR")</f>
        <v>Opened</v>
      </c>
      <c r="C237" s="6" t="str" cm="1">
        <f t="array" ref="C237">_xlfn.SWITCH(LEFT(Tasks[[#This Row],[Type]], 2), "Fi", "Field Report", "Co", "Contractor QC", "Ge", "Contractor QC", "Pu", "Punch List")</f>
        <v>Field Report</v>
      </c>
      <c r="D237" s="6" t="str">
        <f>LEFT(Tasks[[#This Row],[Description]], 50)</f>
        <v>SiteVisitReport 20211015, Item2. 
The baptismal fo</v>
      </c>
      <c r="E237" s="6" t="str" cm="1">
        <f t="array" ref="E237">_xlfn.LET(
_xlpm.inTower, COUNTIF(Tower_Num_Table[Tower Rm Numbers], LEFT(Task_Summary_Table[[#This Row],[Area/Room]], 3)) &gt; 0,
_xlpm.typeResult, _xlfn.SWITCH(LEFT(Tasks[[#This Row],[Page]], 2), "Hi", "Historic", "An", "Annex", "Si", "Site", "S5", "Project Task", "SWITCH ERROR"),
IF(_xlpm.inTower, "West Tower", _xlpm.typeResult)
)</f>
        <v>Historic</v>
      </c>
      <c r="F237" t="str">
        <f>IFERROR(MID(Tasks[[#This Row],[Page]], FIND("Level", Tasks[[#This Row],[Page]]), 7), IF(ISNUMBER(FIND("Roof", Tasks[[#This Row],[Page]])), "Roof",  IF(ISNUMBER(FIND("S590", Tasks[[#This Row],[Page]])), "",  IF(ISNUMBER(FIND("Site", Tasks[[#This Row],[Page]])), "", "ERROR"))))</f>
        <v>Level 0</v>
      </c>
      <c r="G237" t="str">
        <f>IF(Tasks[[#This Row],[Location]]=0, "", Tasks[[#This Row],[Location]])</f>
        <v/>
      </c>
      <c r="H237" t="str">
        <f>Tasks[[#This Row],[To Package]]</f>
        <v>Plumbing</v>
      </c>
      <c r="I237" t="str">
        <f>Tasks[[#This Row],[To Organisation]]</f>
        <v>US Mechanical</v>
      </c>
    </row>
    <row r="238" spans="1:9" x14ac:dyDescent="0.35">
      <c r="A238" s="9" t="str">
        <f>HYPERLINK(_xlfn.CONCAT(Edit_URL,Tasks[[#This Row],[Ref]]),Tasks[[#This Row],[Ref]])</f>
        <v>T1.9599807</v>
      </c>
      <c r="B238" s="6" t="str" cm="1">
        <f t="array" ref="B238">_xlfn.SWITCH(LEFT(Tasks[[#This Row],[Status]],1),"O","Opened","C","Completed","S","Signed Off","ERROR")</f>
        <v>Signed Off</v>
      </c>
      <c r="C238" s="6" t="str" cm="1">
        <f t="array" ref="C238">_xlfn.SWITCH(LEFT(Tasks[[#This Row],[Type]], 2), "Fi", "Field Report", "Co", "Contractor QC", "Ge", "Contractor QC", "Pu", "Punch List")</f>
        <v>Field Report</v>
      </c>
      <c r="D238" s="6" t="str">
        <f>LEFT(Tasks[[#This Row],[Description]], 50)</f>
        <v>Site Visit Report 20211015, Item 1:
There is a ple</v>
      </c>
      <c r="E238" s="6" t="str" cm="1">
        <f t="array" ref="E238">_xlfn.LET(
_xlpm.inTower, COUNTIF(Tower_Num_Table[Tower Rm Numbers], LEFT(Task_Summary_Table[[#This Row],[Area/Room]], 3)) &gt; 0,
_xlpm.typeResult, _xlfn.SWITCH(LEFT(Tasks[[#This Row],[Page]], 2), "Hi", "Historic", "An", "Annex", "Si", "Site", "S5", "Project Task", "SWITCH ERROR"),
IF(_xlpm.inTower, "West Tower", _xlpm.typeResult)
)</f>
        <v>Annex</v>
      </c>
      <c r="F238" t="str">
        <f>IFERROR(MID(Tasks[[#This Row],[Page]], FIND("Level", Tasks[[#This Row],[Page]]), 7), IF(ISNUMBER(FIND("Roof", Tasks[[#This Row],[Page]])), "Roof",  IF(ISNUMBER(FIND("S590", Tasks[[#This Row],[Page]])), "",  IF(ISNUMBER(FIND("Site", Tasks[[#This Row],[Page]])), "", "ERROR"))))</f>
        <v>Level 1</v>
      </c>
      <c r="G238" t="str">
        <f>IF(Tasks[[#This Row],[Location]]=0, "", Tasks[[#This Row],[Location]])</f>
        <v/>
      </c>
      <c r="H238" t="str">
        <f>Tasks[[#This Row],[To Package]]</f>
        <v>HVAC</v>
      </c>
      <c r="I238" t="str">
        <f>Tasks[[#This Row],[To Organisation]]</f>
        <v>US Mechanical</v>
      </c>
    </row>
    <row r="239" spans="1:9" x14ac:dyDescent="0.35">
      <c r="A239" s="9" t="str">
        <f>HYPERLINK(_xlfn.CONCAT(Edit_URL,Tasks[[#This Row],[Ref]]),Tasks[[#This Row],[Ref]])</f>
        <v>T59123.67</v>
      </c>
      <c r="B239" s="6" t="str" cm="1">
        <f t="array" ref="B239">_xlfn.SWITCH(LEFT(Tasks[[#This Row],[Status]],1),"O","Opened","C","Completed","S","Signed Off","ERROR")</f>
        <v>Signed Off</v>
      </c>
      <c r="C239" s="6" t="str" cm="1">
        <f t="array" ref="C239">_xlfn.SWITCH(LEFT(Tasks[[#This Row],[Type]], 2), "Fi", "Field Report", "Co", "Contractor QC", "Ge", "Contractor QC", "Pu", "Punch List")</f>
        <v>Punch List</v>
      </c>
      <c r="D239" s="6" t="str">
        <f>LEFT(Tasks[[#This Row],[Description]], 50)</f>
        <v>020A - East Mechanical &gt; Annex Level 0AE100
Re-att</v>
      </c>
      <c r="E239" s="6" t="str" cm="1">
        <f t="array" ref="E239">_xlfn.LET(
_xlpm.inTower, COUNTIF(Tower_Num_Table[Tower Rm Numbers], LEFT(Task_Summary_Table[[#This Row],[Area/Room]], 3)) &gt; 0,
_xlpm.typeResult, _xlfn.SWITCH(LEFT(Tasks[[#This Row],[Page]], 2), "Hi", "Historic", "An", "Annex", "Si", "Site", "S5", "Project Task", "SWITCH ERROR"),
IF(_xlpm.inTower, "West Tower", _xlpm.typeResult)
)</f>
        <v>Annex</v>
      </c>
      <c r="F239" t="str">
        <f>IFERROR(MID(Tasks[[#This Row],[Page]], FIND("Level", Tasks[[#This Row],[Page]]), 7), IF(ISNUMBER(FIND("Roof", Tasks[[#This Row],[Page]])), "Roof",  IF(ISNUMBER(FIND("S590", Tasks[[#This Row],[Page]])), "",  IF(ISNUMBER(FIND("Site", Tasks[[#This Row],[Page]])), "", "ERROR"))))</f>
        <v>Level 0</v>
      </c>
      <c r="G239" t="str">
        <f>IF(Tasks[[#This Row],[Location]]=0, "", Tasks[[#This Row],[Location]])</f>
        <v/>
      </c>
      <c r="H239" t="str">
        <f>Tasks[[#This Row],[To Package]]</f>
        <v>Plumbing</v>
      </c>
      <c r="I239" t="str">
        <f>Tasks[[#This Row],[To Organisation]]</f>
        <v>US Mechanical</v>
      </c>
    </row>
    <row r="240" spans="1:9" x14ac:dyDescent="0.35">
      <c r="A240" s="9" t="str">
        <f>HYPERLINK(_xlfn.CONCAT(Edit_URL,Tasks[[#This Row],[Ref]]),Tasks[[#This Row],[Ref]])</f>
        <v>T59123.66</v>
      </c>
      <c r="B240" s="6" t="str" cm="1">
        <f t="array" ref="B240">_xlfn.SWITCH(LEFT(Tasks[[#This Row],[Status]],1),"O","Opened","C","Completed","S","Signed Off","ERROR")</f>
        <v>Opened</v>
      </c>
      <c r="C240" s="6" t="str" cm="1">
        <f t="array" ref="C240">_xlfn.SWITCH(LEFT(Tasks[[#This Row],[Type]], 2), "Fi", "Field Report", "Co", "Contractor QC", "Ge", "Contractor QC", "Pu", "Punch List")</f>
        <v>Punch List</v>
      </c>
      <c r="D240" s="6" t="str">
        <f>LEFT(Tasks[[#This Row],[Description]], 50)</f>
        <v>Cap the two unused conduit feeders</v>
      </c>
      <c r="E240" s="6" t="str" cm="1">
        <f t="array" ref="E240">_xlfn.LET(
_xlpm.inTower, COUNTIF(Tower_Num_Table[Tower Rm Numbers], LEFT(Task_Summary_Table[[#This Row],[Area/Room]], 3)) &gt; 0,
_xlpm.typeResult, _xlfn.SWITCH(LEFT(Tasks[[#This Row],[Page]], 2), "Hi", "Historic", "An", "Annex", "Si", "Site", "S5", "Project Task", "SWITCH ERROR"),
IF(_xlpm.inTower, "West Tower", _xlpm.typeResult)
)</f>
        <v>Annex</v>
      </c>
      <c r="F240" t="str">
        <f>IFERROR(MID(Tasks[[#This Row],[Page]], FIND("Level", Tasks[[#This Row],[Page]]), 7), IF(ISNUMBER(FIND("Roof", Tasks[[#This Row],[Page]])), "Roof",  IF(ISNUMBER(FIND("S590", Tasks[[#This Row],[Page]])), "",  IF(ISNUMBER(FIND("Site", Tasks[[#This Row],[Page]])), "", "ERROR"))))</f>
        <v>Level 0</v>
      </c>
      <c r="G240" t="str">
        <f>IF(Tasks[[#This Row],[Location]]=0, "", Tasks[[#This Row],[Location]])</f>
        <v>002 - Electrical</v>
      </c>
      <c r="H240" t="str">
        <f>Tasks[[#This Row],[To Package]]</f>
        <v>Electrical</v>
      </c>
      <c r="I240" t="str">
        <f>Tasks[[#This Row],[To Organisation]]</f>
        <v>Wilkinson Electric Inc</v>
      </c>
    </row>
    <row r="241" spans="1:9" x14ac:dyDescent="0.35">
      <c r="A241" s="9" t="str">
        <f>HYPERLINK(_xlfn.CONCAT(Edit_URL,Tasks[[#This Row],[Ref]]),Tasks[[#This Row],[Ref]])</f>
        <v>T1.9596688</v>
      </c>
      <c r="B241" s="6" t="str" cm="1">
        <f t="array" ref="B241">_xlfn.SWITCH(LEFT(Tasks[[#This Row],[Status]],1),"O","Opened","C","Completed","S","Signed Off","ERROR")</f>
        <v>Signed Off</v>
      </c>
      <c r="C241" s="6" t="str" cm="1">
        <f t="array" ref="C241">_xlfn.SWITCH(LEFT(Tasks[[#This Row],[Type]], 2), "Fi", "Field Report", "Co", "Contractor QC", "Ge", "Contractor QC", "Pu", "Punch List")</f>
        <v>Field Report</v>
      </c>
      <c r="D241" s="6" t="str">
        <f>LEFT(Tasks[[#This Row],[Description]], 50)</f>
        <v>EOR 2021.09.09, Item 20:
Temple – LV2 
A crack o</v>
      </c>
      <c r="E241" s="6" t="str" cm="1">
        <f t="array" ref="E241">_xlfn.LET(
_xlpm.inTower, COUNTIF(Tower_Num_Table[Tower Rm Numbers], LEFT(Task_Summary_Table[[#This Row],[Area/Room]], 3)) &gt; 0,
_xlpm.typeResult, _xlfn.SWITCH(LEFT(Tasks[[#This Row],[Page]], 2), "Hi", "Historic", "An", "Annex", "Si", "Site", "S5", "Project Task", "SWITCH ERROR"),
IF(_xlpm.inTower, "West Tower", _xlpm.typeResult)
)</f>
        <v>Historic</v>
      </c>
      <c r="F241" t="str">
        <f>IFERROR(MID(Tasks[[#This Row],[Page]], FIND("Level", Tasks[[#This Row],[Page]]), 7), IF(ISNUMBER(FIND("Roof", Tasks[[#This Row],[Page]])), "Roof",  IF(ISNUMBER(FIND("S590", Tasks[[#This Row],[Page]])), "",  IF(ISNUMBER(FIND("Site", Tasks[[#This Row],[Page]])), "", "ERROR"))))</f>
        <v>Level 2</v>
      </c>
      <c r="G241" t="str">
        <f>IF(Tasks[[#This Row],[Location]]=0, "", Tasks[[#This Row],[Location]])</f>
        <v/>
      </c>
      <c r="H241" t="str">
        <f>Tasks[[#This Row],[To Package]]</f>
        <v>Electrical</v>
      </c>
      <c r="I241" t="str">
        <f>Tasks[[#This Row],[To Organisation]]</f>
        <v>Wilkinson Electric Inc</v>
      </c>
    </row>
    <row r="242" spans="1:9" x14ac:dyDescent="0.35">
      <c r="A242" s="9" t="str">
        <f>HYPERLINK(_xlfn.CONCAT(Edit_URL,Tasks[[#This Row],[Ref]]),Tasks[[#This Row],[Ref]])</f>
        <v>T1.9596687</v>
      </c>
      <c r="B242" s="6" t="str" cm="1">
        <f t="array" ref="B242">_xlfn.SWITCH(LEFT(Tasks[[#This Row],[Status]],1),"O","Opened","C","Completed","S","Signed Off","ERROR")</f>
        <v>Signed Off</v>
      </c>
      <c r="C242" s="6" t="str" cm="1">
        <f t="array" ref="C242">_xlfn.SWITCH(LEFT(Tasks[[#This Row],[Type]], 2), "Fi", "Field Report", "Co", "Contractor QC", "Ge", "Contractor QC", "Pu", "Punch List")</f>
        <v>Field Report</v>
      </c>
      <c r="D242" s="6" t="str">
        <f>LEFT(Tasks[[#This Row],[Description]], 50)</f>
        <v>EOR 2021.09.09, Item 19: 
Annex – LV1 
Cabling f</v>
      </c>
      <c r="E242" s="6" t="str" cm="1">
        <f t="array" ref="E242">_xlfn.LET(
_xlpm.inTower, COUNTIF(Tower_Num_Table[Tower Rm Numbers], LEFT(Task_Summary_Table[[#This Row],[Area/Room]], 3)) &gt; 0,
_xlpm.typeResult, _xlfn.SWITCH(LEFT(Tasks[[#This Row],[Page]], 2), "Hi", "Historic", "An", "Annex", "Si", "Site", "S5", "Project Task", "SWITCH ERROR"),
IF(_xlpm.inTower, "West Tower", _xlpm.typeResult)
)</f>
        <v>Annex</v>
      </c>
      <c r="F242" t="str">
        <f>IFERROR(MID(Tasks[[#This Row],[Page]], FIND("Level", Tasks[[#This Row],[Page]]), 7), IF(ISNUMBER(FIND("Roof", Tasks[[#This Row],[Page]])), "Roof",  IF(ISNUMBER(FIND("S590", Tasks[[#This Row],[Page]])), "",  IF(ISNUMBER(FIND("Site", Tasks[[#This Row],[Page]])), "", "ERROR"))))</f>
        <v>Level 1</v>
      </c>
      <c r="G242" t="str">
        <f>IF(Tasks[[#This Row],[Location]]=0, "", Tasks[[#This Row],[Location]])</f>
        <v/>
      </c>
      <c r="H242" t="str">
        <f>Tasks[[#This Row],[To Package]]</f>
        <v>Electrical</v>
      </c>
      <c r="I242" t="str">
        <f>Tasks[[#This Row],[To Organisation]]</f>
        <v>Wilkinson Electric Inc</v>
      </c>
    </row>
    <row r="243" spans="1:9" x14ac:dyDescent="0.35">
      <c r="A243" s="9" t="str">
        <f>HYPERLINK(_xlfn.CONCAT(Edit_URL,Tasks[[#This Row],[Ref]]),Tasks[[#This Row],[Ref]])</f>
        <v>T1.9596686</v>
      </c>
      <c r="B243" s="6" t="str" cm="1">
        <f t="array" ref="B243">_xlfn.SWITCH(LEFT(Tasks[[#This Row],[Status]],1),"O","Opened","C","Completed","S","Signed Off","ERROR")</f>
        <v>Signed Off</v>
      </c>
      <c r="C243" s="6" t="str" cm="1">
        <f t="array" ref="C243">_xlfn.SWITCH(LEFT(Tasks[[#This Row],[Type]], 2), "Fi", "Field Report", "Co", "Contractor QC", "Ge", "Contractor QC", "Pu", "Punch List")</f>
        <v>Field Report</v>
      </c>
      <c r="D243" s="6" t="str">
        <f>LEFT(Tasks[[#This Row],[Description]], 50)</f>
        <v>EOR 2021.09.09, Item 18:
Annex – LV1 
MC cabling</v>
      </c>
      <c r="E243" s="6" t="str" cm="1">
        <f t="array" ref="E243">_xlfn.LET(
_xlpm.inTower, COUNTIF(Tower_Num_Table[Tower Rm Numbers], LEFT(Task_Summary_Table[[#This Row],[Area/Room]], 3)) &gt; 0,
_xlpm.typeResult, _xlfn.SWITCH(LEFT(Tasks[[#This Row],[Page]], 2), "Hi", "Historic", "An", "Annex", "Si", "Site", "S5", "Project Task", "SWITCH ERROR"),
IF(_xlpm.inTower, "West Tower", _xlpm.typeResult)
)</f>
        <v>Annex</v>
      </c>
      <c r="F243" t="str">
        <f>IFERROR(MID(Tasks[[#This Row],[Page]], FIND("Level", Tasks[[#This Row],[Page]]), 7), IF(ISNUMBER(FIND("Roof", Tasks[[#This Row],[Page]])), "Roof",  IF(ISNUMBER(FIND("S590", Tasks[[#This Row],[Page]])), "",  IF(ISNUMBER(FIND("Site", Tasks[[#This Row],[Page]])), "", "ERROR"))))</f>
        <v>Level 1</v>
      </c>
      <c r="G243" t="str">
        <f>IF(Tasks[[#This Row],[Location]]=0, "", Tasks[[#This Row],[Location]])</f>
        <v/>
      </c>
      <c r="H243" t="str">
        <f>Tasks[[#This Row],[To Package]]</f>
        <v>Electrical</v>
      </c>
      <c r="I243" t="str">
        <f>Tasks[[#This Row],[To Organisation]]</f>
        <v>Wilkinson Electric Inc</v>
      </c>
    </row>
    <row r="244" spans="1:9" x14ac:dyDescent="0.35">
      <c r="A244" s="9" t="str">
        <f>HYPERLINK(_xlfn.CONCAT(Edit_URL,Tasks[[#This Row],[Ref]]),Tasks[[#This Row],[Ref]])</f>
        <v>T1.9596685</v>
      </c>
      <c r="B244" s="6" t="str" cm="1">
        <f t="array" ref="B244">_xlfn.SWITCH(LEFT(Tasks[[#This Row],[Status]],1),"O","Opened","C","Completed","S","Signed Off","ERROR")</f>
        <v>Completed</v>
      </c>
      <c r="C244" s="6" t="str" cm="1">
        <f t="array" ref="C244">_xlfn.SWITCH(LEFT(Tasks[[#This Row],[Type]], 2), "Fi", "Field Report", "Co", "Contractor QC", "Ge", "Contractor QC", "Pu", "Punch List")</f>
        <v>Field Report</v>
      </c>
      <c r="D244" s="6" t="str">
        <f>LEFT(Tasks[[#This Row],[Description]], 50)</f>
        <v>EOR 2021.09.09, Item 17:
Annex – LV 1 
NEC 358.1</v>
      </c>
      <c r="E244" s="6" t="str" cm="1">
        <f t="array" ref="E244">_xlfn.LET(
_xlpm.inTower, COUNTIF(Tower_Num_Table[Tower Rm Numbers], LEFT(Task_Summary_Table[[#This Row],[Area/Room]], 3)) &gt; 0,
_xlpm.typeResult, _xlfn.SWITCH(LEFT(Tasks[[#This Row],[Page]], 2), "Hi", "Historic", "An", "Annex", "Si", "Site", "S5", "Project Task", "SWITCH ERROR"),
IF(_xlpm.inTower, "West Tower", _xlpm.typeResult)
)</f>
        <v>Annex</v>
      </c>
      <c r="F244" t="str">
        <f>IFERROR(MID(Tasks[[#This Row],[Page]], FIND("Level", Tasks[[#This Row],[Page]]), 7), IF(ISNUMBER(FIND("Roof", Tasks[[#This Row],[Page]])), "Roof",  IF(ISNUMBER(FIND("S590", Tasks[[#This Row],[Page]])), "",  IF(ISNUMBER(FIND("Site", Tasks[[#This Row],[Page]])), "", "ERROR"))))</f>
        <v>Level 1</v>
      </c>
      <c r="G244" t="str">
        <f>IF(Tasks[[#This Row],[Location]]=0, "", Tasks[[#This Row],[Location]])</f>
        <v/>
      </c>
      <c r="H244" t="str">
        <f>Tasks[[#This Row],[To Package]]</f>
        <v>Electrical</v>
      </c>
      <c r="I244" t="str">
        <f>Tasks[[#This Row],[To Organisation]]</f>
        <v>Wilkinson Electric Inc</v>
      </c>
    </row>
    <row r="245" spans="1:9" x14ac:dyDescent="0.35">
      <c r="A245" s="9" t="str">
        <f>HYPERLINK(_xlfn.CONCAT(Edit_URL,Tasks[[#This Row],[Ref]]),Tasks[[#This Row],[Ref]])</f>
        <v>T1.9596684</v>
      </c>
      <c r="B245" s="6" t="str" cm="1">
        <f t="array" ref="B245">_xlfn.SWITCH(LEFT(Tasks[[#This Row],[Status]],1),"O","Opened","C","Completed","S","Signed Off","ERROR")</f>
        <v>Completed</v>
      </c>
      <c r="C245" s="6" t="str" cm="1">
        <f t="array" ref="C245">_xlfn.SWITCH(LEFT(Tasks[[#This Row],[Type]], 2), "Fi", "Field Report", "Co", "Contractor QC", "Ge", "Contractor QC", "Pu", "Punch List")</f>
        <v>Field Report</v>
      </c>
      <c r="D245" s="6" t="str">
        <f>LEFT(Tasks[[#This Row],[Description]], 50)</f>
        <v xml:space="preserve">EOR 2021.09.09, Item 15: Annex – Basement 
Main </v>
      </c>
      <c r="E245" s="6" t="str" cm="1">
        <f t="array" ref="E245">_xlfn.LET(
_xlpm.inTower, COUNTIF(Tower_Num_Table[Tower Rm Numbers], LEFT(Task_Summary_Table[[#This Row],[Area/Room]], 3)) &gt; 0,
_xlpm.typeResult, _xlfn.SWITCH(LEFT(Tasks[[#This Row],[Page]], 2), "Hi", "Historic", "An", "Annex", "Si", "Site", "S5", "Project Task", "SWITCH ERROR"),
IF(_xlpm.inTower, "West Tower", _xlpm.typeResult)
)</f>
        <v>Annex</v>
      </c>
      <c r="F245" t="str">
        <f>IFERROR(MID(Tasks[[#This Row],[Page]], FIND("Level", Tasks[[#This Row],[Page]]), 7), IF(ISNUMBER(FIND("Roof", Tasks[[#This Row],[Page]])), "Roof",  IF(ISNUMBER(FIND("S590", Tasks[[#This Row],[Page]])), "",  IF(ISNUMBER(FIND("Site", Tasks[[#This Row],[Page]])), "", "ERROR"))))</f>
        <v>Level 0</v>
      </c>
      <c r="G245" t="str">
        <f>IF(Tasks[[#This Row],[Location]]=0, "", Tasks[[#This Row],[Location]])</f>
        <v/>
      </c>
      <c r="H245" t="str">
        <f>Tasks[[#This Row],[To Package]]</f>
        <v>Electrical</v>
      </c>
      <c r="I245" t="str">
        <f>Tasks[[#This Row],[To Organisation]]</f>
        <v>Wilkinson Electric Inc</v>
      </c>
    </row>
    <row r="246" spans="1:9" x14ac:dyDescent="0.35">
      <c r="A246" s="9" t="str">
        <f>HYPERLINK(_xlfn.CONCAT(Edit_URL,Tasks[[#This Row],[Ref]]),Tasks[[#This Row],[Ref]])</f>
        <v>T1.9596683</v>
      </c>
      <c r="B246" s="6" t="str" cm="1">
        <f t="array" ref="B246">_xlfn.SWITCH(LEFT(Tasks[[#This Row],[Status]],1),"O","Opened","C","Completed","S","Signed Off","ERROR")</f>
        <v>Signed Off</v>
      </c>
      <c r="C246" s="6" t="str" cm="1">
        <f t="array" ref="C246">_xlfn.SWITCH(LEFT(Tasks[[#This Row],[Type]], 2), "Fi", "Field Report", "Co", "Contractor QC", "Ge", "Contractor QC", "Pu", "Punch List")</f>
        <v>Field Report</v>
      </c>
      <c r="D246" s="6" t="str">
        <f>LEFT(Tasks[[#This Row],[Description]], 50)</f>
        <v xml:space="preserve">EOR 2021.09.09, Item 13: Annex – Basement 
Main </v>
      </c>
      <c r="E246" s="6" t="str" cm="1">
        <f t="array" ref="E246">_xlfn.LET(
_xlpm.inTower, COUNTIF(Tower_Num_Table[Tower Rm Numbers], LEFT(Task_Summary_Table[[#This Row],[Area/Room]], 3)) &gt; 0,
_xlpm.typeResult, _xlfn.SWITCH(LEFT(Tasks[[#This Row],[Page]], 2), "Hi", "Historic", "An", "Annex", "Si", "Site", "S5", "Project Task", "SWITCH ERROR"),
IF(_xlpm.inTower, "West Tower", _xlpm.typeResult)
)</f>
        <v>Annex</v>
      </c>
      <c r="F246" t="str">
        <f>IFERROR(MID(Tasks[[#This Row],[Page]], FIND("Level", Tasks[[#This Row],[Page]]), 7), IF(ISNUMBER(FIND("Roof", Tasks[[#This Row],[Page]])), "Roof",  IF(ISNUMBER(FIND("S590", Tasks[[#This Row],[Page]])), "",  IF(ISNUMBER(FIND("Site", Tasks[[#This Row],[Page]])), "", "ERROR"))))</f>
        <v>Level 0</v>
      </c>
      <c r="G246" t="str">
        <f>IF(Tasks[[#This Row],[Location]]=0, "", Tasks[[#This Row],[Location]])</f>
        <v/>
      </c>
      <c r="H246" t="str">
        <f>Tasks[[#This Row],[To Package]]</f>
        <v>Electrical</v>
      </c>
      <c r="I246" t="str">
        <f>Tasks[[#This Row],[To Organisation]]</f>
        <v>Wilkinson Electric Inc</v>
      </c>
    </row>
    <row r="247" spans="1:9" x14ac:dyDescent="0.35">
      <c r="A247" s="9" t="str">
        <f>HYPERLINK(_xlfn.CONCAT(Edit_URL,Tasks[[#This Row],[Ref]]),Tasks[[#This Row],[Ref]])</f>
        <v>T1.9596676</v>
      </c>
      <c r="B247" s="6" t="str" cm="1">
        <f t="array" ref="B247">_xlfn.SWITCH(LEFT(Tasks[[#This Row],[Status]],1),"O","Opened","C","Completed","S","Signed Off","ERROR")</f>
        <v>Signed Off</v>
      </c>
      <c r="C247" s="6" t="str" cm="1">
        <f t="array" ref="C247">_xlfn.SWITCH(LEFT(Tasks[[#This Row],[Type]], 2), "Fi", "Field Report", "Co", "Contractor QC", "Ge", "Contractor QC", "Pu", "Punch List")</f>
        <v>Field Report</v>
      </c>
      <c r="D247" s="6" t="str">
        <f>LEFT(Tasks[[#This Row],[Description]], 50)</f>
        <v>EOR 2021.09.09, Item 12: Annex – Basement and 
oth</v>
      </c>
      <c r="E247" s="6" t="str" cm="1">
        <f t="array" ref="E247">_xlfn.LET(
_xlpm.inTower, COUNTIF(Tower_Num_Table[Tower Rm Numbers], LEFT(Task_Summary_Table[[#This Row],[Area/Room]], 3)) &gt; 0,
_xlpm.typeResult, _xlfn.SWITCH(LEFT(Tasks[[#This Row],[Page]], 2), "Hi", "Historic", "An", "Annex", "Si", "Site", "S5", "Project Task", "SWITCH ERROR"),
IF(_xlpm.inTower, "West Tower", _xlpm.typeResult)
)</f>
        <v>Annex</v>
      </c>
      <c r="F247" t="str">
        <f>IFERROR(MID(Tasks[[#This Row],[Page]], FIND("Level", Tasks[[#This Row],[Page]]), 7), IF(ISNUMBER(FIND("Roof", Tasks[[#This Row],[Page]])), "Roof",  IF(ISNUMBER(FIND("S590", Tasks[[#This Row],[Page]])), "",  IF(ISNUMBER(FIND("Site", Tasks[[#This Row],[Page]])), "", "ERROR"))))</f>
        <v>Level 0</v>
      </c>
      <c r="G247" t="str">
        <f>IF(Tasks[[#This Row],[Location]]=0, "", Tasks[[#This Row],[Location]])</f>
        <v/>
      </c>
      <c r="H247" t="str">
        <f>Tasks[[#This Row],[To Package]]</f>
        <v>Electrical</v>
      </c>
      <c r="I247" t="str">
        <f>Tasks[[#This Row],[To Organisation]]</f>
        <v>Wilkinson Electric Inc</v>
      </c>
    </row>
    <row r="248" spans="1:9" x14ac:dyDescent="0.35">
      <c r="A248" s="9" t="str">
        <f>HYPERLINK(_xlfn.CONCAT(Edit_URL,Tasks[[#This Row],[Ref]]),Tasks[[#This Row],[Ref]])</f>
        <v>T1.9596673</v>
      </c>
      <c r="B248" s="6" t="str" cm="1">
        <f t="array" ref="B248">_xlfn.SWITCH(LEFT(Tasks[[#This Row],[Status]],1),"O","Opened","C","Completed","S","Signed Off","ERROR")</f>
        <v>Signed Off</v>
      </c>
      <c r="C248" s="6" t="str" cm="1">
        <f t="array" ref="C248">_xlfn.SWITCH(LEFT(Tasks[[#This Row],[Type]], 2), "Fi", "Field Report", "Co", "Contractor QC", "Ge", "Contractor QC", "Pu", "Punch List")</f>
        <v>Field Report</v>
      </c>
      <c r="D248" s="6" t="str">
        <f>LEFT(Tasks[[#This Row],[Description]], 50)</f>
        <v xml:space="preserve">EOR 2021.09.09, Item 9: Annex – Basement 
Power </v>
      </c>
      <c r="E248" s="6" t="str" cm="1">
        <f t="array" ref="E248">_xlfn.LET(
_xlpm.inTower, COUNTIF(Tower_Num_Table[Tower Rm Numbers], LEFT(Task_Summary_Table[[#This Row],[Area/Room]], 3)) &gt; 0,
_xlpm.typeResult, _xlfn.SWITCH(LEFT(Tasks[[#This Row],[Page]], 2), "Hi", "Historic", "An", "Annex", "Si", "Site", "S5", "Project Task", "SWITCH ERROR"),
IF(_xlpm.inTower, "West Tower", _xlpm.typeResult)
)</f>
        <v>Annex</v>
      </c>
      <c r="F248" t="str">
        <f>IFERROR(MID(Tasks[[#This Row],[Page]], FIND("Level", Tasks[[#This Row],[Page]]), 7), IF(ISNUMBER(FIND("Roof", Tasks[[#This Row],[Page]])), "Roof",  IF(ISNUMBER(FIND("S590", Tasks[[#This Row],[Page]])), "",  IF(ISNUMBER(FIND("Site", Tasks[[#This Row],[Page]])), "", "ERROR"))))</f>
        <v>Level 0</v>
      </c>
      <c r="G248" t="str">
        <f>IF(Tasks[[#This Row],[Location]]=0, "", Tasks[[#This Row],[Location]])</f>
        <v/>
      </c>
      <c r="H248" t="str">
        <f>Tasks[[#This Row],[To Package]]</f>
        <v>Electrical</v>
      </c>
      <c r="I248" t="str">
        <f>Tasks[[#This Row],[To Organisation]]</f>
        <v>Wilkinson Electric Inc</v>
      </c>
    </row>
    <row r="249" spans="1:9" x14ac:dyDescent="0.35">
      <c r="A249" s="9" t="str">
        <f>HYPERLINK(_xlfn.CONCAT(Edit_URL,Tasks[[#This Row],[Ref]]),Tasks[[#This Row],[Ref]])</f>
        <v>T1.9596672</v>
      </c>
      <c r="B249" s="6" t="str" cm="1">
        <f t="array" ref="B249">_xlfn.SWITCH(LEFT(Tasks[[#This Row],[Status]],1),"O","Opened","C","Completed","S","Signed Off","ERROR")</f>
        <v>Signed Off</v>
      </c>
      <c r="C249" s="6" t="str" cm="1">
        <f t="array" ref="C249">_xlfn.SWITCH(LEFT(Tasks[[#This Row],[Type]], 2), "Fi", "Field Report", "Co", "Contractor QC", "Ge", "Contractor QC", "Pu", "Punch List")</f>
        <v>Field Report</v>
      </c>
      <c r="D249" s="6" t="str">
        <f>LEFT(Tasks[[#This Row],[Description]], 50)</f>
        <v>EOR 2021.09.09 
Annex – Basement 
Unscreened LED</v>
      </c>
      <c r="E249" s="6" t="str" cm="1">
        <f t="array" ref="E249">_xlfn.LET(
_xlpm.inTower, COUNTIF(Tower_Num_Table[Tower Rm Numbers], LEFT(Task_Summary_Table[[#This Row],[Area/Room]], 3)) &gt; 0,
_xlpm.typeResult, _xlfn.SWITCH(LEFT(Tasks[[#This Row],[Page]], 2), "Hi", "Historic", "An", "Annex", "Si", "Site", "S5", "Project Task", "SWITCH ERROR"),
IF(_xlpm.inTower, "West Tower", _xlpm.typeResult)
)</f>
        <v>Annex</v>
      </c>
      <c r="F249" t="str">
        <f>IFERROR(MID(Tasks[[#This Row],[Page]], FIND("Level", Tasks[[#This Row],[Page]]), 7), IF(ISNUMBER(FIND("Roof", Tasks[[#This Row],[Page]])), "Roof",  IF(ISNUMBER(FIND("S590", Tasks[[#This Row],[Page]])), "",  IF(ISNUMBER(FIND("Site", Tasks[[#This Row],[Page]])), "", "ERROR"))))</f>
        <v>Level 0</v>
      </c>
      <c r="G249" t="str">
        <f>IF(Tasks[[#This Row],[Location]]=0, "", Tasks[[#This Row],[Location]])</f>
        <v/>
      </c>
      <c r="H249" t="str">
        <f>Tasks[[#This Row],[To Package]]</f>
        <v>Electrical</v>
      </c>
      <c r="I249" t="str">
        <f>Tasks[[#This Row],[To Organisation]]</f>
        <v>Wilkinson Electric Inc</v>
      </c>
    </row>
    <row r="250" spans="1:9" x14ac:dyDescent="0.35">
      <c r="A250" s="9" t="str">
        <f>HYPERLINK(_xlfn.CONCAT(Edit_URL,Tasks[[#This Row],[Ref]]),Tasks[[#This Row],[Ref]])</f>
        <v>T1.9596671</v>
      </c>
      <c r="B250" s="6" t="str" cm="1">
        <f t="array" ref="B250">_xlfn.SWITCH(LEFT(Tasks[[#This Row],[Status]],1),"O","Opened","C","Completed","S","Signed Off","ERROR")</f>
        <v>Signed Off</v>
      </c>
      <c r="C250" s="6" t="str" cm="1">
        <f t="array" ref="C250">_xlfn.SWITCH(LEFT(Tasks[[#This Row],[Type]], 2), "Fi", "Field Report", "Co", "Contractor QC", "Ge", "Contractor QC", "Pu", "Punch List")</f>
        <v>Field Report</v>
      </c>
      <c r="D250" s="6" t="str">
        <f>LEFT(Tasks[[#This Row],[Description]], 50)</f>
        <v>Annex – Basement 
Cabling for bathroom outlets i</v>
      </c>
      <c r="E250" s="6" t="str" cm="1">
        <f t="array" ref="E250">_xlfn.LET(
_xlpm.inTower, COUNTIF(Tower_Num_Table[Tower Rm Numbers], LEFT(Task_Summary_Table[[#This Row],[Area/Room]], 3)) &gt; 0,
_xlpm.typeResult, _xlfn.SWITCH(LEFT(Tasks[[#This Row],[Page]], 2), "Hi", "Historic", "An", "Annex", "Si", "Site", "S5", "Project Task", "SWITCH ERROR"),
IF(_xlpm.inTower, "West Tower", _xlpm.typeResult)
)</f>
        <v>Annex</v>
      </c>
      <c r="F250" t="str">
        <f>IFERROR(MID(Tasks[[#This Row],[Page]], FIND("Level", Tasks[[#This Row],[Page]]), 7), IF(ISNUMBER(FIND("Roof", Tasks[[#This Row],[Page]])), "Roof",  IF(ISNUMBER(FIND("S590", Tasks[[#This Row],[Page]])), "",  IF(ISNUMBER(FIND("Site", Tasks[[#This Row],[Page]])), "", "ERROR"))))</f>
        <v>Level 0</v>
      </c>
      <c r="G250" t="str">
        <f>IF(Tasks[[#This Row],[Location]]=0, "", Tasks[[#This Row],[Location]])</f>
        <v/>
      </c>
      <c r="H250" t="str">
        <f>Tasks[[#This Row],[To Package]]</f>
        <v>Electrical</v>
      </c>
      <c r="I250" t="str">
        <f>Tasks[[#This Row],[To Organisation]]</f>
        <v>Wilkinson Electric Inc</v>
      </c>
    </row>
    <row r="251" spans="1:9" x14ac:dyDescent="0.35">
      <c r="A251" s="9" t="str">
        <f>HYPERLINK(_xlfn.CONCAT(Edit_URL,Tasks[[#This Row],[Ref]]),Tasks[[#This Row],[Ref]])</f>
        <v>T1.9596670</v>
      </c>
      <c r="B251" s="6" t="str" cm="1">
        <f t="array" ref="B251">_xlfn.SWITCH(LEFT(Tasks[[#This Row],[Status]],1),"O","Opened","C","Completed","S","Signed Off","ERROR")</f>
        <v>Signed Off</v>
      </c>
      <c r="C251" s="6" t="str" cm="1">
        <f t="array" ref="C251">_xlfn.SWITCH(LEFT(Tasks[[#This Row],[Type]], 2), "Fi", "Field Report", "Co", "Contractor QC", "Ge", "Contractor QC", "Pu", "Punch List")</f>
        <v>Field Report</v>
      </c>
      <c r="D251" s="6" t="str">
        <f>LEFT(Tasks[[#This Row],[Description]], 50)</f>
        <v>Cabling for outlets at “grab &amp; go” room appears to</v>
      </c>
      <c r="E251" s="6" t="str" cm="1">
        <f t="array" ref="E251">_xlfn.LET(
_xlpm.inTower, COUNTIF(Tower_Num_Table[Tower Rm Numbers], LEFT(Task_Summary_Table[[#This Row],[Area/Room]], 3)) &gt; 0,
_xlpm.typeResult, _xlfn.SWITCH(LEFT(Tasks[[#This Row],[Page]], 2), "Hi", "Historic", "An", "Annex", "Si", "Site", "S5", "Project Task", "SWITCH ERROR"),
IF(_xlpm.inTower, "West Tower", _xlpm.typeResult)
)</f>
        <v>Annex</v>
      </c>
      <c r="F251" t="str">
        <f>IFERROR(MID(Tasks[[#This Row],[Page]], FIND("Level", Tasks[[#This Row],[Page]]), 7), IF(ISNUMBER(FIND("Roof", Tasks[[#This Row],[Page]])), "Roof",  IF(ISNUMBER(FIND("S590", Tasks[[#This Row],[Page]])), "",  IF(ISNUMBER(FIND("Site", Tasks[[#This Row],[Page]])), "", "ERROR"))))</f>
        <v>Level 0</v>
      </c>
      <c r="G251" t="str">
        <f>IF(Tasks[[#This Row],[Location]]=0, "", Tasks[[#This Row],[Location]])</f>
        <v>011 - GRAB-N-GO</v>
      </c>
      <c r="H251" t="str">
        <f>Tasks[[#This Row],[To Package]]</f>
        <v>Electrical</v>
      </c>
      <c r="I251" t="str">
        <f>Tasks[[#This Row],[To Organisation]]</f>
        <v>Wilkinson Electric Inc</v>
      </c>
    </row>
    <row r="252" spans="1:9" x14ac:dyDescent="0.35">
      <c r="A252" s="9" t="str">
        <f>HYPERLINK(_xlfn.CONCAT(Edit_URL,Tasks[[#This Row],[Ref]]),Tasks[[#This Row],[Ref]])</f>
        <v>T1.9596669</v>
      </c>
      <c r="B252" s="6" t="str" cm="1">
        <f t="array" ref="B252">_xlfn.SWITCH(LEFT(Tasks[[#This Row],[Status]],1),"O","Opened","C","Completed","S","Signed Off","ERROR")</f>
        <v>Signed Off</v>
      </c>
      <c r="C252" s="6" t="str" cm="1">
        <f t="array" ref="C252">_xlfn.SWITCH(LEFT(Tasks[[#This Row],[Type]], 2), "Fi", "Field Report", "Co", "Contractor QC", "Ge", "Contractor QC", "Pu", "Punch List")</f>
        <v>Field Report</v>
      </c>
      <c r="D252" s="6" t="str">
        <f>LEFT(Tasks[[#This Row],[Description]], 50)</f>
        <v xml:space="preserve">Annex - Basement  
Cabling appears to be routed </v>
      </c>
      <c r="E252" s="6" t="str" cm="1">
        <f t="array" ref="E252">_xlfn.LET(
_xlpm.inTower, COUNTIF(Tower_Num_Table[Tower Rm Numbers], LEFT(Task_Summary_Table[[#This Row],[Area/Room]], 3)) &gt; 0,
_xlpm.typeResult, _xlfn.SWITCH(LEFT(Tasks[[#This Row],[Page]], 2), "Hi", "Historic", "An", "Annex", "Si", "Site", "S5", "Project Task", "SWITCH ERROR"),
IF(_xlpm.inTower, "West Tower", _xlpm.typeResult)
)</f>
        <v>Annex</v>
      </c>
      <c r="F252" t="str">
        <f>IFERROR(MID(Tasks[[#This Row],[Page]], FIND("Level", Tasks[[#This Row],[Page]]), 7), IF(ISNUMBER(FIND("Roof", Tasks[[#This Row],[Page]])), "Roof",  IF(ISNUMBER(FIND("S590", Tasks[[#This Row],[Page]])), "",  IF(ISNUMBER(FIND("Site", Tasks[[#This Row],[Page]])), "", "ERROR"))))</f>
        <v>Level 0</v>
      </c>
      <c r="G252" t="str">
        <f>IF(Tasks[[#This Row],[Location]]=0, "", Tasks[[#This Row],[Location]])</f>
        <v/>
      </c>
      <c r="H252" t="str">
        <f>Tasks[[#This Row],[To Package]]</f>
        <v>Electrical</v>
      </c>
      <c r="I252" t="str">
        <f>Tasks[[#This Row],[To Organisation]]</f>
        <v>Wilkinson Electric Inc</v>
      </c>
    </row>
    <row r="253" spans="1:9" x14ac:dyDescent="0.35">
      <c r="A253" s="9" t="str">
        <f>HYPERLINK(_xlfn.CONCAT(Edit_URL,Tasks[[#This Row],[Ref]]),Tasks[[#This Row],[Ref]])</f>
        <v>T1.9596668</v>
      </c>
      <c r="B253" s="6" t="str" cm="1">
        <f t="array" ref="B253">_xlfn.SWITCH(LEFT(Tasks[[#This Row],[Status]],1),"O","Opened","C","Completed","S","Signed Off","ERROR")</f>
        <v>Completed</v>
      </c>
      <c r="C253" s="6" t="str" cm="1">
        <f t="array" ref="C253">_xlfn.SWITCH(LEFT(Tasks[[#This Row],[Type]], 2), "Fi", "Field Report", "Co", "Contractor QC", "Ge", "Contractor QC", "Pu", "Punch List")</f>
        <v>Field Report</v>
      </c>
      <c r="D253" s="6" t="str">
        <f>LEFT(Tasks[[#This Row],[Description]], 50)</f>
        <v>Annex – Basement and other areas throughout 
Ele</v>
      </c>
      <c r="E253" s="6" t="str" cm="1">
        <f t="array" ref="E253">_xlfn.LET(
_xlpm.inTower, COUNTIF(Tower_Num_Table[Tower Rm Numbers], LEFT(Task_Summary_Table[[#This Row],[Area/Room]], 3)) &gt; 0,
_xlpm.typeResult, _xlfn.SWITCH(LEFT(Tasks[[#This Row],[Page]], 2), "Hi", "Historic", "An", "Annex", "Si", "Site", "S5", "Project Task", "SWITCH ERROR"),
IF(_xlpm.inTower, "West Tower", _xlpm.typeResult)
)</f>
        <v>Annex</v>
      </c>
      <c r="F253" t="str">
        <f>IFERROR(MID(Tasks[[#This Row],[Page]], FIND("Level", Tasks[[#This Row],[Page]]), 7), IF(ISNUMBER(FIND("Roof", Tasks[[#This Row],[Page]])), "Roof",  IF(ISNUMBER(FIND("S590", Tasks[[#This Row],[Page]])), "",  IF(ISNUMBER(FIND("Site", Tasks[[#This Row],[Page]])), "", "ERROR"))))</f>
        <v>Level 0</v>
      </c>
      <c r="G253" t="str">
        <f>IF(Tasks[[#This Row],[Location]]=0, "", Tasks[[#This Row],[Location]])</f>
        <v/>
      </c>
      <c r="H253" t="str">
        <f>Tasks[[#This Row],[To Package]]</f>
        <v>Electrical</v>
      </c>
      <c r="I253" t="str">
        <f>Tasks[[#This Row],[To Organisation]]</f>
        <v>Wilkinson Electric Inc</v>
      </c>
    </row>
    <row r="254" spans="1:9" x14ac:dyDescent="0.35">
      <c r="A254" s="9" t="str">
        <f>HYPERLINK(_xlfn.CONCAT(Edit_URL,Tasks[[#This Row],[Ref]]),Tasks[[#This Row],[Ref]])</f>
        <v>T1.9596667</v>
      </c>
      <c r="B254" s="6" t="str" cm="1">
        <f t="array" ref="B254">_xlfn.SWITCH(LEFT(Tasks[[#This Row],[Status]],1),"O","Opened","C","Completed","S","Signed Off","ERROR")</f>
        <v>Signed Off</v>
      </c>
      <c r="C254" s="6" t="str" cm="1">
        <f t="array" ref="C254">_xlfn.SWITCH(LEFT(Tasks[[#This Row],[Type]], 2), "Fi", "Field Report", "Co", "Contractor QC", "Ge", "Contractor QC", "Pu", "Punch List")</f>
        <v>Punch List</v>
      </c>
      <c r="D254" s="6" t="str">
        <f>LEFT(Tasks[[#This Row],[Description]], 50)</f>
        <v>Annex – Basement and throughout the building 
In</v>
      </c>
      <c r="E254" s="6" t="str" cm="1">
        <f t="array" ref="E254">_xlfn.LET(
_xlpm.inTower, COUNTIF(Tower_Num_Table[Tower Rm Numbers], LEFT(Task_Summary_Table[[#This Row],[Area/Room]], 3)) &gt; 0,
_xlpm.typeResult, _xlfn.SWITCH(LEFT(Tasks[[#This Row],[Page]], 2), "Hi", "Historic", "An", "Annex", "Si", "Site", "S5", "Project Task", "SWITCH ERROR"),
IF(_xlpm.inTower, "West Tower", _xlpm.typeResult)
)</f>
        <v>Annex</v>
      </c>
      <c r="F254" t="str">
        <f>IFERROR(MID(Tasks[[#This Row],[Page]], FIND("Level", Tasks[[#This Row],[Page]]), 7), IF(ISNUMBER(FIND("Roof", Tasks[[#This Row],[Page]])), "Roof",  IF(ISNUMBER(FIND("S590", Tasks[[#This Row],[Page]])), "",  IF(ISNUMBER(FIND("Site", Tasks[[#This Row],[Page]])), "", "ERROR"))))</f>
        <v>Level 0</v>
      </c>
      <c r="G254" t="str">
        <f>IF(Tasks[[#This Row],[Location]]=0, "", Tasks[[#This Row],[Location]])</f>
        <v/>
      </c>
      <c r="H254" t="str">
        <f>Tasks[[#This Row],[To Package]]</f>
        <v>Electrical</v>
      </c>
      <c r="I254" t="str">
        <f>Tasks[[#This Row],[To Organisation]]</f>
        <v>Wilkinson Electric Inc</v>
      </c>
    </row>
    <row r="255" spans="1:9" x14ac:dyDescent="0.35">
      <c r="A255" s="9" t="str">
        <f>HYPERLINK(_xlfn.CONCAT(Edit_URL,Tasks[[#This Row],[Ref]]),Tasks[[#This Row],[Ref]])</f>
        <v>T59123.65</v>
      </c>
      <c r="B255" s="6" t="str" cm="1">
        <f t="array" ref="B255">_xlfn.SWITCH(LEFT(Tasks[[#This Row],[Status]],1),"O","Opened","C","Completed","S","Signed Off","ERROR")</f>
        <v>Signed Off</v>
      </c>
      <c r="C255" s="6" t="str" cm="1">
        <f t="array" ref="C255">_xlfn.SWITCH(LEFT(Tasks[[#This Row],[Type]], 2), "Fi", "Field Report", "Co", "Contractor QC", "Ge", "Contractor QC", "Pu", "Punch List")</f>
        <v>Punch List</v>
      </c>
      <c r="D255" s="6" t="str">
        <f>LEFT(Tasks[[#This Row],[Description]], 50)</f>
        <v>Sprinkler head not in line with pendant lights Eas</v>
      </c>
      <c r="E255" s="6" t="str" cm="1">
        <f t="array" ref="E255">_xlfn.LET(
_xlpm.inTower, COUNTIF(Tower_Num_Table[Tower Rm Numbers], LEFT(Task_Summary_Table[[#This Row],[Area/Room]], 3)) &gt; 0,
_xlpm.typeResult, _xlfn.SWITCH(LEFT(Tasks[[#This Row],[Page]], 2), "Hi", "Historic", "An", "Annex", "Si", "Site", "S5", "Project Task", "SWITCH ERROR"),
IF(_xlpm.inTower, "West Tower", _xlpm.typeResult)
)</f>
        <v>Historic</v>
      </c>
      <c r="F255" t="str">
        <f>IFERROR(MID(Tasks[[#This Row],[Page]], FIND("Level", Tasks[[#This Row],[Page]]), 7), IF(ISNUMBER(FIND("Roof", Tasks[[#This Row],[Page]])), "Roof",  IF(ISNUMBER(FIND("S590", Tasks[[#This Row],[Page]])), "",  IF(ISNUMBER(FIND("Site", Tasks[[#This Row],[Page]])), "", "ERROR"))))</f>
        <v>Level 2</v>
      </c>
      <c r="G255" t="str">
        <f>IF(Tasks[[#This Row],[Location]]=0, "", Tasks[[#This Row],[Location]])</f>
        <v>209 - Instruction Room A-2</v>
      </c>
      <c r="H255" t="str">
        <f>Tasks[[#This Row],[To Package]]</f>
        <v>Fire Suppression</v>
      </c>
      <c r="I255" t="str">
        <f>Tasks[[#This Row],[To Organisation]]</f>
        <v>Broken Arrow Construction Corporation</v>
      </c>
    </row>
    <row r="256" spans="1:9" x14ac:dyDescent="0.35">
      <c r="A256" s="9" t="str">
        <f>HYPERLINK(_xlfn.CONCAT(Edit_URL,Tasks[[#This Row],[Ref]]),Tasks[[#This Row],[Ref]])</f>
        <v>T59123.64</v>
      </c>
      <c r="B256" s="6" t="str" cm="1">
        <f t="array" ref="B256">_xlfn.SWITCH(LEFT(Tasks[[#This Row],[Status]],1),"O","Opened","C","Completed","S","Signed Off","ERROR")</f>
        <v>Signed Off</v>
      </c>
      <c r="C256" s="6" t="str" cm="1">
        <f t="array" ref="C256">_xlfn.SWITCH(LEFT(Tasks[[#This Row],[Type]], 2), "Fi", "Field Report", "Co", "Contractor QC", "Ge", "Contractor QC", "Pu", "Punch List")</f>
        <v>Punch List</v>
      </c>
      <c r="D256" s="6" t="str">
        <f>LEFT(Tasks[[#This Row],[Description]], 50)</f>
        <v>Plumbing line too close to drywall. Needs to be ce</v>
      </c>
      <c r="E256" s="6" t="str" cm="1">
        <f t="array" ref="E256">_xlfn.LET(
_xlpm.inTower, COUNTIF(Tower_Num_Table[Tower Rm Numbers], LEFT(Task_Summary_Table[[#This Row],[Area/Room]], 3)) &gt; 0,
_xlpm.typeResult, _xlfn.SWITCH(LEFT(Tasks[[#This Row],[Page]], 2), "Hi", "Historic", "An", "Annex", "Si", "Site", "S5", "Project Task", "SWITCH ERROR"),
IF(_xlpm.inTower, "West Tower", _xlpm.typeResult)
)</f>
        <v>Historic</v>
      </c>
      <c r="F256" t="str">
        <f>IFERROR(MID(Tasks[[#This Row],[Page]], FIND("Level", Tasks[[#This Row],[Page]]), 7), IF(ISNUMBER(FIND("Roof", Tasks[[#This Row],[Page]])), "Roof",  IF(ISNUMBER(FIND("S590", Tasks[[#This Row],[Page]])), "",  IF(ISNUMBER(FIND("Site", Tasks[[#This Row],[Page]])), "", "ERROR"))))</f>
        <v>Level 2</v>
      </c>
      <c r="G256" t="str">
        <f>IF(Tasks[[#This Row],[Location]]=0, "", Tasks[[#This Row],[Location]])</f>
        <v>217 - Waiting</v>
      </c>
      <c r="H256" t="str">
        <f>Tasks[[#This Row],[To Package]]</f>
        <v>Plumbing</v>
      </c>
      <c r="I256" t="str">
        <f>Tasks[[#This Row],[To Organisation]]</f>
        <v>US Mechanical</v>
      </c>
    </row>
    <row r="257" spans="1:9" x14ac:dyDescent="0.35">
      <c r="A257" s="9" t="str">
        <f>HYPERLINK(_xlfn.CONCAT(Edit_URL,Tasks[[#This Row],[Ref]]),Tasks[[#This Row],[Ref]])</f>
        <v>T59123.63</v>
      </c>
      <c r="B257" s="6" t="str" cm="1">
        <f t="array" ref="B257">_xlfn.SWITCH(LEFT(Tasks[[#This Row],[Status]],1),"O","Opened","C","Completed","S","Signed Off","ERROR")</f>
        <v>Opened</v>
      </c>
      <c r="C257" s="6" t="str" cm="1">
        <f t="array" ref="C257">_xlfn.SWITCH(LEFT(Tasks[[#This Row],[Type]], 2), "Fi", "Field Report", "Co", "Contractor QC", "Ge", "Contractor QC", "Pu", "Punch List")</f>
        <v>Punch List</v>
      </c>
      <c r="D257" s="6" t="str">
        <f>LEFT(Tasks[[#This Row],[Description]], 50)</f>
        <v xml:space="preserve">Sprinkler cap is removed and head is 1” low. Need </v>
      </c>
      <c r="E257" s="6" t="str" cm="1">
        <f t="array" ref="E257">_xlfn.LET(
_xlpm.inTower, COUNTIF(Tower_Num_Table[Tower Rm Numbers], LEFT(Task_Summary_Table[[#This Row],[Area/Room]], 3)) &gt; 0,
_xlpm.typeResult, _xlfn.SWITCH(LEFT(Tasks[[#This Row],[Page]], 2), "Hi", "Historic", "An", "Annex", "Si", "Site", "S5", "Project Task", "SWITCH ERROR"),
IF(_xlpm.inTower, "West Tower", _xlpm.typeResult)
)</f>
        <v>Historic</v>
      </c>
      <c r="F257" t="str">
        <f>IFERROR(MID(Tasks[[#This Row],[Page]], FIND("Level", Tasks[[#This Row],[Page]]), 7), IF(ISNUMBER(FIND("Roof", Tasks[[#This Row],[Page]])), "Roof",  IF(ISNUMBER(FIND("S590", Tasks[[#This Row],[Page]])), "",  IF(ISNUMBER(FIND("Site", Tasks[[#This Row],[Page]])), "", "ERROR"))))</f>
        <v>Level 5</v>
      </c>
      <c r="G257" t="str">
        <f>IF(Tasks[[#This Row],[Location]]=0, "", Tasks[[#This Row],[Location]])</f>
        <v>515 - Elec.</v>
      </c>
      <c r="H257" t="str">
        <f>Tasks[[#This Row],[To Package]]</f>
        <v>Fire Suppression</v>
      </c>
      <c r="I257" t="str">
        <f>Tasks[[#This Row],[To Organisation]]</f>
        <v>Broken Arrow Construction Corporation</v>
      </c>
    </row>
    <row r="258" spans="1:9" x14ac:dyDescent="0.35">
      <c r="A258" s="9" t="str">
        <f>HYPERLINK(_xlfn.CONCAT(Edit_URL,Tasks[[#This Row],[Ref]]),Tasks[[#This Row],[Ref]])</f>
        <v>T59123.62</v>
      </c>
      <c r="B258" s="6" t="str" cm="1">
        <f t="array" ref="B258">_xlfn.SWITCH(LEFT(Tasks[[#This Row],[Status]],1),"O","Opened","C","Completed","S","Signed Off","ERROR")</f>
        <v>Opened</v>
      </c>
      <c r="C258" s="6" t="str" cm="1">
        <f t="array" ref="C258">_xlfn.SWITCH(LEFT(Tasks[[#This Row],[Type]], 2), "Fi", "Field Report", "Co", "Contractor QC", "Ge", "Contractor QC", "Pu", "Punch List")</f>
        <v>Punch List</v>
      </c>
      <c r="D258" s="6" t="str">
        <f>LEFT(Tasks[[#This Row],[Description]], 50)</f>
        <v xml:space="preserve">Sprinkler cap is removed and head is 1” low. Need </v>
      </c>
      <c r="E258" s="6" t="str" cm="1">
        <f t="array" ref="E258">_xlfn.LET(
_xlpm.inTower, COUNTIF(Tower_Num_Table[Tower Rm Numbers], LEFT(Task_Summary_Table[[#This Row],[Area/Room]], 3)) &gt; 0,
_xlpm.typeResult, _xlfn.SWITCH(LEFT(Tasks[[#This Row],[Page]], 2), "Hi", "Historic", "An", "Annex", "Si", "Site", "S5", "Project Task", "SWITCH ERROR"),
IF(_xlpm.inTower, "West Tower", _xlpm.typeResult)
)</f>
        <v>Historic</v>
      </c>
      <c r="F258" t="str">
        <f>IFERROR(MID(Tasks[[#This Row],[Page]], FIND("Level", Tasks[[#This Row],[Page]]), 7), IF(ISNUMBER(FIND("Roof", Tasks[[#This Row],[Page]])), "Roof",  IF(ISNUMBER(FIND("S590", Tasks[[#This Row],[Page]])), "",  IF(ISNUMBER(FIND("Site", Tasks[[#This Row],[Page]])), "", "ERROR"))))</f>
        <v>Level 5</v>
      </c>
      <c r="G258" t="str">
        <f>IF(Tasks[[#This Row],[Location]]=0, "", Tasks[[#This Row],[Location]])</f>
        <v>515 - Elec.</v>
      </c>
      <c r="H258" t="str">
        <f>Tasks[[#This Row],[To Package]]</f>
        <v>Fire Suppression</v>
      </c>
      <c r="I258" t="str">
        <f>Tasks[[#This Row],[To Organisation]]</f>
        <v>Broken Arrow Construction Corporation</v>
      </c>
    </row>
    <row r="259" spans="1:9" x14ac:dyDescent="0.35">
      <c r="A259" s="9" t="str">
        <f>HYPERLINK(_xlfn.CONCAT(Edit_URL,Tasks[[#This Row],[Ref]]),Tasks[[#This Row],[Ref]])</f>
        <v>T59123.61</v>
      </c>
      <c r="B259" s="6" t="str" cm="1">
        <f t="array" ref="B259">_xlfn.SWITCH(LEFT(Tasks[[#This Row],[Status]],1),"O","Opened","C","Completed","S","Signed Off","ERROR")</f>
        <v>Signed Off</v>
      </c>
      <c r="C259" s="6" t="str" cm="1">
        <f t="array" ref="C259">_xlfn.SWITCH(LEFT(Tasks[[#This Row],[Type]], 2), "Fi", "Field Report", "Co", "Contractor QC", "Ge", "Contractor QC", "Pu", "Punch List")</f>
        <v>Punch List</v>
      </c>
      <c r="D259" s="6" t="str">
        <f>LEFT(Tasks[[#This Row],[Description]], 50)</f>
        <v>Demo existing electrical conduit at floor</v>
      </c>
      <c r="E259" s="6" t="str" cm="1">
        <f t="array" ref="E259">_xlfn.LET(
_xlpm.inTower, COUNTIF(Tower_Num_Table[Tower Rm Numbers], LEFT(Task_Summary_Table[[#This Row],[Area/Room]], 3)) &gt; 0,
_xlpm.typeResult, _xlfn.SWITCH(LEFT(Tasks[[#This Row],[Page]], 2), "Hi", "Historic", "An", "Annex", "Si", "Site", "S5", "Project Task", "SWITCH ERROR"),
IF(_xlpm.inTower, "West Tower", _xlpm.typeResult)
)</f>
        <v>Historic</v>
      </c>
      <c r="F259" t="str">
        <f>IFERROR(MID(Tasks[[#This Row],[Page]], FIND("Level", Tasks[[#This Row],[Page]]), 7), IF(ISNUMBER(FIND("Roof", Tasks[[#This Row],[Page]])), "Roof",  IF(ISNUMBER(FIND("S590", Tasks[[#This Row],[Page]])), "",  IF(ISNUMBER(FIND("Site", Tasks[[#This Row],[Page]])), "", "ERROR"))))</f>
        <v>Level 5</v>
      </c>
      <c r="G259" t="str">
        <f>IF(Tasks[[#This Row],[Location]]=0, "", Tasks[[#This Row],[Location]])</f>
        <v>519 - Waiting</v>
      </c>
      <c r="H259" t="str">
        <f>Tasks[[#This Row],[To Package]]</f>
        <v>Electrical</v>
      </c>
      <c r="I259" t="str">
        <f>Tasks[[#This Row],[To Organisation]]</f>
        <v>Wilkinson Electric Inc</v>
      </c>
    </row>
    <row r="260" spans="1:9" x14ac:dyDescent="0.35">
      <c r="A260" s="9" t="str">
        <f>HYPERLINK(_xlfn.CONCAT(Edit_URL,Tasks[[#This Row],[Ref]]),Tasks[[#This Row],[Ref]])</f>
        <v>T59123.60</v>
      </c>
      <c r="B260" s="6" t="str" cm="1">
        <f t="array" ref="B260">_xlfn.SWITCH(LEFT(Tasks[[#This Row],[Status]],1),"O","Opened","C","Completed","S","Signed Off","ERROR")</f>
        <v>Signed Off</v>
      </c>
      <c r="C260" s="6" t="str" cm="1">
        <f t="array" ref="C260">_xlfn.SWITCH(LEFT(Tasks[[#This Row],[Type]], 2), "Fi", "Field Report", "Co", "Contractor QC", "Ge", "Contractor QC", "Pu", "Punch List")</f>
        <v>Punch List</v>
      </c>
      <c r="D260" s="6" t="str">
        <f>LEFT(Tasks[[#This Row],[Description]], 50)</f>
        <v>Remove existing fire suppression and cap at vestib</v>
      </c>
      <c r="E260" s="6" t="str" cm="1">
        <f t="array" ref="E260">_xlfn.LET(
_xlpm.inTower, COUNTIF(Tower_Num_Table[Tower Rm Numbers], LEFT(Task_Summary_Table[[#This Row],[Area/Room]], 3)) &gt; 0,
_xlpm.typeResult, _xlfn.SWITCH(LEFT(Tasks[[#This Row],[Page]], 2), "Hi", "Historic", "An", "Annex", "Si", "Site", "S5", "Project Task", "SWITCH ERROR"),
IF(_xlpm.inTower, "West Tower", _xlpm.typeResult)
)</f>
        <v>Historic</v>
      </c>
      <c r="F260" t="str">
        <f>IFERROR(MID(Tasks[[#This Row],[Page]], FIND("Level", Tasks[[#This Row],[Page]]), 7), IF(ISNUMBER(FIND("Roof", Tasks[[#This Row],[Page]])), "Roof",  IF(ISNUMBER(FIND("S590", Tasks[[#This Row],[Page]])), "",  IF(ISNUMBER(FIND("Site", Tasks[[#This Row],[Page]])), "", "ERROR"))))</f>
        <v>Level 5</v>
      </c>
      <c r="G260" t="str">
        <f>IF(Tasks[[#This Row],[Location]]=0, "", Tasks[[#This Row],[Location]])</f>
        <v>518 - Study</v>
      </c>
      <c r="H260" t="str">
        <f>Tasks[[#This Row],[To Package]]</f>
        <v>Fire Suppression</v>
      </c>
      <c r="I260" t="str">
        <f>Tasks[[#This Row],[To Organisation]]</f>
        <v>Broken Arrow Construction Corporation</v>
      </c>
    </row>
    <row r="261" spans="1:9" x14ac:dyDescent="0.35">
      <c r="A261" s="9" t="str">
        <f>HYPERLINK(_xlfn.CONCAT(Edit_URL,Tasks[[#This Row],[Ref]]),Tasks[[#This Row],[Ref]])</f>
        <v>T59123.59</v>
      </c>
      <c r="B261" s="6" t="str" cm="1">
        <f t="array" ref="B261">_xlfn.SWITCH(LEFT(Tasks[[#This Row],[Status]],1),"O","Opened","C","Completed","S","Signed Off","ERROR")</f>
        <v>Signed Off</v>
      </c>
      <c r="C261" s="6" t="str" cm="1">
        <f t="array" ref="C261">_xlfn.SWITCH(LEFT(Tasks[[#This Row],[Type]], 2), "Fi", "Field Report", "Co", "Contractor QC", "Ge", "Contractor QC", "Pu", "Punch List")</f>
        <v>Punch List</v>
      </c>
      <c r="D261" s="6" t="str">
        <f>LEFT(Tasks[[#This Row],[Description]], 50)</f>
        <v>Rough in fire alarm monitor connections</v>
      </c>
      <c r="E261" s="6" t="str" cm="1">
        <f t="array" ref="E261">_xlfn.LET(
_xlpm.inTower, COUNTIF(Tower_Num_Table[Tower Rm Numbers], LEFT(Task_Summary_Table[[#This Row],[Area/Room]], 3)) &gt; 0,
_xlpm.typeResult, _xlfn.SWITCH(LEFT(Tasks[[#This Row],[Page]], 2), "Hi", "Historic", "An", "Annex", "Si", "Site", "S5", "Project Task", "SWITCH ERROR"),
IF(_xlpm.inTower, "West Tower", _xlpm.typeResult)
)</f>
        <v>Historic</v>
      </c>
      <c r="F261" t="str">
        <f>IFERROR(MID(Tasks[[#This Row],[Page]], FIND("Level", Tasks[[#This Row],[Page]]), 7), IF(ISNUMBER(FIND("Roof", Tasks[[#This Row],[Page]])), "Roof",  IF(ISNUMBER(FIND("S590", Tasks[[#This Row],[Page]])), "",  IF(ISNUMBER(FIND("Site", Tasks[[#This Row],[Page]])), "", "ERROR"))))</f>
        <v>Level 5</v>
      </c>
      <c r="G261" t="str">
        <f>IF(Tasks[[#This Row],[Location]]=0, "", Tasks[[#This Row],[Location]])</f>
        <v>518 - Study</v>
      </c>
      <c r="H261" t="str">
        <f>Tasks[[#This Row],[To Package]]</f>
        <v>Fire Suppression</v>
      </c>
      <c r="I261" t="str">
        <f>Tasks[[#This Row],[To Organisation]]</f>
        <v>Broken Arrow Construction Corporation</v>
      </c>
    </row>
    <row r="262" spans="1:9" x14ac:dyDescent="0.35">
      <c r="A262" s="9" t="str">
        <f>HYPERLINK(_xlfn.CONCAT(Edit_URL,Tasks[[#This Row],[Ref]]),Tasks[[#This Row],[Ref]])</f>
        <v>T59123.58</v>
      </c>
      <c r="B262" s="6" t="str" cm="1">
        <f t="array" ref="B262">_xlfn.SWITCH(LEFT(Tasks[[#This Row],[Status]],1),"O","Opened","C","Completed","S","Signed Off","ERROR")</f>
        <v>Signed Off</v>
      </c>
      <c r="C262" s="6" t="str" cm="1">
        <f t="array" ref="C262">_xlfn.SWITCH(LEFT(Tasks[[#This Row],[Type]], 2), "Fi", "Field Report", "Co", "Contractor QC", "Ge", "Contractor QC", "Pu", "Punch List")</f>
        <v>Punch List</v>
      </c>
      <c r="D262" s="6" t="str">
        <f>LEFT(Tasks[[#This Row],[Description]], 50)</f>
        <v>Install fire suppression (pending direction on bui</v>
      </c>
      <c r="E262" s="6" t="str" cm="1">
        <f t="array" ref="E262">_xlfn.LET(
_xlpm.inTower, COUNTIF(Tower_Num_Table[Tower Rm Numbers], LEFT(Task_Summary_Table[[#This Row],[Area/Room]], 3)) &gt; 0,
_xlpm.typeResult, _xlfn.SWITCH(LEFT(Tasks[[#This Row],[Page]], 2), "Hi", "Historic", "An", "Annex", "Si", "Site", "S5", "Project Task", "SWITCH ERROR"),
IF(_xlpm.inTower, "West Tower", _xlpm.typeResult)
)</f>
        <v>Historic</v>
      </c>
      <c r="F262" t="str">
        <f>IFERROR(MID(Tasks[[#This Row],[Page]], FIND("Level", Tasks[[#This Row],[Page]]), 7), IF(ISNUMBER(FIND("Roof", Tasks[[#This Row],[Page]])), "Roof",  IF(ISNUMBER(FIND("S590", Tasks[[#This Row],[Page]])), "",  IF(ISNUMBER(FIND("Site", Tasks[[#This Row],[Page]])), "", "ERROR"))))</f>
        <v>Level 5</v>
      </c>
      <c r="G262" t="str">
        <f>IF(Tasks[[#This Row],[Location]]=0, "", Tasks[[#This Row],[Location]])</f>
        <v>518 - Study</v>
      </c>
      <c r="H262" t="str">
        <f>Tasks[[#This Row],[To Package]]</f>
        <v>Fire Suppression</v>
      </c>
      <c r="I262" t="str">
        <f>Tasks[[#This Row],[To Organisation]]</f>
        <v>Broken Arrow Construction Corporation</v>
      </c>
    </row>
    <row r="263" spans="1:9" x14ac:dyDescent="0.35">
      <c r="A263" s="9" t="str">
        <f>HYPERLINK(_xlfn.CONCAT(Edit_URL,Tasks[[#This Row],[Ref]]),Tasks[[#This Row],[Ref]])</f>
        <v>T59123.57</v>
      </c>
      <c r="B263" s="6" t="str" cm="1">
        <f t="array" ref="B263">_xlfn.SWITCH(LEFT(Tasks[[#This Row],[Status]],1),"O","Opened","C","Completed","S","Signed Off","ERROR")</f>
        <v>Signed Off</v>
      </c>
      <c r="C263" s="6" t="str" cm="1">
        <f t="array" ref="C263">_xlfn.SWITCH(LEFT(Tasks[[#This Row],[Type]], 2), "Fi", "Field Report", "Co", "Contractor QC", "Ge", "Contractor QC", "Pu", "Punch List")</f>
        <v>Punch List</v>
      </c>
      <c r="D263" s="6" t="str">
        <f>LEFT(Tasks[[#This Row],[Description]], 50)</f>
        <v>Missing rough in for session clock</v>
      </c>
      <c r="E263" s="6" t="str" cm="1">
        <f t="array" ref="E263">_xlfn.LET(
_xlpm.inTower, COUNTIF(Tower_Num_Table[Tower Rm Numbers], LEFT(Task_Summary_Table[[#This Row],[Area/Room]], 3)) &gt; 0,
_xlpm.typeResult, _xlfn.SWITCH(LEFT(Tasks[[#This Row],[Page]], 2), "Hi", "Historic", "An", "Annex", "Si", "Site", "S5", "Project Task", "SWITCH ERROR"),
IF(_xlpm.inTower, "West Tower", _xlpm.typeResult)
)</f>
        <v>Historic</v>
      </c>
      <c r="F263" t="str">
        <f>IFERROR(MID(Tasks[[#This Row],[Page]], FIND("Level", Tasks[[#This Row],[Page]]), 7), IF(ISNUMBER(FIND("Roof", Tasks[[#This Row],[Page]])), "Roof",  IF(ISNUMBER(FIND("S590", Tasks[[#This Row],[Page]])), "",  IF(ISNUMBER(FIND("Site", Tasks[[#This Row],[Page]])), "", "ERROR"))))</f>
        <v>Level 5</v>
      </c>
      <c r="G263" t="str">
        <f>IF(Tasks[[#This Row],[Location]]=0, "", Tasks[[#This Row],[Location]])</f>
        <v>518 - Study</v>
      </c>
      <c r="H263" t="str">
        <f>Tasks[[#This Row],[To Package]]</f>
        <v>Electrical</v>
      </c>
      <c r="I263" t="str">
        <f>Tasks[[#This Row],[To Organisation]]</f>
        <v>Wilkinson Electric Inc</v>
      </c>
    </row>
    <row r="264" spans="1:9" x14ac:dyDescent="0.35">
      <c r="A264" s="9" t="str">
        <f>HYPERLINK(_xlfn.CONCAT(Edit_URL,Tasks[[#This Row],[Ref]]),Tasks[[#This Row],[Ref]])</f>
        <v>T59123.56</v>
      </c>
      <c r="B264" s="6" t="str" cm="1">
        <f t="array" ref="B264">_xlfn.SWITCH(LEFT(Tasks[[#This Row],[Status]],1),"O","Opened","C","Completed","S","Signed Off","ERROR")</f>
        <v>Signed Off</v>
      </c>
      <c r="C264" s="6" t="str" cm="1">
        <f t="array" ref="C264">_xlfn.SWITCH(LEFT(Tasks[[#This Row],[Type]], 2), "Fi", "Field Report", "Co", "Contractor QC", "Ge", "Contractor QC", "Pu", "Punch List")</f>
        <v>Punch List</v>
      </c>
      <c r="D264" s="6" t="str">
        <f>LEFT(Tasks[[#This Row],[Description]], 50)</f>
        <v>Adjust fire suppression head to be equal distant o</v>
      </c>
      <c r="E264" s="6" t="str" cm="1">
        <f t="array" ref="E264">_xlfn.LET(
_xlpm.inTower, COUNTIF(Tower_Num_Table[Tower Rm Numbers], LEFT(Task_Summary_Table[[#This Row],[Area/Room]], 3)) &gt; 0,
_xlpm.typeResult, _xlfn.SWITCH(LEFT(Tasks[[#This Row],[Page]], 2), "Hi", "Historic", "An", "Annex", "Si", "Site", "S5", "Project Task", "SWITCH ERROR"),
IF(_xlpm.inTower, "West Tower", _xlpm.typeResult)
)</f>
        <v>Annex</v>
      </c>
      <c r="F264" t="str">
        <f>IFERROR(MID(Tasks[[#This Row],[Page]], FIND("Level", Tasks[[#This Row],[Page]]), 7), IF(ISNUMBER(FIND("Roof", Tasks[[#This Row],[Page]])), "Roof",  IF(ISNUMBER(FIND("S590", Tasks[[#This Row],[Page]])), "",  IF(ISNUMBER(FIND("Site", Tasks[[#This Row],[Page]])), "", "ERROR"))))</f>
        <v>Level 1</v>
      </c>
      <c r="G264" t="str">
        <f>IF(Tasks[[#This Row],[Location]]=0, "", Tasks[[#This Row],[Location]])</f>
        <v>113 - Administration</v>
      </c>
      <c r="H264" t="str">
        <f>Tasks[[#This Row],[To Package]]</f>
        <v>Electrical</v>
      </c>
      <c r="I264" t="str">
        <f>Tasks[[#This Row],[To Organisation]]</f>
        <v>Wilkinson Electric Inc</v>
      </c>
    </row>
    <row r="265" spans="1:9" x14ac:dyDescent="0.35">
      <c r="A265" s="9" t="str">
        <f>HYPERLINK(_xlfn.CONCAT(Edit_URL,Tasks[[#This Row],[Ref]]),Tasks[[#This Row],[Ref]])</f>
        <v>T1.9556218</v>
      </c>
      <c r="B265" s="6" t="str" cm="1">
        <f t="array" ref="B265">_xlfn.SWITCH(LEFT(Tasks[[#This Row],[Status]],1),"O","Opened","C","Completed","S","Signed Off","ERROR")</f>
        <v>Opened</v>
      </c>
      <c r="C265" s="6" t="str" cm="1">
        <f t="array" ref="C265">_xlfn.SWITCH(LEFT(Tasks[[#This Row],[Type]], 2), "Fi", "Field Report", "Co", "Contractor QC", "Ge", "Contractor QC", "Pu", "Punch List")</f>
        <v>Field Report</v>
      </c>
      <c r="D265" s="6" t="str">
        <f>LEFT(Tasks[[#This Row],[Description]], 50)</f>
        <v>ARW 70-9: Locker room ceiling bracing - Ceiling br</v>
      </c>
      <c r="E265" s="6" t="str" cm="1">
        <f t="array" ref="E265">_xlfn.LET(
_xlpm.inTower, COUNTIF(Tower_Num_Table[Tower Rm Numbers], LEFT(Task_Summary_Table[[#This Row],[Area/Room]], 3)) &gt; 0,
_xlpm.typeResult, _xlfn.SWITCH(LEFT(Tasks[[#This Row],[Page]], 2), "Hi", "Historic", "An", "Annex", "Si", "Site", "S5", "Project Task", "SWITCH ERROR"),
IF(_xlpm.inTower, "West Tower", _xlpm.typeResult)
)</f>
        <v>Annex</v>
      </c>
      <c r="F265" t="str">
        <f>IFERROR(MID(Tasks[[#This Row],[Page]], FIND("Level", Tasks[[#This Row],[Page]]), 7), IF(ISNUMBER(FIND("Roof", Tasks[[#This Row],[Page]])), "Roof",  IF(ISNUMBER(FIND("S590", Tasks[[#This Row],[Page]])), "",  IF(ISNUMBER(FIND("Site", Tasks[[#This Row],[Page]])), "", "ERROR"))))</f>
        <v>Level 1</v>
      </c>
      <c r="G265" t="str">
        <f>IF(Tasks[[#This Row],[Location]]=0, "", Tasks[[#This Row],[Location]])</f>
        <v/>
      </c>
      <c r="H265" t="str">
        <f>Tasks[[#This Row],[To Package]]</f>
        <v>Acoustical Ceilings</v>
      </c>
      <c r="I265" t="str">
        <f>Tasks[[#This Row],[To Organisation]]</f>
        <v>Design West Acoustics</v>
      </c>
    </row>
    <row r="266" spans="1:9" x14ac:dyDescent="0.35">
      <c r="A266" s="9" t="str">
        <f>HYPERLINK(_xlfn.CONCAT(Edit_URL,Tasks[[#This Row],[Ref]]),Tasks[[#This Row],[Ref]])</f>
        <v>T1.9556215</v>
      </c>
      <c r="B266" s="6" t="str" cm="1">
        <f t="array" ref="B266">_xlfn.SWITCH(LEFT(Tasks[[#This Row],[Status]],1),"O","Opened","C","Completed","S","Signed Off","ERROR")</f>
        <v>Completed</v>
      </c>
      <c r="C266" s="6" t="str" cm="1">
        <f t="array" ref="C266">_xlfn.SWITCH(LEFT(Tasks[[#This Row],[Type]], 2), "Fi", "Field Report", "Co", "Contractor QC", "Ge", "Contractor QC", "Pu", "Punch List")</f>
        <v>Field Report</v>
      </c>
      <c r="D266" s="6" t="str">
        <f>LEFT(Tasks[[#This Row],[Description]], 50)</f>
        <v>ARW 70-8: Areaway wall gap. Jay asked if Styrofoam</v>
      </c>
      <c r="E266" s="6" t="str" cm="1">
        <f t="array" ref="E266">_xlfn.LET(
_xlpm.inTower, COUNTIF(Tower_Num_Table[Tower Rm Numbers], LEFT(Task_Summary_Table[[#This Row],[Area/Room]], 3)) &gt; 0,
_xlpm.typeResult, _xlfn.SWITCH(LEFT(Tasks[[#This Row],[Page]], 2), "Hi", "Historic", "An", "Annex", "Si", "Site", "S5", "Project Task", "SWITCH ERROR"),
IF(_xlpm.inTower, "West Tower", _xlpm.typeResult)
)</f>
        <v>Annex</v>
      </c>
      <c r="F266" t="str">
        <f>IFERROR(MID(Tasks[[#This Row],[Page]], FIND("Level", Tasks[[#This Row],[Page]]), 7), IF(ISNUMBER(FIND("Roof", Tasks[[#This Row],[Page]])), "Roof",  IF(ISNUMBER(FIND("S590", Tasks[[#This Row],[Page]])), "",  IF(ISNUMBER(FIND("Site", Tasks[[#This Row],[Page]])), "", "ERROR"))))</f>
        <v>Level 1</v>
      </c>
      <c r="G266" t="str">
        <f>IF(Tasks[[#This Row],[Location]]=0, "", Tasks[[#This Row],[Location]])</f>
        <v/>
      </c>
      <c r="H266" t="str">
        <f>Tasks[[#This Row],[To Package]]</f>
        <v>Metal Stud / Drywall</v>
      </c>
      <c r="I266" t="str">
        <f>Tasks[[#This Row],[To Organisation]]</f>
        <v>Pete King Construction</v>
      </c>
    </row>
    <row r="267" spans="1:9" x14ac:dyDescent="0.35">
      <c r="A267" s="9" t="str">
        <f>HYPERLINK(_xlfn.CONCAT(Edit_URL,Tasks[[#This Row],[Ref]]),Tasks[[#This Row],[Ref]])</f>
        <v>T1.9556214</v>
      </c>
      <c r="B267" s="6" t="str" cm="1">
        <f t="array" ref="B267">_xlfn.SWITCH(LEFT(Tasks[[#This Row],[Status]],1),"O","Opened","C","Completed","S","Signed Off","ERROR")</f>
        <v>Opened</v>
      </c>
      <c r="C267" s="6" t="str" cm="1">
        <f t="array" ref="C267">_xlfn.SWITCH(LEFT(Tasks[[#This Row],[Type]], 2), "Fi", "Field Report", "Co", "Contractor QC", "Ge", "Contractor QC", "Pu", "Punch List")</f>
        <v>Field Report</v>
      </c>
      <c r="D267" s="6" t="str">
        <f>LEFT(Tasks[[#This Row],[Description]], 50)</f>
        <v xml:space="preserve">ARW 70-7: Loading dock topping. Jay asked if they </v>
      </c>
      <c r="E267" s="6" t="str" cm="1">
        <f t="array" ref="E267">_xlfn.LET(
_xlpm.inTower, COUNTIF(Tower_Num_Table[Tower Rm Numbers], LEFT(Task_Summary_Table[[#This Row],[Area/Room]], 3)) &gt; 0,
_xlpm.typeResult, _xlfn.SWITCH(LEFT(Tasks[[#This Row],[Page]], 2), "Hi", "Historic", "An", "Annex", "Si", "Site", "S5", "Project Task", "SWITCH ERROR"),
IF(_xlpm.inTower, "West Tower", _xlpm.typeResult)
)</f>
        <v>Annex</v>
      </c>
      <c r="F267" t="str">
        <f>IFERROR(MID(Tasks[[#This Row],[Page]], FIND("Level", Tasks[[#This Row],[Page]]), 7), IF(ISNUMBER(FIND("Roof", Tasks[[#This Row],[Page]])), "Roof",  IF(ISNUMBER(FIND("S590", Tasks[[#This Row],[Page]])), "",  IF(ISNUMBER(FIND("Site", Tasks[[#This Row],[Page]])), "", "ERROR"))))</f>
        <v>Level 1</v>
      </c>
      <c r="G267" t="str">
        <f>IF(Tasks[[#This Row],[Location]]=0, "", Tasks[[#This Row],[Location]])</f>
        <v/>
      </c>
      <c r="H267" t="str">
        <f>Tasks[[#This Row],[To Package]]</f>
        <v>Concrete</v>
      </c>
      <c r="I267" t="str">
        <f>Tasks[[#This Row],[To Organisation]]</f>
        <v>Innovative Concrete, LLC</v>
      </c>
    </row>
    <row r="268" spans="1:9" x14ac:dyDescent="0.35">
      <c r="A268" s="9" t="str">
        <f>HYPERLINK(_xlfn.CONCAT(Edit_URL,Tasks[[#This Row],[Ref]]),Tasks[[#This Row],[Ref]])</f>
        <v>T1.9556213</v>
      </c>
      <c r="B268" s="6" t="str" cm="1">
        <f t="array" ref="B268">_xlfn.SWITCH(LEFT(Tasks[[#This Row],[Status]],1),"O","Opened","C","Completed","S","Signed Off","ERROR")</f>
        <v>Opened</v>
      </c>
      <c r="C268" s="6" t="str" cm="1">
        <f t="array" ref="C268">_xlfn.SWITCH(LEFT(Tasks[[#This Row],[Type]], 2), "Fi", "Field Report", "Co", "Contractor QC", "Ge", "Contractor QC", "Pu", "Punch List")</f>
        <v>Field Report</v>
      </c>
      <c r="D268" s="6" t="str">
        <f>LEFT(Tasks[[#This Row],[Description]], 50)</f>
        <v>ARW 70-7: Stud connections at the entry wall of th</v>
      </c>
      <c r="E268" s="6" t="str" cm="1">
        <f t="array" ref="E268">_xlfn.LET(
_xlpm.inTower, COUNTIF(Tower_Num_Table[Tower Rm Numbers], LEFT(Task_Summary_Table[[#This Row],[Area/Room]], 3)) &gt; 0,
_xlpm.typeResult, _xlfn.SWITCH(LEFT(Tasks[[#This Row],[Page]], 2), "Hi", "Historic", "An", "Annex", "Si", "Site", "S5", "Project Task", "SWITCH ERROR"),
IF(_xlpm.inTower, "West Tower", _xlpm.typeResult)
)</f>
        <v>Annex</v>
      </c>
      <c r="F268" t="str">
        <f>IFERROR(MID(Tasks[[#This Row],[Page]], FIND("Level", Tasks[[#This Row],[Page]]), 7), IF(ISNUMBER(FIND("Roof", Tasks[[#This Row],[Page]])), "Roof",  IF(ISNUMBER(FIND("S590", Tasks[[#This Row],[Page]])), "",  IF(ISNUMBER(FIND("Site", Tasks[[#This Row],[Page]])), "", "ERROR"))))</f>
        <v>Level 1</v>
      </c>
      <c r="G268" t="str">
        <f>IF(Tasks[[#This Row],[Location]]=0, "", Tasks[[#This Row],[Location]])</f>
        <v/>
      </c>
      <c r="H268" t="str">
        <f>Tasks[[#This Row],[To Package]]</f>
        <v>Metal Stud / Drywall</v>
      </c>
      <c r="I268" t="str">
        <f>Tasks[[#This Row],[To Organisation]]</f>
        <v>Pete King Construction</v>
      </c>
    </row>
    <row r="269" spans="1:9" x14ac:dyDescent="0.35">
      <c r="A269" s="9" t="str">
        <f>HYPERLINK(_xlfn.CONCAT(Edit_URL,Tasks[[#This Row],[Ref]]),Tasks[[#This Row],[Ref]])</f>
        <v>T1.9556211</v>
      </c>
      <c r="B269" s="6" t="str" cm="1">
        <f t="array" ref="B269">_xlfn.SWITCH(LEFT(Tasks[[#This Row],[Status]],1),"O","Opened","C","Completed","S","Signed Off","ERROR")</f>
        <v>Opened</v>
      </c>
      <c r="C269" s="6" t="str" cm="1">
        <f t="array" ref="C269">_xlfn.SWITCH(LEFT(Tasks[[#This Row],[Type]], 2), "Fi", "Field Report", "Co", "Contractor QC", "Ge", "Contractor QC", "Pu", "Punch List")</f>
        <v>Field Report</v>
      </c>
      <c r="D269" s="6" t="str">
        <f>LEFT(Tasks[[#This Row],[Description]], 50)</f>
        <v>ARW 70-6: HSS landing beam connection to the 
conc</v>
      </c>
      <c r="E269" s="6" t="str" cm="1">
        <f t="array" ref="E269">_xlfn.LET(
_xlpm.inTower, COUNTIF(Tower_Num_Table[Tower Rm Numbers], LEFT(Task_Summary_Table[[#This Row],[Area/Room]], 3)) &gt; 0,
_xlpm.typeResult, _xlfn.SWITCH(LEFT(Tasks[[#This Row],[Page]], 2), "Hi", "Historic", "An", "Annex", "Si", "Site", "S5", "Project Task", "SWITCH ERROR"),
IF(_xlpm.inTower, "West Tower", _xlpm.typeResult)
)</f>
        <v>Historic</v>
      </c>
      <c r="F269" t="str">
        <f>IFERROR(MID(Tasks[[#This Row],[Page]], FIND("Level", Tasks[[#This Row],[Page]]), 7), IF(ISNUMBER(FIND("Roof", Tasks[[#This Row],[Page]])), "Roof",  IF(ISNUMBER(FIND("S590", Tasks[[#This Row],[Page]])), "",  IF(ISNUMBER(FIND("Site", Tasks[[#This Row],[Page]])), "", "ERROR"))))</f>
        <v>Level 0</v>
      </c>
      <c r="G269" t="str">
        <f>IF(Tasks[[#This Row],[Location]]=0, "", Tasks[[#This Row],[Location]])</f>
        <v/>
      </c>
      <c r="H269" t="str">
        <f>Tasks[[#This Row],[To Package]]</f>
        <v>Structural Steel</v>
      </c>
      <c r="I269" t="str">
        <f>Tasks[[#This Row],[To Organisation]]</f>
        <v>Glassey Steel Works</v>
      </c>
    </row>
    <row r="270" spans="1:9" x14ac:dyDescent="0.35">
      <c r="A270" s="9" t="str">
        <f>HYPERLINK(_xlfn.CONCAT(Edit_URL,Tasks[[#This Row],[Ref]]),Tasks[[#This Row],[Ref]])</f>
        <v>T1.9556210</v>
      </c>
      <c r="B270" s="6" t="str" cm="1">
        <f t="array" ref="B270">_xlfn.SWITCH(LEFT(Tasks[[#This Row],[Status]],1),"O","Opened","C","Completed","S","Signed Off","ERROR")</f>
        <v>Opened</v>
      </c>
      <c r="C270" s="6" t="str" cm="1">
        <f t="array" ref="C270">_xlfn.SWITCH(LEFT(Tasks[[#This Row],[Type]], 2), "Fi", "Field Report", "Co", "Contractor QC", "Ge", "Contractor QC", "Pu", "Punch List")</f>
        <v>Field Report</v>
      </c>
      <c r="D270" s="6" t="str">
        <f>LEFT(Tasks[[#This Row],[Description]], 50)</f>
        <v>ARW 70-4: Level 0.5 stud connection at top of stud</v>
      </c>
      <c r="E270" s="6" t="str" cm="1">
        <f t="array" ref="E270">_xlfn.LET(
_xlpm.inTower, COUNTIF(Tower_Num_Table[Tower Rm Numbers], LEFT(Task_Summary_Table[[#This Row],[Area/Room]], 3)) &gt; 0,
_xlpm.typeResult, _xlfn.SWITCH(LEFT(Tasks[[#This Row],[Page]], 2), "Hi", "Historic", "An", "Annex", "Si", "Site", "S5", "Project Task", "SWITCH ERROR"),
IF(_xlpm.inTower, "West Tower", _xlpm.typeResult)
)</f>
        <v>Historic</v>
      </c>
      <c r="F270" t="str">
        <f>IFERROR(MID(Tasks[[#This Row],[Page]], FIND("Level", Tasks[[#This Row],[Page]]), 7), IF(ISNUMBER(FIND("Roof", Tasks[[#This Row],[Page]])), "Roof",  IF(ISNUMBER(FIND("S590", Tasks[[#This Row],[Page]])), "",  IF(ISNUMBER(FIND("Site", Tasks[[#This Row],[Page]])), "", "ERROR"))))</f>
        <v>Level 0</v>
      </c>
      <c r="G270" t="str">
        <f>IF(Tasks[[#This Row],[Location]]=0, "", Tasks[[#This Row],[Location]])</f>
        <v/>
      </c>
      <c r="H270" t="str">
        <f>Tasks[[#This Row],[To Package]]</f>
        <v>Wood Framing</v>
      </c>
      <c r="I270" t="str">
        <f>Tasks[[#This Row],[To Organisation]]</f>
        <v>Rockhill Construction</v>
      </c>
    </row>
    <row r="271" spans="1:9" x14ac:dyDescent="0.35">
      <c r="A271" s="9" t="str">
        <f>HYPERLINK(_xlfn.CONCAT(Edit_URL,Tasks[[#This Row],[Ref]]),Tasks[[#This Row],[Ref]])</f>
        <v>T1.9556209</v>
      </c>
      <c r="B271" s="6" t="str" cm="1">
        <f t="array" ref="B271">_xlfn.SWITCH(LEFT(Tasks[[#This Row],[Status]],1),"O","Opened","C","Completed","S","Signed Off","ERROR")</f>
        <v>Opened</v>
      </c>
      <c r="C271" s="6" t="str" cm="1">
        <f t="array" ref="C271">_xlfn.SWITCH(LEFT(Tasks[[#This Row],[Type]], 2), "Fi", "Field Report", "Co", "Contractor QC", "Ge", "Contractor QC", "Pu", "Punch List")</f>
        <v>Field Report</v>
      </c>
      <c r="D271" s="6" t="str">
        <f>LEFT(Tasks[[#This Row],[Description]], 50)</f>
        <v>ARW 70-3: Gap above stud filler at west wall of ba</v>
      </c>
      <c r="E271" s="6" t="str" cm="1">
        <f t="array" ref="E271">_xlfn.LET(
_xlpm.inTower, COUNTIF(Tower_Num_Table[Tower Rm Numbers], LEFT(Task_Summary_Table[[#This Row],[Area/Room]], 3)) &gt; 0,
_xlpm.typeResult, _xlfn.SWITCH(LEFT(Tasks[[#This Row],[Page]], 2), "Hi", "Historic", "An", "Annex", "Si", "Site", "S5", "Project Task", "SWITCH ERROR"),
IF(_xlpm.inTower, "West Tower", _xlpm.typeResult)
)</f>
        <v>Historic</v>
      </c>
      <c r="F271" t="str">
        <f>IFERROR(MID(Tasks[[#This Row],[Page]], FIND("Level", Tasks[[#This Row],[Page]]), 7), IF(ISNUMBER(FIND("Roof", Tasks[[#This Row],[Page]])), "Roof",  IF(ISNUMBER(FIND("S590", Tasks[[#This Row],[Page]])), "",  IF(ISNUMBER(FIND("Site", Tasks[[#This Row],[Page]])), "", "ERROR"))))</f>
        <v>Level 0</v>
      </c>
      <c r="G271" t="str">
        <f>IF(Tasks[[#This Row],[Location]]=0, "", Tasks[[#This Row],[Location]])</f>
        <v/>
      </c>
      <c r="H271" t="str">
        <f>Tasks[[#This Row],[To Package]]</f>
        <v>Wood Framing</v>
      </c>
      <c r="I271" t="str">
        <f>Tasks[[#This Row],[To Organisation]]</f>
        <v>Rockhill Construction</v>
      </c>
    </row>
    <row r="272" spans="1:9" x14ac:dyDescent="0.35">
      <c r="A272" s="9" t="str">
        <f>HYPERLINK(_xlfn.CONCAT(Edit_URL,Tasks[[#This Row],[Ref]]),Tasks[[#This Row],[Ref]])</f>
        <v>T1.9556207</v>
      </c>
      <c r="B272" s="6" t="str" cm="1">
        <f t="array" ref="B272">_xlfn.SWITCH(LEFT(Tasks[[#This Row],[Status]],1),"O","Opened","C","Completed","S","Signed Off","ERROR")</f>
        <v>Opened</v>
      </c>
      <c r="C272" s="6" t="str" cm="1">
        <f t="array" ref="C272">_xlfn.SWITCH(LEFT(Tasks[[#This Row],[Type]], 2), "Fi", "Field Report", "Co", "Contractor QC", "Ge", "Contractor QC", "Pu", "Punch List")</f>
        <v>Field Report</v>
      </c>
      <c r="D272" s="6" t="str">
        <f>LEFT(Tasks[[#This Row],[Description]], 50)</f>
        <v>ARW 70-2: Floor joist conflict with can lights. In</v>
      </c>
      <c r="E272" s="6" t="str" cm="1">
        <f t="array" ref="E272">_xlfn.LET(
_xlpm.inTower, COUNTIF(Tower_Num_Table[Tower Rm Numbers], LEFT(Task_Summary_Table[[#This Row],[Area/Room]], 3)) &gt; 0,
_xlpm.typeResult, _xlfn.SWITCH(LEFT(Tasks[[#This Row],[Page]], 2), "Hi", "Historic", "An", "Annex", "Si", "Site", "S5", "Project Task", "SWITCH ERROR"),
IF(_xlpm.inTower, "West Tower", _xlpm.typeResult)
)</f>
        <v>Historic</v>
      </c>
      <c r="F272" t="str">
        <f>IFERROR(MID(Tasks[[#This Row],[Page]], FIND("Level", Tasks[[#This Row],[Page]]), 7), IF(ISNUMBER(FIND("Roof", Tasks[[#This Row],[Page]])), "Roof",  IF(ISNUMBER(FIND("S590", Tasks[[#This Row],[Page]])), "",  IF(ISNUMBER(FIND("Site", Tasks[[#This Row],[Page]])), "", "ERROR"))))</f>
        <v>Level 3</v>
      </c>
      <c r="G272" t="str">
        <f>IF(Tasks[[#This Row],[Location]]=0, "", Tasks[[#This Row],[Location]])</f>
        <v/>
      </c>
      <c r="H272" t="str">
        <f>Tasks[[#This Row],[To Package]]</f>
        <v>Wood Framing</v>
      </c>
      <c r="I272" t="str">
        <f>Tasks[[#This Row],[To Organisation]]</f>
        <v>Rockhill Construction</v>
      </c>
    </row>
    <row r="273" spans="1:9" x14ac:dyDescent="0.35">
      <c r="A273" s="9" t="str">
        <f>HYPERLINK(_xlfn.CONCAT(Edit_URL,Tasks[[#This Row],[Ref]]),Tasks[[#This Row],[Ref]])</f>
        <v>T1.9556204</v>
      </c>
      <c r="B273" s="6" t="str" cm="1">
        <f t="array" ref="B273">_xlfn.SWITCH(LEFT(Tasks[[#This Row],[Status]],1),"O","Opened","C","Completed","S","Signed Off","ERROR")</f>
        <v>Opened</v>
      </c>
      <c r="C273" s="6" t="str" cm="1">
        <f t="array" ref="C273">_xlfn.SWITCH(LEFT(Tasks[[#This Row],[Type]], 2), "Fi", "Field Report", "Co", "Contractor QC", "Ge", "Contractor QC", "Pu", "Punch List")</f>
        <v>Field Report</v>
      </c>
      <c r="D273" s="6" t="str">
        <f>LEFT(Tasks[[#This Row],[Description]], 50)</f>
        <v>ARW 70-1: LVL sister for 2nd level Sealing Room in</v>
      </c>
      <c r="E273" s="6" t="str" cm="1">
        <f t="array" ref="E273">_xlfn.LET(
_xlpm.inTower, COUNTIF(Tower_Num_Table[Tower Rm Numbers], LEFT(Task_Summary_Table[[#This Row],[Area/Room]], 3)) &gt; 0,
_xlpm.typeResult, _xlfn.SWITCH(LEFT(Tasks[[#This Row],[Page]], 2), "Hi", "Historic", "An", "Annex", "Si", "Site", "S5", "Project Task", "SWITCH ERROR"),
IF(_xlpm.inTower, "West Tower", _xlpm.typeResult)
)</f>
        <v>Historic</v>
      </c>
      <c r="F273" t="str">
        <f>IFERROR(MID(Tasks[[#This Row],[Page]], FIND("Level", Tasks[[#This Row],[Page]]), 7), IF(ISNUMBER(FIND("Roof", Tasks[[#This Row],[Page]])), "Roof",  IF(ISNUMBER(FIND("S590", Tasks[[#This Row],[Page]])), "",  IF(ISNUMBER(FIND("Site", Tasks[[#This Row],[Page]])), "", "ERROR"))))</f>
        <v>Level 2</v>
      </c>
      <c r="G273" t="str">
        <f>IF(Tasks[[#This Row],[Location]]=0, "", Tasks[[#This Row],[Location]])</f>
        <v/>
      </c>
      <c r="H273" t="str">
        <f>Tasks[[#This Row],[To Package]]</f>
        <v>Wood Framing</v>
      </c>
      <c r="I273" t="str">
        <f>Tasks[[#This Row],[To Organisation]]</f>
        <v>Rockhill Construction</v>
      </c>
    </row>
    <row r="274" spans="1:9" x14ac:dyDescent="0.35">
      <c r="A274" s="9" t="str">
        <f>HYPERLINK(_xlfn.CONCAT(Edit_URL,Tasks[[#This Row],[Ref]]),Tasks[[#This Row],[Ref]])</f>
        <v>T59123.55</v>
      </c>
      <c r="B274" s="6" t="str" cm="1">
        <f t="array" ref="B274">_xlfn.SWITCH(LEFT(Tasks[[#This Row],[Status]],1),"O","Opened","C","Completed","S","Signed Off","ERROR")</f>
        <v>Signed Off</v>
      </c>
      <c r="C274" s="6" t="str" cm="1">
        <f t="array" ref="C274">_xlfn.SWITCH(LEFT(Tasks[[#This Row],[Type]], 2), "Fi", "Field Report", "Co", "Contractor QC", "Ge", "Contractor QC", "Pu", "Punch List")</f>
        <v>Punch List</v>
      </c>
      <c r="D274" s="6" t="str">
        <f>LEFT(Tasks[[#This Row],[Description]], 50)</f>
        <v>Adjust fire suppression layout</v>
      </c>
      <c r="E274" s="6" t="str" cm="1">
        <f t="array" ref="E274">_xlfn.LET(
_xlpm.inTower, COUNTIF(Tower_Num_Table[Tower Rm Numbers], LEFT(Task_Summary_Table[[#This Row],[Area/Room]], 3)) &gt; 0,
_xlpm.typeResult, _xlfn.SWITCH(LEFT(Tasks[[#This Row],[Page]], 2), "Hi", "Historic", "An", "Annex", "Si", "Site", "S5", "Project Task", "SWITCH ERROR"),
IF(_xlpm.inTower, "West Tower", _xlpm.typeResult)
)</f>
        <v>Annex</v>
      </c>
      <c r="F274" t="str">
        <f>IFERROR(MID(Tasks[[#This Row],[Page]], FIND("Level", Tasks[[#This Row],[Page]]), 7), IF(ISNUMBER(FIND("Roof", Tasks[[#This Row],[Page]])), "Roof",  IF(ISNUMBER(FIND("S590", Tasks[[#This Row],[Page]])), "",  IF(ISNUMBER(FIND("Site", Tasks[[#This Row],[Page]])), "", "ERROR"))))</f>
        <v>Level 1</v>
      </c>
      <c r="G274" t="str">
        <f>IF(Tasks[[#This Row],[Location]]=0, "", Tasks[[#This Row],[Location]])</f>
        <v>135 - Workers Dressing - Men</v>
      </c>
      <c r="H274" t="str">
        <f>Tasks[[#This Row],[To Package]]</f>
        <v>Fire Suppression</v>
      </c>
      <c r="I274" t="str">
        <f>Tasks[[#This Row],[To Organisation]]</f>
        <v>Broken Arrow Construction Corporation</v>
      </c>
    </row>
    <row r="275" spans="1:9" x14ac:dyDescent="0.35">
      <c r="A275" s="9" t="str">
        <f>HYPERLINK(_xlfn.CONCAT(Edit_URL,Tasks[[#This Row],[Ref]]),Tasks[[#This Row],[Ref]])</f>
        <v>T1.9552542</v>
      </c>
      <c r="B275" s="6" t="str" cm="1">
        <f t="array" ref="B275">_xlfn.SWITCH(LEFT(Tasks[[#This Row],[Status]],1),"O","Opened","C","Completed","S","Signed Off","ERROR")</f>
        <v>Signed Off</v>
      </c>
      <c r="C275" s="6" t="str" cm="1">
        <f t="array" ref="C275">_xlfn.SWITCH(LEFT(Tasks[[#This Row],[Type]], 2), "Fi", "Field Report", "Co", "Contractor QC", "Ge", "Contractor QC", "Pu", "Punch List")</f>
        <v>Punch List</v>
      </c>
      <c r="D275" s="6" t="str">
        <f>LEFT(Tasks[[#This Row],[Description]], 50)</f>
        <v>Drywall mechanical room side of wall above door he</v>
      </c>
      <c r="E275" s="6" t="str" cm="1">
        <f t="array" ref="E275">_xlfn.LET(
_xlpm.inTower, COUNTIF(Tower_Num_Table[Tower Rm Numbers], LEFT(Task_Summary_Table[[#This Row],[Area/Room]], 3)) &gt; 0,
_xlpm.typeResult, _xlfn.SWITCH(LEFT(Tasks[[#This Row],[Page]], 2), "Hi", "Historic", "An", "Annex", "Si", "Site", "S5", "Project Task", "SWITCH ERROR"),
IF(_xlpm.inTower, "West Tower", _xlpm.typeResult)
)</f>
        <v>Annex</v>
      </c>
      <c r="F275" t="str">
        <f>IFERROR(MID(Tasks[[#This Row],[Page]], FIND("Level", Tasks[[#This Row],[Page]]), 7), IF(ISNUMBER(FIND("Roof", Tasks[[#This Row],[Page]])), "Roof",  IF(ISNUMBER(FIND("S590", Tasks[[#This Row],[Page]])), "",  IF(ISNUMBER(FIND("Site", Tasks[[#This Row],[Page]])), "", "ERROR"))))</f>
        <v>Level 0</v>
      </c>
      <c r="G275" t="str">
        <f>IF(Tasks[[#This Row],[Location]]=0, "", Tasks[[#This Row],[Location]])</f>
        <v/>
      </c>
      <c r="H275" t="str">
        <f>Tasks[[#This Row],[To Package]]</f>
        <v>Metal Stud / Drywall</v>
      </c>
      <c r="I275" t="str">
        <f>Tasks[[#This Row],[To Organisation]]</f>
        <v>Pete King Construction</v>
      </c>
    </row>
    <row r="276" spans="1:9" x14ac:dyDescent="0.35">
      <c r="A276" s="9" t="str">
        <f>HYPERLINK(_xlfn.CONCAT(Edit_URL,Tasks[[#This Row],[Ref]]),Tasks[[#This Row],[Ref]])</f>
        <v>T1.9552522</v>
      </c>
      <c r="B276" s="6" t="str" cm="1">
        <f t="array" ref="B276">_xlfn.SWITCH(LEFT(Tasks[[#This Row],[Status]],1),"O","Opened","C","Completed","S","Signed Off","ERROR")</f>
        <v>Opened</v>
      </c>
      <c r="C276" s="6" t="str" cm="1">
        <f t="array" ref="C276">_xlfn.SWITCH(LEFT(Tasks[[#This Row],[Type]], 2), "Fi", "Field Report", "Co", "Contractor QC", "Ge", "Contractor QC", "Pu", "Punch List")</f>
        <v>Field Report</v>
      </c>
      <c r="D276" s="6" t="str">
        <f>LEFT(Tasks[[#This Row],[Description]], 50)</f>
        <v>ARW 69-10: Various steel beams throughout the hist</v>
      </c>
      <c r="E276" s="6" t="str" cm="1">
        <f t="array" ref="E276">_xlfn.LET(
_xlpm.inTower, COUNTIF(Tower_Num_Table[Tower Rm Numbers], LEFT(Task_Summary_Table[[#This Row],[Area/Room]], 3)) &gt; 0,
_xlpm.typeResult, _xlfn.SWITCH(LEFT(Tasks[[#This Row],[Page]], 2), "Hi", "Historic", "An", "Annex", "Si", "Site", "S5", "Project Task", "SWITCH ERROR"),
IF(_xlpm.inTower, "West Tower", _xlpm.typeResult)
)</f>
        <v>Historic</v>
      </c>
      <c r="F276" t="str">
        <f>IFERROR(MID(Tasks[[#This Row],[Page]], FIND("Level", Tasks[[#This Row],[Page]]), 7), IF(ISNUMBER(FIND("Roof", Tasks[[#This Row],[Page]])), "Roof",  IF(ISNUMBER(FIND("S590", Tasks[[#This Row],[Page]])), "",  IF(ISNUMBER(FIND("Site", Tasks[[#This Row],[Page]])), "", "ERROR"))))</f>
        <v>Level 1</v>
      </c>
      <c r="G276" t="str">
        <f>IF(Tasks[[#This Row],[Location]]=0, "", Tasks[[#This Row],[Location]])</f>
        <v/>
      </c>
      <c r="H276" t="str">
        <f>Tasks[[#This Row],[To Package]]</f>
        <v>Concrete</v>
      </c>
      <c r="I276" t="str">
        <f>Tasks[[#This Row],[To Organisation]]</f>
        <v>Innovative Concrete, LLC</v>
      </c>
    </row>
    <row r="277" spans="1:9" x14ac:dyDescent="0.35">
      <c r="A277" s="9" t="str">
        <f>HYPERLINK(_xlfn.CONCAT(Edit_URL,Tasks[[#This Row],[Ref]]),Tasks[[#This Row],[Ref]])</f>
        <v>T1.9552521</v>
      </c>
      <c r="B277" s="6" t="str" cm="1">
        <f t="array" ref="B277">_xlfn.SWITCH(LEFT(Tasks[[#This Row],[Status]],1),"O","Opened","C","Completed","S","Signed Off","ERROR")</f>
        <v>Opened</v>
      </c>
      <c r="C277" s="6" t="str" cm="1">
        <f t="array" ref="C277">_xlfn.SWITCH(LEFT(Tasks[[#This Row],[Type]], 2), "Fi", "Field Report", "Co", "Contractor QC", "Ge", "Contractor QC", "Pu", "Punch List")</f>
        <v>Field Report</v>
      </c>
      <c r="D277" s="6" t="str">
        <f>LEFT(Tasks[[#This Row],[Description]], 50)</f>
        <v xml:space="preserve">ARW 69-9: The support of the arched ceiling joist </v>
      </c>
      <c r="E277" s="6" t="str" cm="1">
        <f t="array" ref="E277">_xlfn.LET(
_xlpm.inTower, COUNTIF(Tower_Num_Table[Tower Rm Numbers], LEFT(Task_Summary_Table[[#This Row],[Area/Room]], 3)) &gt; 0,
_xlpm.typeResult, _xlfn.SWITCH(LEFT(Tasks[[#This Row],[Page]], 2), "Hi", "Historic", "An", "Annex", "Si", "Site", "S5", "Project Task", "SWITCH ERROR"),
IF(_xlpm.inTower, "West Tower", _xlpm.typeResult)
)</f>
        <v>Historic</v>
      </c>
      <c r="F277" t="str">
        <f>IFERROR(MID(Tasks[[#This Row],[Page]], FIND("Level", Tasks[[#This Row],[Page]]), 7), IF(ISNUMBER(FIND("Roof", Tasks[[#This Row],[Page]])), "Roof",  IF(ISNUMBER(FIND("S590", Tasks[[#This Row],[Page]])), "",  IF(ISNUMBER(FIND("Site", Tasks[[#This Row],[Page]])), "", "ERROR"))))</f>
        <v>Level 2</v>
      </c>
      <c r="G277" t="str">
        <f>IF(Tasks[[#This Row],[Location]]=0, "", Tasks[[#This Row],[Location]])</f>
        <v/>
      </c>
      <c r="H277" t="str">
        <f>Tasks[[#This Row],[To Package]]</f>
        <v>Metal Stud / Drywall</v>
      </c>
      <c r="I277" t="str">
        <f>Tasks[[#This Row],[To Organisation]]</f>
        <v>Pete King Construction</v>
      </c>
    </row>
    <row r="278" spans="1:9" x14ac:dyDescent="0.35">
      <c r="A278" s="9" t="str">
        <f>HYPERLINK(_xlfn.CONCAT(Edit_URL,Tasks[[#This Row],[Ref]]),Tasks[[#This Row],[Ref]])</f>
        <v>T1.9552520</v>
      </c>
      <c r="B278" s="6" t="str" cm="1">
        <f t="array" ref="B278">_xlfn.SWITCH(LEFT(Tasks[[#This Row],[Status]],1),"O","Opened","C","Completed","S","Signed Off","ERROR")</f>
        <v>Opened</v>
      </c>
      <c r="C278" s="6" t="str" cm="1">
        <f t="array" ref="C278">_xlfn.SWITCH(LEFT(Tasks[[#This Row],[Type]], 2), "Fi", "Field Report", "Co", "Contractor QC", "Ge", "Contractor QC", "Pu", "Punch List")</f>
        <v>Field Report</v>
      </c>
      <c r="D278" s="6" t="str">
        <f>LEFT(Tasks[[#This Row],[Description]], 50)</f>
        <v xml:space="preserve">ARW 69-8: An arched HSS beam has been erected at 
</v>
      </c>
      <c r="E278" s="6" t="str" cm="1">
        <f t="array" ref="E278">_xlfn.LET(
_xlpm.inTower, COUNTIF(Tower_Num_Table[Tower Rm Numbers], LEFT(Task_Summary_Table[[#This Row],[Area/Room]], 3)) &gt; 0,
_xlpm.typeResult, _xlfn.SWITCH(LEFT(Tasks[[#This Row],[Page]], 2), "Hi", "Historic", "An", "Annex", "Si", "Site", "S5", "Project Task", "SWITCH ERROR"),
IF(_xlpm.inTower, "West Tower", _xlpm.typeResult)
)</f>
        <v>Historic</v>
      </c>
      <c r="F278" t="str">
        <f>IFERROR(MID(Tasks[[#This Row],[Page]], FIND("Level", Tasks[[#This Row],[Page]]), 7), IF(ISNUMBER(FIND("Roof", Tasks[[#This Row],[Page]])), "Roof",  IF(ISNUMBER(FIND("S590", Tasks[[#This Row],[Page]])), "",  IF(ISNUMBER(FIND("Site", Tasks[[#This Row],[Page]])), "", "ERROR"))))</f>
        <v>Level 2</v>
      </c>
      <c r="G278" t="str">
        <f>IF(Tasks[[#This Row],[Location]]=0, "", Tasks[[#This Row],[Location]])</f>
        <v/>
      </c>
      <c r="H278" t="str">
        <f>Tasks[[#This Row],[To Package]]</f>
        <v>Structural Steel</v>
      </c>
      <c r="I278" t="str">
        <f>Tasks[[#This Row],[To Organisation]]</f>
        <v>Glassey Steel Works</v>
      </c>
    </row>
    <row r="279" spans="1:9" x14ac:dyDescent="0.35">
      <c r="A279" s="9" t="str">
        <f>HYPERLINK(_xlfn.CONCAT(Edit_URL,Tasks[[#This Row],[Ref]]),Tasks[[#This Row],[Ref]])</f>
        <v>T1.9552518</v>
      </c>
      <c r="B279" s="6" t="str" cm="1">
        <f t="array" ref="B279">_xlfn.SWITCH(LEFT(Tasks[[#This Row],[Status]],1),"O","Opened","C","Completed","S","Signed Off","ERROR")</f>
        <v>Opened</v>
      </c>
      <c r="C279" s="6" t="str" cm="1">
        <f t="array" ref="C279">_xlfn.SWITCH(LEFT(Tasks[[#This Row],[Type]], 2), "Fi", "Field Report", "Co", "Contractor QC", "Ge", "Contractor QC", "Pu", "Punch List")</f>
        <v>Field Report</v>
      </c>
      <c r="D279" s="6" t="str">
        <f>LEFT(Tasks[[#This Row],[Description]], 50)</f>
        <v>ARW 69-6: The upper stair run at the bride’s entry</v>
      </c>
      <c r="E279" s="6" t="str" cm="1">
        <f t="array" ref="E279">_xlfn.LET(
_xlpm.inTower, COUNTIF(Tower_Num_Table[Tower Rm Numbers], LEFT(Task_Summary_Table[[#This Row],[Area/Room]], 3)) &gt; 0,
_xlpm.typeResult, _xlfn.SWITCH(LEFT(Tasks[[#This Row],[Page]], 2), "Hi", "Historic", "An", "Annex", "Si", "Site", "S5", "Project Task", "SWITCH ERROR"),
IF(_xlpm.inTower, "West Tower", _xlpm.typeResult)
)</f>
        <v>Historic</v>
      </c>
      <c r="F279" t="str">
        <f>IFERROR(MID(Tasks[[#This Row],[Page]], FIND("Level", Tasks[[#This Row],[Page]]), 7), IF(ISNUMBER(FIND("Roof", Tasks[[#This Row],[Page]])), "Roof",  IF(ISNUMBER(FIND("S590", Tasks[[#This Row],[Page]])), "",  IF(ISNUMBER(FIND("Site", Tasks[[#This Row],[Page]])), "", "ERROR"))))</f>
        <v>Level 1</v>
      </c>
      <c r="G279" t="str">
        <f>IF(Tasks[[#This Row],[Location]]=0, "", Tasks[[#This Row],[Location]])</f>
        <v/>
      </c>
      <c r="H279" t="str">
        <f>Tasks[[#This Row],[To Package]]</f>
        <v>Structural Steel</v>
      </c>
      <c r="I279" t="str">
        <f>Tasks[[#This Row],[To Organisation]]</f>
        <v>Glassey Steel Works</v>
      </c>
    </row>
    <row r="280" spans="1:9" x14ac:dyDescent="0.35">
      <c r="A280" s="9" t="str">
        <f>HYPERLINK(_xlfn.CONCAT(Edit_URL,Tasks[[#This Row],[Ref]]),Tasks[[#This Row],[Ref]])</f>
        <v>T1.9552517</v>
      </c>
      <c r="B280" s="6" t="str" cm="1">
        <f t="array" ref="B280">_xlfn.SWITCH(LEFT(Tasks[[#This Row],[Status]],1),"O","Opened","C","Completed","S","Signed Off","ERROR")</f>
        <v>Opened</v>
      </c>
      <c r="C280" s="6" t="str" cm="1">
        <f t="array" ref="C280">_xlfn.SWITCH(LEFT(Tasks[[#This Row],[Type]], 2), "Fi", "Field Report", "Co", "Contractor QC", "Ge", "Contractor QC", "Pu", "Punch List")</f>
        <v>Field Report</v>
      </c>
      <c r="D280" s="6" t="str">
        <f>LEFT(Tasks[[#This Row],[Description]], 50)</f>
        <v>ARW 69-5: At the bride’s entry stair area one of t</v>
      </c>
      <c r="E280" s="6" t="str" cm="1">
        <f t="array" ref="E280">_xlfn.LET(
_xlpm.inTower, COUNTIF(Tower_Num_Table[Tower Rm Numbers], LEFT(Task_Summary_Table[[#This Row],[Area/Room]], 3)) &gt; 0,
_xlpm.typeResult, _xlfn.SWITCH(LEFT(Tasks[[#This Row],[Page]], 2), "Hi", "Historic", "An", "Annex", "Si", "Site", "S5", "Project Task", "SWITCH ERROR"),
IF(_xlpm.inTower, "West Tower", _xlpm.typeResult)
)</f>
        <v>Historic</v>
      </c>
      <c r="F280" t="str">
        <f>IFERROR(MID(Tasks[[#This Row],[Page]], FIND("Level", Tasks[[#This Row],[Page]]), 7), IF(ISNUMBER(FIND("Roof", Tasks[[#This Row],[Page]])), "Roof",  IF(ISNUMBER(FIND("S590", Tasks[[#This Row],[Page]])), "",  IF(ISNUMBER(FIND("Site", Tasks[[#This Row],[Page]])), "", "ERROR"))))</f>
        <v>Level 1</v>
      </c>
      <c r="G280" t="str">
        <f>IF(Tasks[[#This Row],[Location]]=0, "", Tasks[[#This Row],[Location]])</f>
        <v/>
      </c>
      <c r="H280" t="str">
        <f>Tasks[[#This Row],[To Package]]</f>
        <v>Structural Steel</v>
      </c>
      <c r="I280" t="str">
        <f>Tasks[[#This Row],[To Organisation]]</f>
        <v>Glassey Steel Works</v>
      </c>
    </row>
    <row r="281" spans="1:9" x14ac:dyDescent="0.35">
      <c r="A281" s="9" t="str">
        <f>HYPERLINK(_xlfn.CONCAT(Edit_URL,Tasks[[#This Row],[Ref]]),Tasks[[#This Row],[Ref]])</f>
        <v>T1.9552516</v>
      </c>
      <c r="B281" s="6" t="str" cm="1">
        <f t="array" ref="B281">_xlfn.SWITCH(LEFT(Tasks[[#This Row],[Status]],1),"O","Opened","C","Completed","S","Signed Off","ERROR")</f>
        <v>Opened</v>
      </c>
      <c r="C281" s="6" t="str" cm="1">
        <f t="array" ref="C281">_xlfn.SWITCH(LEFT(Tasks[[#This Row],[Type]], 2), "Fi", "Field Report", "Co", "Contractor QC", "Ge", "Contractor QC", "Pu", "Punch List")</f>
        <v>Field Report</v>
      </c>
      <c r="D281" s="6" t="str">
        <f>LEFT(Tasks[[#This Row],[Description]], 50)</f>
        <v>ARW 69-4: One of the columns fabricated for the br</v>
      </c>
      <c r="E281" s="6" t="str" cm="1">
        <f t="array" ref="E281">_xlfn.LET(
_xlpm.inTower, COUNTIF(Tower_Num_Table[Tower Rm Numbers], LEFT(Task_Summary_Table[[#This Row],[Area/Room]], 3)) &gt; 0,
_xlpm.typeResult, _xlfn.SWITCH(LEFT(Tasks[[#This Row],[Page]], 2), "Hi", "Historic", "An", "Annex", "Si", "Site", "S5", "Project Task", "SWITCH ERROR"),
IF(_xlpm.inTower, "West Tower", _xlpm.typeResult)
)</f>
        <v>Historic</v>
      </c>
      <c r="F281" t="str">
        <f>IFERROR(MID(Tasks[[#This Row],[Page]], FIND("Level", Tasks[[#This Row],[Page]]), 7), IF(ISNUMBER(FIND("Roof", Tasks[[#This Row],[Page]])), "Roof",  IF(ISNUMBER(FIND("S590", Tasks[[#This Row],[Page]])), "",  IF(ISNUMBER(FIND("Site", Tasks[[#This Row],[Page]])), "", "ERROR"))))</f>
        <v>Level 1</v>
      </c>
      <c r="G281" t="str">
        <f>IF(Tasks[[#This Row],[Location]]=0, "", Tasks[[#This Row],[Location]])</f>
        <v/>
      </c>
      <c r="H281" t="str">
        <f>Tasks[[#This Row],[To Package]]</f>
        <v>Structural Steel</v>
      </c>
      <c r="I281" t="str">
        <f>Tasks[[#This Row],[To Organisation]]</f>
        <v>Glassey Steel Works</v>
      </c>
    </row>
    <row r="282" spans="1:9" x14ac:dyDescent="0.35">
      <c r="A282" s="9" t="str">
        <f>HYPERLINK(_xlfn.CONCAT(Edit_URL,Tasks[[#This Row],[Ref]]),Tasks[[#This Row],[Ref]])</f>
        <v>T1.9552514</v>
      </c>
      <c r="B282" s="6" t="str" cm="1">
        <f t="array" ref="B282">_xlfn.SWITCH(LEFT(Tasks[[#This Row],[Status]],1),"O","Opened","C","Completed","S","Signed Off","ERROR")</f>
        <v>Opened</v>
      </c>
      <c r="C282" s="6" t="str" cm="1">
        <f t="array" ref="C282">_xlfn.SWITCH(LEFT(Tasks[[#This Row],[Type]], 2), "Fi", "Field Report", "Co", "Contractor QC", "Ge", "Contractor QC", "Pu", "Punch List")</f>
        <v>Field Report</v>
      </c>
      <c r="D282" s="6" t="str">
        <f>LEFT(Tasks[[#This Row],[Description]], 50)</f>
        <v>ARW 69-3: The stair framing for the stair at the b</v>
      </c>
      <c r="E282" s="6" t="str" cm="1">
        <f t="array" ref="E282">_xlfn.LET(
_xlpm.inTower, COUNTIF(Tower_Num_Table[Tower Rm Numbers], LEFT(Task_Summary_Table[[#This Row],[Area/Room]], 3)) &gt; 0,
_xlpm.typeResult, _xlfn.SWITCH(LEFT(Tasks[[#This Row],[Page]], 2), "Hi", "Historic", "An", "Annex", "Si", "Site", "S5", "Project Task", "SWITCH ERROR"),
IF(_xlpm.inTower, "West Tower", _xlpm.typeResult)
)</f>
        <v>Historic</v>
      </c>
      <c r="F282" t="str">
        <f>IFERROR(MID(Tasks[[#This Row],[Page]], FIND("Level", Tasks[[#This Row],[Page]]), 7), IF(ISNUMBER(FIND("Roof", Tasks[[#This Row],[Page]])), "Roof",  IF(ISNUMBER(FIND("S590", Tasks[[#This Row],[Page]])), "",  IF(ISNUMBER(FIND("Site", Tasks[[#This Row],[Page]])), "", "ERROR"))))</f>
        <v>Level 1</v>
      </c>
      <c r="G282" t="str">
        <f>IF(Tasks[[#This Row],[Location]]=0, "", Tasks[[#This Row],[Location]])</f>
        <v/>
      </c>
      <c r="H282" t="str">
        <f>Tasks[[#This Row],[To Package]]</f>
        <v>Structural Steel</v>
      </c>
      <c r="I282" t="str">
        <f>Tasks[[#This Row],[To Organisation]]</f>
        <v>Glassey Steel Works</v>
      </c>
    </row>
    <row r="283" spans="1:9" x14ac:dyDescent="0.35">
      <c r="A283" s="9" t="str">
        <f>HYPERLINK(_xlfn.CONCAT(Edit_URL,Tasks[[#This Row],[Ref]]),Tasks[[#This Row],[Ref]])</f>
        <v>T1.9552510</v>
      </c>
      <c r="B283" s="6" t="str" cm="1">
        <f t="array" ref="B283">_xlfn.SWITCH(LEFT(Tasks[[#This Row],[Status]],1),"O","Opened","C","Completed","S","Signed Off","ERROR")</f>
        <v>Opened</v>
      </c>
      <c r="C283" s="6" t="str" cm="1">
        <f t="array" ref="C283">_xlfn.SWITCH(LEFT(Tasks[[#This Row],[Type]], 2), "Fi", "Field Report", "Co", "Contractor QC", "Ge", "Contractor QC", "Pu", "Punch List")</f>
        <v>Field Report</v>
      </c>
      <c r="D283" s="6" t="str">
        <f>LEFT(Tasks[[#This Row],[Description]], 50)</f>
        <v>ARW 69-2: Discussed the placement of the support a</v>
      </c>
      <c r="E283" s="6" t="str" cm="1">
        <f t="array" ref="E283">_xlfn.LET(
_xlpm.inTower, COUNTIF(Tower_Num_Table[Tower Rm Numbers], LEFT(Task_Summary_Table[[#This Row],[Area/Room]], 3)) &gt; 0,
_xlpm.typeResult, _xlfn.SWITCH(LEFT(Tasks[[#This Row],[Page]], 2), "Hi", "Historic", "An", "Annex", "Si", "Site", "S5", "Project Task", "SWITCH ERROR"),
IF(_xlpm.inTower, "West Tower", _xlpm.typeResult)
)</f>
        <v>Historic</v>
      </c>
      <c r="F283" t="str">
        <f>IFERROR(MID(Tasks[[#This Row],[Page]], FIND("Level", Tasks[[#This Row],[Page]]), 7), IF(ISNUMBER(FIND("Roof", Tasks[[#This Row],[Page]])), "Roof",  IF(ISNUMBER(FIND("S590", Tasks[[#This Row],[Page]])), "",  IF(ISNUMBER(FIND("Site", Tasks[[#This Row],[Page]])), "", "ERROR"))))</f>
        <v>Level 1</v>
      </c>
      <c r="G283" t="str">
        <f>IF(Tasks[[#This Row],[Location]]=0, "", Tasks[[#This Row],[Location]])</f>
        <v/>
      </c>
      <c r="H283" t="str">
        <f>Tasks[[#This Row],[To Package]]</f>
        <v>Structural Steel</v>
      </c>
      <c r="I283" t="str">
        <f>Tasks[[#This Row],[To Organisation]]</f>
        <v>Glassey Steel Works</v>
      </c>
    </row>
    <row r="284" spans="1:9" x14ac:dyDescent="0.35">
      <c r="A284" s="9" t="str">
        <f>HYPERLINK(_xlfn.CONCAT(Edit_URL,Tasks[[#This Row],[Ref]]),Tasks[[#This Row],[Ref]])</f>
        <v>T1.9552509</v>
      </c>
      <c r="B284" s="6" t="str" cm="1">
        <f t="array" ref="B284">_xlfn.SWITCH(LEFT(Tasks[[#This Row],[Status]],1),"O","Opened","C","Completed","S","Signed Off","ERROR")</f>
        <v>Opened</v>
      </c>
      <c r="C284" s="6" t="str" cm="1">
        <f t="array" ref="C284">_xlfn.SWITCH(LEFT(Tasks[[#This Row],[Type]], 2), "Fi", "Field Report", "Co", "Contractor QC", "Ge", "Contractor QC", "Pu", "Punch List")</f>
        <v>Field Report</v>
      </c>
      <c r="D284" s="6" t="str">
        <f>LEFT(Tasks[[#This Row],[Description]], 50)</f>
        <v>ARW 69-1: Dion and Josh had questions regarding th</v>
      </c>
      <c r="E284" s="6" t="str" cm="1">
        <f t="array" ref="E284">_xlfn.LET(
_xlpm.inTower, COUNTIF(Tower_Num_Table[Tower Rm Numbers], LEFT(Task_Summary_Table[[#This Row],[Area/Room]], 3)) &gt; 0,
_xlpm.typeResult, _xlfn.SWITCH(LEFT(Tasks[[#This Row],[Page]], 2), "Hi", "Historic", "An", "Annex", "Si", "Site", "S5", "Project Task", "SWITCH ERROR"),
IF(_xlpm.inTower, "West Tower", _xlpm.typeResult)
)</f>
        <v>Historic</v>
      </c>
      <c r="F284" t="str">
        <f>IFERROR(MID(Tasks[[#This Row],[Page]], FIND("Level", Tasks[[#This Row],[Page]]), 7), IF(ISNUMBER(FIND("Roof", Tasks[[#This Row],[Page]])), "Roof",  IF(ISNUMBER(FIND("S590", Tasks[[#This Row],[Page]])), "",  IF(ISNUMBER(FIND("Site", Tasks[[#This Row],[Page]])), "", "ERROR"))))</f>
        <v>Roof</v>
      </c>
      <c r="G284" t="str">
        <f>IF(Tasks[[#This Row],[Location]]=0, "", Tasks[[#This Row],[Location]])</f>
        <v/>
      </c>
      <c r="H284" t="str">
        <f>Tasks[[#This Row],[To Package]]</f>
        <v>Structural Steel</v>
      </c>
      <c r="I284" t="str">
        <f>Tasks[[#This Row],[To Organisation]]</f>
        <v>Glassey Steel Works</v>
      </c>
    </row>
    <row r="285" spans="1:9" x14ac:dyDescent="0.35">
      <c r="A285" s="9" t="str">
        <f>HYPERLINK(_xlfn.CONCAT(Edit_URL,Tasks[[#This Row],[Ref]]),Tasks[[#This Row],[Ref]])</f>
        <v>T1.9552506</v>
      </c>
      <c r="B285" s="6" t="str" cm="1">
        <f t="array" ref="B285">_xlfn.SWITCH(LEFT(Tasks[[#This Row],[Status]],1),"O","Opened","C","Completed","S","Signed Off","ERROR")</f>
        <v>Completed</v>
      </c>
      <c r="C285" s="6" t="str" cm="1">
        <f t="array" ref="C285">_xlfn.SWITCH(LEFT(Tasks[[#This Row],[Type]], 2), "Fi", "Field Report", "Co", "Contractor QC", "Ge", "Contractor QC", "Pu", "Punch List")</f>
        <v>Field Report</v>
      </c>
      <c r="D285" s="6" t="str">
        <f>LEFT(Tasks[[#This Row],[Description]], 50)</f>
        <v>ARW 68-6: Concrete columns are specified to be bui</v>
      </c>
      <c r="E285" s="6" t="str" cm="1">
        <f t="array" ref="E285">_xlfn.LET(
_xlpm.inTower, COUNTIF(Tower_Num_Table[Tower Rm Numbers], LEFT(Task_Summary_Table[[#This Row],[Area/Room]], 3)) &gt; 0,
_xlpm.typeResult, _xlfn.SWITCH(LEFT(Tasks[[#This Row],[Page]], 2), "Hi", "Historic", "An", "Annex", "Si", "Site", "S5", "Project Task", "SWITCH ERROR"),
IF(_xlpm.inTower, "West Tower", _xlpm.typeResult)
)</f>
        <v>Annex</v>
      </c>
      <c r="F285" t="str">
        <f>IFERROR(MID(Tasks[[#This Row],[Page]], FIND("Level", Tasks[[#This Row],[Page]]), 7), IF(ISNUMBER(FIND("Roof", Tasks[[#This Row],[Page]])), "Roof",  IF(ISNUMBER(FIND("S590", Tasks[[#This Row],[Page]])), "",  IF(ISNUMBER(FIND("Site", Tasks[[#This Row],[Page]])), "", "ERROR"))))</f>
        <v>Level 1</v>
      </c>
      <c r="G285" t="str">
        <f>IF(Tasks[[#This Row],[Location]]=0, "", Tasks[[#This Row],[Location]])</f>
        <v/>
      </c>
      <c r="H285" t="str">
        <f>Tasks[[#This Row],[To Package]]</f>
        <v>Concrete</v>
      </c>
      <c r="I285" t="str">
        <f>Tasks[[#This Row],[To Organisation]]</f>
        <v>Innovative Concrete, LLC</v>
      </c>
    </row>
    <row r="286" spans="1:9" x14ac:dyDescent="0.35">
      <c r="A286" s="9" t="str">
        <f>HYPERLINK(_xlfn.CONCAT(Edit_URL,Tasks[[#This Row],[Ref]]),Tasks[[#This Row],[Ref]])</f>
        <v>T1.9552505</v>
      </c>
      <c r="B286" s="6" t="str" cm="1">
        <f t="array" ref="B286">_xlfn.SWITCH(LEFT(Tasks[[#This Row],[Status]],1),"O","Opened","C","Completed","S","Signed Off","ERROR")</f>
        <v>Completed</v>
      </c>
      <c r="C286" s="6" t="str" cm="1">
        <f t="array" ref="C286">_xlfn.SWITCH(LEFT(Tasks[[#This Row],[Type]], 2), "Fi", "Field Report", "Co", "Contractor QC", "Ge", "Contractor QC", "Pu", "Punch List")</f>
        <v>Field Report</v>
      </c>
      <c r="D286" s="6" t="str">
        <f>LEFT(Tasks[[#This Row],[Description]], 50)</f>
        <v>ARW 68-5: The water stop at the mat footing and fo</v>
      </c>
      <c r="E286" s="6" t="str" cm="1">
        <f t="array" ref="E286">_xlfn.LET(
_xlpm.inTower, COUNTIF(Tower_Num_Table[Tower Rm Numbers], LEFT(Task_Summary_Table[[#This Row],[Area/Room]], 3)) &gt; 0,
_xlpm.typeResult, _xlfn.SWITCH(LEFT(Tasks[[#This Row],[Page]], 2), "Hi", "Historic", "An", "Annex", "Si", "Site", "S5", "Project Task", "SWITCH ERROR"),
IF(_xlpm.inTower, "West Tower", _xlpm.typeResult)
)</f>
        <v>Annex</v>
      </c>
      <c r="F286" t="str">
        <f>IFERROR(MID(Tasks[[#This Row],[Page]], FIND("Level", Tasks[[#This Row],[Page]]), 7), IF(ISNUMBER(FIND("Roof", Tasks[[#This Row],[Page]])), "Roof",  IF(ISNUMBER(FIND("S590", Tasks[[#This Row],[Page]])), "",  IF(ISNUMBER(FIND("Site", Tasks[[#This Row],[Page]])), "", "ERROR"))))</f>
        <v>Level 1</v>
      </c>
      <c r="G286" t="str">
        <f>IF(Tasks[[#This Row],[Location]]=0, "", Tasks[[#This Row],[Location]])</f>
        <v/>
      </c>
      <c r="H286" t="str">
        <f>Tasks[[#This Row],[To Package]]</f>
        <v>Concrete</v>
      </c>
      <c r="I286" t="str">
        <f>Tasks[[#This Row],[To Organisation]]</f>
        <v>Innovative Concrete, LLC</v>
      </c>
    </row>
    <row r="287" spans="1:9" x14ac:dyDescent="0.35">
      <c r="A287" s="9" t="str">
        <f>HYPERLINK(_xlfn.CONCAT(Edit_URL,Tasks[[#This Row],[Ref]]),Tasks[[#This Row],[Ref]])</f>
        <v>T1.9552504</v>
      </c>
      <c r="B287" s="6" t="str" cm="1">
        <f t="array" ref="B287">_xlfn.SWITCH(LEFT(Tasks[[#This Row],[Status]],1),"O","Opened","C","Completed","S","Signed Off","ERROR")</f>
        <v>Opened</v>
      </c>
      <c r="C287" s="6" t="str" cm="1">
        <f t="array" ref="C287">_xlfn.SWITCH(LEFT(Tasks[[#This Row],[Type]], 2), "Fi", "Field Report", "Co", "Contractor QC", "Ge", "Contractor QC", "Pu", "Punch List")</f>
        <v>Field Report</v>
      </c>
      <c r="D287" s="6" t="str">
        <f>LEFT(Tasks[[#This Row],[Description]], 50)</f>
        <v>ARW 68-3: Concrete beam to concrete column connect</v>
      </c>
      <c r="E287" s="6" t="str" cm="1">
        <f t="array" ref="E287">_xlfn.LET(
_xlpm.inTower, COUNTIF(Tower_Num_Table[Tower Rm Numbers], LEFT(Task_Summary_Table[[#This Row],[Area/Room]], 3)) &gt; 0,
_xlpm.typeResult, _xlfn.SWITCH(LEFT(Tasks[[#This Row],[Page]], 2), "Hi", "Historic", "An", "Annex", "Si", "Site", "S5", "Project Task", "SWITCH ERROR"),
IF(_xlpm.inTower, "West Tower", _xlpm.typeResult)
)</f>
        <v>Historic</v>
      </c>
      <c r="F287" t="str">
        <f>IFERROR(MID(Tasks[[#This Row],[Page]], FIND("Level", Tasks[[#This Row],[Page]]), 7), IF(ISNUMBER(FIND("Roof", Tasks[[#This Row],[Page]])), "Roof",  IF(ISNUMBER(FIND("S590", Tasks[[#This Row],[Page]])), "",  IF(ISNUMBER(FIND("Site", Tasks[[#This Row],[Page]])), "", "ERROR"))))</f>
        <v>Level 2</v>
      </c>
      <c r="G287" t="str">
        <f>IF(Tasks[[#This Row],[Location]]=0, "", Tasks[[#This Row],[Location]])</f>
        <v/>
      </c>
      <c r="H287" t="str">
        <f>Tasks[[#This Row],[To Package]]</f>
        <v>Concrete</v>
      </c>
      <c r="I287" t="str">
        <f>Tasks[[#This Row],[To Organisation]]</f>
        <v>Innovative Concrete, LLC</v>
      </c>
    </row>
    <row r="288" spans="1:9" x14ac:dyDescent="0.35">
      <c r="A288" s="9" t="str">
        <f>HYPERLINK(_xlfn.CONCAT(Edit_URL,Tasks[[#This Row],[Ref]]),Tasks[[#This Row],[Ref]])</f>
        <v>T1.9552503</v>
      </c>
      <c r="B288" s="6" t="str" cm="1">
        <f t="array" ref="B288">_xlfn.SWITCH(LEFT(Tasks[[#This Row],[Status]],1),"O","Opened","C","Completed","S","Signed Off","ERROR")</f>
        <v>Opened</v>
      </c>
      <c r="C288" s="6" t="str" cm="1">
        <f t="array" ref="C288">_xlfn.SWITCH(LEFT(Tasks[[#This Row],[Type]], 2), "Fi", "Field Report", "Co", "Contractor QC", "Ge", "Contractor QC", "Pu", "Punch List")</f>
        <v>Field Report</v>
      </c>
      <c r="D288" s="6" t="str">
        <f>LEFT(Tasks[[#This Row],[Description]], 50)</f>
        <v xml:space="preserve">ARW 67-8: Clip connecting level 0.5 LVL and level </v>
      </c>
      <c r="E288" s="6" t="str" cm="1">
        <f t="array" ref="E288">_xlfn.LET(
_xlpm.inTower, COUNTIF(Tower_Num_Table[Tower Rm Numbers], LEFT(Task_Summary_Table[[#This Row],[Area/Room]], 3)) &gt; 0,
_xlpm.typeResult, _xlfn.SWITCH(LEFT(Tasks[[#This Row],[Page]], 2), "Hi", "Historic", "An", "Annex", "Si", "Site", "S5", "Project Task", "SWITCH ERROR"),
IF(_xlpm.inTower, "West Tower", _xlpm.typeResult)
)</f>
        <v>Historic</v>
      </c>
      <c r="F288" t="str">
        <f>IFERROR(MID(Tasks[[#This Row],[Page]], FIND("Level", Tasks[[#This Row],[Page]]), 7), IF(ISNUMBER(FIND("Roof", Tasks[[#This Row],[Page]])), "Roof",  IF(ISNUMBER(FIND("S590", Tasks[[#This Row],[Page]])), "",  IF(ISNUMBER(FIND("Site", Tasks[[#This Row],[Page]])), "", "ERROR"))))</f>
        <v>Level 2</v>
      </c>
      <c r="G288" t="str">
        <f>IF(Tasks[[#This Row],[Location]]=0, "", Tasks[[#This Row],[Location]])</f>
        <v/>
      </c>
      <c r="H288" t="str">
        <f>Tasks[[#This Row],[To Package]]</f>
        <v>Wood Framing</v>
      </c>
      <c r="I288" t="str">
        <f>Tasks[[#This Row],[To Organisation]]</f>
        <v>Rockhill Construction</v>
      </c>
    </row>
    <row r="289" spans="1:9" x14ac:dyDescent="0.35">
      <c r="A289" s="9" t="str">
        <f>HYPERLINK(_xlfn.CONCAT(Edit_URL,Tasks[[#This Row],[Ref]]),Tasks[[#This Row],[Ref]])</f>
        <v>T1.9552501</v>
      </c>
      <c r="B289" s="6" t="str" cm="1">
        <f t="array" ref="B289">_xlfn.SWITCH(LEFT(Tasks[[#This Row],[Status]],1),"O","Opened","C","Completed","S","Signed Off","ERROR")</f>
        <v>Opened</v>
      </c>
      <c r="C289" s="6" t="str" cm="1">
        <f t="array" ref="C289">_xlfn.SWITCH(LEFT(Tasks[[#This Row],[Type]], 2), "Fi", "Field Report", "Co", "Contractor QC", "Ge", "Contractor QC", "Pu", "Punch List")</f>
        <v>Field Report</v>
      </c>
      <c r="D289" s="6" t="str">
        <f>LEFT(Tasks[[#This Row],[Description]], 50)</f>
        <v xml:space="preserve">ARW 67-7:  LVL wall between foyer and baptistry - </v>
      </c>
      <c r="E289" s="6" t="str" cm="1">
        <f t="array" ref="E289">_xlfn.LET(
_xlpm.inTower, COUNTIF(Tower_Num_Table[Tower Rm Numbers], LEFT(Task_Summary_Table[[#This Row],[Area/Room]], 3)) &gt; 0,
_xlpm.typeResult, _xlfn.SWITCH(LEFT(Tasks[[#This Row],[Page]], 2), "Hi", "Historic", "An", "Annex", "Si", "Site", "S5", "Project Task", "SWITCH ERROR"),
IF(_xlpm.inTower, "West Tower", _xlpm.typeResult)
)</f>
        <v>Historic</v>
      </c>
      <c r="F289" t="str">
        <f>IFERROR(MID(Tasks[[#This Row],[Page]], FIND("Level", Tasks[[#This Row],[Page]]), 7), IF(ISNUMBER(FIND("Roof", Tasks[[#This Row],[Page]])), "Roof",  IF(ISNUMBER(FIND("S590", Tasks[[#This Row],[Page]])), "",  IF(ISNUMBER(FIND("Site", Tasks[[#This Row],[Page]])), "", "ERROR"))))</f>
        <v>Level 1</v>
      </c>
      <c r="G289" t="str">
        <f>IF(Tasks[[#This Row],[Location]]=0, "", Tasks[[#This Row],[Location]])</f>
        <v/>
      </c>
      <c r="H289" t="str">
        <f>Tasks[[#This Row],[To Package]]</f>
        <v>Wood Framing</v>
      </c>
      <c r="I289" t="str">
        <f>Tasks[[#This Row],[To Organisation]]</f>
        <v>Rockhill Construction</v>
      </c>
    </row>
    <row r="290" spans="1:9" x14ac:dyDescent="0.35">
      <c r="A290" s="9" t="str">
        <f>HYPERLINK(_xlfn.CONCAT(Edit_URL,Tasks[[#This Row],[Ref]]),Tasks[[#This Row],[Ref]])</f>
        <v>T1.9552499</v>
      </c>
      <c r="B290" s="6" t="str" cm="1">
        <f t="array" ref="B290">_xlfn.SWITCH(LEFT(Tasks[[#This Row],[Status]],1),"O","Opened","C","Completed","S","Signed Off","ERROR")</f>
        <v>Opened</v>
      </c>
      <c r="C290" s="6" t="str" cm="1">
        <f t="array" ref="C290">_xlfn.SWITCH(LEFT(Tasks[[#This Row],[Type]], 2), "Fi", "Field Report", "Co", "Contractor QC", "Ge", "Contractor QC", "Pu", "Punch List")</f>
        <v>Field Report</v>
      </c>
      <c r="D290" s="6" t="str">
        <f>LEFT(Tasks[[#This Row],[Description]], 50)</f>
        <v>ARW 67-6: Grout to be placed behind HSS, around pi</v>
      </c>
      <c r="E290" s="6" t="str" cm="1">
        <f t="array" ref="E290">_xlfn.LET(
_xlpm.inTower, COUNTIF(Tower_Num_Table[Tower Rm Numbers], LEFT(Task_Summary_Table[[#This Row],[Area/Room]], 3)) &gt; 0,
_xlpm.typeResult, _xlfn.SWITCH(LEFT(Tasks[[#This Row],[Page]], 2), "Hi", "Historic", "An", "Annex", "Si", "Site", "S5", "Project Task", "SWITCH ERROR"),
IF(_xlpm.inTower, "West Tower", _xlpm.typeResult)
)</f>
        <v>Historic</v>
      </c>
      <c r="F290" t="str">
        <f>IFERROR(MID(Tasks[[#This Row],[Page]], FIND("Level", Tasks[[#This Row],[Page]]), 7), IF(ISNUMBER(FIND("Roof", Tasks[[#This Row],[Page]])), "Roof",  IF(ISNUMBER(FIND("S590", Tasks[[#This Row],[Page]])), "",  IF(ISNUMBER(FIND("Site", Tasks[[#This Row],[Page]])), "", "ERROR"))))</f>
        <v>Level 1</v>
      </c>
      <c r="G290" t="str">
        <f>IF(Tasks[[#This Row],[Location]]=0, "", Tasks[[#This Row],[Location]])</f>
        <v/>
      </c>
      <c r="H290" t="str">
        <f>Tasks[[#This Row],[To Package]]</f>
        <v>Concrete</v>
      </c>
      <c r="I290" t="str">
        <f>Tasks[[#This Row],[To Organisation]]</f>
        <v>Innovative Concrete, LLC</v>
      </c>
    </row>
    <row r="291" spans="1:9" x14ac:dyDescent="0.35">
      <c r="A291" s="9" t="str">
        <f>HYPERLINK(_xlfn.CONCAT(Edit_URL,Tasks[[#This Row],[Ref]]),Tasks[[#This Row],[Ref]])</f>
        <v>T1.9552498</v>
      </c>
      <c r="B291" s="6" t="str" cm="1">
        <f t="array" ref="B291">_xlfn.SWITCH(LEFT(Tasks[[#This Row],[Status]],1),"O","Opened","C","Completed","S","Signed Off","ERROR")</f>
        <v>Opened</v>
      </c>
      <c r="C291" s="6" t="str" cm="1">
        <f t="array" ref="C291">_xlfn.SWITCH(LEFT(Tasks[[#This Row],[Type]], 2), "Fi", "Field Report", "Co", "Contractor QC", "Ge", "Contractor QC", "Pu", "Punch List")</f>
        <v>Field Report</v>
      </c>
      <c r="D291" s="6" t="str">
        <f>LEFT(Tasks[[#This Row],[Description]], 50)</f>
        <v>ARW 67-5: Concrete to be placed below existing mat</v>
      </c>
      <c r="E291" s="6" t="str" cm="1">
        <f t="array" ref="E291">_xlfn.LET(
_xlpm.inTower, COUNTIF(Tower_Num_Table[Tower Rm Numbers], LEFT(Task_Summary_Table[[#This Row],[Area/Room]], 3)) &gt; 0,
_xlpm.typeResult, _xlfn.SWITCH(LEFT(Tasks[[#This Row],[Page]], 2), "Hi", "Historic", "An", "Annex", "Si", "Site", "S5", "Project Task", "SWITCH ERROR"),
IF(_xlpm.inTower, "West Tower", _xlpm.typeResult)
)</f>
        <v>Annex</v>
      </c>
      <c r="F291" t="str">
        <f>IFERROR(MID(Tasks[[#This Row],[Page]], FIND("Level", Tasks[[#This Row],[Page]]), 7), IF(ISNUMBER(FIND("Roof", Tasks[[#This Row],[Page]])), "Roof",  IF(ISNUMBER(FIND("S590", Tasks[[#This Row],[Page]])), "",  IF(ISNUMBER(FIND("Site", Tasks[[#This Row],[Page]])), "", "ERROR"))))</f>
        <v>Level 1</v>
      </c>
      <c r="G291" t="str">
        <f>IF(Tasks[[#This Row],[Location]]=0, "", Tasks[[#This Row],[Location]])</f>
        <v/>
      </c>
      <c r="H291" t="str">
        <f>Tasks[[#This Row],[To Package]]</f>
        <v>Concrete</v>
      </c>
      <c r="I291" t="str">
        <f>Tasks[[#This Row],[To Organisation]]</f>
        <v>Innovative Concrete, LLC</v>
      </c>
    </row>
    <row r="292" spans="1:9" x14ac:dyDescent="0.35">
      <c r="A292" s="9" t="str">
        <f>HYPERLINK(_xlfn.CONCAT(Edit_URL,Tasks[[#This Row],[Ref]]),Tasks[[#This Row],[Ref]])</f>
        <v>T1.9552497</v>
      </c>
      <c r="B292" s="6" t="str" cm="1">
        <f t="array" ref="B292">_xlfn.SWITCH(LEFT(Tasks[[#This Row],[Status]],1),"O","Opened","C","Completed","S","Signed Off","ERROR")</f>
        <v>Opened</v>
      </c>
      <c r="C292" s="6" t="str" cm="1">
        <f t="array" ref="C292">_xlfn.SWITCH(LEFT(Tasks[[#This Row],[Type]], 2), "Fi", "Field Report", "Co", "Contractor QC", "Ge", "Contractor QC", "Pu", "Punch List")</f>
        <v>Field Report</v>
      </c>
      <c r="D292" s="6" t="str">
        <f>LEFT(Tasks[[#This Row],[Description]], 50)</f>
        <v>ARW 67-4: Grout for columns against south exterior</v>
      </c>
      <c r="E292" s="6" t="str" cm="1">
        <f t="array" ref="E292">_xlfn.LET(
_xlpm.inTower, COUNTIF(Tower_Num_Table[Tower Rm Numbers], LEFT(Task_Summary_Table[[#This Row],[Area/Room]], 3)) &gt; 0,
_xlpm.typeResult, _xlfn.SWITCH(LEFT(Tasks[[#This Row],[Page]], 2), "Hi", "Historic", "An", "Annex", "Si", "Site", "S5", "Project Task", "SWITCH ERROR"),
IF(_xlpm.inTower, "West Tower", _xlpm.typeResult)
)</f>
        <v>Historic</v>
      </c>
      <c r="F292" t="str">
        <f>IFERROR(MID(Tasks[[#This Row],[Page]], FIND("Level", Tasks[[#This Row],[Page]]), 7), IF(ISNUMBER(FIND("Roof", Tasks[[#This Row],[Page]])), "Roof",  IF(ISNUMBER(FIND("S590", Tasks[[#This Row],[Page]])), "",  IF(ISNUMBER(FIND("Site", Tasks[[#This Row],[Page]])), "", "ERROR"))))</f>
        <v>Level 0</v>
      </c>
      <c r="G292" t="str">
        <f>IF(Tasks[[#This Row],[Location]]=0, "", Tasks[[#This Row],[Location]])</f>
        <v/>
      </c>
      <c r="H292" t="str">
        <f>Tasks[[#This Row],[To Package]]</f>
        <v>Concrete</v>
      </c>
      <c r="I292" t="str">
        <f>Tasks[[#This Row],[To Organisation]]</f>
        <v>Innovative Concrete, LLC</v>
      </c>
    </row>
    <row r="293" spans="1:9" x14ac:dyDescent="0.35">
      <c r="A293" s="9" t="str">
        <f>HYPERLINK(_xlfn.CONCAT(Edit_URL,Tasks[[#This Row],[Ref]]),Tasks[[#This Row],[Ref]])</f>
        <v>T1.9552495</v>
      </c>
      <c r="B293" s="6" t="str" cm="1">
        <f t="array" ref="B293">_xlfn.SWITCH(LEFT(Tasks[[#This Row],[Status]],1),"O","Opened","C","Completed","S","Signed Off","ERROR")</f>
        <v>Opened</v>
      </c>
      <c r="C293" s="6" t="str" cm="1">
        <f t="array" ref="C293">_xlfn.SWITCH(LEFT(Tasks[[#This Row],[Type]], 2), "Fi", "Field Report", "Co", "Contractor QC", "Ge", "Contractor QC", "Pu", "Punch List")</f>
        <v>Field Report</v>
      </c>
      <c r="D293" s="6" t="str">
        <f>LEFT(Tasks[[#This Row],[Description]], 50)</f>
        <v>ARW 67-3: Header for opening between Baptistry 
Ch</v>
      </c>
      <c r="E293" s="6" t="str" cm="1">
        <f t="array" ref="E293">_xlfn.LET(
_xlpm.inTower, COUNTIF(Tower_Num_Table[Tower Rm Numbers], LEFT(Task_Summary_Table[[#This Row],[Area/Room]], 3)) &gt; 0,
_xlpm.typeResult, _xlfn.SWITCH(LEFT(Tasks[[#This Row],[Page]], 2), "Hi", "Historic", "An", "Annex", "Si", "Site", "S5", "Project Task", "SWITCH ERROR"),
IF(_xlpm.inTower, "West Tower", _xlpm.typeResult)
)</f>
        <v>Historic</v>
      </c>
      <c r="F293" t="str">
        <f>IFERROR(MID(Tasks[[#This Row],[Page]], FIND("Level", Tasks[[#This Row],[Page]]), 7), IF(ISNUMBER(FIND("Roof", Tasks[[#This Row],[Page]])), "Roof",  IF(ISNUMBER(FIND("S590", Tasks[[#This Row],[Page]])), "",  IF(ISNUMBER(FIND("Site", Tasks[[#This Row],[Page]])), "", "ERROR"))))</f>
        <v>Level 1</v>
      </c>
      <c r="G293" t="str">
        <f>IF(Tasks[[#This Row],[Location]]=0, "", Tasks[[#This Row],[Location]])</f>
        <v/>
      </c>
      <c r="H293" t="str">
        <f>Tasks[[#This Row],[To Package]]</f>
        <v>Concrete</v>
      </c>
      <c r="I293" t="str">
        <f>Tasks[[#This Row],[To Organisation]]</f>
        <v>Innovative Concrete, LLC</v>
      </c>
    </row>
    <row r="294" spans="1:9" x14ac:dyDescent="0.35">
      <c r="A294" s="9" t="str">
        <f>HYPERLINK(_xlfn.CONCAT(Edit_URL,Tasks[[#This Row],[Ref]]),Tasks[[#This Row],[Ref]])</f>
        <v>T1.9552494</v>
      </c>
      <c r="B294" s="6" t="str" cm="1">
        <f t="array" ref="B294">_xlfn.SWITCH(LEFT(Tasks[[#This Row],[Status]],1),"O","Opened","C","Completed","S","Signed Off","ERROR")</f>
        <v>Opened</v>
      </c>
      <c r="C294" s="6" t="str" cm="1">
        <f t="array" ref="C294">_xlfn.SWITCH(LEFT(Tasks[[#This Row],[Type]], 2), "Fi", "Field Report", "Co", "Contractor QC", "Ge", "Contractor QC", "Pu", "Punch List")</f>
        <v>Field Report</v>
      </c>
      <c r="D294" s="6" t="str">
        <f>LEFT(Tasks[[#This Row],[Description]], 50)</f>
        <v>ARW 67-2: Plywood backing attachment - Discussed w</v>
      </c>
      <c r="E294" s="6" t="str" cm="1">
        <f t="array" ref="E294">_xlfn.LET(
_xlpm.inTower, COUNTIF(Tower_Num_Table[Tower Rm Numbers], LEFT(Task_Summary_Table[[#This Row],[Area/Room]], 3)) &gt; 0,
_xlpm.typeResult, _xlfn.SWITCH(LEFT(Tasks[[#This Row],[Page]], 2), "Hi", "Historic", "An", "Annex", "Si", "Site", "S5", "Project Task", "SWITCH ERROR"),
IF(_xlpm.inTower, "West Tower", _xlpm.typeResult)
)</f>
        <v>Historic</v>
      </c>
      <c r="F294" t="str">
        <f>IFERROR(MID(Tasks[[#This Row],[Page]], FIND("Level", Tasks[[#This Row],[Page]]), 7), IF(ISNUMBER(FIND("Roof", Tasks[[#This Row],[Page]])), "Roof",  IF(ISNUMBER(FIND("S590", Tasks[[#This Row],[Page]])), "",  IF(ISNUMBER(FIND("Site", Tasks[[#This Row],[Page]])), "", "ERROR"))))</f>
        <v>Level 2</v>
      </c>
      <c r="G294" t="str">
        <f>IF(Tasks[[#This Row],[Location]]=0, "", Tasks[[#This Row],[Location]])</f>
        <v/>
      </c>
      <c r="H294" t="str">
        <f>Tasks[[#This Row],[To Package]]</f>
        <v>Wood Framing</v>
      </c>
      <c r="I294" t="str">
        <f>Tasks[[#This Row],[To Organisation]]</f>
        <v>Rockhill Construction</v>
      </c>
    </row>
    <row r="295" spans="1:9" x14ac:dyDescent="0.35">
      <c r="A295" s="9" t="str">
        <f>HYPERLINK(_xlfn.CONCAT(Edit_URL,Tasks[[#This Row],[Ref]]),Tasks[[#This Row],[Ref]])</f>
        <v>T1.9552493</v>
      </c>
      <c r="B295" s="6" t="str" cm="1">
        <f t="array" ref="B295">_xlfn.SWITCH(LEFT(Tasks[[#This Row],[Status]],1),"O","Opened","C","Completed","S","Signed Off","ERROR")</f>
        <v>Opened</v>
      </c>
      <c r="C295" s="6" t="str" cm="1">
        <f t="array" ref="C295">_xlfn.SWITCH(LEFT(Tasks[[#This Row],[Type]], 2), "Fi", "Field Report", "Co", "Contractor QC", "Ge", "Contractor QC", "Pu", "Punch List")</f>
        <v>Field Report</v>
      </c>
      <c r="D295" s="6" t="str">
        <f>LEFT(Tasks[[#This Row],[Description]], 50)</f>
        <v>ARW 67-1: Entry stud framing at duct chase -Discus</v>
      </c>
      <c r="E295" s="6" t="str" cm="1">
        <f t="array" ref="E295">_xlfn.LET(
_xlpm.inTower, COUNTIF(Tower_Num_Table[Tower Rm Numbers], LEFT(Task_Summary_Table[[#This Row],[Area/Room]], 3)) &gt; 0,
_xlpm.typeResult, _xlfn.SWITCH(LEFT(Tasks[[#This Row],[Page]], 2), "Hi", "Historic", "An", "Annex", "Si", "Site", "S5", "Project Task", "SWITCH ERROR"),
IF(_xlpm.inTower, "West Tower", _xlpm.typeResult)
)</f>
        <v>Annex</v>
      </c>
      <c r="F295" t="str">
        <f>IFERROR(MID(Tasks[[#This Row],[Page]], FIND("Level", Tasks[[#This Row],[Page]]), 7), IF(ISNUMBER(FIND("Roof", Tasks[[#This Row],[Page]])), "Roof",  IF(ISNUMBER(FIND("S590", Tasks[[#This Row],[Page]])), "",  IF(ISNUMBER(FIND("Site", Tasks[[#This Row],[Page]])), "", "ERROR"))))</f>
        <v>Level 1</v>
      </c>
      <c r="G295" t="str">
        <f>IF(Tasks[[#This Row],[Location]]=0, "", Tasks[[#This Row],[Location]])</f>
        <v/>
      </c>
      <c r="H295" t="str">
        <f>Tasks[[#This Row],[To Package]]</f>
        <v>Metal Stud / Drywall</v>
      </c>
      <c r="I295" t="str">
        <f>Tasks[[#This Row],[To Organisation]]</f>
        <v>Pete King Construction</v>
      </c>
    </row>
    <row r="296" spans="1:9" x14ac:dyDescent="0.35">
      <c r="A296" s="9" t="str">
        <f>HYPERLINK(_xlfn.CONCAT(Edit_URL,Tasks[[#This Row],[Ref]]),Tasks[[#This Row],[Ref]])</f>
        <v>T1.9552438</v>
      </c>
      <c r="B296" s="6" t="str" cm="1">
        <f t="array" ref="B296">_xlfn.SWITCH(LEFT(Tasks[[#This Row],[Status]],1),"O","Opened","C","Completed","S","Signed Off","ERROR")</f>
        <v>Opened</v>
      </c>
      <c r="C296" s="6" t="str" cm="1">
        <f t="array" ref="C296">_xlfn.SWITCH(LEFT(Tasks[[#This Row],[Type]], 2), "Fi", "Field Report", "Co", "Contractor QC", "Ge", "Contractor QC", "Pu", "Punch List")</f>
        <v>Field Report</v>
      </c>
      <c r="D296" s="6" t="str">
        <f>LEFT(Tasks[[#This Row],[Description]], 50)</f>
        <v>ARW 66-8: At duct openings in the concrete on deck</v>
      </c>
      <c r="E296" s="6" t="str" cm="1">
        <f t="array" ref="E296">_xlfn.LET(
_xlpm.inTower, COUNTIF(Tower_Num_Table[Tower Rm Numbers], LEFT(Task_Summary_Table[[#This Row],[Area/Room]], 3)) &gt; 0,
_xlpm.typeResult, _xlfn.SWITCH(LEFT(Tasks[[#This Row],[Page]], 2), "Hi", "Historic", "An", "Annex", "Si", "Site", "S5", "Project Task", "SWITCH ERROR"),
IF(_xlpm.inTower, "West Tower", _xlpm.typeResult)
)</f>
        <v>Historic</v>
      </c>
      <c r="F296" t="str">
        <f>IFERROR(MID(Tasks[[#This Row],[Page]], FIND("Level", Tasks[[#This Row],[Page]]), 7), IF(ISNUMBER(FIND("Roof", Tasks[[#This Row],[Page]])), "Roof",  IF(ISNUMBER(FIND("S590", Tasks[[#This Row],[Page]])), "",  IF(ISNUMBER(FIND("Site", Tasks[[#This Row],[Page]])), "", "ERROR"))))</f>
        <v>Level 0</v>
      </c>
      <c r="G296" t="str">
        <f>IF(Tasks[[#This Row],[Location]]=0, "", Tasks[[#This Row],[Location]])</f>
        <v/>
      </c>
      <c r="H296" t="str">
        <f>Tasks[[#This Row],[To Package]]</f>
        <v>Concrete</v>
      </c>
      <c r="I296" t="str">
        <f>Tasks[[#This Row],[To Organisation]]</f>
        <v>Innovative Concrete, LLC</v>
      </c>
    </row>
    <row r="297" spans="1:9" x14ac:dyDescent="0.35">
      <c r="A297" s="9" t="str">
        <f>HYPERLINK(_xlfn.CONCAT(Edit_URL,Tasks[[#This Row],[Ref]]),Tasks[[#This Row],[Ref]])</f>
        <v>T1.9552437</v>
      </c>
      <c r="B297" s="6" t="str" cm="1">
        <f t="array" ref="B297">_xlfn.SWITCH(LEFT(Tasks[[#This Row],[Status]],1),"O","Opened","C","Completed","S","Signed Off","ERROR")</f>
        <v>Opened</v>
      </c>
      <c r="C297" s="6" t="str" cm="1">
        <f t="array" ref="C297">_xlfn.SWITCH(LEFT(Tasks[[#This Row],[Type]], 2), "Fi", "Field Report", "Co", "Contractor QC", "Ge", "Contractor QC", "Pu", "Punch List")</f>
        <v>Field Report</v>
      </c>
      <c r="D297" s="6" t="str">
        <f>LEFT(Tasks[[#This Row],[Description]], 50)</f>
        <v>ARW 66-7:  
Reinforcing steel for the walls suppor</v>
      </c>
      <c r="E297" s="6" t="str" cm="1">
        <f t="array" ref="E297">_xlfn.LET(
_xlpm.inTower, COUNTIF(Tower_Num_Table[Tower Rm Numbers], LEFT(Task_Summary_Table[[#This Row],[Area/Room]], 3)) &gt; 0,
_xlpm.typeResult, _xlfn.SWITCH(LEFT(Tasks[[#This Row],[Page]], 2), "Hi", "Historic", "An", "Annex", "Si", "Site", "S5", "Project Task", "SWITCH ERROR"),
IF(_xlpm.inTower, "West Tower", _xlpm.typeResult)
)</f>
        <v>Annex</v>
      </c>
      <c r="F297" t="str">
        <f>IFERROR(MID(Tasks[[#This Row],[Page]], FIND("Level", Tasks[[#This Row],[Page]]), 7), IF(ISNUMBER(FIND("Roof", Tasks[[#This Row],[Page]])), "Roof",  IF(ISNUMBER(FIND("S590", Tasks[[#This Row],[Page]])), "",  IF(ISNUMBER(FIND("Site", Tasks[[#This Row],[Page]])), "", "ERROR"))))</f>
        <v>Level 1</v>
      </c>
      <c r="G297" t="str">
        <f>IF(Tasks[[#This Row],[Location]]=0, "", Tasks[[#This Row],[Location]])</f>
        <v/>
      </c>
      <c r="H297" t="str">
        <f>Tasks[[#This Row],[To Package]]</f>
        <v>Concrete</v>
      </c>
      <c r="I297" t="str">
        <f>Tasks[[#This Row],[To Organisation]]</f>
        <v>Innovative Concrete, LLC</v>
      </c>
    </row>
    <row r="298" spans="1:9" x14ac:dyDescent="0.35">
      <c r="A298" s="9" t="str">
        <f>HYPERLINK(_xlfn.CONCAT(Edit_URL,Tasks[[#This Row],[Ref]]),Tasks[[#This Row],[Ref]])</f>
        <v>T1.9552436</v>
      </c>
      <c r="B298" s="6" t="str" cm="1">
        <f t="array" ref="B298">_xlfn.SWITCH(LEFT(Tasks[[#This Row],[Status]],1),"O","Opened","C","Completed","S","Signed Off","ERROR")</f>
        <v>Opened</v>
      </c>
      <c r="C298" s="6" t="str" cm="1">
        <f t="array" ref="C298">_xlfn.SWITCH(LEFT(Tasks[[#This Row],[Type]], 2), "Fi", "Field Report", "Co", "Contractor QC", "Ge", "Contractor QC", "Pu", "Punch List")</f>
        <v>Field Report</v>
      </c>
      <c r="D298" s="6" t="str">
        <f>LEFT(Tasks[[#This Row],[Description]], 50)</f>
        <v xml:space="preserve">ARW 66-6: At Level 2 between HE and HF near H5 an </v>
      </c>
      <c r="E298" s="6" t="str" cm="1">
        <f t="array" ref="E298">_xlfn.LET(
_xlpm.inTower, COUNTIF(Tower_Num_Table[Tower Rm Numbers], LEFT(Task_Summary_Table[[#This Row],[Area/Room]], 3)) &gt; 0,
_xlpm.typeResult, _xlfn.SWITCH(LEFT(Tasks[[#This Row],[Page]], 2), "Hi", "Historic", "An", "Annex", "Si", "Site", "S5", "Project Task", "SWITCH ERROR"),
IF(_xlpm.inTower, "West Tower", _xlpm.typeResult)
)</f>
        <v>Historic</v>
      </c>
      <c r="F298" t="str">
        <f>IFERROR(MID(Tasks[[#This Row],[Page]], FIND("Level", Tasks[[#This Row],[Page]]), 7), IF(ISNUMBER(FIND("Roof", Tasks[[#This Row],[Page]])), "Roof",  IF(ISNUMBER(FIND("S590", Tasks[[#This Row],[Page]])), "",  IF(ISNUMBER(FIND("Site", Tasks[[#This Row],[Page]])), "", "ERROR"))))</f>
        <v>Level 2</v>
      </c>
      <c r="G298" t="str">
        <f>IF(Tasks[[#This Row],[Location]]=0, "", Tasks[[#This Row],[Location]])</f>
        <v/>
      </c>
      <c r="H298" t="str">
        <f>Tasks[[#This Row],[To Package]]</f>
        <v>Wood Framing</v>
      </c>
      <c r="I298" t="str">
        <f>Tasks[[#This Row],[To Organisation]]</f>
        <v>Rockhill Construction</v>
      </c>
    </row>
    <row r="299" spans="1:9" x14ac:dyDescent="0.35">
      <c r="A299" s="9" t="str">
        <f>HYPERLINK(_xlfn.CONCAT(Edit_URL,Tasks[[#This Row],[Ref]]),Tasks[[#This Row],[Ref]])</f>
        <v>T1.9552435</v>
      </c>
      <c r="B299" s="6" t="str" cm="1">
        <f t="array" ref="B299">_xlfn.SWITCH(LEFT(Tasks[[#This Row],[Status]],1),"O","Opened","C","Completed","S","Signed Off","ERROR")</f>
        <v>Opened</v>
      </c>
      <c r="C299" s="6" t="str" cm="1">
        <f t="array" ref="C299">_xlfn.SWITCH(LEFT(Tasks[[#This Row],[Type]], 2), "Fi", "Field Report", "Co", "Contractor QC", "Ge", "Contractor QC", "Pu", "Punch List")</f>
        <v>Field Report</v>
      </c>
      <c r="D299" s="6" t="str">
        <f>LEFT(Tasks[[#This Row],[Description]], 50)</f>
        <v xml:space="preserve">ARW 66-5: At Level 2, Grids HE &amp; H4 the new steel </v>
      </c>
      <c r="E299" s="6" t="str" cm="1">
        <f t="array" ref="E299">_xlfn.LET(
_xlpm.inTower, COUNTIF(Tower_Num_Table[Tower Rm Numbers], LEFT(Task_Summary_Table[[#This Row],[Area/Room]], 3)) &gt; 0,
_xlpm.typeResult, _xlfn.SWITCH(LEFT(Tasks[[#This Row],[Page]], 2), "Hi", "Historic", "An", "Annex", "Si", "Site", "S5", "Project Task", "SWITCH ERROR"),
IF(_xlpm.inTower, "West Tower", _xlpm.typeResult)
)</f>
        <v>Historic</v>
      </c>
      <c r="F299" t="str">
        <f>IFERROR(MID(Tasks[[#This Row],[Page]], FIND("Level", Tasks[[#This Row],[Page]]), 7), IF(ISNUMBER(FIND("Roof", Tasks[[#This Row],[Page]])), "Roof",  IF(ISNUMBER(FIND("S590", Tasks[[#This Row],[Page]])), "",  IF(ISNUMBER(FIND("Site", Tasks[[#This Row],[Page]])), "", "ERROR"))))</f>
        <v>Level 2</v>
      </c>
      <c r="G299" t="str">
        <f>IF(Tasks[[#This Row],[Location]]=0, "", Tasks[[#This Row],[Location]])</f>
        <v/>
      </c>
      <c r="H299" t="str">
        <f>Tasks[[#This Row],[To Package]]</f>
        <v>Structural Steel</v>
      </c>
      <c r="I299" t="str">
        <f>Tasks[[#This Row],[To Organisation]]</f>
        <v>Glassey Steel Works</v>
      </c>
    </row>
    <row r="300" spans="1:9" x14ac:dyDescent="0.35">
      <c r="A300" s="9" t="str">
        <f>HYPERLINK(_xlfn.CONCAT(Edit_URL,Tasks[[#This Row],[Ref]]),Tasks[[#This Row],[Ref]])</f>
        <v>T1.9552434</v>
      </c>
      <c r="B300" s="6" t="str" cm="1">
        <f t="array" ref="B300">_xlfn.SWITCH(LEFT(Tasks[[#This Row],[Status]],1),"O","Opened","C","Completed","S","Signed Off","ERROR")</f>
        <v>Opened</v>
      </c>
      <c r="C300" s="6" t="str" cm="1">
        <f t="array" ref="C300">_xlfn.SWITCH(LEFT(Tasks[[#This Row],[Type]], 2), "Fi", "Field Report", "Co", "Contractor QC", "Ge", "Contractor QC", "Pu", "Punch List")</f>
        <v>Field Report</v>
      </c>
      <c r="D300" s="6" t="str">
        <f>LEFT(Tasks[[#This Row],[Description]], 50)</f>
        <v>ARW 66-4: One of the wrapped stone columns along g</v>
      </c>
      <c r="E300" s="6" t="str" cm="1">
        <f t="array" ref="E300">_xlfn.LET(
_xlpm.inTower, COUNTIF(Tower_Num_Table[Tower Rm Numbers], LEFT(Task_Summary_Table[[#This Row],[Area/Room]], 3)) &gt; 0,
_xlpm.typeResult, _xlfn.SWITCH(LEFT(Tasks[[#This Row],[Page]], 2), "Hi", "Historic", "An", "Annex", "Si", "Site", "S5", "Project Task", "SWITCH ERROR"),
IF(_xlpm.inTower, "West Tower", _xlpm.typeResult)
)</f>
        <v>Historic</v>
      </c>
      <c r="F300" t="str">
        <f>IFERROR(MID(Tasks[[#This Row],[Page]], FIND("Level", Tasks[[#This Row],[Page]]), 7), IF(ISNUMBER(FIND("Roof", Tasks[[#This Row],[Page]])), "Roof",  IF(ISNUMBER(FIND("S590", Tasks[[#This Row],[Page]])), "",  IF(ISNUMBER(FIND("Site", Tasks[[#This Row],[Page]])), "", "ERROR"))))</f>
        <v>Level 2</v>
      </c>
      <c r="G300" t="str">
        <f>IF(Tasks[[#This Row],[Location]]=0, "", Tasks[[#This Row],[Location]])</f>
        <v/>
      </c>
      <c r="H300" t="str">
        <f>Tasks[[#This Row],[To Package]]</f>
        <v>Structural Steel</v>
      </c>
      <c r="I300" t="str">
        <f>Tasks[[#This Row],[To Organisation]]</f>
        <v>Glassey Steel Works</v>
      </c>
    </row>
    <row r="301" spans="1:9" x14ac:dyDescent="0.35">
      <c r="A301" s="9" t="str">
        <f>HYPERLINK(_xlfn.CONCAT(Edit_URL,Tasks[[#This Row],[Ref]]),Tasks[[#This Row],[Ref]])</f>
        <v>T1.9552433</v>
      </c>
      <c r="B301" s="6" t="str" cm="1">
        <f t="array" ref="B301">_xlfn.SWITCH(LEFT(Tasks[[#This Row],[Status]],1),"O","Opened","C","Completed","S","Signed Off","ERROR")</f>
        <v>Completed</v>
      </c>
      <c r="C301" s="6" t="str" cm="1">
        <f t="array" ref="C301">_xlfn.SWITCH(LEFT(Tasks[[#This Row],[Type]], 2), "Fi", "Field Report", "Co", "Contractor QC", "Ge", "Contractor QC", "Pu", "Punch List")</f>
        <v>Field Report</v>
      </c>
      <c r="D301" s="6" t="str">
        <f>LEFT(Tasks[[#This Row],[Description]], 50)</f>
        <v>ARW 66-3: Embeds to support steel wide flange beam</v>
      </c>
      <c r="E301" s="6" t="str" cm="1">
        <f t="array" ref="E301">_xlfn.LET(
_xlpm.inTower, COUNTIF(Tower_Num_Table[Tower Rm Numbers], LEFT(Task_Summary_Table[[#This Row],[Area/Room]], 3)) &gt; 0,
_xlpm.typeResult, _xlfn.SWITCH(LEFT(Tasks[[#This Row],[Page]], 2), "Hi", "Historic", "An", "Annex", "Si", "Site", "S5", "Project Task", "SWITCH ERROR"),
IF(_xlpm.inTower, "West Tower", _xlpm.typeResult)
)</f>
        <v>Historic</v>
      </c>
      <c r="F301" t="str">
        <f>IFERROR(MID(Tasks[[#This Row],[Page]], FIND("Level", Tasks[[#This Row],[Page]]), 7), IF(ISNUMBER(FIND("Roof", Tasks[[#This Row],[Page]])), "Roof",  IF(ISNUMBER(FIND("S590", Tasks[[#This Row],[Page]])), "",  IF(ISNUMBER(FIND("Site", Tasks[[#This Row],[Page]])), "", "ERROR"))))</f>
        <v>Level 1</v>
      </c>
      <c r="G301" t="str">
        <f>IF(Tasks[[#This Row],[Location]]=0, "", Tasks[[#This Row],[Location]])</f>
        <v/>
      </c>
      <c r="H301" t="str">
        <f>Tasks[[#This Row],[To Package]]</f>
        <v>Concrete</v>
      </c>
      <c r="I301" t="str">
        <f>Tasks[[#This Row],[To Organisation]]</f>
        <v>Innovative Concrete, LLC</v>
      </c>
    </row>
    <row r="302" spans="1:9" x14ac:dyDescent="0.35">
      <c r="A302" s="9" t="str">
        <f>HYPERLINK(_xlfn.CONCAT(Edit_URL,Tasks[[#This Row],[Ref]]),Tasks[[#This Row],[Ref]])</f>
        <v>T1.9552430</v>
      </c>
      <c r="B302" s="6" t="str" cm="1">
        <f t="array" ref="B302">_xlfn.SWITCH(LEFT(Tasks[[#This Row],[Status]],1),"O","Opened","C","Completed","S","Signed Off","ERROR")</f>
        <v>Opened</v>
      </c>
      <c r="C302" s="6" t="str" cm="1">
        <f t="array" ref="C302">_xlfn.SWITCH(LEFT(Tasks[[#This Row],[Type]], 2), "Fi", "Field Report", "Co", "Contractor QC", "Ge", "Contractor QC", "Pu", "Punch List")</f>
        <v>Field Report</v>
      </c>
      <c r="D302" s="6" t="str">
        <f>LEFT(Tasks[[#This Row],[Description]], 50)</f>
        <v xml:space="preserve">ARW 66-1: Previously provided response to RFI 941 </v>
      </c>
      <c r="E302" s="6" t="str" cm="1">
        <f t="array" ref="E302">_xlfn.LET(
_xlpm.inTower, COUNTIF(Tower_Num_Table[Tower Rm Numbers], LEFT(Task_Summary_Table[[#This Row],[Area/Room]], 3)) &gt; 0,
_xlpm.typeResult, _xlfn.SWITCH(LEFT(Tasks[[#This Row],[Page]], 2), "Hi", "Historic", "An", "Annex", "Si", "Site", "S5", "Project Task", "SWITCH ERROR"),
IF(_xlpm.inTower, "West Tower", _xlpm.typeResult)
)</f>
        <v>Historic</v>
      </c>
      <c r="F302" t="str">
        <f>IFERROR(MID(Tasks[[#This Row],[Page]], FIND("Level", Tasks[[#This Row],[Page]]), 7), IF(ISNUMBER(FIND("Roof", Tasks[[#This Row],[Page]])), "Roof",  IF(ISNUMBER(FIND("S590", Tasks[[#This Row],[Page]])), "",  IF(ISNUMBER(FIND("Site", Tasks[[#This Row],[Page]])), "", "ERROR"))))</f>
        <v>Level 2</v>
      </c>
      <c r="G302" t="str">
        <f>IF(Tasks[[#This Row],[Location]]=0, "", Tasks[[#This Row],[Location]])</f>
        <v/>
      </c>
      <c r="H302" t="str">
        <f>Tasks[[#This Row],[To Package]]</f>
        <v>Wood Framing</v>
      </c>
      <c r="I302" t="str">
        <f>Tasks[[#This Row],[To Organisation]]</f>
        <v>Rockhill Construction</v>
      </c>
    </row>
    <row r="303" spans="1:9" x14ac:dyDescent="0.35">
      <c r="A303" s="9" t="str">
        <f>HYPERLINK(_xlfn.CONCAT(Edit_URL,Tasks[[#This Row],[Ref]]),Tasks[[#This Row],[Ref]])</f>
        <v>T1.9552428</v>
      </c>
      <c r="B303" s="6" t="str" cm="1">
        <f t="array" ref="B303">_xlfn.SWITCH(LEFT(Tasks[[#This Row],[Status]],1),"O","Opened","C","Completed","S","Signed Off","ERROR")</f>
        <v>Opened</v>
      </c>
      <c r="C303" s="6" t="str" cm="1">
        <f t="array" ref="C303">_xlfn.SWITCH(LEFT(Tasks[[#This Row],[Type]], 2), "Fi", "Field Report", "Co", "Contractor QC", "Ge", "Contractor QC", "Pu", "Punch List")</f>
        <v>Field Report</v>
      </c>
      <c r="D303" s="6" t="str">
        <f>LEFT(Tasks[[#This Row],[Description]], 50)</f>
        <v xml:space="preserve">ARW 65-3: The majority of the mat slab horizontal </v>
      </c>
      <c r="E303" s="6" t="str" cm="1">
        <f t="array" ref="E303">_xlfn.LET(
_xlpm.inTower, COUNTIF(Tower_Num_Table[Tower Rm Numbers], LEFT(Task_Summary_Table[[#This Row],[Area/Room]], 3)) &gt; 0,
_xlpm.typeResult, _xlfn.SWITCH(LEFT(Tasks[[#This Row],[Page]], 2), "Hi", "Historic", "An", "Annex", "Si", "Site", "S5", "Project Task", "SWITCH ERROR"),
IF(_xlpm.inTower, "West Tower", _xlpm.typeResult)
)</f>
        <v>Annex</v>
      </c>
      <c r="F303" t="str">
        <f>IFERROR(MID(Tasks[[#This Row],[Page]], FIND("Level", Tasks[[#This Row],[Page]]), 7), IF(ISNUMBER(FIND("Roof", Tasks[[#This Row],[Page]])), "Roof",  IF(ISNUMBER(FIND("S590", Tasks[[#This Row],[Page]])), "",  IF(ISNUMBER(FIND("Site", Tasks[[#This Row],[Page]])), "", "ERROR"))))</f>
        <v>Level 1</v>
      </c>
      <c r="G303" t="str">
        <f>IF(Tasks[[#This Row],[Location]]=0, "", Tasks[[#This Row],[Location]])</f>
        <v/>
      </c>
      <c r="H303" t="str">
        <f>Tasks[[#This Row],[To Package]]</f>
        <v>Concrete</v>
      </c>
      <c r="I303" t="str">
        <f>Tasks[[#This Row],[To Organisation]]</f>
        <v>Innovative Concrete, LLC</v>
      </c>
    </row>
    <row r="304" spans="1:9" x14ac:dyDescent="0.35">
      <c r="A304" s="9" t="str">
        <f>HYPERLINK(_xlfn.CONCAT(Edit_URL,Tasks[[#This Row],[Ref]]),Tasks[[#This Row],[Ref]])</f>
        <v>T1.9552427</v>
      </c>
      <c r="B304" s="6" t="str" cm="1">
        <f t="array" ref="B304">_xlfn.SWITCH(LEFT(Tasks[[#This Row],[Status]],1),"O","Opened","C","Completed","S","Signed Off","ERROR")</f>
        <v>Opened</v>
      </c>
      <c r="C304" s="6" t="str" cm="1">
        <f t="array" ref="C304">_xlfn.SWITCH(LEFT(Tasks[[#This Row],[Type]], 2), "Fi", "Field Report", "Co", "Contractor QC", "Ge", "Contractor QC", "Pu", "Punch List")</f>
        <v>Field Report</v>
      </c>
      <c r="D304" s="6" t="str">
        <f>LEFT(Tasks[[#This Row],[Description]], 50)</f>
        <v>ARW 65-2: The HSS rolled ceiling framing at the 2n</v>
      </c>
      <c r="E304" s="6" t="str" cm="1">
        <f t="array" ref="E304">_xlfn.LET(
_xlpm.inTower, COUNTIF(Tower_Num_Table[Tower Rm Numbers], LEFT(Task_Summary_Table[[#This Row],[Area/Room]], 3)) &gt; 0,
_xlpm.typeResult, _xlfn.SWITCH(LEFT(Tasks[[#This Row],[Page]], 2), "Hi", "Historic", "An", "Annex", "Si", "Site", "S5", "Project Task", "SWITCH ERROR"),
IF(_xlpm.inTower, "West Tower", _xlpm.typeResult)
)</f>
        <v>Historic</v>
      </c>
      <c r="F304" t="str">
        <f>IFERROR(MID(Tasks[[#This Row],[Page]], FIND("Level", Tasks[[#This Row],[Page]]), 7), IF(ISNUMBER(FIND("Roof", Tasks[[#This Row],[Page]])), "Roof",  IF(ISNUMBER(FIND("S590", Tasks[[#This Row],[Page]])), "",  IF(ISNUMBER(FIND("Site", Tasks[[#This Row],[Page]])), "", "ERROR"))))</f>
        <v>Level 2</v>
      </c>
      <c r="G304" t="str">
        <f>IF(Tasks[[#This Row],[Location]]=0, "", Tasks[[#This Row],[Location]])</f>
        <v/>
      </c>
      <c r="H304" t="str">
        <f>Tasks[[#This Row],[To Package]]</f>
        <v>Structural Steel</v>
      </c>
      <c r="I304" t="str">
        <f>Tasks[[#This Row],[To Organisation]]</f>
        <v>Glassey Steel Works</v>
      </c>
    </row>
    <row r="305" spans="1:9" x14ac:dyDescent="0.35">
      <c r="A305" s="9" t="str">
        <f>HYPERLINK(_xlfn.CONCAT(Edit_URL,Tasks[[#This Row],[Ref]]),Tasks[[#This Row],[Ref]])</f>
        <v>T1.9552426</v>
      </c>
      <c r="B305" s="6" t="str" cm="1">
        <f t="array" ref="B305">_xlfn.SWITCH(LEFT(Tasks[[#This Row],[Status]],1),"O","Opened","C","Completed","S","Signed Off","ERROR")</f>
        <v>Opened</v>
      </c>
      <c r="C305" s="6" t="str" cm="1">
        <f t="array" ref="C305">_xlfn.SWITCH(LEFT(Tasks[[#This Row],[Type]], 2), "Fi", "Field Report", "Co", "Contractor QC", "Ge", "Contractor QC", "Pu", "Punch List")</f>
        <v>Field Report</v>
      </c>
      <c r="D305" s="6" t="str">
        <f>LEFT(Tasks[[#This Row],[Description]], 50)</f>
        <v>ARW 65-1: The windows near the brides exit need to</v>
      </c>
      <c r="E305" s="6" t="str" cm="1">
        <f t="array" ref="E305">_xlfn.LET(
_xlpm.inTower, COUNTIF(Tower_Num_Table[Tower Rm Numbers], LEFT(Task_Summary_Table[[#This Row],[Area/Room]], 3)) &gt; 0,
_xlpm.typeResult, _xlfn.SWITCH(LEFT(Tasks[[#This Row],[Page]], 2), "Hi", "Historic", "An", "Annex", "Si", "Site", "S5", "Project Task", "SWITCH ERROR"),
IF(_xlpm.inTower, "West Tower", _xlpm.typeResult)
)</f>
        <v>Historic</v>
      </c>
      <c r="F305" t="str">
        <f>IFERROR(MID(Tasks[[#This Row],[Page]], FIND("Level", Tasks[[#This Row],[Page]]), 7), IF(ISNUMBER(FIND("Roof", Tasks[[#This Row],[Page]])), "Roof",  IF(ISNUMBER(FIND("S590", Tasks[[#This Row],[Page]])), "",  IF(ISNUMBER(FIND("Site", Tasks[[#This Row],[Page]])), "", "ERROR"))))</f>
        <v>Level 1</v>
      </c>
      <c r="G305" t="str">
        <f>IF(Tasks[[#This Row],[Location]]=0, "", Tasks[[#This Row],[Location]])</f>
        <v/>
      </c>
      <c r="H305" t="str">
        <f>Tasks[[#This Row],[To Package]]</f>
        <v>Concrete</v>
      </c>
      <c r="I305" t="str">
        <f>Tasks[[#This Row],[To Organisation]]</f>
        <v>Innovative Concrete, LLC</v>
      </c>
    </row>
    <row r="306" spans="1:9" x14ac:dyDescent="0.35">
      <c r="A306" s="9" t="str">
        <f>HYPERLINK(_xlfn.CONCAT(Edit_URL,Tasks[[#This Row],[Ref]]),Tasks[[#This Row],[Ref]])</f>
        <v>T59123.54</v>
      </c>
      <c r="B306" s="6" t="str" cm="1">
        <f t="array" ref="B306">_xlfn.SWITCH(LEFT(Tasks[[#This Row],[Status]],1),"O","Opened","C","Completed","S","Signed Off","ERROR")</f>
        <v>Signed Off</v>
      </c>
      <c r="C306" s="6" t="str" cm="1">
        <f t="array" ref="C306">_xlfn.SWITCH(LEFT(Tasks[[#This Row],[Type]], 2), "Fi", "Field Report", "Co", "Contractor QC", "Ge", "Contractor QC", "Pu", "Punch List")</f>
        <v>Punch List</v>
      </c>
      <c r="D306" s="6" t="str">
        <f>LEFT(Tasks[[#This Row],[Description]], 50)</f>
        <v>Install poke through electrical at floor slab</v>
      </c>
      <c r="E306" s="6" t="str" cm="1">
        <f t="array" ref="E306">_xlfn.LET(
_xlpm.inTower, COUNTIF(Tower_Num_Table[Tower Rm Numbers], LEFT(Task_Summary_Table[[#This Row],[Area/Room]], 3)) &gt; 0,
_xlpm.typeResult, _xlfn.SWITCH(LEFT(Tasks[[#This Row],[Page]], 2), "Hi", "Historic", "An", "Annex", "Si", "Site", "S5", "Project Task", "SWITCH ERROR"),
IF(_xlpm.inTower, "West Tower", _xlpm.typeResult)
)</f>
        <v>Annex</v>
      </c>
      <c r="F306" t="str">
        <f>IFERROR(MID(Tasks[[#This Row],[Page]], FIND("Level", Tasks[[#This Row],[Page]]), 7), IF(ISNUMBER(FIND("Roof", Tasks[[#This Row],[Page]])), "Roof",  IF(ISNUMBER(FIND("S590", Tasks[[#This Row],[Page]])), "",  IF(ISNUMBER(FIND("Site", Tasks[[#This Row],[Page]])), "", "ERROR"))))</f>
        <v>Level 1</v>
      </c>
      <c r="G306" t="str">
        <f>IF(Tasks[[#This Row],[Location]]=0, "", Tasks[[#This Row],[Location]])</f>
        <v>109 - Waiting</v>
      </c>
      <c r="H306" t="str">
        <f>Tasks[[#This Row],[To Package]]</f>
        <v>Electrical</v>
      </c>
      <c r="I306" t="str">
        <f>Tasks[[#This Row],[To Organisation]]</f>
        <v>Wilkinson Electric Inc</v>
      </c>
    </row>
    <row r="307" spans="1:9" x14ac:dyDescent="0.35">
      <c r="A307" s="9" t="str">
        <f>HYPERLINK(_xlfn.CONCAT(Edit_URL,Tasks[[#This Row],[Ref]]),Tasks[[#This Row],[Ref]])</f>
        <v>T59123.53</v>
      </c>
      <c r="B307" s="6" t="str" cm="1">
        <f t="array" ref="B307">_xlfn.SWITCH(LEFT(Tasks[[#This Row],[Status]],1),"O","Opened","C","Completed","S","Signed Off","ERROR")</f>
        <v>Signed Off</v>
      </c>
      <c r="C307" s="6" t="str" cm="1">
        <f t="array" ref="C307">_xlfn.SWITCH(LEFT(Tasks[[#This Row],[Type]], 2), "Fi", "Field Report", "Co", "Contractor QC", "Ge", "Contractor QC", "Pu", "Punch List")</f>
        <v>Punch List</v>
      </c>
      <c r="D307" s="6" t="str">
        <f>LEFT(Tasks[[#This Row],[Description]], 50)</f>
        <v>Install fire suppression</v>
      </c>
      <c r="E307" s="6" t="str" cm="1">
        <f t="array" ref="E307">_xlfn.LET(
_xlpm.inTower, COUNTIF(Tower_Num_Table[Tower Rm Numbers], LEFT(Task_Summary_Table[[#This Row],[Area/Room]], 3)) &gt; 0,
_xlpm.typeResult, _xlfn.SWITCH(LEFT(Tasks[[#This Row],[Page]], 2), "Hi", "Historic", "An", "Annex", "Si", "Site", "S5", "Project Task", "SWITCH ERROR"),
IF(_xlpm.inTower, "West Tower", _xlpm.typeResult)
)</f>
        <v>Annex</v>
      </c>
      <c r="F307" t="str">
        <f>IFERROR(MID(Tasks[[#This Row],[Page]], FIND("Level", Tasks[[#This Row],[Page]]), 7), IF(ISNUMBER(FIND("Roof", Tasks[[#This Row],[Page]])), "Roof",  IF(ISNUMBER(FIND("S590", Tasks[[#This Row],[Page]])), "",  IF(ISNUMBER(FIND("Site", Tasks[[#This Row],[Page]])), "", "ERROR"))))</f>
        <v>Level 1</v>
      </c>
      <c r="G307" t="str">
        <f>IF(Tasks[[#This Row],[Location]]=0, "", Tasks[[#This Row],[Location]])</f>
        <v>109 - Waiting</v>
      </c>
      <c r="H307" t="str">
        <f>Tasks[[#This Row],[To Package]]</f>
        <v>Fire Suppression</v>
      </c>
      <c r="I307" t="str">
        <f>Tasks[[#This Row],[To Organisation]]</f>
        <v>Broken Arrow Construction Corporation</v>
      </c>
    </row>
    <row r="308" spans="1:9" x14ac:dyDescent="0.35">
      <c r="A308" s="9" t="str">
        <f>HYPERLINK(_xlfn.CONCAT(Edit_URL,Tasks[[#This Row],[Ref]]),Tasks[[#This Row],[Ref]])</f>
        <v>T59123.52</v>
      </c>
      <c r="B308" s="6" t="str" cm="1">
        <f t="array" ref="B308">_xlfn.SWITCH(LEFT(Tasks[[#This Row],[Status]],1),"O","Opened","C","Completed","S","Signed Off","ERROR")</f>
        <v>Signed Off</v>
      </c>
      <c r="C308" s="6" t="str" cm="1">
        <f t="array" ref="C308">_xlfn.SWITCH(LEFT(Tasks[[#This Row],[Type]], 2), "Fi", "Field Report", "Co", "Contractor QC", "Ge", "Contractor QC", "Pu", "Punch List")</f>
        <v>Punch List</v>
      </c>
      <c r="D308" s="6" t="str">
        <f>LEFT(Tasks[[#This Row],[Description]], 50)</f>
        <v>Missing exit light</v>
      </c>
      <c r="E308" s="6" t="str" cm="1">
        <f t="array" ref="E308">_xlfn.LET(
_xlpm.inTower, COUNTIF(Tower_Num_Table[Tower Rm Numbers], LEFT(Task_Summary_Table[[#This Row],[Area/Room]], 3)) &gt; 0,
_xlpm.typeResult, _xlfn.SWITCH(LEFT(Tasks[[#This Row],[Page]], 2), "Hi", "Historic", "An", "Annex", "Si", "Site", "S5", "Project Task", "SWITCH ERROR"),
IF(_xlpm.inTower, "West Tower", _xlpm.typeResult)
)</f>
        <v>Annex</v>
      </c>
      <c r="F308" t="str">
        <f>IFERROR(MID(Tasks[[#This Row],[Page]], FIND("Level", Tasks[[#This Row],[Page]]), 7), IF(ISNUMBER(FIND("Roof", Tasks[[#This Row],[Page]])), "Roof",  IF(ISNUMBER(FIND("S590", Tasks[[#This Row],[Page]])), "",  IF(ISNUMBER(FIND("Site", Tasks[[#This Row],[Page]])), "", "ERROR"))))</f>
        <v>Level 1</v>
      </c>
      <c r="G308" t="str">
        <f>IF(Tasks[[#This Row],[Location]]=0, "", Tasks[[#This Row],[Location]])</f>
        <v>109 - Waiting</v>
      </c>
      <c r="H308" t="str">
        <f>Tasks[[#This Row],[To Package]]</f>
        <v>Electrical</v>
      </c>
      <c r="I308" t="str">
        <f>Tasks[[#This Row],[To Organisation]]</f>
        <v>Wilkinson Electric Inc</v>
      </c>
    </row>
    <row r="309" spans="1:9" x14ac:dyDescent="0.35">
      <c r="A309" s="9" t="str">
        <f>HYPERLINK(_xlfn.CONCAT(Edit_URL,Tasks[[#This Row],[Ref]]),Tasks[[#This Row],[Ref]])</f>
        <v>T59123.51</v>
      </c>
      <c r="B309" s="6" t="str" cm="1">
        <f t="array" ref="B309">_xlfn.SWITCH(LEFT(Tasks[[#This Row],[Status]],1),"O","Opened","C","Completed","S","Signed Off","ERROR")</f>
        <v>Signed Off</v>
      </c>
      <c r="C309" s="6" t="str" cm="1">
        <f t="array" ref="C309">_xlfn.SWITCH(LEFT(Tasks[[#This Row],[Type]], 2), "Fi", "Field Report", "Co", "Contractor QC", "Ge", "Contractor QC", "Pu", "Punch List")</f>
        <v>Punch List</v>
      </c>
      <c r="D309" s="6" t="str">
        <f>LEFT(Tasks[[#This Row],[Description]], 50)</f>
        <v>Install floor poke through boxes</v>
      </c>
      <c r="E309" s="6" t="str" cm="1">
        <f t="array" ref="E309">_xlfn.LET(
_xlpm.inTower, COUNTIF(Tower_Num_Table[Tower Rm Numbers], LEFT(Task_Summary_Table[[#This Row],[Area/Room]], 3)) &gt; 0,
_xlpm.typeResult, _xlfn.SWITCH(LEFT(Tasks[[#This Row],[Page]], 2), "Hi", "Historic", "An", "Annex", "Si", "Site", "S5", "Project Task", "SWITCH ERROR"),
IF(_xlpm.inTower, "West Tower", _xlpm.typeResult)
)</f>
        <v>Annex</v>
      </c>
      <c r="F309" t="str">
        <f>IFERROR(MID(Tasks[[#This Row],[Page]], FIND("Level", Tasks[[#This Row],[Page]]), 7), IF(ISNUMBER(FIND("Roof", Tasks[[#This Row],[Page]])), "Roof",  IF(ISNUMBER(FIND("S590", Tasks[[#This Row],[Page]])), "",  IF(ISNUMBER(FIND("Site", Tasks[[#This Row],[Page]])), "", "ERROR"))))</f>
        <v>Level 1</v>
      </c>
      <c r="G309" t="str">
        <f>IF(Tasks[[#This Row],[Location]]=0, "", Tasks[[#This Row],[Location]])</f>
        <v>110 - Chapel</v>
      </c>
      <c r="H309" t="str">
        <f>Tasks[[#This Row],[To Package]]</f>
        <v>Electrical</v>
      </c>
      <c r="I309" t="str">
        <f>Tasks[[#This Row],[To Organisation]]</f>
        <v>Wilkinson Electric Inc</v>
      </c>
    </row>
    <row r="310" spans="1:9" x14ac:dyDescent="0.35">
      <c r="A310" s="9" t="str">
        <f>HYPERLINK(_xlfn.CONCAT(Edit_URL,Tasks[[#This Row],[Ref]]),Tasks[[#This Row],[Ref]])</f>
        <v>T59123.50</v>
      </c>
      <c r="B310" s="6" t="str" cm="1">
        <f t="array" ref="B310">_xlfn.SWITCH(LEFT(Tasks[[#This Row],[Status]],1),"O","Opened","C","Completed","S","Signed Off","ERROR")</f>
        <v>Signed Off</v>
      </c>
      <c r="C310" s="6" t="str" cm="1">
        <f t="array" ref="C310">_xlfn.SWITCH(LEFT(Tasks[[#This Row],[Type]], 2), "Fi", "Field Report", "Co", "Contractor QC", "Ge", "Contractor QC", "Pu", "Punch List")</f>
        <v>Punch List</v>
      </c>
      <c r="D310" s="6" t="str">
        <f>LEFT(Tasks[[#This Row],[Description]], 50)</f>
        <v>Fire suppression incomplete. Finish rough in.</v>
      </c>
      <c r="E310" s="6" t="str" cm="1">
        <f t="array" ref="E310">_xlfn.LET(
_xlpm.inTower, COUNTIF(Tower_Num_Table[Tower Rm Numbers], LEFT(Task_Summary_Table[[#This Row],[Area/Room]], 3)) &gt; 0,
_xlpm.typeResult, _xlfn.SWITCH(LEFT(Tasks[[#This Row],[Page]], 2), "Hi", "Historic", "An", "Annex", "Si", "Site", "S5", "Project Task", "SWITCH ERROR"),
IF(_xlpm.inTower, "West Tower", _xlpm.typeResult)
)</f>
        <v>Annex</v>
      </c>
      <c r="F310" t="str">
        <f>IFERROR(MID(Tasks[[#This Row],[Page]], FIND("Level", Tasks[[#This Row],[Page]]), 7), IF(ISNUMBER(FIND("Roof", Tasks[[#This Row],[Page]])), "Roof",  IF(ISNUMBER(FIND("S590", Tasks[[#This Row],[Page]])), "",  IF(ISNUMBER(FIND("Site", Tasks[[#This Row],[Page]])), "", "ERROR"))))</f>
        <v>Level 1</v>
      </c>
      <c r="G310" t="str">
        <f>IF(Tasks[[#This Row],[Location]]=0, "", Tasks[[#This Row],[Location]])</f>
        <v>110 - Chapel</v>
      </c>
      <c r="H310" t="str">
        <f>Tasks[[#This Row],[To Package]]</f>
        <v>Fire Suppression</v>
      </c>
      <c r="I310" t="str">
        <f>Tasks[[#This Row],[To Organisation]]</f>
        <v>Broken Arrow Construction Corporation</v>
      </c>
    </row>
    <row r="311" spans="1:9" x14ac:dyDescent="0.35">
      <c r="A311" s="9" t="str">
        <f>HYPERLINK(_xlfn.CONCAT(Edit_URL,Tasks[[#This Row],[Ref]]),Tasks[[#This Row],[Ref]])</f>
        <v>T59123.49</v>
      </c>
      <c r="B311" s="6" t="str" cm="1">
        <f t="array" ref="B311">_xlfn.SWITCH(LEFT(Tasks[[#This Row],[Status]],1),"O","Opened","C","Completed","S","Signed Off","ERROR")</f>
        <v>Signed Off</v>
      </c>
      <c r="C311" s="6" t="str" cm="1">
        <f t="array" ref="C311">_xlfn.SWITCH(LEFT(Tasks[[#This Row],[Type]], 2), "Fi", "Field Report", "Co", "Contractor QC", "Ge", "Contractor QC", "Pu", "Punch List")</f>
        <v>Punch List</v>
      </c>
      <c r="D311" s="6" t="str">
        <f>LEFT(Tasks[[#This Row],[Description]], 50)</f>
        <v>Fire Suppression piping not installed. Need to ins</v>
      </c>
      <c r="E311" s="6" t="str" cm="1">
        <f t="array" ref="E311">_xlfn.LET(
_xlpm.inTower, COUNTIF(Tower_Num_Table[Tower Rm Numbers], LEFT(Task_Summary_Table[[#This Row],[Area/Room]], 3)) &gt; 0,
_xlpm.typeResult, _xlfn.SWITCH(LEFT(Tasks[[#This Row],[Page]], 2), "Hi", "Historic", "An", "Annex", "Si", "Site", "S5", "Project Task", "SWITCH ERROR"),
IF(_xlpm.inTower, "West Tower", _xlpm.typeResult)
)</f>
        <v>Annex</v>
      </c>
      <c r="F311" t="str">
        <f>IFERROR(MID(Tasks[[#This Row],[Page]], FIND("Level", Tasks[[#This Row],[Page]]), 7), IF(ISNUMBER(FIND("Roof", Tasks[[#This Row],[Page]])), "Roof",  IF(ISNUMBER(FIND("S590", Tasks[[#This Row],[Page]])), "",  IF(ISNUMBER(FIND("Site", Tasks[[#This Row],[Page]])), "", "ERROR"))))</f>
        <v>Level 1</v>
      </c>
      <c r="G311" t="str">
        <f>IF(Tasks[[#This Row],[Location]]=0, "", Tasks[[#This Row],[Location]])</f>
        <v>111 - Instruction 1</v>
      </c>
      <c r="H311" t="str">
        <f>Tasks[[#This Row],[To Package]]</f>
        <v>Fire Suppression</v>
      </c>
      <c r="I311" t="str">
        <f>Tasks[[#This Row],[To Organisation]]</f>
        <v>Broken Arrow Construction Corporation</v>
      </c>
    </row>
    <row r="312" spans="1:9" x14ac:dyDescent="0.35">
      <c r="A312" s="9" t="str">
        <f>HYPERLINK(_xlfn.CONCAT(Edit_URL,Tasks[[#This Row],[Ref]]),Tasks[[#This Row],[Ref]])</f>
        <v>T59123.48</v>
      </c>
      <c r="B312" s="6" t="str" cm="1">
        <f t="array" ref="B312">_xlfn.SWITCH(LEFT(Tasks[[#This Row],[Status]],1),"O","Opened","C","Completed","S","Signed Off","ERROR")</f>
        <v>Signed Off</v>
      </c>
      <c r="C312" s="6" t="str" cm="1">
        <f t="array" ref="C312">_xlfn.SWITCH(LEFT(Tasks[[#This Row],[Type]], 2), "Fi", "Field Report", "Co", "Contractor QC", "Ge", "Contractor QC", "Pu", "Punch List")</f>
        <v>Punch List</v>
      </c>
      <c r="D312" s="6" t="str">
        <f>LEFT(Tasks[[#This Row],[Description]], 50)</f>
        <v>Install Tstat when framing is installed</v>
      </c>
      <c r="E312" s="6" t="str" cm="1">
        <f t="array" ref="E312">_xlfn.LET(
_xlpm.inTower, COUNTIF(Tower_Num_Table[Tower Rm Numbers], LEFT(Task_Summary_Table[[#This Row],[Area/Room]], 3)) &gt; 0,
_xlpm.typeResult, _xlfn.SWITCH(LEFT(Tasks[[#This Row],[Page]], 2), "Hi", "Historic", "An", "Annex", "Si", "Site", "S5", "Project Task", "SWITCH ERROR"),
IF(_xlpm.inTower, "West Tower", _xlpm.typeResult)
)</f>
        <v>Annex</v>
      </c>
      <c r="F312" t="str">
        <f>IFERROR(MID(Tasks[[#This Row],[Page]], FIND("Level", Tasks[[#This Row],[Page]]), 7), IF(ISNUMBER(FIND("Roof", Tasks[[#This Row],[Page]])), "Roof",  IF(ISNUMBER(FIND("S590", Tasks[[#This Row],[Page]])), "",  IF(ISNUMBER(FIND("Site", Tasks[[#This Row],[Page]])), "", "ERROR"))))</f>
        <v>Level 1</v>
      </c>
      <c r="G312" t="str">
        <f>IF(Tasks[[#This Row],[Location]]=0, "", Tasks[[#This Row],[Location]])</f>
        <v>111 - Instruction 1</v>
      </c>
      <c r="H312" t="str">
        <f>Tasks[[#This Row],[To Package]]</f>
        <v>Electrical</v>
      </c>
      <c r="I312" t="str">
        <f>Tasks[[#This Row],[To Organisation]]</f>
        <v>Wilkinson Electric Inc</v>
      </c>
    </row>
    <row r="313" spans="1:9" x14ac:dyDescent="0.35">
      <c r="A313" s="9" t="str">
        <f>HYPERLINK(_xlfn.CONCAT(Edit_URL,Tasks[[#This Row],[Ref]]),Tasks[[#This Row],[Ref]])</f>
        <v>T59123.47</v>
      </c>
      <c r="B313" s="6" t="str" cm="1">
        <f t="array" ref="B313">_xlfn.SWITCH(LEFT(Tasks[[#This Row],[Status]],1),"O","Opened","C","Completed","S","Signed Off","ERROR")</f>
        <v>Signed Off</v>
      </c>
      <c r="C313" s="6" t="str" cm="1">
        <f t="array" ref="C313">_xlfn.SWITCH(LEFT(Tasks[[#This Row],[Type]], 2), "Fi", "Field Report", "Co", "Contractor QC", "Ge", "Contractor QC", "Pu", "Punch List")</f>
        <v>Punch List</v>
      </c>
      <c r="D313" s="6" t="str">
        <f>LEFT(Tasks[[#This Row],[Description]], 50)</f>
        <v>Missing rough-in for Glass Break</v>
      </c>
      <c r="E313" s="6" t="str" cm="1">
        <f t="array" ref="E313">_xlfn.LET(
_xlpm.inTower, COUNTIF(Tower_Num_Table[Tower Rm Numbers], LEFT(Task_Summary_Table[[#This Row],[Area/Room]], 3)) &gt; 0,
_xlpm.typeResult, _xlfn.SWITCH(LEFT(Tasks[[#This Row],[Page]], 2), "Hi", "Historic", "An", "Annex", "Si", "Site", "S5", "Project Task", "SWITCH ERROR"),
IF(_xlpm.inTower, "West Tower", _xlpm.typeResult)
)</f>
        <v>Annex</v>
      </c>
      <c r="F313" t="str">
        <f>IFERROR(MID(Tasks[[#This Row],[Page]], FIND("Level", Tasks[[#This Row],[Page]]), 7), IF(ISNUMBER(FIND("Roof", Tasks[[#This Row],[Page]])), "Roof",  IF(ISNUMBER(FIND("S590", Tasks[[#This Row],[Page]])), "",  IF(ISNUMBER(FIND("Site", Tasks[[#This Row],[Page]])), "", "ERROR"))))</f>
        <v>Level 1</v>
      </c>
      <c r="G313" t="str">
        <f>IF(Tasks[[#This Row],[Location]]=0, "", Tasks[[#This Row],[Location]])</f>
        <v>148 - Instruction 2</v>
      </c>
      <c r="H313" t="str">
        <f>Tasks[[#This Row],[To Package]]</f>
        <v>Electrical</v>
      </c>
      <c r="I313" t="str">
        <f>Tasks[[#This Row],[To Organisation]]</f>
        <v>Wilkinson Electric Inc</v>
      </c>
    </row>
    <row r="314" spans="1:9" x14ac:dyDescent="0.35">
      <c r="A314" s="9" t="str">
        <f>HYPERLINK(_xlfn.CONCAT(Edit_URL,Tasks[[#This Row],[Ref]]),Tasks[[#This Row],[Ref]])</f>
        <v>T1.9542509</v>
      </c>
      <c r="B314" s="6" t="str" cm="1">
        <f t="array" ref="B314">_xlfn.SWITCH(LEFT(Tasks[[#This Row],[Status]],1),"O","Opened","C","Completed","S","Signed Off","ERROR")</f>
        <v>Opened</v>
      </c>
      <c r="C314" s="6" t="str" cm="1">
        <f t="array" ref="C314">_xlfn.SWITCH(LEFT(Tasks[[#This Row],[Type]], 2), "Fi", "Field Report", "Co", "Contractor QC", "Ge", "Contractor QC", "Pu", "Punch List")</f>
        <v>Field Report</v>
      </c>
      <c r="D314" s="6" t="str">
        <f>LEFT(Tasks[[#This Row],[Description]], 50)</f>
        <v>CRSA 11-6 3rd floor colonettes at the 3rd floor in</v>
      </c>
      <c r="E314" s="6" t="str" cm="1">
        <f t="array" ref="E314">_xlfn.LET(
_xlpm.inTower, COUNTIF(Tower_Num_Table[Tower Rm Numbers], LEFT(Task_Summary_Table[[#This Row],[Area/Room]], 3)) &gt; 0,
_xlpm.typeResult, _xlfn.SWITCH(LEFT(Tasks[[#This Row],[Page]], 2), "Hi", "Historic", "An", "Annex", "Si", "Site", "S5", "Project Task", "SWITCH ERROR"),
IF(_xlpm.inTower, "West Tower", _xlpm.typeResult)
)</f>
        <v>Historic</v>
      </c>
      <c r="F314" t="str">
        <f>IFERROR(MID(Tasks[[#This Row],[Page]], FIND("Level", Tasks[[#This Row],[Page]]), 7), IF(ISNUMBER(FIND("Roof", Tasks[[#This Row],[Page]])), "Roof",  IF(ISNUMBER(FIND("S590", Tasks[[#This Row],[Page]])), "",  IF(ISNUMBER(FIND("Site", Tasks[[#This Row],[Page]])), "", "ERROR"))))</f>
        <v>Level 3</v>
      </c>
      <c r="G314" t="str">
        <f>IF(Tasks[[#This Row],[Location]]=0, "", Tasks[[#This Row],[Location]])</f>
        <v/>
      </c>
      <c r="H314" t="str">
        <f>Tasks[[#This Row],[To Package]]</f>
        <v xml:space="preserve">Finish Carpentry </v>
      </c>
      <c r="I314" t="str">
        <f>Tasks[[#This Row],[To Organisation]]</f>
        <v>Fetzers' Inc.</v>
      </c>
    </row>
    <row r="315" spans="1:9" x14ac:dyDescent="0.35">
      <c r="A315" s="9" t="str">
        <f>HYPERLINK(_xlfn.CONCAT(Edit_URL,Tasks[[#This Row],[Ref]]),Tasks[[#This Row],[Ref]])</f>
        <v>T1.9542508</v>
      </c>
      <c r="B315" s="6" t="str" cm="1">
        <f t="array" ref="B315">_xlfn.SWITCH(LEFT(Tasks[[#This Row],[Status]],1),"O","Opened","C","Completed","S","Signed Off","ERROR")</f>
        <v>Opened</v>
      </c>
      <c r="C315" s="6" t="str" cm="1">
        <f t="array" ref="C315">_xlfn.SWITCH(LEFT(Tasks[[#This Row],[Type]], 2), "Fi", "Field Report", "Co", "Contractor QC", "Ge", "Contractor QC", "Pu", "Punch List")</f>
        <v>Field Report</v>
      </c>
      <c r="D315" s="6" t="str">
        <f>LEFT(Tasks[[#This Row],[Description]], 50)</f>
        <v>CRSA 11-2 More cabinets are being installed before</v>
      </c>
      <c r="E315" s="6" t="str" cm="1">
        <f t="array" ref="E315">_xlfn.LET(
_xlpm.inTower, COUNTIF(Tower_Num_Table[Tower Rm Numbers], LEFT(Task_Summary_Table[[#This Row],[Area/Room]], 3)) &gt; 0,
_xlpm.typeResult, _xlfn.SWITCH(LEFT(Tasks[[#This Row],[Page]], 2), "Hi", "Historic", "An", "Annex", "Si", "Site", "S5", "Project Task", "SWITCH ERROR"),
IF(_xlpm.inTower, "West Tower", _xlpm.typeResult)
)</f>
        <v>Annex</v>
      </c>
      <c r="F315" t="str">
        <f>IFERROR(MID(Tasks[[#This Row],[Page]], FIND("Level", Tasks[[#This Row],[Page]]), 7), IF(ISNUMBER(FIND("Roof", Tasks[[#This Row],[Page]])), "Roof",  IF(ISNUMBER(FIND("S590", Tasks[[#This Row],[Page]])), "",  IF(ISNUMBER(FIND("Site", Tasks[[#This Row],[Page]])), "", "ERROR"))))</f>
        <v>Level 0</v>
      </c>
      <c r="G315" t="str">
        <f>IF(Tasks[[#This Row],[Location]]=0, "", Tasks[[#This Row],[Location]])</f>
        <v/>
      </c>
      <c r="H315" t="str">
        <f>Tasks[[#This Row],[To Package]]</f>
        <v xml:space="preserve">Finish Carpentry </v>
      </c>
      <c r="I315" t="str">
        <f>Tasks[[#This Row],[To Organisation]]</f>
        <v>Fetzers' Inc.</v>
      </c>
    </row>
    <row r="316" spans="1:9" x14ac:dyDescent="0.35">
      <c r="A316" s="9" t="str">
        <f>HYPERLINK(_xlfn.CONCAT(Edit_URL,Tasks[[#This Row],[Ref]]),Tasks[[#This Row],[Ref]])</f>
        <v>T1.9542507</v>
      </c>
      <c r="B316" s="6" t="str" cm="1">
        <f t="array" ref="B316">_xlfn.SWITCH(LEFT(Tasks[[#This Row],[Status]],1),"O","Opened","C","Completed","S","Signed Off","ERROR")</f>
        <v>Signed Off</v>
      </c>
      <c r="C316" s="6" t="str" cm="1">
        <f t="array" ref="C316">_xlfn.SWITCH(LEFT(Tasks[[#This Row],[Type]], 2), "Fi", "Field Report", "Co", "Contractor QC", "Ge", "Contractor QC", "Pu", "Punch List")</f>
        <v>Field Report</v>
      </c>
      <c r="D316" s="6" t="str">
        <f>LEFT(Tasks[[#This Row],[Description]], 50)</f>
        <v>CRSA 11-1 Switch in the North Addition Laundry are</v>
      </c>
      <c r="E316" s="6" t="str" cm="1">
        <f t="array" ref="E316">_xlfn.LET(
_xlpm.inTower, COUNTIF(Tower_Num_Table[Tower Rm Numbers], LEFT(Task_Summary_Table[[#This Row],[Area/Room]], 3)) &gt; 0,
_xlpm.typeResult, _xlfn.SWITCH(LEFT(Tasks[[#This Row],[Page]], 2), "Hi", "Historic", "An", "Annex", "Si", "Site", "S5", "Project Task", "SWITCH ERROR"),
IF(_xlpm.inTower, "West Tower", _xlpm.typeResult)
)</f>
        <v>Annex</v>
      </c>
      <c r="F316" t="str">
        <f>IFERROR(MID(Tasks[[#This Row],[Page]], FIND("Level", Tasks[[#This Row],[Page]]), 7), IF(ISNUMBER(FIND("Roof", Tasks[[#This Row],[Page]])), "Roof",  IF(ISNUMBER(FIND("S590", Tasks[[#This Row],[Page]])), "",  IF(ISNUMBER(FIND("Site", Tasks[[#This Row],[Page]])), "", "ERROR"))))</f>
        <v>Level 1</v>
      </c>
      <c r="G316" t="str">
        <f>IF(Tasks[[#This Row],[Location]]=0, "", Tasks[[#This Row],[Location]])</f>
        <v/>
      </c>
      <c r="H316" t="str">
        <f>Tasks[[#This Row],[To Package]]</f>
        <v>Electrical</v>
      </c>
      <c r="I316" t="str">
        <f>Tasks[[#This Row],[To Organisation]]</f>
        <v>Wilkinson Electric Inc</v>
      </c>
    </row>
    <row r="317" spans="1:9" x14ac:dyDescent="0.35">
      <c r="A317" s="9" t="str">
        <f>HYPERLINK(_xlfn.CONCAT(Edit_URL,Tasks[[#This Row],[Ref]]),Tasks[[#This Row],[Ref]])</f>
        <v>T1.9541265</v>
      </c>
      <c r="B317" s="6" t="str" cm="1">
        <f t="array" ref="B317">_xlfn.SWITCH(LEFT(Tasks[[#This Row],[Status]],1),"O","Opened","C","Completed","S","Signed Off","ERROR")</f>
        <v>Opened</v>
      </c>
      <c r="C317" s="6" t="str" cm="1">
        <f t="array" ref="C317">_xlfn.SWITCH(LEFT(Tasks[[#This Row],[Type]], 2), "Fi", "Field Report", "Co", "Contractor QC", "Ge", "Contractor QC", "Pu", "Punch List")</f>
        <v>Field Report</v>
      </c>
      <c r="D317" s="6" t="str">
        <f>LEFT(Tasks[[#This Row],[Description]], 50)</f>
        <v>ARW 64-6 Duct openings from Reviewed duct openings</v>
      </c>
      <c r="E317" s="6" t="str" cm="1">
        <f t="array" ref="E317">_xlfn.LET(
_xlpm.inTower, COUNTIF(Tower_Num_Table[Tower Rm Numbers], LEFT(Task_Summary_Table[[#This Row],[Area/Room]], 3)) &gt; 0,
_xlpm.typeResult, _xlfn.SWITCH(LEFT(Tasks[[#This Row],[Page]], 2), "Hi", "Historic", "An", "Annex", "Si", "Site", "S5", "Project Task", "SWITCH ERROR"),
IF(_xlpm.inTower, "West Tower", _xlpm.typeResult)
)</f>
        <v>Historic</v>
      </c>
      <c r="F317" t="str">
        <f>IFERROR(MID(Tasks[[#This Row],[Page]], FIND("Level", Tasks[[#This Row],[Page]]), 7), IF(ISNUMBER(FIND("Roof", Tasks[[#This Row],[Page]])), "Roof",  IF(ISNUMBER(FIND("S590", Tasks[[#This Row],[Page]])), "",  IF(ISNUMBER(FIND("Site", Tasks[[#This Row],[Page]])), "", "ERROR"))))</f>
        <v>Level 2</v>
      </c>
      <c r="G317" t="str">
        <f>IF(Tasks[[#This Row],[Location]]=0, "", Tasks[[#This Row],[Location]])</f>
        <v/>
      </c>
      <c r="H317" t="str">
        <f>Tasks[[#This Row],[To Package]]</f>
        <v>Concrete</v>
      </c>
      <c r="I317" t="str">
        <f>Tasks[[#This Row],[To Organisation]]</f>
        <v>Innovative Concrete, LLC</v>
      </c>
    </row>
    <row r="318" spans="1:9" x14ac:dyDescent="0.35">
      <c r="A318" s="9" t="str">
        <f>HYPERLINK(_xlfn.CONCAT(Edit_URL,Tasks[[#This Row],[Ref]]),Tasks[[#This Row],[Ref]])</f>
        <v>T1.9541264</v>
      </c>
      <c r="B318" s="6" t="str" cm="1">
        <f t="array" ref="B318">_xlfn.SWITCH(LEFT(Tasks[[#This Row],[Status]],1),"O","Opened","C","Completed","S","Signed Off","ERROR")</f>
        <v>Opened</v>
      </c>
      <c r="C318" s="6" t="str" cm="1">
        <f t="array" ref="C318">_xlfn.SWITCH(LEFT(Tasks[[#This Row],[Type]], 2), "Fi", "Field Report", "Co", "Contractor QC", "Ge", "Contractor QC", "Pu", "Punch List")</f>
        <v>Field Report</v>
      </c>
      <c r="D318" s="6" t="str">
        <f>LEFT(Tasks[[#This Row],[Description]], 50)</f>
        <v>ARW 64-6 Duct openings from Reviewed duct openings</v>
      </c>
      <c r="E318" s="6" t="str" cm="1">
        <f t="array" ref="E318">_xlfn.LET(
_xlpm.inTower, COUNTIF(Tower_Num_Table[Tower Rm Numbers], LEFT(Task_Summary_Table[[#This Row],[Area/Room]], 3)) &gt; 0,
_xlpm.typeResult, _xlfn.SWITCH(LEFT(Tasks[[#This Row],[Page]], 2), "Hi", "Historic", "An", "Annex", "Si", "Site", "S5", "Project Task", "SWITCH ERROR"),
IF(_xlpm.inTower, "West Tower", _xlpm.typeResult)
)</f>
        <v>Historic</v>
      </c>
      <c r="F318" t="str">
        <f>IFERROR(MID(Tasks[[#This Row],[Page]], FIND("Level", Tasks[[#This Row],[Page]]), 7), IF(ISNUMBER(FIND("Roof", Tasks[[#This Row],[Page]])), "Roof",  IF(ISNUMBER(FIND("S590", Tasks[[#This Row],[Page]])), "",  IF(ISNUMBER(FIND("Site", Tasks[[#This Row],[Page]])), "", "ERROR"))))</f>
        <v>Level 5</v>
      </c>
      <c r="G318" t="str">
        <f>IF(Tasks[[#This Row],[Location]]=0, "", Tasks[[#This Row],[Location]])</f>
        <v/>
      </c>
      <c r="H318" t="str">
        <f>Tasks[[#This Row],[To Package]]</f>
        <v>Structural Steel</v>
      </c>
      <c r="I318" t="str">
        <f>Tasks[[#This Row],[To Organisation]]</f>
        <v>Glassey Steel Works</v>
      </c>
    </row>
    <row r="319" spans="1:9" x14ac:dyDescent="0.35">
      <c r="A319" s="9" t="str">
        <f>HYPERLINK(_xlfn.CONCAT(Edit_URL,Tasks[[#This Row],[Ref]]),Tasks[[#This Row],[Ref]])</f>
        <v>T1.9541263</v>
      </c>
      <c r="B319" s="6" t="str" cm="1">
        <f t="array" ref="B319">_xlfn.SWITCH(LEFT(Tasks[[#This Row],[Status]],1),"O","Opened","C","Completed","S","Signed Off","ERROR")</f>
        <v>Opened</v>
      </c>
      <c r="C319" s="6" t="str" cm="1">
        <f t="array" ref="C319">_xlfn.SWITCH(LEFT(Tasks[[#This Row],[Type]], 2), "Fi", "Field Report", "Co", "Contractor QC", "Ge", "Contractor QC", "Pu", "Punch List")</f>
        <v>Field Report</v>
      </c>
      <c r="D319" s="6" t="str">
        <f>LEFT(Tasks[[#This Row],[Description]], 50)</f>
        <v>ARW 64-3 Level 5 opening infill at east tower Disc</v>
      </c>
      <c r="E319" s="6" t="str" cm="1">
        <f t="array" ref="E319">_xlfn.LET(
_xlpm.inTower, COUNTIF(Tower_Num_Table[Tower Rm Numbers], LEFT(Task_Summary_Table[[#This Row],[Area/Room]], 3)) &gt; 0,
_xlpm.typeResult, _xlfn.SWITCH(LEFT(Tasks[[#This Row],[Page]], 2), "Hi", "Historic", "An", "Annex", "Si", "Site", "S5", "Project Task", "SWITCH ERROR"),
IF(_xlpm.inTower, "West Tower", _xlpm.typeResult)
)</f>
        <v>Historic</v>
      </c>
      <c r="F319" t="str">
        <f>IFERROR(MID(Tasks[[#This Row],[Page]], FIND("Level", Tasks[[#This Row],[Page]]), 7), IF(ISNUMBER(FIND("Roof", Tasks[[#This Row],[Page]])), "Roof",  IF(ISNUMBER(FIND("S590", Tasks[[#This Row],[Page]])), "",  IF(ISNUMBER(FIND("Site", Tasks[[#This Row],[Page]])), "", "ERROR"))))</f>
        <v>Level 5</v>
      </c>
      <c r="G319" t="str">
        <f>IF(Tasks[[#This Row],[Location]]=0, "", Tasks[[#This Row],[Location]])</f>
        <v/>
      </c>
      <c r="H319" t="str">
        <f>Tasks[[#This Row],[To Package]]</f>
        <v>Concrete</v>
      </c>
      <c r="I319" t="str">
        <f>Tasks[[#This Row],[To Organisation]]</f>
        <v>Innovative Concrete, LLC</v>
      </c>
    </row>
    <row r="320" spans="1:9" x14ac:dyDescent="0.35">
      <c r="A320" s="9" t="str">
        <f>HYPERLINK(_xlfn.CONCAT(Edit_URL,Tasks[[#This Row],[Ref]]),Tasks[[#This Row],[Ref]])</f>
        <v>T1.9541261</v>
      </c>
      <c r="B320" s="6" t="str" cm="1">
        <f t="array" ref="B320">_xlfn.SWITCH(LEFT(Tasks[[#This Row],[Status]],1),"O","Opened","C","Completed","S","Signed Off","ERROR")</f>
        <v>Opened</v>
      </c>
      <c r="C320" s="6" t="str" cm="1">
        <f t="array" ref="C320">_xlfn.SWITCH(LEFT(Tasks[[#This Row],[Type]], 2), "Fi", "Field Report", "Co", "Contractor QC", "Ge", "Contractor QC", "Pu", "Punch List")</f>
        <v>Field Report</v>
      </c>
      <c r="D320" s="6" t="str">
        <f>LEFT(Tasks[[#This Row],[Description]], 50)</f>
        <v>ARW 64-1 Temporary headers for level 2 and 4 openi</v>
      </c>
      <c r="E320" s="6" t="str" cm="1">
        <f t="array" ref="E320">_xlfn.LET(
_xlpm.inTower, COUNTIF(Tower_Num_Table[Tower Rm Numbers], LEFT(Task_Summary_Table[[#This Row],[Area/Room]], 3)) &gt; 0,
_xlpm.typeResult, _xlfn.SWITCH(LEFT(Tasks[[#This Row],[Page]], 2), "Hi", "Historic", "An", "Annex", "Si", "Site", "S5", "Project Task", "SWITCH ERROR"),
IF(_xlpm.inTower, "West Tower", _xlpm.typeResult)
)</f>
        <v>Historic</v>
      </c>
      <c r="F320" t="str">
        <f>IFERROR(MID(Tasks[[#This Row],[Page]], FIND("Level", Tasks[[#This Row],[Page]]), 7), IF(ISNUMBER(FIND("Roof", Tasks[[#This Row],[Page]])), "Roof",  IF(ISNUMBER(FIND("S590", Tasks[[#This Row],[Page]])), "",  IF(ISNUMBER(FIND("Site", Tasks[[#This Row],[Page]])), "", "ERROR"))))</f>
        <v>Level 2</v>
      </c>
      <c r="G320" t="str">
        <f>IF(Tasks[[#This Row],[Location]]=0, "", Tasks[[#This Row],[Location]])</f>
        <v/>
      </c>
      <c r="H320" t="str">
        <f>Tasks[[#This Row],[To Package]]</f>
        <v>Structural Steel</v>
      </c>
      <c r="I320" t="str">
        <f>Tasks[[#This Row],[To Organisation]]</f>
        <v>Glassey Steel Works</v>
      </c>
    </row>
    <row r="321" spans="1:9" x14ac:dyDescent="0.35">
      <c r="A321" s="9" t="str">
        <f>HYPERLINK(_xlfn.CONCAT(Edit_URL,Tasks[[#This Row],[Ref]]),Tasks[[#This Row],[Ref]])</f>
        <v>T1.9541260</v>
      </c>
      <c r="B321" s="6" t="str" cm="1">
        <f t="array" ref="B321">_xlfn.SWITCH(LEFT(Tasks[[#This Row],[Status]],1),"O","Opened","C","Completed","S","Signed Off","ERROR")</f>
        <v>Opened</v>
      </c>
      <c r="C321" s="6" t="str" cm="1">
        <f t="array" ref="C321">_xlfn.SWITCH(LEFT(Tasks[[#This Row],[Type]], 2), "Fi", "Field Report", "Co", "Contractor QC", "Ge", "Contractor QC", "Pu", "Punch List")</f>
        <v>Field Report</v>
      </c>
      <c r="D321" s="6" t="str">
        <f>LEFT(Tasks[[#This Row],[Description]], 50)</f>
        <v>ARW 63-8 Where HSS columns are located adjacent to</v>
      </c>
      <c r="E321" s="6" t="str" cm="1">
        <f t="array" ref="E321">_xlfn.LET(
_xlpm.inTower, COUNTIF(Tower_Num_Table[Tower Rm Numbers], LEFT(Task_Summary_Table[[#This Row],[Area/Room]], 3)) &gt; 0,
_xlpm.typeResult, _xlfn.SWITCH(LEFT(Tasks[[#This Row],[Page]], 2), "Hi", "Historic", "An", "Annex", "Si", "Site", "S5", "Project Task", "SWITCH ERROR"),
IF(_xlpm.inTower, "West Tower", _xlpm.typeResult)
)</f>
        <v>Historic</v>
      </c>
      <c r="F321" t="str">
        <f>IFERROR(MID(Tasks[[#This Row],[Page]], FIND("Level", Tasks[[#This Row],[Page]]), 7), IF(ISNUMBER(FIND("Roof", Tasks[[#This Row],[Page]])), "Roof",  IF(ISNUMBER(FIND("S590", Tasks[[#This Row],[Page]])), "",  IF(ISNUMBER(FIND("Site", Tasks[[#This Row],[Page]])), "", "ERROR"))))</f>
        <v>Level 0</v>
      </c>
      <c r="G321" t="str">
        <f>IF(Tasks[[#This Row],[Location]]=0, "", Tasks[[#This Row],[Location]])</f>
        <v/>
      </c>
      <c r="H321" t="str">
        <f>Tasks[[#This Row],[To Package]]</f>
        <v>Concrete</v>
      </c>
      <c r="I321" t="str">
        <f>Tasks[[#This Row],[To Organisation]]</f>
        <v>Innovative Concrete, LLC</v>
      </c>
    </row>
    <row r="322" spans="1:9" x14ac:dyDescent="0.35">
      <c r="A322" s="9" t="str">
        <f>HYPERLINK(_xlfn.CONCAT(Edit_URL,Tasks[[#This Row],[Ref]]),Tasks[[#This Row],[Ref]])</f>
        <v>T1.9541259</v>
      </c>
      <c r="B322" s="6" t="str" cm="1">
        <f t="array" ref="B322">_xlfn.SWITCH(LEFT(Tasks[[#This Row],[Status]],1),"O","Opened","C","Completed","S","Signed Off","ERROR")</f>
        <v>Opened</v>
      </c>
      <c r="C322" s="6" t="str" cm="1">
        <f t="array" ref="C322">_xlfn.SWITCH(LEFT(Tasks[[#This Row],[Type]], 2), "Fi", "Field Report", "Co", "Contractor QC", "Ge", "Contractor QC", "Pu", "Punch List")</f>
        <v>Field Report</v>
      </c>
      <c r="D322" s="6" t="str">
        <f>LEFT(Tasks[[#This Row],[Description]], 50)</f>
        <v>ARW 63-7 At the door openings in the east tower wi</v>
      </c>
      <c r="E322" s="6" t="str" cm="1">
        <f t="array" ref="E322">_xlfn.LET(
_xlpm.inTower, COUNTIF(Tower_Num_Table[Tower Rm Numbers], LEFT(Task_Summary_Table[[#This Row],[Area/Room]], 3)) &gt; 0,
_xlpm.typeResult, _xlfn.SWITCH(LEFT(Tasks[[#This Row],[Page]], 2), "Hi", "Historic", "An", "Annex", "Si", "Site", "S5", "Project Task", "SWITCH ERROR"),
IF(_xlpm.inTower, "West Tower", _xlpm.typeResult)
)</f>
        <v>Historic</v>
      </c>
      <c r="F322" t="str">
        <f>IFERROR(MID(Tasks[[#This Row],[Page]], FIND("Level", Tasks[[#This Row],[Page]]), 7), IF(ISNUMBER(FIND("Roof", Tasks[[#This Row],[Page]])), "Roof",  IF(ISNUMBER(FIND("S590", Tasks[[#This Row],[Page]])), "",  IF(ISNUMBER(FIND("Site", Tasks[[#This Row],[Page]])), "", "ERROR"))))</f>
        <v>Level 0</v>
      </c>
      <c r="G322" t="str">
        <f>IF(Tasks[[#This Row],[Location]]=0, "", Tasks[[#This Row],[Location]])</f>
        <v/>
      </c>
      <c r="H322" t="str">
        <f>Tasks[[#This Row],[To Package]]</f>
        <v>Concrete</v>
      </c>
      <c r="I322" t="str">
        <f>Tasks[[#This Row],[To Organisation]]</f>
        <v>Innovative Concrete, LLC</v>
      </c>
    </row>
    <row r="323" spans="1:9" x14ac:dyDescent="0.35">
      <c r="A323" s="9" t="str">
        <f>HYPERLINK(_xlfn.CONCAT(Edit_URL,Tasks[[#This Row],[Ref]]),Tasks[[#This Row],[Ref]])</f>
        <v>T1.9541258</v>
      </c>
      <c r="B323" s="6" t="str" cm="1">
        <f t="array" ref="B323">_xlfn.SWITCH(LEFT(Tasks[[#This Row],[Status]],1),"O","Opened","C","Completed","S","Signed Off","ERROR")</f>
        <v>Opened</v>
      </c>
      <c r="C323" s="6" t="str" cm="1">
        <f t="array" ref="C323">_xlfn.SWITCH(LEFT(Tasks[[#This Row],[Type]], 2), "Fi", "Field Report", "Co", "Contractor QC", "Ge", "Contractor QC", "Pu", "Punch List")</f>
        <v>Field Report</v>
      </c>
      <c r="D323" s="6" t="str">
        <f>LEFT(Tasks[[#This Row],[Description]], 50)</f>
        <v>ARW 63-5 At Level 4 along Grid H2 and H4 new steel</v>
      </c>
      <c r="E323" s="6" t="str" cm="1">
        <f t="array" ref="E323">_xlfn.LET(
_xlpm.inTower, COUNTIF(Tower_Num_Table[Tower Rm Numbers], LEFT(Task_Summary_Table[[#This Row],[Area/Room]], 3)) &gt; 0,
_xlpm.typeResult, _xlfn.SWITCH(LEFT(Tasks[[#This Row],[Page]], 2), "Hi", "Historic", "An", "Annex", "Si", "Site", "S5", "Project Task", "SWITCH ERROR"),
IF(_xlpm.inTower, "West Tower", _xlpm.typeResult)
)</f>
        <v>Historic</v>
      </c>
      <c r="F323" t="str">
        <f>IFERROR(MID(Tasks[[#This Row],[Page]], FIND("Level", Tasks[[#This Row],[Page]]), 7), IF(ISNUMBER(FIND("Roof", Tasks[[#This Row],[Page]])), "Roof",  IF(ISNUMBER(FIND("S590", Tasks[[#This Row],[Page]])), "",  IF(ISNUMBER(FIND("Site", Tasks[[#This Row],[Page]])), "", "ERROR"))))</f>
        <v>Level 4</v>
      </c>
      <c r="G323" t="str">
        <f>IF(Tasks[[#This Row],[Location]]=0, "", Tasks[[#This Row],[Location]])</f>
        <v/>
      </c>
      <c r="H323" t="str">
        <f>Tasks[[#This Row],[To Package]]</f>
        <v>Metal Stud / Drywall</v>
      </c>
      <c r="I323" t="str">
        <f>Tasks[[#This Row],[To Organisation]]</f>
        <v>Pete King Construction</v>
      </c>
    </row>
    <row r="324" spans="1:9" x14ac:dyDescent="0.35">
      <c r="A324" s="9" t="str">
        <f>HYPERLINK(_xlfn.CONCAT(Edit_URL,Tasks[[#This Row],[Ref]]),Tasks[[#This Row],[Ref]])</f>
        <v>T1.9541257</v>
      </c>
      <c r="B324" s="6" t="str" cm="1">
        <f t="array" ref="B324">_xlfn.SWITCH(LEFT(Tasks[[#This Row],[Status]],1),"O","Opened","C","Completed","S","Signed Off","ERROR")</f>
        <v>Opened</v>
      </c>
      <c r="C324" s="6" t="str" cm="1">
        <f t="array" ref="C324">_xlfn.SWITCH(LEFT(Tasks[[#This Row],[Type]], 2), "Fi", "Field Report", "Co", "Contractor QC", "Ge", "Contractor QC", "Pu", "Punch List")</f>
        <v>Field Report</v>
      </c>
      <c r="D324" s="6" t="str">
        <f>LEFT(Tasks[[#This Row],[Description]], 50)</f>
        <v xml:space="preserve">ARW 63-4 At multiple locations new concrete jambs </v>
      </c>
      <c r="E324" s="6" t="str" cm="1">
        <f t="array" ref="E324">_xlfn.LET(
_xlpm.inTower, COUNTIF(Tower_Num_Table[Tower Rm Numbers], LEFT(Task_Summary_Table[[#This Row],[Area/Room]], 3)) &gt; 0,
_xlpm.typeResult, _xlfn.SWITCH(LEFT(Tasks[[#This Row],[Page]], 2), "Hi", "Historic", "An", "Annex", "Si", "Site", "S5", "Project Task", "SWITCH ERROR"),
IF(_xlpm.inTower, "West Tower", _xlpm.typeResult)
)</f>
        <v>Historic</v>
      </c>
      <c r="F324" t="str">
        <f>IFERROR(MID(Tasks[[#This Row],[Page]], FIND("Level", Tasks[[#This Row],[Page]]), 7), IF(ISNUMBER(FIND("Roof", Tasks[[#This Row],[Page]])), "Roof",  IF(ISNUMBER(FIND("S590", Tasks[[#This Row],[Page]])), "",  IF(ISNUMBER(FIND("Site", Tasks[[#This Row],[Page]])), "", "ERROR"))))</f>
        <v>Level 0</v>
      </c>
      <c r="G324" t="str">
        <f>IF(Tasks[[#This Row],[Location]]=0, "", Tasks[[#This Row],[Location]])</f>
        <v/>
      </c>
      <c r="H324" t="str">
        <f>Tasks[[#This Row],[To Package]]</f>
        <v>Concrete</v>
      </c>
      <c r="I324" t="str">
        <f>Tasks[[#This Row],[To Organisation]]</f>
        <v>Innovative Concrete, LLC</v>
      </c>
    </row>
    <row r="325" spans="1:9" x14ac:dyDescent="0.35">
      <c r="A325" s="9" t="str">
        <f>HYPERLINK(_xlfn.CONCAT(Edit_URL,Tasks[[#This Row],[Ref]]),Tasks[[#This Row],[Ref]])</f>
        <v>T1.9541254</v>
      </c>
      <c r="B325" s="6" t="str" cm="1">
        <f t="array" ref="B325">_xlfn.SWITCH(LEFT(Tasks[[#This Row],[Status]],1),"O","Opened","C","Completed","S","Signed Off","ERROR")</f>
        <v>Opened</v>
      </c>
      <c r="C325" s="6" t="str" cm="1">
        <f t="array" ref="C325">_xlfn.SWITCH(LEFT(Tasks[[#This Row],[Type]], 2), "Fi", "Field Report", "Co", "Contractor QC", "Ge", "Contractor QC", "Pu", "Punch List")</f>
        <v>Field Report</v>
      </c>
      <c r="D325" s="6" t="str">
        <f>LEFT(Tasks[[#This Row],[Description]], 50)</f>
        <v xml:space="preserve">ARW 63-3 Stone has been removed at the top of the </v>
      </c>
      <c r="E325" s="6" t="str" cm="1">
        <f t="array" ref="E325">_xlfn.LET(
_xlpm.inTower, COUNTIF(Tower_Num_Table[Tower Rm Numbers], LEFT(Task_Summary_Table[[#This Row],[Area/Room]], 3)) &gt; 0,
_xlpm.typeResult, _xlfn.SWITCH(LEFT(Tasks[[#This Row],[Page]], 2), "Hi", "Historic", "An", "Annex", "Si", "Site", "S5", "Project Task", "SWITCH ERROR"),
IF(_xlpm.inTower, "West Tower", _xlpm.typeResult)
)</f>
        <v>Historic</v>
      </c>
      <c r="F325" t="str">
        <f>IFERROR(MID(Tasks[[#This Row],[Page]], FIND("Level", Tasks[[#This Row],[Page]]), 7), IF(ISNUMBER(FIND("Roof", Tasks[[#This Row],[Page]])), "Roof",  IF(ISNUMBER(FIND("S590", Tasks[[#This Row],[Page]])), "",  IF(ISNUMBER(FIND("Site", Tasks[[#This Row],[Page]])), "", "ERROR"))))</f>
        <v>Level 0</v>
      </c>
      <c r="G325" t="str">
        <f>IF(Tasks[[#This Row],[Location]]=0, "", Tasks[[#This Row],[Location]])</f>
        <v/>
      </c>
      <c r="H325" t="str">
        <f>Tasks[[#This Row],[To Package]]</f>
        <v>Concrete</v>
      </c>
      <c r="I325" t="str">
        <f>Tasks[[#This Row],[To Organisation]]</f>
        <v>Innovative Concrete, LLC</v>
      </c>
    </row>
    <row r="326" spans="1:9" x14ac:dyDescent="0.35">
      <c r="A326" s="9" t="str">
        <f>HYPERLINK(_xlfn.CONCAT(Edit_URL,Tasks[[#This Row],[Ref]]),Tasks[[#This Row],[Ref]])</f>
        <v>T1.9541252</v>
      </c>
      <c r="B326" s="6" t="str" cm="1">
        <f t="array" ref="B326">_xlfn.SWITCH(LEFT(Tasks[[#This Row],[Status]],1),"O","Opened","C","Completed","S","Signed Off","ERROR")</f>
        <v>Opened</v>
      </c>
      <c r="C326" s="6" t="str" cm="1">
        <f t="array" ref="C326">_xlfn.SWITCH(LEFT(Tasks[[#This Row],[Type]], 2), "Fi", "Field Report", "Co", "Contractor QC", "Ge", "Contractor QC", "Pu", "Punch List")</f>
        <v>Field Report</v>
      </c>
      <c r="D326" s="6" t="str">
        <f>LEFT(Tasks[[#This Row],[Description]], 50)</f>
        <v xml:space="preserve">ARW 63-2 The LVL stud wall framing is continuing. </v>
      </c>
      <c r="E326" s="6" t="str" cm="1">
        <f t="array" ref="E326">_xlfn.LET(
_xlpm.inTower, COUNTIF(Tower_Num_Table[Tower Rm Numbers], LEFT(Task_Summary_Table[[#This Row],[Area/Room]], 3)) &gt; 0,
_xlpm.typeResult, _xlfn.SWITCH(LEFT(Tasks[[#This Row],[Page]], 2), "Hi", "Historic", "An", "Annex", "Si", "Site", "S5", "Project Task", "SWITCH ERROR"),
IF(_xlpm.inTower, "West Tower", _xlpm.typeResult)
)</f>
        <v>Historic</v>
      </c>
      <c r="F326" t="str">
        <f>IFERROR(MID(Tasks[[#This Row],[Page]], FIND("Level", Tasks[[#This Row],[Page]]), 7), IF(ISNUMBER(FIND("Roof", Tasks[[#This Row],[Page]])), "Roof",  IF(ISNUMBER(FIND("S590", Tasks[[#This Row],[Page]])), "",  IF(ISNUMBER(FIND("Site", Tasks[[#This Row],[Page]])), "", "ERROR"))))</f>
        <v>Level 2</v>
      </c>
      <c r="G326" t="str">
        <f>IF(Tasks[[#This Row],[Location]]=0, "", Tasks[[#This Row],[Location]])</f>
        <v/>
      </c>
      <c r="H326" t="str">
        <f>Tasks[[#This Row],[To Package]]</f>
        <v>Wood Framing</v>
      </c>
      <c r="I326" t="str">
        <f>Tasks[[#This Row],[To Organisation]]</f>
        <v>Rockhill Construction</v>
      </c>
    </row>
    <row r="327" spans="1:9" x14ac:dyDescent="0.35">
      <c r="A327" s="9" t="str">
        <f>HYPERLINK(_xlfn.CONCAT(Edit_URL,Tasks[[#This Row],[Ref]]),Tasks[[#This Row],[Ref]])</f>
        <v>T1.9541251</v>
      </c>
      <c r="B327" s="6" t="str" cm="1">
        <f t="array" ref="B327">_xlfn.SWITCH(LEFT(Tasks[[#This Row],[Status]],1),"O","Opened","C","Completed","S","Signed Off","ERROR")</f>
        <v>Opened</v>
      </c>
      <c r="C327" s="6" t="str" cm="1">
        <f t="array" ref="C327">_xlfn.SWITCH(LEFT(Tasks[[#This Row],[Type]], 2), "Fi", "Field Report", "Co", "Contractor QC", "Ge", "Contractor QC", "Pu", "Punch List")</f>
        <v>Field Report</v>
      </c>
      <c r="D327" s="6" t="str">
        <f>LEFT(Tasks[[#This Row],[Description]], 50)</f>
        <v>ARW 63-1 At Grids HC / H2 there is an HSS column o</v>
      </c>
      <c r="E327" s="6" t="str" cm="1">
        <f t="array" ref="E327">_xlfn.LET(
_xlpm.inTower, COUNTIF(Tower_Num_Table[Tower Rm Numbers], LEFT(Task_Summary_Table[[#This Row],[Area/Room]], 3)) &gt; 0,
_xlpm.typeResult, _xlfn.SWITCH(LEFT(Tasks[[#This Row],[Page]], 2), "Hi", "Historic", "An", "Annex", "Si", "Site", "S5", "Project Task", "SWITCH ERROR"),
IF(_xlpm.inTower, "West Tower", _xlpm.typeResult)
)</f>
        <v>Historic</v>
      </c>
      <c r="F327" t="str">
        <f>IFERROR(MID(Tasks[[#This Row],[Page]], FIND("Level", Tasks[[#This Row],[Page]]), 7), IF(ISNUMBER(FIND("Roof", Tasks[[#This Row],[Page]])), "Roof",  IF(ISNUMBER(FIND("S590", Tasks[[#This Row],[Page]])), "",  IF(ISNUMBER(FIND("Site", Tasks[[#This Row],[Page]])), "", "ERROR"))))</f>
        <v>Level 2</v>
      </c>
      <c r="G327" t="str">
        <f>IF(Tasks[[#This Row],[Location]]=0, "", Tasks[[#This Row],[Location]])</f>
        <v/>
      </c>
      <c r="H327" t="str">
        <f>Tasks[[#This Row],[To Package]]</f>
        <v>Structural Steel</v>
      </c>
      <c r="I327" t="str">
        <f>Tasks[[#This Row],[To Organisation]]</f>
        <v>Glassey Steel Works</v>
      </c>
    </row>
    <row r="328" spans="1:9" x14ac:dyDescent="0.35">
      <c r="A328" s="9" t="str">
        <f>HYPERLINK(_xlfn.CONCAT(Edit_URL,Tasks[[#This Row],[Ref]]),Tasks[[#This Row],[Ref]])</f>
        <v>T1.9541250</v>
      </c>
      <c r="B328" s="6" t="str" cm="1">
        <f t="array" ref="B328">_xlfn.SWITCH(LEFT(Tasks[[#This Row],[Status]],1),"O","Opened","C","Completed","S","Signed Off","ERROR")</f>
        <v>Opened</v>
      </c>
      <c r="C328" s="6" t="str" cm="1">
        <f t="array" ref="C328">_xlfn.SWITCH(LEFT(Tasks[[#This Row],[Type]], 2), "Fi", "Field Report", "Co", "Contractor QC", "Ge", "Contractor QC", "Pu", "Punch List")</f>
        <v>Field Report</v>
      </c>
      <c r="D328" s="6" t="str">
        <f>LEFT(Tasks[[#This Row],[Description]], 50)</f>
        <v>ARW 62-6 The double LVL joist supporting the LVL w</v>
      </c>
      <c r="E328" s="6" t="str" cm="1">
        <f t="array" ref="E328">_xlfn.LET(
_xlpm.inTower, COUNTIF(Tower_Num_Table[Tower Rm Numbers], LEFT(Task_Summary_Table[[#This Row],[Area/Room]], 3)) &gt; 0,
_xlpm.typeResult, _xlfn.SWITCH(LEFT(Tasks[[#This Row],[Page]], 2), "Hi", "Historic", "An", "Annex", "Si", "Site", "S5", "Project Task", "SWITCH ERROR"),
IF(_xlpm.inTower, "West Tower", _xlpm.typeResult)
)</f>
        <v>Historic</v>
      </c>
      <c r="F328" t="str">
        <f>IFERROR(MID(Tasks[[#This Row],[Page]], FIND("Level", Tasks[[#This Row],[Page]]), 7), IF(ISNUMBER(FIND("Roof", Tasks[[#This Row],[Page]])), "Roof",  IF(ISNUMBER(FIND("S590", Tasks[[#This Row],[Page]])), "",  IF(ISNUMBER(FIND("Site", Tasks[[#This Row],[Page]])), "", "ERROR"))))</f>
        <v>Level 2</v>
      </c>
      <c r="G328" t="str">
        <f>IF(Tasks[[#This Row],[Location]]=0, "", Tasks[[#This Row],[Location]])</f>
        <v/>
      </c>
      <c r="H328" t="str">
        <f>Tasks[[#This Row],[To Package]]</f>
        <v>Wood Framing</v>
      </c>
      <c r="I328" t="str">
        <f>Tasks[[#This Row],[To Organisation]]</f>
        <v>Rockhill Construction</v>
      </c>
    </row>
    <row r="329" spans="1:9" x14ac:dyDescent="0.35">
      <c r="A329" s="9" t="str">
        <f>HYPERLINK(_xlfn.CONCAT(Edit_URL,Tasks[[#This Row],[Ref]]),Tasks[[#This Row],[Ref]])</f>
        <v>T1.9541249</v>
      </c>
      <c r="B329" s="6" t="str" cm="1">
        <f t="array" ref="B329">_xlfn.SWITCH(LEFT(Tasks[[#This Row],[Status]],1),"O","Opened","C","Completed","S","Signed Off","ERROR")</f>
        <v>Opened</v>
      </c>
      <c r="C329" s="6" t="str" cm="1">
        <f t="array" ref="C329">_xlfn.SWITCH(LEFT(Tasks[[#This Row],[Type]], 2), "Fi", "Field Report", "Co", "Contractor QC", "Ge", "Contractor QC", "Pu", "Punch List")</f>
        <v>Field Report</v>
      </c>
      <c r="D329" s="6" t="str">
        <f>LEFT(Tasks[[#This Row],[Description]], 50)</f>
        <v>ARW 62-5 North addition clothing drop openings nee</v>
      </c>
      <c r="E329" s="6" t="str" cm="1">
        <f t="array" ref="E329">_xlfn.LET(
_xlpm.inTower, COUNTIF(Tower_Num_Table[Tower Rm Numbers], LEFT(Task_Summary_Table[[#This Row],[Area/Room]], 3)) &gt; 0,
_xlpm.typeResult, _xlfn.SWITCH(LEFT(Tasks[[#This Row],[Page]], 2), "Hi", "Historic", "An", "Annex", "Si", "Site", "S5", "Project Task", "SWITCH ERROR"),
IF(_xlpm.inTower, "West Tower", _xlpm.typeResult)
)</f>
        <v>Historic</v>
      </c>
      <c r="F329" t="str">
        <f>IFERROR(MID(Tasks[[#This Row],[Page]], FIND("Level", Tasks[[#This Row],[Page]]), 7), IF(ISNUMBER(FIND("Roof", Tasks[[#This Row],[Page]])), "Roof",  IF(ISNUMBER(FIND("S590", Tasks[[#This Row],[Page]])), "",  IF(ISNUMBER(FIND("Site", Tasks[[#This Row],[Page]])), "", "ERROR"))))</f>
        <v>Level 0</v>
      </c>
      <c r="G329" t="str">
        <f>IF(Tasks[[#This Row],[Location]]=0, "", Tasks[[#This Row],[Location]])</f>
        <v/>
      </c>
      <c r="H329" t="str">
        <f>Tasks[[#This Row],[To Package]]</f>
        <v>Structural Steel</v>
      </c>
      <c r="I329" t="str">
        <f>Tasks[[#This Row],[To Organisation]]</f>
        <v>Glassey Steel Works</v>
      </c>
    </row>
    <row r="330" spans="1:9" x14ac:dyDescent="0.35">
      <c r="A330" s="9" t="str">
        <f>HYPERLINK(_xlfn.CONCAT(Edit_URL,Tasks[[#This Row],[Ref]]),Tasks[[#This Row],[Ref]])</f>
        <v>T1.9541248</v>
      </c>
      <c r="B330" s="6" t="str" cm="1">
        <f t="array" ref="B330">_xlfn.SWITCH(LEFT(Tasks[[#This Row],[Status]],1),"O","Opened","C","Completed","S","Signed Off","ERROR")</f>
        <v>Opened</v>
      </c>
      <c r="C330" s="6" t="str" cm="1">
        <f t="array" ref="C330">_xlfn.SWITCH(LEFT(Tasks[[#This Row],[Type]], 2), "Fi", "Field Report", "Co", "Contractor QC", "Ge", "Contractor QC", "Pu", "Punch List")</f>
        <v>Field Report</v>
      </c>
      <c r="D330" s="6" t="str">
        <f>LEFT(Tasks[[#This Row],[Description]], 50)</f>
        <v>ARW 62-2 I had a conversation with Rockhill framin</v>
      </c>
      <c r="E330" s="6" t="str" cm="1">
        <f t="array" ref="E330">_xlfn.LET(
_xlpm.inTower, COUNTIF(Tower_Num_Table[Tower Rm Numbers], LEFT(Task_Summary_Table[[#This Row],[Area/Room]], 3)) &gt; 0,
_xlpm.typeResult, _xlfn.SWITCH(LEFT(Tasks[[#This Row],[Page]], 2), "Hi", "Historic", "An", "Annex", "Si", "Site", "S5", "Project Task", "SWITCH ERROR"),
IF(_xlpm.inTower, "West Tower", _xlpm.typeResult)
)</f>
        <v>Historic</v>
      </c>
      <c r="F330" t="str">
        <f>IFERROR(MID(Tasks[[#This Row],[Page]], FIND("Level", Tasks[[#This Row],[Page]]), 7), IF(ISNUMBER(FIND("Roof", Tasks[[#This Row],[Page]])), "Roof",  IF(ISNUMBER(FIND("S590", Tasks[[#This Row],[Page]])), "",  IF(ISNUMBER(FIND("Site", Tasks[[#This Row],[Page]])), "", "ERROR"))))</f>
        <v>Level 0</v>
      </c>
      <c r="G330" t="str">
        <f>IF(Tasks[[#This Row],[Location]]=0, "", Tasks[[#This Row],[Location]])</f>
        <v/>
      </c>
      <c r="H330" t="str">
        <f>Tasks[[#This Row],[To Package]]</f>
        <v>Wood Framing</v>
      </c>
      <c r="I330" t="str">
        <f>Tasks[[#This Row],[To Organisation]]</f>
        <v>Rockhill Construction</v>
      </c>
    </row>
    <row r="331" spans="1:9" x14ac:dyDescent="0.35">
      <c r="A331" s="9" t="str">
        <f>HYPERLINK(_xlfn.CONCAT(Edit_URL,Tasks[[#This Row],[Ref]]),Tasks[[#This Row],[Ref]])</f>
        <v>T1.9541212</v>
      </c>
      <c r="B331" s="6" t="str" cm="1">
        <f t="array" ref="B331">_xlfn.SWITCH(LEFT(Tasks[[#This Row],[Status]],1),"O","Opened","C","Completed","S","Signed Off","ERROR")</f>
        <v>Opened</v>
      </c>
      <c r="C331" s="6" t="str" cm="1">
        <f t="array" ref="C331">_xlfn.SWITCH(LEFT(Tasks[[#This Row],[Type]], 2), "Fi", "Field Report", "Co", "Contractor QC", "Ge", "Contractor QC", "Pu", "Punch List")</f>
        <v>Field Report</v>
      </c>
      <c r="D331" s="6" t="str">
        <f>LEFT(Tasks[[#This Row],[Description]], 50)</f>
        <v>ARW 62-1  The headers in the confirmation rooms on</v>
      </c>
      <c r="E331" s="6" t="str" cm="1">
        <f t="array" ref="E331">_xlfn.LET(
_xlpm.inTower, COUNTIF(Tower_Num_Table[Tower Rm Numbers], LEFT(Task_Summary_Table[[#This Row],[Area/Room]], 3)) &gt; 0,
_xlpm.typeResult, _xlfn.SWITCH(LEFT(Tasks[[#This Row],[Page]], 2), "Hi", "Historic", "An", "Annex", "Si", "Site", "S5", "Project Task", "SWITCH ERROR"),
IF(_xlpm.inTower, "West Tower", _xlpm.typeResult)
)</f>
        <v>Historic</v>
      </c>
      <c r="F331" t="str">
        <f>IFERROR(MID(Tasks[[#This Row],[Page]], FIND("Level", Tasks[[#This Row],[Page]]), 7), IF(ISNUMBER(FIND("Roof", Tasks[[#This Row],[Page]])), "Roof",  IF(ISNUMBER(FIND("S590", Tasks[[#This Row],[Page]])), "",  IF(ISNUMBER(FIND("Site", Tasks[[#This Row],[Page]])), "", "ERROR"))))</f>
        <v>Level 0</v>
      </c>
      <c r="G331" t="str">
        <f>IF(Tasks[[#This Row],[Location]]=0, "", Tasks[[#This Row],[Location]])</f>
        <v/>
      </c>
      <c r="H331" t="str">
        <f>Tasks[[#This Row],[To Package]]</f>
        <v>Concrete</v>
      </c>
      <c r="I331" t="str">
        <f>Tasks[[#This Row],[To Organisation]]</f>
        <v>Innovative Concrete, LLC</v>
      </c>
    </row>
    <row r="332" spans="1:9" x14ac:dyDescent="0.35">
      <c r="A332" s="9" t="str">
        <f>HYPERLINK(_xlfn.CONCAT(Edit_URL,Tasks[[#This Row],[Ref]]),Tasks[[#This Row],[Ref]])</f>
        <v>T1.9541097</v>
      </c>
      <c r="B332" s="6" t="str" cm="1">
        <f t="array" ref="B332">_xlfn.SWITCH(LEFT(Tasks[[#This Row],[Status]],1),"O","Opened","C","Completed","S","Signed Off","ERROR")</f>
        <v>Opened</v>
      </c>
      <c r="C332" s="6" t="str" cm="1">
        <f t="array" ref="C332">_xlfn.SWITCH(LEFT(Tasks[[#This Row],[Type]], 2), "Fi", "Field Report", "Co", "Contractor QC", "Ge", "Contractor QC", "Pu", "Punch List")</f>
        <v>Field Report</v>
      </c>
      <c r="D332" s="6" t="str">
        <f>LEFT(Tasks[[#This Row],[Description]], 50)</f>
        <v>ARW 61-9 HSS post clip angles for posts at grid H1</v>
      </c>
      <c r="E332" s="6" t="str" cm="1">
        <f t="array" ref="E332">_xlfn.LET(
_xlpm.inTower, COUNTIF(Tower_Num_Table[Tower Rm Numbers], LEFT(Task_Summary_Table[[#This Row],[Area/Room]], 3)) &gt; 0,
_xlpm.typeResult, _xlfn.SWITCH(LEFT(Tasks[[#This Row],[Page]], 2), "Hi", "Historic", "An", "Annex", "Si", "Site", "S5", "Project Task", "SWITCH ERROR"),
IF(_xlpm.inTower, "West Tower", _xlpm.typeResult)
)</f>
        <v>Historic</v>
      </c>
      <c r="F332" t="str">
        <f>IFERROR(MID(Tasks[[#This Row],[Page]], FIND("Level", Tasks[[#This Row],[Page]]), 7), IF(ISNUMBER(FIND("Roof", Tasks[[#This Row],[Page]])), "Roof",  IF(ISNUMBER(FIND("S590", Tasks[[#This Row],[Page]])), "",  IF(ISNUMBER(FIND("Site", Tasks[[#This Row],[Page]])), "", "ERROR"))))</f>
        <v>Level 0</v>
      </c>
      <c r="G332" t="str">
        <f>IF(Tasks[[#This Row],[Location]]=0, "", Tasks[[#This Row],[Location]])</f>
        <v/>
      </c>
      <c r="H332" t="str">
        <f>Tasks[[#This Row],[To Package]]</f>
        <v>Structural Steel</v>
      </c>
      <c r="I332" t="str">
        <f>Tasks[[#This Row],[To Organisation]]</f>
        <v>Glassey Steel Works</v>
      </c>
    </row>
    <row r="333" spans="1:9" x14ac:dyDescent="0.35">
      <c r="A333" s="9" t="str">
        <f>HYPERLINK(_xlfn.CONCAT(Edit_URL,Tasks[[#This Row],[Ref]]),Tasks[[#This Row],[Ref]])</f>
        <v>T1.9541096</v>
      </c>
      <c r="B333" s="6" t="str" cm="1">
        <f t="array" ref="B333">_xlfn.SWITCH(LEFT(Tasks[[#This Row],[Status]],1),"O","Opened","C","Completed","S","Signed Off","ERROR")</f>
        <v>Opened</v>
      </c>
      <c r="C333" s="6" t="str" cm="1">
        <f t="array" ref="C333">_xlfn.SWITCH(LEFT(Tasks[[#This Row],[Type]], 2), "Fi", "Field Report", "Co", "Contractor QC", "Ge", "Contractor QC", "Pu", "Punch List")</f>
        <v>Field Report</v>
      </c>
      <c r="D333" s="6" t="str">
        <f>LEFT(Tasks[[#This Row],[Description]], 50)</f>
        <v>ARW 61-6 Duct opening at level 5 Noted a gap betwe</v>
      </c>
      <c r="E333" s="6" t="str" cm="1">
        <f t="array" ref="E333">_xlfn.LET(
_xlpm.inTower, COUNTIF(Tower_Num_Table[Tower Rm Numbers], LEFT(Task_Summary_Table[[#This Row],[Area/Room]], 3)) &gt; 0,
_xlpm.typeResult, _xlfn.SWITCH(LEFT(Tasks[[#This Row],[Page]], 2), "Hi", "Historic", "An", "Annex", "Si", "Site", "S5", "Project Task", "SWITCH ERROR"),
IF(_xlpm.inTower, "West Tower", _xlpm.typeResult)
)</f>
        <v>Historic</v>
      </c>
      <c r="F333" t="str">
        <f>IFERROR(MID(Tasks[[#This Row],[Page]], FIND("Level", Tasks[[#This Row],[Page]]), 7), IF(ISNUMBER(FIND("Roof", Tasks[[#This Row],[Page]])), "Roof",  IF(ISNUMBER(FIND("S590", Tasks[[#This Row],[Page]])), "",  IF(ISNUMBER(FIND("Site", Tasks[[#This Row],[Page]])), "", "ERROR"))))</f>
        <v>Level 5</v>
      </c>
      <c r="G333" t="str">
        <f>IF(Tasks[[#This Row],[Location]]=0, "", Tasks[[#This Row],[Location]])</f>
        <v/>
      </c>
      <c r="H333" t="str">
        <f>Tasks[[#This Row],[To Package]]</f>
        <v>Concrete</v>
      </c>
      <c r="I333" t="str">
        <f>Tasks[[#This Row],[To Organisation]]</f>
        <v>Innovative Concrete, LLC</v>
      </c>
    </row>
    <row r="334" spans="1:9" x14ac:dyDescent="0.35">
      <c r="A334" s="9" t="str">
        <f>HYPERLINK(_xlfn.CONCAT(Edit_URL,Tasks[[#This Row],[Ref]]),Tasks[[#This Row],[Ref]])</f>
        <v>T1.9541095</v>
      </c>
      <c r="B334" s="6" t="str" cm="1">
        <f t="array" ref="B334">_xlfn.SWITCH(LEFT(Tasks[[#This Row],[Status]],1),"O","Opened","C","Completed","S","Signed Off","ERROR")</f>
        <v>Opened</v>
      </c>
      <c r="C334" s="6" t="str" cm="1">
        <f t="array" ref="C334">_xlfn.SWITCH(LEFT(Tasks[[#This Row],[Type]], 2), "Fi", "Field Report", "Co", "Contractor QC", "Ge", "Contractor QC", "Pu", "Punch List")</f>
        <v>Field Report</v>
      </c>
      <c r="D334" s="6" t="str">
        <f>LEFT(Tasks[[#This Row],[Description]], 50)</f>
        <v>ARW 61-5 Mechanical opening infill at 3rd level No</v>
      </c>
      <c r="E334" s="6" t="str" cm="1">
        <f t="array" ref="E334">_xlfn.LET(
_xlpm.inTower, COUNTIF(Tower_Num_Table[Tower Rm Numbers], LEFT(Task_Summary_Table[[#This Row],[Area/Room]], 3)) &gt; 0,
_xlpm.typeResult, _xlfn.SWITCH(LEFT(Tasks[[#This Row],[Page]], 2), "Hi", "Historic", "An", "Annex", "Si", "Site", "S5", "Project Task", "SWITCH ERROR"),
IF(_xlpm.inTower, "West Tower", _xlpm.typeResult)
)</f>
        <v>Historic</v>
      </c>
      <c r="F334" t="str">
        <f>IFERROR(MID(Tasks[[#This Row],[Page]], FIND("Level", Tasks[[#This Row],[Page]]), 7), IF(ISNUMBER(FIND("Roof", Tasks[[#This Row],[Page]])), "Roof",  IF(ISNUMBER(FIND("S590", Tasks[[#This Row],[Page]])), "",  IF(ISNUMBER(FIND("Site", Tasks[[#This Row],[Page]])), "", "ERROR"))))</f>
        <v>Level 0</v>
      </c>
      <c r="G334" t="str">
        <f>IF(Tasks[[#This Row],[Location]]=0, "", Tasks[[#This Row],[Location]])</f>
        <v/>
      </c>
      <c r="H334" t="str">
        <f>Tasks[[#This Row],[To Package]]</f>
        <v>Concrete</v>
      </c>
      <c r="I334" t="str">
        <f>Tasks[[#This Row],[To Organisation]]</f>
        <v>Innovative Concrete, LLC</v>
      </c>
    </row>
    <row r="335" spans="1:9" x14ac:dyDescent="0.35">
      <c r="A335" s="9" t="str">
        <f>HYPERLINK(_xlfn.CONCAT(Edit_URL,Tasks[[#This Row],[Ref]]),Tasks[[#This Row],[Ref]])</f>
        <v>T1.9541094</v>
      </c>
      <c r="B335" s="6" t="str" cm="1">
        <f t="array" ref="B335">_xlfn.SWITCH(LEFT(Tasks[[#This Row],[Status]],1),"O","Opened","C","Completed","S","Signed Off","ERROR")</f>
        <v>Opened</v>
      </c>
      <c r="C335" s="6" t="str" cm="1">
        <f t="array" ref="C335">_xlfn.SWITCH(LEFT(Tasks[[#This Row],[Type]], 2), "Fi", "Field Report", "Co", "Contractor QC", "Ge", "Contractor QC", "Pu", "Punch List")</f>
        <v>Field Report</v>
      </c>
      <c r="D335" s="6" t="str">
        <f>LEFT(Tasks[[#This Row],[Description]], 50)</f>
        <v>ARW 61-4 - Top of LVL studs at level 4 Discussed t</v>
      </c>
      <c r="E335" s="6" t="str" cm="1">
        <f t="array" ref="E335">_xlfn.LET(
_xlpm.inTower, COUNTIF(Tower_Num_Table[Tower Rm Numbers], LEFT(Task_Summary_Table[[#This Row],[Area/Room]], 3)) &gt; 0,
_xlpm.typeResult, _xlfn.SWITCH(LEFT(Tasks[[#This Row],[Page]], 2), "Hi", "Historic", "An", "Annex", "Si", "Site", "S5", "Project Task", "SWITCH ERROR"),
IF(_xlpm.inTower, "West Tower", _xlpm.typeResult)
)</f>
        <v>Historic</v>
      </c>
      <c r="F335" t="str">
        <f>IFERROR(MID(Tasks[[#This Row],[Page]], FIND("Level", Tasks[[#This Row],[Page]]), 7), IF(ISNUMBER(FIND("Roof", Tasks[[#This Row],[Page]])), "Roof",  IF(ISNUMBER(FIND("S590", Tasks[[#This Row],[Page]])), "",  IF(ISNUMBER(FIND("Site", Tasks[[#This Row],[Page]])), "", "ERROR"))))</f>
        <v>Level 0</v>
      </c>
      <c r="G335" t="str">
        <f>IF(Tasks[[#This Row],[Location]]=0, "", Tasks[[#This Row],[Location]])</f>
        <v/>
      </c>
      <c r="H335" t="str">
        <f>Tasks[[#This Row],[To Package]]</f>
        <v>Wood Framing</v>
      </c>
      <c r="I335" t="str">
        <f>Tasks[[#This Row],[To Organisation]]</f>
        <v>Rockhill Construction</v>
      </c>
    </row>
    <row r="336" spans="1:9" x14ac:dyDescent="0.35">
      <c r="A336" s="9" t="str">
        <f>HYPERLINK(_xlfn.CONCAT(Edit_URL,Tasks[[#This Row],[Ref]]),Tasks[[#This Row],[Ref]])</f>
        <v>T1.9541093</v>
      </c>
      <c r="B336" s="6" t="str" cm="1">
        <f t="array" ref="B336">_xlfn.SWITCH(LEFT(Tasks[[#This Row],[Status]],1),"O","Opened","C","Completed","S","Signed Off","ERROR")</f>
        <v>Opened</v>
      </c>
      <c r="C336" s="6" t="str" cm="1">
        <f t="array" ref="C336">_xlfn.SWITCH(LEFT(Tasks[[#This Row],[Type]], 2), "Fi", "Field Report", "Co", "Contractor QC", "Ge", "Contractor QC", "Pu", "Punch List")</f>
        <v>Field Report</v>
      </c>
      <c r="D336" s="6" t="str">
        <f>LEFT(Tasks[[#This Row],[Description]], 50)</f>
        <v>ARW 61-3 - Space between clip anchor and stone col</v>
      </c>
      <c r="E336" s="6" t="str" cm="1">
        <f t="array" ref="E336">_xlfn.LET(
_xlpm.inTower, COUNTIF(Tower_Num_Table[Tower Rm Numbers], LEFT(Task_Summary_Table[[#This Row],[Area/Room]], 3)) &gt; 0,
_xlpm.typeResult, _xlfn.SWITCH(LEFT(Tasks[[#This Row],[Page]], 2), "Hi", "Historic", "An", "Annex", "Si", "Site", "S5", "Project Task", "SWITCH ERROR"),
IF(_xlpm.inTower, "West Tower", _xlpm.typeResult)
)</f>
        <v>Historic</v>
      </c>
      <c r="F336" t="str">
        <f>IFERROR(MID(Tasks[[#This Row],[Page]], FIND("Level", Tasks[[#This Row],[Page]]), 7), IF(ISNUMBER(FIND("Roof", Tasks[[#This Row],[Page]])), "Roof",  IF(ISNUMBER(FIND("S590", Tasks[[#This Row],[Page]])), "",  IF(ISNUMBER(FIND("Site", Tasks[[#This Row],[Page]])), "", "ERROR"))))</f>
        <v>Level 0</v>
      </c>
      <c r="G336" t="str">
        <f>IF(Tasks[[#This Row],[Location]]=0, "", Tasks[[#This Row],[Location]])</f>
        <v/>
      </c>
      <c r="H336" t="str">
        <f>Tasks[[#This Row],[To Package]]</f>
        <v>Structural Steel</v>
      </c>
      <c r="I336" t="str">
        <f>Tasks[[#This Row],[To Organisation]]</f>
        <v>Glassey Steel Works</v>
      </c>
    </row>
    <row r="337" spans="1:9" x14ac:dyDescent="0.35">
      <c r="A337" s="9" t="str">
        <f>HYPERLINK(_xlfn.CONCAT(Edit_URL,Tasks[[#This Row],[Ref]]),Tasks[[#This Row],[Ref]])</f>
        <v>T1.9541092</v>
      </c>
      <c r="B337" s="6" t="str" cm="1">
        <f t="array" ref="B337">_xlfn.SWITCH(LEFT(Tasks[[#This Row],[Status]],1),"O","Opened","C","Completed","S","Signed Off","ERROR")</f>
        <v>Opened</v>
      </c>
      <c r="C337" s="6" t="str" cm="1">
        <f t="array" ref="C337">_xlfn.SWITCH(LEFT(Tasks[[#This Row],[Type]], 2), "Fi", "Field Report", "Co", "Contractor QC", "Ge", "Contractor QC", "Pu", "Punch List")</f>
        <v>Field Report</v>
      </c>
      <c r="D337" s="6" t="str">
        <f>LEFT(Tasks[[#This Row],[Description]], 50)</f>
        <v>ARW 59.7 – The existing ceiling framing of the Lev</v>
      </c>
      <c r="E337" s="6" t="str" cm="1">
        <f t="array" ref="E337">_xlfn.LET(
_xlpm.inTower, COUNTIF(Tower_Num_Table[Tower Rm Numbers], LEFT(Task_Summary_Table[[#This Row],[Area/Room]], 3)) &gt; 0,
_xlpm.typeResult, _xlfn.SWITCH(LEFT(Tasks[[#This Row],[Page]], 2), "Hi", "Historic", "An", "Annex", "Si", "Site", "S5", "Project Task", "SWITCH ERROR"),
IF(_xlpm.inTower, "West Tower", _xlpm.typeResult)
)</f>
        <v>Historic</v>
      </c>
      <c r="F337" t="str">
        <f>IFERROR(MID(Tasks[[#This Row],[Page]], FIND("Level", Tasks[[#This Row],[Page]]), 7), IF(ISNUMBER(FIND("Roof", Tasks[[#This Row],[Page]])), "Roof",  IF(ISNUMBER(FIND("S590", Tasks[[#This Row],[Page]])), "",  IF(ISNUMBER(FIND("Site", Tasks[[#This Row],[Page]])), "", "ERROR"))))</f>
        <v>Level 0</v>
      </c>
      <c r="G337" t="str">
        <f>IF(Tasks[[#This Row],[Location]]=0, "", Tasks[[#This Row],[Location]])</f>
        <v/>
      </c>
      <c r="H337" t="str">
        <f>Tasks[[#This Row],[To Package]]</f>
        <v>Structural Steel</v>
      </c>
      <c r="I337" t="str">
        <f>Tasks[[#This Row],[To Organisation]]</f>
        <v>Glassey Steel Works</v>
      </c>
    </row>
    <row r="338" spans="1:9" x14ac:dyDescent="0.35">
      <c r="A338" s="9" t="str">
        <f>HYPERLINK(_xlfn.CONCAT(Edit_URL,Tasks[[#This Row],[Ref]]),Tasks[[#This Row],[Ref]])</f>
        <v>T1.9541091</v>
      </c>
      <c r="B338" s="6" t="str" cm="1">
        <f t="array" ref="B338">_xlfn.SWITCH(LEFT(Tasks[[#This Row],[Status]],1),"O","Opened","C","Completed","S","Signed Off","ERROR")</f>
        <v>Opened</v>
      </c>
      <c r="C338" s="6" t="str" cm="1">
        <f t="array" ref="C338">_xlfn.SWITCH(LEFT(Tasks[[#This Row],[Type]], 2), "Fi", "Field Report", "Co", "Contractor QC", "Ge", "Contractor QC", "Pu", "Punch List")</f>
        <v>Field Report</v>
      </c>
      <c r="D338" s="6" t="str">
        <f>LEFT(Tasks[[#This Row],[Description]], 50)</f>
        <v>ARW 59.6 – The channel on the east side of the woo</v>
      </c>
      <c r="E338" s="6" t="str" cm="1">
        <f t="array" ref="E338">_xlfn.LET(
_xlpm.inTower, COUNTIF(Tower_Num_Table[Tower Rm Numbers], LEFT(Task_Summary_Table[[#This Row],[Area/Room]], 3)) &gt; 0,
_xlpm.typeResult, _xlfn.SWITCH(LEFT(Tasks[[#This Row],[Page]], 2), "Hi", "Historic", "An", "Annex", "Si", "Site", "S5", "Project Task", "SWITCH ERROR"),
IF(_xlpm.inTower, "West Tower", _xlpm.typeResult)
)</f>
        <v>Historic</v>
      </c>
      <c r="F338" t="str">
        <f>IFERROR(MID(Tasks[[#This Row],[Page]], FIND("Level", Tasks[[#This Row],[Page]]), 7), IF(ISNUMBER(FIND("Roof", Tasks[[#This Row],[Page]])), "Roof",  IF(ISNUMBER(FIND("S590", Tasks[[#This Row],[Page]])), "",  IF(ISNUMBER(FIND("Site", Tasks[[#This Row],[Page]])), "", "ERROR"))))</f>
        <v>Level 0</v>
      </c>
      <c r="G338" t="str">
        <f>IF(Tasks[[#This Row],[Location]]=0, "", Tasks[[#This Row],[Location]])</f>
        <v/>
      </c>
      <c r="H338" t="str">
        <f>Tasks[[#This Row],[To Package]]</f>
        <v>Structural Steel</v>
      </c>
      <c r="I338" t="str">
        <f>Tasks[[#This Row],[To Organisation]]</f>
        <v>Glassey Steel Works</v>
      </c>
    </row>
    <row r="339" spans="1:9" x14ac:dyDescent="0.35">
      <c r="A339" s="9" t="str">
        <f>HYPERLINK(_xlfn.CONCAT(Edit_URL,Tasks[[#This Row],[Ref]]),Tasks[[#This Row],[Ref]])</f>
        <v>T1.9541090</v>
      </c>
      <c r="B339" s="6" t="str" cm="1">
        <f t="array" ref="B339">_xlfn.SWITCH(LEFT(Tasks[[#This Row],[Status]],1),"O","Opened","C","Completed","S","Signed Off","ERROR")</f>
        <v>Opened</v>
      </c>
      <c r="C339" s="6" t="str" cm="1">
        <f t="array" ref="C339">_xlfn.SWITCH(LEFT(Tasks[[#This Row],[Type]], 2), "Fi", "Field Report", "Co", "Contractor QC", "Ge", "Contractor QC", "Pu", "Punch List")</f>
        <v>Field Report</v>
      </c>
      <c r="D339" s="6" t="str">
        <f>LEFT(Tasks[[#This Row],[Description]], 50)</f>
        <v>ARW 59.4 – There are several holes in the stone wa</v>
      </c>
      <c r="E339" s="6" t="str" cm="1">
        <f t="array" ref="E339">_xlfn.LET(
_xlpm.inTower, COUNTIF(Tower_Num_Table[Tower Rm Numbers], LEFT(Task_Summary_Table[[#This Row],[Area/Room]], 3)) &gt; 0,
_xlpm.typeResult, _xlfn.SWITCH(LEFT(Tasks[[#This Row],[Page]], 2), "Hi", "Historic", "An", "Annex", "Si", "Site", "S5", "Project Task", "SWITCH ERROR"),
IF(_xlpm.inTower, "West Tower", _xlpm.typeResult)
)</f>
        <v>Historic</v>
      </c>
      <c r="F339" t="str">
        <f>IFERROR(MID(Tasks[[#This Row],[Page]], FIND("Level", Tasks[[#This Row],[Page]]), 7), IF(ISNUMBER(FIND("Roof", Tasks[[#This Row],[Page]])), "Roof",  IF(ISNUMBER(FIND("S590", Tasks[[#This Row],[Page]])), "",  IF(ISNUMBER(FIND("Site", Tasks[[#This Row],[Page]])), "", "ERROR"))))</f>
        <v>Level 0</v>
      </c>
      <c r="G339" t="str">
        <f>IF(Tasks[[#This Row],[Location]]=0, "", Tasks[[#This Row],[Location]])</f>
        <v/>
      </c>
      <c r="H339" t="str">
        <f>Tasks[[#This Row],[To Package]]</f>
        <v>Concrete</v>
      </c>
      <c r="I339" t="str">
        <f>Tasks[[#This Row],[To Organisation]]</f>
        <v>Innovative Concrete, LLC</v>
      </c>
    </row>
    <row r="340" spans="1:9" x14ac:dyDescent="0.35">
      <c r="A340" s="9" t="str">
        <f>HYPERLINK(_xlfn.CONCAT(Edit_URL,Tasks[[#This Row],[Ref]]),Tasks[[#This Row],[Ref]])</f>
        <v>T1.9541089</v>
      </c>
      <c r="B340" s="6" t="str" cm="1">
        <f t="array" ref="B340">_xlfn.SWITCH(LEFT(Tasks[[#This Row],[Status]],1),"O","Opened","C","Completed","S","Signed Off","ERROR")</f>
        <v>Opened</v>
      </c>
      <c r="C340" s="6" t="str" cm="1">
        <f t="array" ref="C340">_xlfn.SWITCH(LEFT(Tasks[[#This Row],[Type]], 2), "Fi", "Field Report", "Co", "Contractor QC", "Ge", "Contractor QC", "Pu", "Punch List")</f>
        <v>Field Report</v>
      </c>
      <c r="D340" s="6" t="str">
        <f>LEFT(Tasks[[#This Row],[Description]], 50)</f>
        <v xml:space="preserve">ARW 59.4 - Level 0.5 closet opening was discussed </v>
      </c>
      <c r="E340" s="6" t="str" cm="1">
        <f t="array" ref="E340">_xlfn.LET(
_xlpm.inTower, COUNTIF(Tower_Num_Table[Tower Rm Numbers], LEFT(Task_Summary_Table[[#This Row],[Area/Room]], 3)) &gt; 0,
_xlpm.typeResult, _xlfn.SWITCH(LEFT(Tasks[[#This Row],[Page]], 2), "Hi", "Historic", "An", "Annex", "Si", "Site", "S5", "Project Task", "SWITCH ERROR"),
IF(_xlpm.inTower, "West Tower", _xlpm.typeResult)
)</f>
        <v>Historic</v>
      </c>
      <c r="F340" t="str">
        <f>IFERROR(MID(Tasks[[#This Row],[Page]], FIND("Level", Tasks[[#This Row],[Page]]), 7), IF(ISNUMBER(FIND("Roof", Tasks[[#This Row],[Page]])), "Roof",  IF(ISNUMBER(FIND("S590", Tasks[[#This Row],[Page]])), "",  IF(ISNUMBER(FIND("Site", Tasks[[#This Row],[Page]])), "", "ERROR"))))</f>
        <v>Level 0</v>
      </c>
      <c r="G340" t="str">
        <f>IF(Tasks[[#This Row],[Location]]=0, "", Tasks[[#This Row],[Location]])</f>
        <v/>
      </c>
      <c r="H340" t="str">
        <f>Tasks[[#This Row],[To Package]]</f>
        <v>Concrete</v>
      </c>
      <c r="I340" t="str">
        <f>Tasks[[#This Row],[To Organisation]]</f>
        <v>Innovative Concrete, LLC</v>
      </c>
    </row>
    <row r="341" spans="1:9" x14ac:dyDescent="0.35">
      <c r="A341" s="9" t="str">
        <f>HYPERLINK(_xlfn.CONCAT(Edit_URL,Tasks[[#This Row],[Ref]]),Tasks[[#This Row],[Ref]])</f>
        <v>T1.9541088</v>
      </c>
      <c r="B341" s="6" t="str" cm="1">
        <f t="array" ref="B341">_xlfn.SWITCH(LEFT(Tasks[[#This Row],[Status]],1),"O","Opened","C","Completed","S","Signed Off","ERROR")</f>
        <v>Opened</v>
      </c>
      <c r="C341" s="6" t="str" cm="1">
        <f t="array" ref="C341">_xlfn.SWITCH(LEFT(Tasks[[#This Row],[Type]], 2), "Fi", "Field Report", "Co", "Contractor QC", "Ge", "Contractor QC", "Pu", "Punch List")</f>
        <v>Field Report</v>
      </c>
      <c r="D341" s="6" t="str">
        <f>LEFT(Tasks[[#This Row],[Description]], 50)</f>
        <v>ARW 59.2 - The LVL wall on the 2nd floor on Grid H</v>
      </c>
      <c r="E341" s="6" t="str" cm="1">
        <f t="array" ref="E341">_xlfn.LET(
_xlpm.inTower, COUNTIF(Tower_Num_Table[Tower Rm Numbers], LEFT(Task_Summary_Table[[#This Row],[Area/Room]], 3)) &gt; 0,
_xlpm.typeResult, _xlfn.SWITCH(LEFT(Tasks[[#This Row],[Page]], 2), "Hi", "Historic", "An", "Annex", "Si", "Site", "S5", "Project Task", "SWITCH ERROR"),
IF(_xlpm.inTower, "West Tower", _xlpm.typeResult)
)</f>
        <v>Historic</v>
      </c>
      <c r="F341" t="str">
        <f>IFERROR(MID(Tasks[[#This Row],[Page]], FIND("Level", Tasks[[#This Row],[Page]]), 7), IF(ISNUMBER(FIND("Roof", Tasks[[#This Row],[Page]])), "Roof",  IF(ISNUMBER(FIND("S590", Tasks[[#This Row],[Page]])), "",  IF(ISNUMBER(FIND("Site", Tasks[[#This Row],[Page]])), "", "ERROR"))))</f>
        <v>Level 2</v>
      </c>
      <c r="G341" t="str">
        <f>IF(Tasks[[#This Row],[Location]]=0, "", Tasks[[#This Row],[Location]])</f>
        <v>211 - Instruction Room B</v>
      </c>
      <c r="H341" t="str">
        <f>Tasks[[#This Row],[To Package]]</f>
        <v>Wood Framing</v>
      </c>
      <c r="I341" t="str">
        <f>Tasks[[#This Row],[To Organisation]]</f>
        <v>Rockhill Construction</v>
      </c>
    </row>
    <row r="342" spans="1:9" x14ac:dyDescent="0.35">
      <c r="A342" s="9" t="str">
        <f>HYPERLINK(_xlfn.CONCAT(Edit_URL,Tasks[[#This Row],[Ref]]),Tasks[[#This Row],[Ref]])</f>
        <v>T1.9541087</v>
      </c>
      <c r="B342" s="6" t="str" cm="1">
        <f t="array" ref="B342">_xlfn.SWITCH(LEFT(Tasks[[#This Row],[Status]],1),"O","Opened","C","Completed","S","Signed Off","ERROR")</f>
        <v>Opened</v>
      </c>
      <c r="C342" s="6" t="str" cm="1">
        <f t="array" ref="C342">_xlfn.SWITCH(LEFT(Tasks[[#This Row],[Type]], 2), "Fi", "Field Report", "Co", "Contractor QC", "Ge", "Contractor QC", "Pu", "Punch List")</f>
        <v>Field Report</v>
      </c>
      <c r="D342" s="6" t="str">
        <f>LEFT(Tasks[[#This Row],[Description]], 50)</f>
        <v>ARW Field Report 59.1 - Josh asked if the new conc</v>
      </c>
      <c r="E342" s="6" t="str" cm="1">
        <f t="array" ref="E342">_xlfn.LET(
_xlpm.inTower, COUNTIF(Tower_Num_Table[Tower Rm Numbers], LEFT(Task_Summary_Table[[#This Row],[Area/Room]], 3)) &gt; 0,
_xlpm.typeResult, _xlfn.SWITCH(LEFT(Tasks[[#This Row],[Page]], 2), "Hi", "Historic", "An", "Annex", "Si", "Site", "S5", "Project Task", "SWITCH ERROR"),
IF(_xlpm.inTower, "West Tower", _xlpm.typeResult)
)</f>
        <v>Historic</v>
      </c>
      <c r="F342" t="str">
        <f>IFERROR(MID(Tasks[[#This Row],[Page]], FIND("Level", Tasks[[#This Row],[Page]]), 7), IF(ISNUMBER(FIND("Roof", Tasks[[#This Row],[Page]])), "Roof",  IF(ISNUMBER(FIND("S590", Tasks[[#This Row],[Page]])), "",  IF(ISNUMBER(FIND("Site", Tasks[[#This Row],[Page]])), "", "ERROR"))))</f>
        <v>Level 1</v>
      </c>
      <c r="G342" t="str">
        <f>IF(Tasks[[#This Row],[Location]]=0, "", Tasks[[#This Row],[Location]])</f>
        <v/>
      </c>
      <c r="H342" t="str">
        <f>Tasks[[#This Row],[To Package]]</f>
        <v>Concrete</v>
      </c>
      <c r="I342" t="str">
        <f>Tasks[[#This Row],[To Organisation]]</f>
        <v>Innovative Concrete, LLC</v>
      </c>
    </row>
    <row r="343" spans="1:9" x14ac:dyDescent="0.35">
      <c r="A343" s="9" t="str">
        <f>HYPERLINK(_xlfn.CONCAT(Edit_URL,Tasks[[#This Row],[Ref]]),Tasks[[#This Row],[Ref]])</f>
        <v>T1.9539631</v>
      </c>
      <c r="B343" s="6" t="str" cm="1">
        <f t="array" ref="B343">_xlfn.SWITCH(LEFT(Tasks[[#This Row],[Status]],1),"O","Opened","C","Completed","S","Signed Off","ERROR")</f>
        <v>Signed Off</v>
      </c>
      <c r="C343" s="6" t="str" cm="1">
        <f t="array" ref="C343">_xlfn.SWITCH(LEFT(Tasks[[#This Row],[Type]], 2), "Fi", "Field Report", "Co", "Contractor QC", "Ge", "Contractor QC", "Pu", "Punch List")</f>
        <v>Field Report</v>
      </c>
      <c r="D343" s="6" t="str">
        <f>LEFT(Tasks[[#This Row],[Description]], 50)</f>
        <v xml:space="preserve">Electrical Observation Report: 4/16/2021; Item 19
</v>
      </c>
      <c r="E343" s="6" t="str" cm="1">
        <f t="array" ref="E343">_xlfn.LET(
_xlpm.inTower, COUNTIF(Tower_Num_Table[Tower Rm Numbers], LEFT(Task_Summary_Table[[#This Row],[Area/Room]], 3)) &gt; 0,
_xlpm.typeResult, _xlfn.SWITCH(LEFT(Tasks[[#This Row],[Page]], 2), "Hi", "Historic", "An", "Annex", "Si", "Site", "S5", "Project Task", "SWITCH ERROR"),
IF(_xlpm.inTower, "West Tower", _xlpm.typeResult)
)</f>
        <v>Historic</v>
      </c>
      <c r="F343" t="str">
        <f>IFERROR(MID(Tasks[[#This Row],[Page]], FIND("Level", Tasks[[#This Row],[Page]]), 7), IF(ISNUMBER(FIND("Roof", Tasks[[#This Row],[Page]])), "Roof",  IF(ISNUMBER(FIND("S590", Tasks[[#This Row],[Page]])), "",  IF(ISNUMBER(FIND("Site", Tasks[[#This Row],[Page]])), "", "ERROR"))))</f>
        <v>Level 3</v>
      </c>
      <c r="G343" t="str">
        <f>IF(Tasks[[#This Row],[Location]]=0, "", Tasks[[#This Row],[Location]])</f>
        <v/>
      </c>
      <c r="H343" t="str">
        <f>Tasks[[#This Row],[To Package]]</f>
        <v>Electrical</v>
      </c>
      <c r="I343" t="str">
        <f>Tasks[[#This Row],[To Organisation]]</f>
        <v>Wilkinson Electric Inc</v>
      </c>
    </row>
    <row r="344" spans="1:9" x14ac:dyDescent="0.35">
      <c r="A344" s="9" t="str">
        <f>HYPERLINK(_xlfn.CONCAT(Edit_URL,Tasks[[#This Row],[Ref]]),Tasks[[#This Row],[Ref]])</f>
        <v>T1.9539630</v>
      </c>
      <c r="B344" s="6" t="str" cm="1">
        <f t="array" ref="B344">_xlfn.SWITCH(LEFT(Tasks[[#This Row],[Status]],1),"O","Opened","C","Completed","S","Signed Off","ERROR")</f>
        <v>Signed Off</v>
      </c>
      <c r="C344" s="6" t="str" cm="1">
        <f t="array" ref="C344">_xlfn.SWITCH(LEFT(Tasks[[#This Row],[Type]], 2), "Fi", "Field Report", "Co", "Contractor QC", "Ge", "Contractor QC", "Pu", "Punch List")</f>
        <v>Field Report</v>
      </c>
      <c r="D344" s="6" t="str">
        <f>LEFT(Tasks[[#This Row],[Description]], 50)</f>
        <v xml:space="preserve">Electrical Observation Report: 4/16/2021; Item 16
</v>
      </c>
      <c r="E344" s="6" t="str" cm="1">
        <f t="array" ref="E344">_xlfn.LET(
_xlpm.inTower, COUNTIF(Tower_Num_Table[Tower Rm Numbers], LEFT(Task_Summary_Table[[#This Row],[Area/Room]], 3)) &gt; 0,
_xlpm.typeResult, _xlfn.SWITCH(LEFT(Tasks[[#This Row],[Page]], 2), "Hi", "Historic", "An", "Annex", "Si", "Site", "S5", "Project Task", "SWITCH ERROR"),
IF(_xlpm.inTower, "West Tower", _xlpm.typeResult)
)</f>
        <v>Historic</v>
      </c>
      <c r="F344" t="str">
        <f>IFERROR(MID(Tasks[[#This Row],[Page]], FIND("Level", Tasks[[#This Row],[Page]]), 7), IF(ISNUMBER(FIND("Roof", Tasks[[#This Row],[Page]])), "Roof",  IF(ISNUMBER(FIND("S590", Tasks[[#This Row],[Page]])), "",  IF(ISNUMBER(FIND("Site", Tasks[[#This Row],[Page]])), "", "ERROR"))))</f>
        <v>Level 3</v>
      </c>
      <c r="G344" t="str">
        <f>IF(Tasks[[#This Row],[Location]]=0, "", Tasks[[#This Row],[Location]])</f>
        <v/>
      </c>
      <c r="H344" t="str">
        <f>Tasks[[#This Row],[To Package]]</f>
        <v>Electrical</v>
      </c>
      <c r="I344" t="str">
        <f>Tasks[[#This Row],[To Organisation]]</f>
        <v>Wilkinson Electric Inc</v>
      </c>
    </row>
    <row r="345" spans="1:9" x14ac:dyDescent="0.35">
      <c r="A345" s="9" t="str">
        <f>HYPERLINK(_xlfn.CONCAT(Edit_URL,Tasks[[#This Row],[Ref]]),Tasks[[#This Row],[Ref]])</f>
        <v>T1.9539629</v>
      </c>
      <c r="B345" s="6" t="str" cm="1">
        <f t="array" ref="B345">_xlfn.SWITCH(LEFT(Tasks[[#This Row],[Status]],1),"O","Opened","C","Completed","S","Signed Off","ERROR")</f>
        <v>Signed Off</v>
      </c>
      <c r="C345" s="6" t="str" cm="1">
        <f t="array" ref="C345">_xlfn.SWITCH(LEFT(Tasks[[#This Row],[Type]], 2), "Fi", "Field Report", "Co", "Contractor QC", "Ge", "Contractor QC", "Pu", "Punch List")</f>
        <v>Field Report</v>
      </c>
      <c r="D345" s="6" t="str">
        <f>LEFT(Tasks[[#This Row],[Description]], 50)</f>
        <v xml:space="preserve">Electrical Observation Report: 4/16/2021; Item 13
</v>
      </c>
      <c r="E345" s="6" t="str" cm="1">
        <f t="array" ref="E345">_xlfn.LET(
_xlpm.inTower, COUNTIF(Tower_Num_Table[Tower Rm Numbers], LEFT(Task_Summary_Table[[#This Row],[Area/Room]], 3)) &gt; 0,
_xlpm.typeResult, _xlfn.SWITCH(LEFT(Tasks[[#This Row],[Page]], 2), "Hi", "Historic", "An", "Annex", "Si", "Site", "S5", "Project Task", "SWITCH ERROR"),
IF(_xlpm.inTower, "West Tower", _xlpm.typeResult)
)</f>
        <v>Historic</v>
      </c>
      <c r="F345" t="str">
        <f>IFERROR(MID(Tasks[[#This Row],[Page]], FIND("Level", Tasks[[#This Row],[Page]]), 7), IF(ISNUMBER(FIND("Roof", Tasks[[#This Row],[Page]])), "Roof",  IF(ISNUMBER(FIND("S590", Tasks[[#This Row],[Page]])), "",  IF(ISNUMBER(FIND("Site", Tasks[[#This Row],[Page]])), "", "ERROR"))))</f>
        <v>Level 0</v>
      </c>
      <c r="G345" t="str">
        <f>IF(Tasks[[#This Row],[Location]]=0, "", Tasks[[#This Row],[Location]])</f>
        <v/>
      </c>
      <c r="H345" t="str">
        <f>Tasks[[#This Row],[To Package]]</f>
        <v>Electrical</v>
      </c>
      <c r="I345" t="str">
        <f>Tasks[[#This Row],[To Organisation]]</f>
        <v>Wilkinson Electric Inc</v>
      </c>
    </row>
    <row r="346" spans="1:9" x14ac:dyDescent="0.35">
      <c r="A346" s="9" t="str">
        <f>HYPERLINK(_xlfn.CONCAT(Edit_URL,Tasks[[#This Row],[Ref]]),Tasks[[#This Row],[Ref]])</f>
        <v>T1.9539628</v>
      </c>
      <c r="B346" s="6" t="str" cm="1">
        <f t="array" ref="B346">_xlfn.SWITCH(LEFT(Tasks[[#This Row],[Status]],1),"O","Opened","C","Completed","S","Signed Off","ERROR")</f>
        <v>Signed Off</v>
      </c>
      <c r="C346" s="6" t="str" cm="1">
        <f t="array" ref="C346">_xlfn.SWITCH(LEFT(Tasks[[#This Row],[Type]], 2), "Fi", "Field Report", "Co", "Contractor QC", "Ge", "Contractor QC", "Pu", "Punch List")</f>
        <v>Field Report</v>
      </c>
      <c r="D346" s="6" t="str">
        <f>LEFT(Tasks[[#This Row],[Description]], 50)</f>
        <v xml:space="preserve">Electrical Observation Report: 4/16/2021; Item 12
</v>
      </c>
      <c r="E346" s="6" t="str" cm="1">
        <f t="array" ref="E346">_xlfn.LET(
_xlpm.inTower, COUNTIF(Tower_Num_Table[Tower Rm Numbers], LEFT(Task_Summary_Table[[#This Row],[Area/Room]], 3)) &gt; 0,
_xlpm.typeResult, _xlfn.SWITCH(LEFT(Tasks[[#This Row],[Page]], 2), "Hi", "Historic", "An", "Annex", "Si", "Site", "S5", "Project Task", "SWITCH ERROR"),
IF(_xlpm.inTower, "West Tower", _xlpm.typeResult)
)</f>
        <v>Annex</v>
      </c>
      <c r="F346" t="str">
        <f>IFERROR(MID(Tasks[[#This Row],[Page]], FIND("Level", Tasks[[#This Row],[Page]]), 7), IF(ISNUMBER(FIND("Roof", Tasks[[#This Row],[Page]])), "Roof",  IF(ISNUMBER(FIND("S590", Tasks[[#This Row],[Page]])), "",  IF(ISNUMBER(FIND("Site", Tasks[[#This Row],[Page]])), "", "ERROR"))))</f>
        <v>Level 1</v>
      </c>
      <c r="G346" t="str">
        <f>IF(Tasks[[#This Row],[Location]]=0, "", Tasks[[#This Row],[Location]])</f>
        <v/>
      </c>
      <c r="H346" t="str">
        <f>Tasks[[#This Row],[To Package]]</f>
        <v>Electrical</v>
      </c>
      <c r="I346" t="str">
        <f>Tasks[[#This Row],[To Organisation]]</f>
        <v>Wilkinson Electric Inc</v>
      </c>
    </row>
    <row r="347" spans="1:9" x14ac:dyDescent="0.35">
      <c r="A347" s="9" t="str">
        <f>HYPERLINK(_xlfn.CONCAT(Edit_URL,Tasks[[#This Row],[Ref]]),Tasks[[#This Row],[Ref]])</f>
        <v>T1.9539627</v>
      </c>
      <c r="B347" s="6" t="str" cm="1">
        <f t="array" ref="B347">_xlfn.SWITCH(LEFT(Tasks[[#This Row],[Status]],1),"O","Opened","C","Completed","S","Signed Off","ERROR")</f>
        <v>Signed Off</v>
      </c>
      <c r="C347" s="6" t="str" cm="1">
        <f t="array" ref="C347">_xlfn.SWITCH(LEFT(Tasks[[#This Row],[Type]], 2), "Fi", "Field Report", "Co", "Contractor QC", "Ge", "Contractor QC", "Pu", "Punch List")</f>
        <v>Field Report</v>
      </c>
      <c r="D347" s="6" t="str">
        <f>LEFT(Tasks[[#This Row],[Description]], 50)</f>
        <v xml:space="preserve">Electrical Observation Report: 4/16/2021; Item 11
</v>
      </c>
      <c r="E347" s="6" t="str" cm="1">
        <f t="array" ref="E347">_xlfn.LET(
_xlpm.inTower, COUNTIF(Tower_Num_Table[Tower Rm Numbers], LEFT(Task_Summary_Table[[#This Row],[Area/Room]], 3)) &gt; 0,
_xlpm.typeResult, _xlfn.SWITCH(LEFT(Tasks[[#This Row],[Page]], 2), "Hi", "Historic", "An", "Annex", "Si", "Site", "S5", "Project Task", "SWITCH ERROR"),
IF(_xlpm.inTower, "West Tower", _xlpm.typeResult)
)</f>
        <v>Annex</v>
      </c>
      <c r="F347" t="str">
        <f>IFERROR(MID(Tasks[[#This Row],[Page]], FIND("Level", Tasks[[#This Row],[Page]]), 7), IF(ISNUMBER(FIND("Roof", Tasks[[#This Row],[Page]])), "Roof",  IF(ISNUMBER(FIND("S590", Tasks[[#This Row],[Page]])), "",  IF(ISNUMBER(FIND("Site", Tasks[[#This Row],[Page]])), "", "ERROR"))))</f>
        <v>Level 1</v>
      </c>
      <c r="G347" t="str">
        <f>IF(Tasks[[#This Row],[Location]]=0, "", Tasks[[#This Row],[Location]])</f>
        <v/>
      </c>
      <c r="H347" t="str">
        <f>Tasks[[#This Row],[To Package]]</f>
        <v>Electrical</v>
      </c>
      <c r="I347" t="str">
        <f>Tasks[[#This Row],[To Organisation]]</f>
        <v>Wilkinson Electric Inc</v>
      </c>
    </row>
    <row r="348" spans="1:9" x14ac:dyDescent="0.35">
      <c r="A348" s="9" t="str">
        <f>HYPERLINK(_xlfn.CONCAT(Edit_URL,Tasks[[#This Row],[Ref]]),Tasks[[#This Row],[Ref]])</f>
        <v>T1.9539626</v>
      </c>
      <c r="B348" s="6" t="str" cm="1">
        <f t="array" ref="B348">_xlfn.SWITCH(LEFT(Tasks[[#This Row],[Status]],1),"O","Opened","C","Completed","S","Signed Off","ERROR")</f>
        <v>Signed Off</v>
      </c>
      <c r="C348" s="6" t="str" cm="1">
        <f t="array" ref="C348">_xlfn.SWITCH(LEFT(Tasks[[#This Row],[Type]], 2), "Fi", "Field Report", "Co", "Contractor QC", "Ge", "Contractor QC", "Pu", "Punch List")</f>
        <v>Field Report</v>
      </c>
      <c r="D348" s="6" t="str">
        <f>LEFT(Tasks[[#This Row],[Description]], 50)</f>
        <v>Electrical Observation Report: 4/16/2021; Item 9
A</v>
      </c>
      <c r="E348" s="6" t="str" cm="1">
        <f t="array" ref="E348">_xlfn.LET(
_xlpm.inTower, COUNTIF(Tower_Num_Table[Tower Rm Numbers], LEFT(Task_Summary_Table[[#This Row],[Area/Room]], 3)) &gt; 0,
_xlpm.typeResult, _xlfn.SWITCH(LEFT(Tasks[[#This Row],[Page]], 2), "Hi", "Historic", "An", "Annex", "Si", "Site", "S5", "Project Task", "SWITCH ERROR"),
IF(_xlpm.inTower, "West Tower", _xlpm.typeResult)
)</f>
        <v>Annex</v>
      </c>
      <c r="F348" t="str">
        <f>IFERROR(MID(Tasks[[#This Row],[Page]], FIND("Level", Tasks[[#This Row],[Page]]), 7), IF(ISNUMBER(FIND("Roof", Tasks[[#This Row],[Page]])), "Roof",  IF(ISNUMBER(FIND("S590", Tasks[[#This Row],[Page]])), "",  IF(ISNUMBER(FIND("Site", Tasks[[#This Row],[Page]])), "", "ERROR"))))</f>
        <v>Level 0</v>
      </c>
      <c r="G348" t="str">
        <f>IF(Tasks[[#This Row],[Location]]=0, "", Tasks[[#This Row],[Location]])</f>
        <v/>
      </c>
      <c r="H348" t="str">
        <f>Tasks[[#This Row],[To Package]]</f>
        <v>Electrical</v>
      </c>
      <c r="I348" t="str">
        <f>Tasks[[#This Row],[To Organisation]]</f>
        <v>Wilkinson Electric Inc</v>
      </c>
    </row>
    <row r="349" spans="1:9" x14ac:dyDescent="0.35">
      <c r="A349" s="9" t="str">
        <f>HYPERLINK(_xlfn.CONCAT(Edit_URL,Tasks[[#This Row],[Ref]]),Tasks[[#This Row],[Ref]])</f>
        <v>T1.9539624</v>
      </c>
      <c r="B349" s="6" t="str" cm="1">
        <f t="array" ref="B349">_xlfn.SWITCH(LEFT(Tasks[[#This Row],[Status]],1),"O","Opened","C","Completed","S","Signed Off","ERROR")</f>
        <v>Signed Off</v>
      </c>
      <c r="C349" s="6" t="str" cm="1">
        <f t="array" ref="C349">_xlfn.SWITCH(LEFT(Tasks[[#This Row],[Type]], 2), "Fi", "Field Report", "Co", "Contractor QC", "Ge", "Contractor QC", "Pu", "Punch List")</f>
        <v>Field Report</v>
      </c>
      <c r="D349" s="6" t="str">
        <f>LEFT(Tasks[[#This Row],[Description]], 50)</f>
        <v>Electrical Observation Report: 4/16/2021; Item 5
A</v>
      </c>
      <c r="E349" s="6" t="str" cm="1">
        <f t="array" ref="E349">_xlfn.LET(
_xlpm.inTower, COUNTIF(Tower_Num_Table[Tower Rm Numbers], LEFT(Task_Summary_Table[[#This Row],[Area/Room]], 3)) &gt; 0,
_xlpm.typeResult, _xlfn.SWITCH(LEFT(Tasks[[#This Row],[Page]], 2), "Hi", "Historic", "An", "Annex", "Si", "Site", "S5", "Project Task", "SWITCH ERROR"),
IF(_xlpm.inTower, "West Tower", _xlpm.typeResult)
)</f>
        <v>Annex</v>
      </c>
      <c r="F349" t="str">
        <f>IFERROR(MID(Tasks[[#This Row],[Page]], FIND("Level", Tasks[[#This Row],[Page]]), 7), IF(ISNUMBER(FIND("Roof", Tasks[[#This Row],[Page]])), "Roof",  IF(ISNUMBER(FIND("S590", Tasks[[#This Row],[Page]])), "",  IF(ISNUMBER(FIND("Site", Tasks[[#This Row],[Page]])), "", "ERROR"))))</f>
        <v>Level 0</v>
      </c>
      <c r="G349" t="str">
        <f>IF(Tasks[[#This Row],[Location]]=0, "", Tasks[[#This Row],[Location]])</f>
        <v/>
      </c>
      <c r="H349" t="str">
        <f>Tasks[[#This Row],[To Package]]</f>
        <v>Electrical</v>
      </c>
      <c r="I349" t="str">
        <f>Tasks[[#This Row],[To Organisation]]</f>
        <v>Wilkinson Electric Inc</v>
      </c>
    </row>
    <row r="350" spans="1:9" x14ac:dyDescent="0.35">
      <c r="A350" s="9" t="str">
        <f>HYPERLINK(_xlfn.CONCAT(Edit_URL,Tasks[[#This Row],[Ref]]),Tasks[[#This Row],[Ref]])</f>
        <v>T1.9539622</v>
      </c>
      <c r="B350" s="6" t="str" cm="1">
        <f t="array" ref="B350">_xlfn.SWITCH(LEFT(Tasks[[#This Row],[Status]],1),"O","Opened","C","Completed","S","Signed Off","ERROR")</f>
        <v>Signed Off</v>
      </c>
      <c r="C350" s="6" t="str" cm="1">
        <f t="array" ref="C350">_xlfn.SWITCH(LEFT(Tasks[[#This Row],[Type]], 2), "Fi", "Field Report", "Co", "Contractor QC", "Ge", "Contractor QC", "Pu", "Punch List")</f>
        <v>Field Report</v>
      </c>
      <c r="D350" s="6" t="str">
        <f>LEFT(Tasks[[#This Row],[Description]], 50)</f>
        <v>Electrical Observation Report: 4/16/2021: Item 4
A</v>
      </c>
      <c r="E350" s="6" t="str" cm="1">
        <f t="array" ref="E350">_xlfn.LET(
_xlpm.inTower, COUNTIF(Tower_Num_Table[Tower Rm Numbers], LEFT(Task_Summary_Table[[#This Row],[Area/Room]], 3)) &gt; 0,
_xlpm.typeResult, _xlfn.SWITCH(LEFT(Tasks[[#This Row],[Page]], 2), "Hi", "Historic", "An", "Annex", "Si", "Site", "S5", "Project Task", "SWITCH ERROR"),
IF(_xlpm.inTower, "West Tower", _xlpm.typeResult)
)</f>
        <v>Annex</v>
      </c>
      <c r="F350" t="str">
        <f>IFERROR(MID(Tasks[[#This Row],[Page]], FIND("Level", Tasks[[#This Row],[Page]]), 7), IF(ISNUMBER(FIND("Roof", Tasks[[#This Row],[Page]])), "Roof",  IF(ISNUMBER(FIND("S590", Tasks[[#This Row],[Page]])), "",  IF(ISNUMBER(FIND("Site", Tasks[[#This Row],[Page]])), "", "ERROR"))))</f>
        <v>Level 0</v>
      </c>
      <c r="G350" t="str">
        <f>IF(Tasks[[#This Row],[Location]]=0, "", Tasks[[#This Row],[Location]])</f>
        <v/>
      </c>
      <c r="H350" t="str">
        <f>Tasks[[#This Row],[To Package]]</f>
        <v>Electrical</v>
      </c>
      <c r="I350" t="str">
        <f>Tasks[[#This Row],[To Organisation]]</f>
        <v>Wilkinson Electric Inc</v>
      </c>
    </row>
    <row r="351" spans="1:9" x14ac:dyDescent="0.35">
      <c r="A351" s="9" t="str">
        <f>HYPERLINK(_xlfn.CONCAT(Edit_URL,Tasks[[#This Row],[Ref]]),Tasks[[#This Row],[Ref]])</f>
        <v>T1.9539621</v>
      </c>
      <c r="B351" s="6" t="str" cm="1">
        <f t="array" ref="B351">_xlfn.SWITCH(LEFT(Tasks[[#This Row],[Status]],1),"O","Opened","C","Completed","S","Signed Off","ERROR")</f>
        <v>Completed</v>
      </c>
      <c r="C351" s="6" t="str" cm="1">
        <f t="array" ref="C351">_xlfn.SWITCH(LEFT(Tasks[[#This Row],[Type]], 2), "Fi", "Field Report", "Co", "Contractor QC", "Ge", "Contractor QC", "Pu", "Punch List")</f>
        <v>Field Report</v>
      </c>
      <c r="D351" s="6" t="str">
        <f>LEFT(Tasks[[#This Row],[Description]], 50)</f>
        <v>Electrical Observation Report: 4/16/2021; item #2.</v>
      </c>
      <c r="E351" s="6" t="str" cm="1">
        <f t="array" ref="E351">_xlfn.LET(
_xlpm.inTower, COUNTIF(Tower_Num_Table[Tower Rm Numbers], LEFT(Task_Summary_Table[[#This Row],[Area/Room]], 3)) &gt; 0,
_xlpm.typeResult, _xlfn.SWITCH(LEFT(Tasks[[#This Row],[Page]], 2), "Hi", "Historic", "An", "Annex", "Si", "Site", "S5", "Project Task", "SWITCH ERROR"),
IF(_xlpm.inTower, "West Tower", _xlpm.typeResult)
)</f>
        <v>Annex</v>
      </c>
      <c r="F351" t="str">
        <f>IFERROR(MID(Tasks[[#This Row],[Page]], FIND("Level", Tasks[[#This Row],[Page]]), 7), IF(ISNUMBER(FIND("Roof", Tasks[[#This Row],[Page]])), "Roof",  IF(ISNUMBER(FIND("S590", Tasks[[#This Row],[Page]])), "",  IF(ISNUMBER(FIND("Site", Tasks[[#This Row],[Page]])), "", "ERROR"))))</f>
        <v>Level 0</v>
      </c>
      <c r="G351" t="str">
        <f>IF(Tasks[[#This Row],[Location]]=0, "", Tasks[[#This Row],[Location]])</f>
        <v/>
      </c>
      <c r="H351" t="str">
        <f>Tasks[[#This Row],[To Package]]</f>
        <v>Electrical</v>
      </c>
      <c r="I351" t="str">
        <f>Tasks[[#This Row],[To Organisation]]</f>
        <v>Wilkinson Electric Inc</v>
      </c>
    </row>
    <row r="352" spans="1:9" x14ac:dyDescent="0.35">
      <c r="A352" s="9" t="str">
        <f>HYPERLINK(_xlfn.CONCAT(Edit_URL,Tasks[[#This Row],[Ref]]),Tasks[[#This Row],[Ref]])</f>
        <v>T1.9539000</v>
      </c>
      <c r="B352" s="6" t="str" cm="1">
        <f t="array" ref="B352">_xlfn.SWITCH(LEFT(Tasks[[#This Row],[Status]],1),"O","Opened","C","Completed","S","Signed Off","ERROR")</f>
        <v>Signed Off</v>
      </c>
      <c r="C352" s="6" t="str" cm="1">
        <f t="array" ref="C352">_xlfn.SWITCH(LEFT(Tasks[[#This Row],[Type]], 2), "Fi", "Field Report", "Co", "Contractor QC", "Ge", "Contractor QC", "Pu", "Punch List")</f>
        <v>Punch List</v>
      </c>
      <c r="D352" s="6" t="str">
        <f>LEFT(Tasks[[#This Row],[Description]], 50)</f>
        <v>Missing laundry bell</v>
      </c>
      <c r="E352" s="6" t="str" cm="1">
        <f t="array" ref="E352">_xlfn.LET(
_xlpm.inTower, COUNTIF(Tower_Num_Table[Tower Rm Numbers], LEFT(Task_Summary_Table[[#This Row],[Area/Room]], 3)) &gt; 0,
_xlpm.typeResult, _xlfn.SWITCH(LEFT(Tasks[[#This Row],[Page]], 2), "Hi", "Historic", "An", "Annex", "Si", "Site", "S5", "Project Task", "SWITCH ERROR"),
IF(_xlpm.inTower, "West Tower", _xlpm.typeResult)
)</f>
        <v>Annex</v>
      </c>
      <c r="F352" t="str">
        <f>IFERROR(MID(Tasks[[#This Row],[Page]], FIND("Level", Tasks[[#This Row],[Page]]), 7), IF(ISNUMBER(FIND("Roof", Tasks[[#This Row],[Page]])), "Roof",  IF(ISNUMBER(FIND("S590", Tasks[[#This Row],[Page]])), "",  IF(ISNUMBER(FIND("Site", Tasks[[#This Row],[Page]])), "", "ERROR"))))</f>
        <v>Level 1</v>
      </c>
      <c r="G352" t="str">
        <f>IF(Tasks[[#This Row],[Location]]=0, "", Tasks[[#This Row],[Location]])</f>
        <v/>
      </c>
      <c r="H352" t="str">
        <f>Tasks[[#This Row],[To Package]]</f>
        <v>Electrical</v>
      </c>
      <c r="I352" t="str">
        <f>Tasks[[#This Row],[To Organisation]]</f>
        <v>Wilkinson Electric Inc</v>
      </c>
    </row>
    <row r="353" spans="1:9" x14ac:dyDescent="0.35">
      <c r="A353" s="9" t="str">
        <f>HYPERLINK(_xlfn.CONCAT(Edit_URL,Tasks[[#This Row],[Ref]]),Tasks[[#This Row],[Ref]])</f>
        <v>T59123.46</v>
      </c>
      <c r="B353" s="6" t="str" cm="1">
        <f t="array" ref="B353">_xlfn.SWITCH(LEFT(Tasks[[#This Row],[Status]],1),"O","Opened","C","Completed","S","Signed Off","ERROR")</f>
        <v>Signed Off</v>
      </c>
      <c r="C353" s="6" t="str" cm="1">
        <f t="array" ref="C353">_xlfn.SWITCH(LEFT(Tasks[[#This Row],[Type]], 2), "Fi", "Field Report", "Co", "Contractor QC", "Ge", "Contractor QC", "Pu", "Punch List")</f>
        <v>Punch List</v>
      </c>
      <c r="D353" s="6" t="str">
        <f>LEFT(Tasks[[#This Row],[Description]], 50)</f>
        <v xml:space="preserve">Center all diffusers and fixtures in walls within </v>
      </c>
      <c r="E353" s="6" t="str" cm="1">
        <f t="array" ref="E353">_xlfn.LET(
_xlpm.inTower, COUNTIF(Tower_Num_Table[Tower Rm Numbers], LEFT(Task_Summary_Table[[#This Row],[Area/Room]], 3)) &gt; 0,
_xlpm.typeResult, _xlfn.SWITCH(LEFT(Tasks[[#This Row],[Page]], 2), "Hi", "Historic", "An", "Annex", "Si", "Site", "S5", "Project Task", "SWITCH ERROR"),
IF(_xlpm.inTower, "West Tower", _xlpm.typeResult)
)</f>
        <v>Annex</v>
      </c>
      <c r="F353" t="str">
        <f>IFERROR(MID(Tasks[[#This Row],[Page]], FIND("Level", Tasks[[#This Row],[Page]]), 7), IF(ISNUMBER(FIND("Roof", Tasks[[#This Row],[Page]])), "Roof",  IF(ISNUMBER(FIND("S590", Tasks[[#This Row],[Page]])), "",  IF(ISNUMBER(FIND("Site", Tasks[[#This Row],[Page]])), "", "ERROR"))))</f>
        <v>Level 1</v>
      </c>
      <c r="G353" t="str">
        <f>IF(Tasks[[#This Row],[Location]]=0, "", Tasks[[#This Row],[Location]])</f>
        <v>162 - Instruction Women</v>
      </c>
      <c r="H353" t="str">
        <f>Tasks[[#This Row],[To Package]]</f>
        <v>Plumbing</v>
      </c>
      <c r="I353" t="str">
        <f>Tasks[[#This Row],[To Organisation]]</f>
        <v>US Mechanical</v>
      </c>
    </row>
    <row r="354" spans="1:9" x14ac:dyDescent="0.35">
      <c r="A354" s="9" t="str">
        <f>HYPERLINK(_xlfn.CONCAT(Edit_URL,Tasks[[#This Row],[Ref]]),Tasks[[#This Row],[Ref]])</f>
        <v>T1.9536908</v>
      </c>
      <c r="B354" s="6" t="str" cm="1">
        <f t="array" ref="B354">_xlfn.SWITCH(LEFT(Tasks[[#This Row],[Status]],1),"O","Opened","C","Completed","S","Signed Off","ERROR")</f>
        <v>Opened</v>
      </c>
      <c r="C354" s="6" t="str" cm="1">
        <f t="array" ref="C354">_xlfn.SWITCH(LEFT(Tasks[[#This Row],[Type]], 2), "Fi", "Field Report", "Co", "Contractor QC", "Ge", "Contractor QC", "Pu", "Punch List")</f>
        <v>Punch List</v>
      </c>
      <c r="D354" s="6" t="str">
        <f>LEFT(Tasks[[#This Row],[Description]], 50)</f>
        <v>ARW 62-4 - Level 5 concrete infill frames and pill</v>
      </c>
      <c r="E354" s="6" t="str" cm="1">
        <f t="array" ref="E354">_xlfn.LET(
_xlpm.inTower, COUNTIF(Tower_Num_Table[Tower Rm Numbers], LEFT(Task_Summary_Table[[#This Row],[Area/Room]], 3)) &gt; 0,
_xlpm.typeResult, _xlfn.SWITCH(LEFT(Tasks[[#This Row],[Page]], 2), "Hi", "Historic", "An", "Annex", "Si", "Site", "S5", "Project Task", "SWITCH ERROR"),
IF(_xlpm.inTower, "West Tower", _xlpm.typeResult)
)</f>
        <v>Historic</v>
      </c>
      <c r="F354" t="str">
        <f>IFERROR(MID(Tasks[[#This Row],[Page]], FIND("Level", Tasks[[#This Row],[Page]]), 7), IF(ISNUMBER(FIND("Roof", Tasks[[#This Row],[Page]])), "Roof",  IF(ISNUMBER(FIND("S590", Tasks[[#This Row],[Page]])), "",  IF(ISNUMBER(FIND("Site", Tasks[[#This Row],[Page]])), "", "ERROR"))))</f>
        <v>Level 5</v>
      </c>
      <c r="G354" t="str">
        <f>IF(Tasks[[#This Row],[Location]]=0, "", Tasks[[#This Row],[Location]])</f>
        <v/>
      </c>
      <c r="H354" t="str">
        <f>Tasks[[#This Row],[To Package]]</f>
        <v>Westland -- Historic</v>
      </c>
      <c r="I354" t="str">
        <f>Tasks[[#This Row],[To Organisation]]</f>
        <v>Westland Construction, Inc.</v>
      </c>
    </row>
    <row r="355" spans="1:9" x14ac:dyDescent="0.35">
      <c r="A355" s="9" t="str">
        <f>HYPERLINK(_xlfn.CONCAT(Edit_URL,Tasks[[#This Row],[Ref]]),Tasks[[#This Row],[Ref]])</f>
        <v>T1.9536906</v>
      </c>
      <c r="B355" s="6" t="str" cm="1">
        <f t="array" ref="B355">_xlfn.SWITCH(LEFT(Tasks[[#This Row],[Status]],1),"O","Opened","C","Completed","S","Signed Off","ERROR")</f>
        <v>Completed</v>
      </c>
      <c r="C355" s="6" t="str" cm="1">
        <f t="array" ref="C355">_xlfn.SWITCH(LEFT(Tasks[[#This Row],[Type]], 2), "Fi", "Field Report", "Co", "Contractor QC", "Ge", "Contractor QC", "Pu", "Punch List")</f>
        <v>Punch List</v>
      </c>
      <c r="D355" s="6" t="str">
        <f>LEFT(Tasks[[#This Row],[Description]], 50)</f>
        <v>ARW 62-5 - North addition clothing drop openings n</v>
      </c>
      <c r="E355" s="6" t="str" cm="1">
        <f t="array" ref="E355">_xlfn.LET(
_xlpm.inTower, COUNTIF(Tower_Num_Table[Tower Rm Numbers], LEFT(Task_Summary_Table[[#This Row],[Area/Room]], 3)) &gt; 0,
_xlpm.typeResult, _xlfn.SWITCH(LEFT(Tasks[[#This Row],[Page]], 2), "Hi", "Historic", "An", "Annex", "Si", "Site", "S5", "Project Task", "SWITCH ERROR"),
IF(_xlpm.inTower, "West Tower", _xlpm.typeResult)
)</f>
        <v>Historic</v>
      </c>
      <c r="F355" t="str">
        <f>IFERROR(MID(Tasks[[#This Row],[Page]], FIND("Level", Tasks[[#This Row],[Page]]), 7), IF(ISNUMBER(FIND("Roof", Tasks[[#This Row],[Page]])), "Roof",  IF(ISNUMBER(FIND("S590", Tasks[[#This Row],[Page]])), "",  IF(ISNUMBER(FIND("Site", Tasks[[#This Row],[Page]])), "", "ERROR"))))</f>
        <v>Level 5</v>
      </c>
      <c r="G355" t="str">
        <f>IF(Tasks[[#This Row],[Location]]=0, "", Tasks[[#This Row],[Location]])</f>
        <v/>
      </c>
      <c r="H355" t="str">
        <f>Tasks[[#This Row],[To Package]]</f>
        <v>Structural Steel</v>
      </c>
      <c r="I355" t="str">
        <f>Tasks[[#This Row],[To Organisation]]</f>
        <v>Glassey Steel Works</v>
      </c>
    </row>
    <row r="356" spans="1:9" x14ac:dyDescent="0.35">
      <c r="A356" s="9" t="str">
        <f>HYPERLINK(_xlfn.CONCAT(Edit_URL,Tasks[[#This Row],[Ref]]),Tasks[[#This Row],[Ref]])</f>
        <v>T59123.45</v>
      </c>
      <c r="B356" s="6" t="str" cm="1">
        <f t="array" ref="B356">_xlfn.SWITCH(LEFT(Tasks[[#This Row],[Status]],1),"O","Opened","C","Completed","S","Signed Off","ERROR")</f>
        <v>Signed Off</v>
      </c>
      <c r="C356" s="6" t="str" cm="1">
        <f t="array" ref="C356">_xlfn.SWITCH(LEFT(Tasks[[#This Row],[Type]], 2), "Fi", "Field Report", "Co", "Contractor QC", "Ge", "Contractor QC", "Pu", "Punch List")</f>
        <v>Punch List</v>
      </c>
      <c r="D356" s="6" t="str">
        <f>LEFT(Tasks[[#This Row],[Description]], 50)</f>
        <v>Mount fire suppression heads</v>
      </c>
      <c r="E356" s="6" t="str" cm="1">
        <f t="array" ref="E356">_xlfn.LET(
_xlpm.inTower, COUNTIF(Tower_Num_Table[Tower Rm Numbers], LEFT(Task_Summary_Table[[#This Row],[Area/Room]], 3)) &gt; 0,
_xlpm.typeResult, _xlfn.SWITCH(LEFT(Tasks[[#This Row],[Page]], 2), "Hi", "Historic", "An", "Annex", "Si", "Site", "S5", "Project Task", "SWITCH ERROR"),
IF(_xlpm.inTower, "West Tower", _xlpm.typeResult)
)</f>
        <v>Historic</v>
      </c>
      <c r="F356" t="str">
        <f>IFERROR(MID(Tasks[[#This Row],[Page]], FIND("Level", Tasks[[#This Row],[Page]]), 7), IF(ISNUMBER(FIND("Roof", Tasks[[#This Row],[Page]])), "Roof",  IF(ISNUMBER(FIND("S590", Tasks[[#This Row],[Page]])), "",  IF(ISNUMBER(FIND("Site", Tasks[[#This Row],[Page]])), "", "ERROR"))))</f>
        <v>Level 4</v>
      </c>
      <c r="G356" t="str">
        <f>IF(Tasks[[#This Row],[Location]]=0, "", Tasks[[#This Row],[Location]])</f>
        <v>409 - Vestibule</v>
      </c>
      <c r="H356" t="str">
        <f>Tasks[[#This Row],[To Package]]</f>
        <v>Fire Suppression</v>
      </c>
      <c r="I356" t="str">
        <f>Tasks[[#This Row],[To Organisation]]</f>
        <v>Broken Arrow Construction Corporation</v>
      </c>
    </row>
    <row r="357" spans="1:9" x14ac:dyDescent="0.35">
      <c r="A357" s="9" t="str">
        <f>HYPERLINK(_xlfn.CONCAT(Edit_URL,Tasks[[#This Row],[Ref]]),Tasks[[#This Row],[Ref]])</f>
        <v>T59123.44</v>
      </c>
      <c r="B357" s="6" t="str" cm="1">
        <f t="array" ref="B357">_xlfn.SWITCH(LEFT(Tasks[[#This Row],[Status]],1),"O","Opened","C","Completed","S","Signed Off","ERROR")</f>
        <v>Signed Off</v>
      </c>
      <c r="C357" s="6" t="str" cm="1">
        <f t="array" ref="C357">_xlfn.SWITCH(LEFT(Tasks[[#This Row],[Type]], 2), "Fi", "Field Report", "Co", "Contractor QC", "Ge", "Contractor QC", "Pu", "Punch List")</f>
        <v>Punch List</v>
      </c>
      <c r="D357" s="6" t="str">
        <f>LEFT(Tasks[[#This Row],[Description]], 50)</f>
        <v>Missing wireless access point</v>
      </c>
      <c r="E357" s="6" t="str" cm="1">
        <f t="array" ref="E357">_xlfn.LET(
_xlpm.inTower, COUNTIF(Tower_Num_Table[Tower Rm Numbers], LEFT(Task_Summary_Table[[#This Row],[Area/Room]], 3)) &gt; 0,
_xlpm.typeResult, _xlfn.SWITCH(LEFT(Tasks[[#This Row],[Page]], 2), "Hi", "Historic", "An", "Annex", "Si", "Site", "S5", "Project Task", "SWITCH ERROR"),
IF(_xlpm.inTower, "West Tower", _xlpm.typeResult)
)</f>
        <v>Historic</v>
      </c>
      <c r="F357" t="str">
        <f>IFERROR(MID(Tasks[[#This Row],[Page]], FIND("Level", Tasks[[#This Row],[Page]]), 7), IF(ISNUMBER(FIND("Roof", Tasks[[#This Row],[Page]])), "Roof",  IF(ISNUMBER(FIND("S590", Tasks[[#This Row],[Page]])), "",  IF(ISNUMBER(FIND("Site", Tasks[[#This Row],[Page]])), "", "ERROR"))))</f>
        <v>Level 4</v>
      </c>
      <c r="G357" t="str">
        <f>IF(Tasks[[#This Row],[Location]]=0, "", Tasks[[#This Row],[Location]])</f>
        <v>409 - Vestibule</v>
      </c>
      <c r="H357" t="str">
        <f>Tasks[[#This Row],[To Package]]</f>
        <v>Electrical</v>
      </c>
      <c r="I357" t="str">
        <f>Tasks[[#This Row],[To Organisation]]</f>
        <v>Wilkinson Electric Inc</v>
      </c>
    </row>
    <row r="358" spans="1:9" x14ac:dyDescent="0.35">
      <c r="A358" s="9" t="str">
        <f>HYPERLINK(_xlfn.CONCAT(Edit_URL,Tasks[[#This Row],[Ref]]),Tasks[[#This Row],[Ref]])</f>
        <v>T59123.43</v>
      </c>
      <c r="B358" s="6" t="str" cm="1">
        <f t="array" ref="B358">_xlfn.SWITCH(LEFT(Tasks[[#This Row],[Status]],1),"O","Opened","C","Completed","S","Signed Off","ERROR")</f>
        <v>Signed Off</v>
      </c>
      <c r="C358" s="6" t="str" cm="1">
        <f t="array" ref="C358">_xlfn.SWITCH(LEFT(Tasks[[#This Row],[Type]], 2), "Fi", "Field Report", "Co", "Contractor QC", "Ge", "Contractor QC", "Pu", "Punch List")</f>
        <v>Punch List</v>
      </c>
      <c r="D358" s="6" t="str">
        <f>LEFT(Tasks[[#This Row],[Description]], 50)</f>
        <v xml:space="preserve">Hydronic need to be tied in to fan coil units and </v>
      </c>
      <c r="E358" s="6" t="str" cm="1">
        <f t="array" ref="E358">_xlfn.LET(
_xlpm.inTower, COUNTIF(Tower_Num_Table[Tower Rm Numbers], LEFT(Task_Summary_Table[[#This Row],[Area/Room]], 3)) &gt; 0,
_xlpm.typeResult, _xlfn.SWITCH(LEFT(Tasks[[#This Row],[Page]], 2), "Hi", "Historic", "An", "Annex", "Si", "Site", "S5", "Project Task", "SWITCH ERROR"),
IF(_xlpm.inTower, "West Tower", _xlpm.typeResult)
)</f>
        <v>Historic</v>
      </c>
      <c r="F358" t="str">
        <f>IFERROR(MID(Tasks[[#This Row],[Page]], FIND("Level", Tasks[[#This Row],[Page]]), 7), IF(ISNUMBER(FIND("Roof", Tasks[[#This Row],[Page]])), "Roof",  IF(ISNUMBER(FIND("S590", Tasks[[#This Row],[Page]])), "",  IF(ISNUMBER(FIND("Site", Tasks[[#This Row],[Page]])), "", "ERROR"))))</f>
        <v>Level 4</v>
      </c>
      <c r="G358" t="str">
        <f>IF(Tasks[[#This Row],[Location]]=0, "", Tasks[[#This Row],[Location]])</f>
        <v>410 - Study</v>
      </c>
      <c r="H358" t="str">
        <f>Tasks[[#This Row],[To Package]]</f>
        <v>HVAC</v>
      </c>
      <c r="I358" t="str">
        <f>Tasks[[#This Row],[To Organisation]]</f>
        <v>US Mechanical</v>
      </c>
    </row>
    <row r="359" spans="1:9" x14ac:dyDescent="0.35">
      <c r="A359" s="9" t="str">
        <f>HYPERLINK(_xlfn.CONCAT(Edit_URL,Tasks[[#This Row],[Ref]]),Tasks[[#This Row],[Ref]])</f>
        <v>T59123.42</v>
      </c>
      <c r="B359" s="6" t="str" cm="1">
        <f t="array" ref="B359">_xlfn.SWITCH(LEFT(Tasks[[#This Row],[Status]],1),"O","Opened","C","Completed","S","Signed Off","ERROR")</f>
        <v>Opened</v>
      </c>
      <c r="C359" s="6" t="str" cm="1">
        <f t="array" ref="C359">_xlfn.SWITCH(LEFT(Tasks[[#This Row],[Type]], 2), "Fi", "Field Report", "Co", "Contractor QC", "Ge", "Contractor QC", "Pu", "Punch List")</f>
        <v>Punch List</v>
      </c>
      <c r="D359" s="6" t="str">
        <f>LEFT(Tasks[[#This Row],[Description]], 50)</f>
        <v>Controls to be tied into fan coil units</v>
      </c>
      <c r="E359" s="6" t="str" cm="1">
        <f t="array" ref="E359">_xlfn.LET(
_xlpm.inTower, COUNTIF(Tower_Num_Table[Tower Rm Numbers], LEFT(Task_Summary_Table[[#This Row],[Area/Room]], 3)) &gt; 0,
_xlpm.typeResult, _xlfn.SWITCH(LEFT(Tasks[[#This Row],[Page]], 2), "Hi", "Historic", "An", "Annex", "Si", "Site", "S5", "Project Task", "SWITCH ERROR"),
IF(_xlpm.inTower, "West Tower", _xlpm.typeResult)
)</f>
        <v>Historic</v>
      </c>
      <c r="F359" t="str">
        <f>IFERROR(MID(Tasks[[#This Row],[Page]], FIND("Level", Tasks[[#This Row],[Page]]), 7), IF(ISNUMBER(FIND("Roof", Tasks[[#This Row],[Page]])), "Roof",  IF(ISNUMBER(FIND("S590", Tasks[[#This Row],[Page]])), "",  IF(ISNUMBER(FIND("Site", Tasks[[#This Row],[Page]])), "", "ERROR"))))</f>
        <v>Level 4</v>
      </c>
      <c r="G359" t="str">
        <f>IF(Tasks[[#This Row],[Location]]=0, "", Tasks[[#This Row],[Location]])</f>
        <v>410 - Study</v>
      </c>
      <c r="H359" t="str">
        <f>Tasks[[#This Row],[To Package]]</f>
        <v>HVAC</v>
      </c>
      <c r="I359" t="str">
        <f>Tasks[[#This Row],[To Organisation]]</f>
        <v>US Mechanical</v>
      </c>
    </row>
    <row r="360" spans="1:9" x14ac:dyDescent="0.35">
      <c r="A360" s="9" t="str">
        <f>HYPERLINK(_xlfn.CONCAT(Edit_URL,Tasks[[#This Row],[Ref]]),Tasks[[#This Row],[Ref]])</f>
        <v>T59123.41</v>
      </c>
      <c r="B360" s="6" t="str" cm="1">
        <f t="array" ref="B360">_xlfn.SWITCH(LEFT(Tasks[[#This Row],[Status]],1),"O","Opened","C","Completed","S","Signed Off","ERROR")</f>
        <v>Signed Off</v>
      </c>
      <c r="C360" s="6" t="str" cm="1">
        <f t="array" ref="C360">_xlfn.SWITCH(LEFT(Tasks[[#This Row],[Type]], 2), "Fi", "Field Report", "Co", "Contractor QC", "Ge", "Contractor QC", "Pu", "Punch List")</f>
        <v>Punch List</v>
      </c>
      <c r="D360" s="6" t="str">
        <f>LEFT(Tasks[[#This Row],[Description]], 50)</f>
        <v>Power tied in to fan coil units</v>
      </c>
      <c r="E360" s="6" t="str" cm="1">
        <f t="array" ref="E360">_xlfn.LET(
_xlpm.inTower, COUNTIF(Tower_Num_Table[Tower Rm Numbers], LEFT(Task_Summary_Table[[#This Row],[Area/Room]], 3)) &gt; 0,
_xlpm.typeResult, _xlfn.SWITCH(LEFT(Tasks[[#This Row],[Page]], 2), "Hi", "Historic", "An", "Annex", "Si", "Site", "S5", "Project Task", "SWITCH ERROR"),
IF(_xlpm.inTower, "West Tower", _xlpm.typeResult)
)</f>
        <v>Historic</v>
      </c>
      <c r="F360" t="str">
        <f>IFERROR(MID(Tasks[[#This Row],[Page]], FIND("Level", Tasks[[#This Row],[Page]]), 7), IF(ISNUMBER(FIND("Roof", Tasks[[#This Row],[Page]])), "Roof",  IF(ISNUMBER(FIND("S590", Tasks[[#This Row],[Page]])), "",  IF(ISNUMBER(FIND("Site", Tasks[[#This Row],[Page]])), "", "ERROR"))))</f>
        <v>Level 4</v>
      </c>
      <c r="G360" t="str">
        <f>IF(Tasks[[#This Row],[Location]]=0, "", Tasks[[#This Row],[Location]])</f>
        <v>410 - Study</v>
      </c>
      <c r="H360" t="str">
        <f>Tasks[[#This Row],[To Package]]</f>
        <v>Electrical</v>
      </c>
      <c r="I360" t="str">
        <f>Tasks[[#This Row],[To Organisation]]</f>
        <v>Wilkinson Electric Inc</v>
      </c>
    </row>
    <row r="361" spans="1:9" x14ac:dyDescent="0.35">
      <c r="A361" s="9" t="str">
        <f>HYPERLINK(_xlfn.CONCAT(Edit_URL,Tasks[[#This Row],[Ref]]),Tasks[[#This Row],[Ref]])</f>
        <v>T59123.40</v>
      </c>
      <c r="B361" s="6" t="str" cm="1">
        <f t="array" ref="B361">_xlfn.SWITCH(LEFT(Tasks[[#This Row],[Status]],1),"O","Opened","C","Completed","S","Signed Off","ERROR")</f>
        <v>Signed Off</v>
      </c>
      <c r="C361" s="6" t="str" cm="1">
        <f t="array" ref="C361">_xlfn.SWITCH(LEFT(Tasks[[#This Row],[Type]], 2), "Fi", "Field Report", "Co", "Contractor QC", "Ge", "Contractor QC", "Pu", "Punch List")</f>
        <v>Punch List</v>
      </c>
      <c r="D361" s="6" t="str">
        <f>LEFT(Tasks[[#This Row],[Description]], 50)</f>
        <v>Install light switch</v>
      </c>
      <c r="E361" s="6" t="str" cm="1">
        <f t="array" ref="E361">_xlfn.LET(
_xlpm.inTower, COUNTIF(Tower_Num_Table[Tower Rm Numbers], LEFT(Task_Summary_Table[[#This Row],[Area/Room]], 3)) &gt; 0,
_xlpm.typeResult, _xlfn.SWITCH(LEFT(Tasks[[#This Row],[Page]], 2), "Hi", "Historic", "An", "Annex", "Si", "Site", "S5", "Project Task", "SWITCH ERROR"),
IF(_xlpm.inTower, "West Tower", _xlpm.typeResult)
)</f>
        <v>Historic</v>
      </c>
      <c r="F361" t="str">
        <f>IFERROR(MID(Tasks[[#This Row],[Page]], FIND("Level", Tasks[[#This Row],[Page]]), 7), IF(ISNUMBER(FIND("Roof", Tasks[[#This Row],[Page]])), "Roof",  IF(ISNUMBER(FIND("S590", Tasks[[#This Row],[Page]])), "",  IF(ISNUMBER(FIND("Site", Tasks[[#This Row],[Page]])), "", "ERROR"))))</f>
        <v>Level 4</v>
      </c>
      <c r="G361" t="str">
        <f>IF(Tasks[[#This Row],[Location]]=0, "", Tasks[[#This Row],[Location]])</f>
        <v>410 - Study</v>
      </c>
      <c r="H361" t="str">
        <f>Tasks[[#This Row],[To Package]]</f>
        <v>Electrical</v>
      </c>
      <c r="I361" t="str">
        <f>Tasks[[#This Row],[To Organisation]]</f>
        <v>Wilkinson Electric Inc</v>
      </c>
    </row>
    <row r="362" spans="1:9" x14ac:dyDescent="0.35">
      <c r="A362" s="9" t="str">
        <f>HYPERLINK(_xlfn.CONCAT(Edit_URL,Tasks[[#This Row],[Ref]]),Tasks[[#This Row],[Ref]])</f>
        <v>T59123.39</v>
      </c>
      <c r="B362" s="6" t="str" cm="1">
        <f t="array" ref="B362">_xlfn.SWITCH(LEFT(Tasks[[#This Row],[Status]],1),"O","Opened","C","Completed","S","Signed Off","ERROR")</f>
        <v>Signed Off</v>
      </c>
      <c r="C362" s="6" t="str" cm="1">
        <f t="array" ref="C362">_xlfn.SWITCH(LEFT(Tasks[[#This Row],[Type]], 2), "Fi", "Field Report", "Co", "Contractor QC", "Ge", "Contractor QC", "Pu", "Punch List")</f>
        <v>Punch List</v>
      </c>
      <c r="D362" s="6" t="str">
        <f>LEFT(Tasks[[#This Row],[Description]], 50)</f>
        <v>Install light switch</v>
      </c>
      <c r="E362" s="6" t="str" cm="1">
        <f t="array" ref="E362">_xlfn.LET(
_xlpm.inTower, COUNTIF(Tower_Num_Table[Tower Rm Numbers], LEFT(Task_Summary_Table[[#This Row],[Area/Room]], 3)) &gt; 0,
_xlpm.typeResult, _xlfn.SWITCH(LEFT(Tasks[[#This Row],[Page]], 2), "Hi", "Historic", "An", "Annex", "Si", "Site", "S5", "Project Task", "SWITCH ERROR"),
IF(_xlpm.inTower, "West Tower", _xlpm.typeResult)
)</f>
        <v>Historic</v>
      </c>
      <c r="F362" t="str">
        <f>IFERROR(MID(Tasks[[#This Row],[Page]], FIND("Level", Tasks[[#This Row],[Page]]), 7), IF(ISNUMBER(FIND("Roof", Tasks[[#This Row],[Page]])), "Roof",  IF(ISNUMBER(FIND("S590", Tasks[[#This Row],[Page]])), "",  IF(ISNUMBER(FIND("Site", Tasks[[#This Row],[Page]])), "", "ERROR"))))</f>
        <v>Level 4</v>
      </c>
      <c r="G362" t="str">
        <f>IF(Tasks[[#This Row],[Location]]=0, "", Tasks[[#This Row],[Location]])</f>
        <v>410 - Study</v>
      </c>
      <c r="H362" t="str">
        <f>Tasks[[#This Row],[To Package]]</f>
        <v>Electrical</v>
      </c>
      <c r="I362" t="str">
        <f>Tasks[[#This Row],[To Organisation]]</f>
        <v>Wilkinson Electric Inc</v>
      </c>
    </row>
    <row r="363" spans="1:9" x14ac:dyDescent="0.35">
      <c r="A363" s="9" t="str">
        <f>HYPERLINK(_xlfn.CONCAT(Edit_URL,Tasks[[#This Row],[Ref]]),Tasks[[#This Row],[Ref]])</f>
        <v>T59123.38</v>
      </c>
      <c r="B363" s="6" t="str" cm="1">
        <f t="array" ref="B363">_xlfn.SWITCH(LEFT(Tasks[[#This Row],[Status]],1),"O","Opened","C","Completed","S","Signed Off","ERROR")</f>
        <v>Signed Off</v>
      </c>
      <c r="C363" s="6" t="str" cm="1">
        <f t="array" ref="C363">_xlfn.SWITCH(LEFT(Tasks[[#This Row],[Type]], 2), "Fi", "Field Report", "Co", "Contractor QC", "Ge", "Contractor QC", "Pu", "Punch List")</f>
        <v>Punch List</v>
      </c>
      <c r="D363" s="6" t="str">
        <f>LEFT(Tasks[[#This Row],[Description]], 50)</f>
        <v>Relocate fire line be above ceiling elevation</v>
      </c>
      <c r="E363" s="6" t="str" cm="1">
        <f t="array" ref="E363">_xlfn.LET(
_xlpm.inTower, COUNTIF(Tower_Num_Table[Tower Rm Numbers], LEFT(Task_Summary_Table[[#This Row],[Area/Room]], 3)) &gt; 0,
_xlpm.typeResult, _xlfn.SWITCH(LEFT(Tasks[[#This Row],[Page]], 2), "Hi", "Historic", "An", "Annex", "Si", "Site", "S5", "Project Task", "SWITCH ERROR"),
IF(_xlpm.inTower, "West Tower", _xlpm.typeResult)
)</f>
        <v>Historic</v>
      </c>
      <c r="F363" t="str">
        <f>IFERROR(MID(Tasks[[#This Row],[Page]], FIND("Level", Tasks[[#This Row],[Page]]), 7), IF(ISNUMBER(FIND("Roof", Tasks[[#This Row],[Page]])), "Roof",  IF(ISNUMBER(FIND("S590", Tasks[[#This Row],[Page]])), "",  IF(ISNUMBER(FIND("Site", Tasks[[#This Row],[Page]])), "", "ERROR"))))</f>
        <v>Level 4</v>
      </c>
      <c r="G363" t="str">
        <f>IF(Tasks[[#This Row],[Location]]=0, "", Tasks[[#This Row],[Location]])</f>
        <v>410 - Study</v>
      </c>
      <c r="H363" t="str">
        <f>Tasks[[#This Row],[To Package]]</f>
        <v>Fire Suppression</v>
      </c>
      <c r="I363" t="str">
        <f>Tasks[[#This Row],[To Organisation]]</f>
        <v>Broken Arrow Construction Corporation</v>
      </c>
    </row>
    <row r="364" spans="1:9" x14ac:dyDescent="0.35">
      <c r="A364" s="9" t="str">
        <f>HYPERLINK(_xlfn.CONCAT(Edit_URL,Tasks[[#This Row],[Ref]]),Tasks[[#This Row],[Ref]])</f>
        <v>T59123.37</v>
      </c>
      <c r="B364" s="6" t="str" cm="1">
        <f t="array" ref="B364">_xlfn.SWITCH(LEFT(Tasks[[#This Row],[Status]],1),"O","Opened","C","Completed","S","Signed Off","ERROR")</f>
        <v>Signed Off</v>
      </c>
      <c r="C364" s="6" t="str" cm="1">
        <f t="array" ref="C364">_xlfn.SWITCH(LEFT(Tasks[[#This Row],[Type]], 2), "Fi", "Field Report", "Co", "Contractor QC", "Ge", "Contractor QC", "Pu", "Punch List")</f>
        <v>Punch List</v>
      </c>
      <c r="D364" s="6" t="str">
        <f>LEFT(Tasks[[#This Row],[Description]], 50)</f>
        <v>Install can lights at north side after shoring rem</v>
      </c>
      <c r="E364" s="6" t="str" cm="1">
        <f t="array" ref="E364">_xlfn.LET(
_xlpm.inTower, COUNTIF(Tower_Num_Table[Tower Rm Numbers], LEFT(Task_Summary_Table[[#This Row],[Area/Room]], 3)) &gt; 0,
_xlpm.typeResult, _xlfn.SWITCH(LEFT(Tasks[[#This Row],[Page]], 2), "Hi", "Historic", "An", "Annex", "Si", "Site", "S5", "Project Task", "SWITCH ERROR"),
IF(_xlpm.inTower, "West Tower", _xlpm.typeResult)
)</f>
        <v>Historic</v>
      </c>
      <c r="F364" t="str">
        <f>IFERROR(MID(Tasks[[#This Row],[Page]], FIND("Level", Tasks[[#This Row],[Page]]), 7), IF(ISNUMBER(FIND("Roof", Tasks[[#This Row],[Page]])), "Roof",  IF(ISNUMBER(FIND("S590", Tasks[[#This Row],[Page]])), "",  IF(ISNUMBER(FIND("Site", Tasks[[#This Row],[Page]])), "", "ERROR"))))</f>
        <v>Level 4</v>
      </c>
      <c r="G364" t="str">
        <f>IF(Tasks[[#This Row],[Location]]=0, "", Tasks[[#This Row],[Location]])</f>
        <v>410 - Study</v>
      </c>
      <c r="H364" t="str">
        <f>Tasks[[#This Row],[To Package]]</f>
        <v>Electrical</v>
      </c>
      <c r="I364" t="str">
        <f>Tasks[[#This Row],[To Organisation]]</f>
        <v>Wilkinson Electric Inc</v>
      </c>
    </row>
    <row r="365" spans="1:9" x14ac:dyDescent="0.35">
      <c r="A365" s="9" t="str">
        <f>HYPERLINK(_xlfn.CONCAT(Edit_URL,Tasks[[#This Row],[Ref]]),Tasks[[#This Row],[Ref]])</f>
        <v>T59123.36</v>
      </c>
      <c r="B365" s="6" t="str" cm="1">
        <f t="array" ref="B365">_xlfn.SWITCH(LEFT(Tasks[[#This Row],[Status]],1),"O","Opened","C","Completed","S","Signed Off","ERROR")</f>
        <v>Signed Off</v>
      </c>
      <c r="C365" s="6" t="str" cm="1">
        <f t="array" ref="C365">_xlfn.SWITCH(LEFT(Tasks[[#This Row],[Type]], 2), "Fi", "Field Report", "Co", "Contractor QC", "Ge", "Contractor QC", "Pu", "Punch List")</f>
        <v>Punch List</v>
      </c>
      <c r="D365" s="6" t="str">
        <f>LEFT(Tasks[[#This Row],[Description]], 50)</f>
        <v>Can light need to be daisy chained</v>
      </c>
      <c r="E365" s="6" t="str" cm="1">
        <f t="array" ref="E365">_xlfn.LET(
_xlpm.inTower, COUNTIF(Tower_Num_Table[Tower Rm Numbers], LEFT(Task_Summary_Table[[#This Row],[Area/Room]], 3)) &gt; 0,
_xlpm.typeResult, _xlfn.SWITCH(LEFT(Tasks[[#This Row],[Page]], 2), "Hi", "Historic", "An", "Annex", "Si", "Site", "S5", "Project Task", "SWITCH ERROR"),
IF(_xlpm.inTower, "West Tower", _xlpm.typeResult)
)</f>
        <v>Historic</v>
      </c>
      <c r="F365" t="str">
        <f>IFERROR(MID(Tasks[[#This Row],[Page]], FIND("Level", Tasks[[#This Row],[Page]]), 7), IF(ISNUMBER(FIND("Roof", Tasks[[#This Row],[Page]])), "Roof",  IF(ISNUMBER(FIND("S590", Tasks[[#This Row],[Page]])), "",  IF(ISNUMBER(FIND("Site", Tasks[[#This Row],[Page]])), "", "ERROR"))))</f>
        <v>Level 4</v>
      </c>
      <c r="G365" t="str">
        <f>IF(Tasks[[#This Row],[Location]]=0, "", Tasks[[#This Row],[Location]])</f>
        <v>410 - Study</v>
      </c>
      <c r="H365" t="str">
        <f>Tasks[[#This Row],[To Package]]</f>
        <v>Electrical</v>
      </c>
      <c r="I365" t="str">
        <f>Tasks[[#This Row],[To Organisation]]</f>
        <v>Wilkinson Electric Inc</v>
      </c>
    </row>
    <row r="366" spans="1:9" x14ac:dyDescent="0.35">
      <c r="A366" s="9" t="str">
        <f>HYPERLINK(_xlfn.CONCAT(Edit_URL,Tasks[[#This Row],[Ref]]),Tasks[[#This Row],[Ref]])</f>
        <v>T59123.35</v>
      </c>
      <c r="B366" s="6" t="str" cm="1">
        <f t="array" ref="B366">_xlfn.SWITCH(LEFT(Tasks[[#This Row],[Status]],1),"O","Opened","C","Completed","S","Signed Off","ERROR")</f>
        <v>Signed Off</v>
      </c>
      <c r="C366" s="6" t="str" cm="1">
        <f t="array" ref="C366">_xlfn.SWITCH(LEFT(Tasks[[#This Row],[Type]], 2), "Fi", "Field Report", "Co", "Contractor QC", "Ge", "Contractor QC", "Pu", "Punch List")</f>
        <v>Punch List</v>
      </c>
      <c r="D366" s="6" t="str">
        <f>LEFT(Tasks[[#This Row],[Description]], 50)</f>
        <v>Mount fire suppression heads</v>
      </c>
      <c r="E366" s="6" t="str" cm="1">
        <f t="array" ref="E366">_xlfn.LET(
_xlpm.inTower, COUNTIF(Tower_Num_Table[Tower Rm Numbers], LEFT(Task_Summary_Table[[#This Row],[Area/Room]], 3)) &gt; 0,
_xlpm.typeResult, _xlfn.SWITCH(LEFT(Tasks[[#This Row],[Page]], 2), "Hi", "Historic", "An", "Annex", "Si", "Site", "S5", "Project Task", "SWITCH ERROR"),
IF(_xlpm.inTower, "West Tower", _xlpm.typeResult)
)</f>
        <v>Historic</v>
      </c>
      <c r="F366" t="str">
        <f>IFERROR(MID(Tasks[[#This Row],[Page]], FIND("Level", Tasks[[#This Row],[Page]]), 7), IF(ISNUMBER(FIND("Roof", Tasks[[#This Row],[Page]])), "Roof",  IF(ISNUMBER(FIND("S590", Tasks[[#This Row],[Page]])), "",  IF(ISNUMBER(FIND("Site", Tasks[[#This Row],[Page]])), "", "ERROR"))))</f>
        <v>Level 4</v>
      </c>
      <c r="G366" t="str">
        <f>IF(Tasks[[#This Row],[Location]]=0, "", Tasks[[#This Row],[Location]])</f>
        <v>411 - Vestibule</v>
      </c>
      <c r="H366" t="str">
        <f>Tasks[[#This Row],[To Package]]</f>
        <v>Fire Suppression</v>
      </c>
      <c r="I366" t="str">
        <f>Tasks[[#This Row],[To Organisation]]</f>
        <v>Broken Arrow Construction Corporation</v>
      </c>
    </row>
    <row r="367" spans="1:9" x14ac:dyDescent="0.35">
      <c r="A367" s="9" t="str">
        <f>HYPERLINK(_xlfn.CONCAT(Edit_URL,Tasks[[#This Row],[Ref]]),Tasks[[#This Row],[Ref]])</f>
        <v>T59123.34</v>
      </c>
      <c r="B367" s="6" t="str" cm="1">
        <f t="array" ref="B367">_xlfn.SWITCH(LEFT(Tasks[[#This Row],[Status]],1),"O","Opened","C","Completed","S","Signed Off","ERROR")</f>
        <v>Signed Off</v>
      </c>
      <c r="C367" s="6" t="str" cm="1">
        <f t="array" ref="C367">_xlfn.SWITCH(LEFT(Tasks[[#This Row],[Type]], 2), "Fi", "Field Report", "Co", "Contractor QC", "Ge", "Contractor QC", "Pu", "Punch List")</f>
        <v>Punch List</v>
      </c>
      <c r="D367" s="6" t="str">
        <f>LEFT(Tasks[[#This Row],[Description]], 50)</f>
        <v>Missing tstat</v>
      </c>
      <c r="E367" s="6" t="str" cm="1">
        <f t="array" ref="E367">_xlfn.LET(
_xlpm.inTower, COUNTIF(Tower_Num_Table[Tower Rm Numbers], LEFT(Task_Summary_Table[[#This Row],[Area/Room]], 3)) &gt; 0,
_xlpm.typeResult, _xlfn.SWITCH(LEFT(Tasks[[#This Row],[Page]], 2), "Hi", "Historic", "An", "Annex", "Si", "Site", "S5", "Project Task", "SWITCH ERROR"),
IF(_xlpm.inTower, "West Tower", _xlpm.typeResult)
)</f>
        <v>Historic</v>
      </c>
      <c r="F367" t="str">
        <f>IFERROR(MID(Tasks[[#This Row],[Page]], FIND("Level", Tasks[[#This Row],[Page]]), 7), IF(ISNUMBER(FIND("Roof", Tasks[[#This Row],[Page]])), "Roof",  IF(ISNUMBER(FIND("S590", Tasks[[#This Row],[Page]])), "",  IF(ISNUMBER(FIND("Site", Tasks[[#This Row],[Page]])), "", "ERROR"))))</f>
        <v>Level 4</v>
      </c>
      <c r="G367" t="str">
        <f>IF(Tasks[[#This Row],[Location]]=0, "", Tasks[[#This Row],[Location]])</f>
        <v>410 - Study</v>
      </c>
      <c r="H367" t="str">
        <f>Tasks[[#This Row],[To Package]]</f>
        <v>HVAC</v>
      </c>
      <c r="I367" t="str">
        <f>Tasks[[#This Row],[To Organisation]]</f>
        <v>US Mechanical</v>
      </c>
    </row>
    <row r="368" spans="1:9" x14ac:dyDescent="0.35">
      <c r="A368" s="9" t="str">
        <f>HYPERLINK(_xlfn.CONCAT(Edit_URL,Tasks[[#This Row],[Ref]]),Tasks[[#This Row],[Ref]])</f>
        <v>T59123.33</v>
      </c>
      <c r="B368" s="6" t="str" cm="1">
        <f t="array" ref="B368">_xlfn.SWITCH(LEFT(Tasks[[#This Row],[Status]],1),"O","Opened","C","Completed","S","Signed Off","ERROR")</f>
        <v>Signed Off</v>
      </c>
      <c r="C368" s="6" t="str" cm="1">
        <f t="array" ref="C368">_xlfn.SWITCH(LEFT(Tasks[[#This Row],[Type]], 2), "Fi", "Field Report", "Co", "Contractor QC", "Ge", "Contractor QC", "Pu", "Punch List")</f>
        <v>Punch List</v>
      </c>
      <c r="D368" s="6" t="str">
        <f>LEFT(Tasks[[#This Row],[Description]], 50)</f>
        <v>Electrical rough not 8” off casing</v>
      </c>
      <c r="E368" s="6" t="str" cm="1">
        <f t="array" ref="E368">_xlfn.LET(
_xlpm.inTower, COUNTIF(Tower_Num_Table[Tower Rm Numbers], LEFT(Task_Summary_Table[[#This Row],[Area/Room]], 3)) &gt; 0,
_xlpm.typeResult, _xlfn.SWITCH(LEFT(Tasks[[#This Row],[Page]], 2), "Hi", "Historic", "An", "Annex", "Si", "Site", "S5", "Project Task", "SWITCH ERROR"),
IF(_xlpm.inTower, "West Tower", _xlpm.typeResult)
)</f>
        <v>Annex</v>
      </c>
      <c r="F368" t="str">
        <f>IFERROR(MID(Tasks[[#This Row],[Page]], FIND("Level", Tasks[[#This Row],[Page]]), 7), IF(ISNUMBER(FIND("Roof", Tasks[[#This Row],[Page]])), "Roof",  IF(ISNUMBER(FIND("S590", Tasks[[#This Row],[Page]])), "",  IF(ISNUMBER(FIND("Site", Tasks[[#This Row],[Page]])), "", "ERROR"))))</f>
        <v>Level 1</v>
      </c>
      <c r="G368" t="str">
        <f>IF(Tasks[[#This Row],[Location]]=0, "", Tasks[[#This Row],[Location]])</f>
        <v>179 - Waiting</v>
      </c>
      <c r="H368" t="str">
        <f>Tasks[[#This Row],[To Package]]</f>
        <v>Electrical</v>
      </c>
      <c r="I368" t="str">
        <f>Tasks[[#This Row],[To Organisation]]</f>
        <v>Wilkinson Electric Inc</v>
      </c>
    </row>
    <row r="369" spans="1:9" x14ac:dyDescent="0.35">
      <c r="A369" s="9" t="str">
        <f>HYPERLINK(_xlfn.CONCAT(Edit_URL,Tasks[[#This Row],[Ref]]),Tasks[[#This Row],[Ref]])</f>
        <v>T55794.1</v>
      </c>
      <c r="B369" s="6" t="str" cm="1">
        <f t="array" ref="B369">_xlfn.SWITCH(LEFT(Tasks[[#This Row],[Status]],1),"O","Opened","C","Completed","S","Signed Off","ERROR")</f>
        <v>Signed Off</v>
      </c>
      <c r="C369" s="6" t="str" cm="1">
        <f t="array" ref="C369">_xlfn.SWITCH(LEFT(Tasks[[#This Row],[Type]], 2), "Fi", "Field Report", "Co", "Contractor QC", "Ge", "Contractor QC", "Pu", "Punch List")</f>
        <v>Punch List</v>
      </c>
      <c r="D369" s="6" t="str">
        <f>LEFT(Tasks[[#This Row],[Description]], 50)</f>
        <v xml:space="preserve">light switch in wrong location
</v>
      </c>
      <c r="E369" s="6" t="str" cm="1">
        <f t="array" ref="E369">_xlfn.LET(
_xlpm.inTower, COUNTIF(Tower_Num_Table[Tower Rm Numbers], LEFT(Task_Summary_Table[[#This Row],[Area/Room]], 3)) &gt; 0,
_xlpm.typeResult, _xlfn.SWITCH(LEFT(Tasks[[#This Row],[Page]], 2), "Hi", "Historic", "An", "Annex", "Si", "Site", "S5", "Project Task", "SWITCH ERROR"),
IF(_xlpm.inTower, "West Tower", _xlpm.typeResult)
)</f>
        <v>Annex</v>
      </c>
      <c r="F369" t="str">
        <f>IFERROR(MID(Tasks[[#This Row],[Page]], FIND("Level", Tasks[[#This Row],[Page]]), 7), IF(ISNUMBER(FIND("Roof", Tasks[[#This Row],[Page]])), "Roof",  IF(ISNUMBER(FIND("S590", Tasks[[#This Row],[Page]])), "",  IF(ISNUMBER(FIND("Site", Tasks[[#This Row],[Page]])), "", "ERROR"))))</f>
        <v>Level 1</v>
      </c>
      <c r="G369" t="str">
        <f>IF(Tasks[[#This Row],[Location]]=0, "", Tasks[[#This Row],[Location]])</f>
        <v/>
      </c>
      <c r="H369" t="str">
        <f>Tasks[[#This Row],[To Package]]</f>
        <v>Electrical</v>
      </c>
      <c r="I369" t="str">
        <f>Tasks[[#This Row],[To Organisation]]</f>
        <v>Wilkinson Electric Inc</v>
      </c>
    </row>
    <row r="370" spans="1:9" x14ac:dyDescent="0.35">
      <c r="A370" s="9" t="str">
        <f>HYPERLINK(_xlfn.CONCAT(Edit_URL,Tasks[[#This Row],[Ref]]),Tasks[[#This Row],[Ref]])</f>
        <v>T59123.32</v>
      </c>
      <c r="B370" s="6" t="str" cm="1">
        <f t="array" ref="B370">_xlfn.SWITCH(LEFT(Tasks[[#This Row],[Status]],1),"O","Opened","C","Completed","S","Signed Off","ERROR")</f>
        <v>Signed Off</v>
      </c>
      <c r="C370" s="6" t="str" cm="1">
        <f t="array" ref="C370">_xlfn.SWITCH(LEFT(Tasks[[#This Row],[Type]], 2), "Fi", "Field Report", "Co", "Contractor QC", "Ge", "Contractor QC", "Pu", "Punch List")</f>
        <v>Punch List</v>
      </c>
      <c r="D370" s="6" t="str">
        <f>LEFT(Tasks[[#This Row],[Description]], 50)</f>
        <v>Missing floor outlet</v>
      </c>
      <c r="E370" s="6" t="str" cm="1">
        <f t="array" ref="E370">_xlfn.LET(
_xlpm.inTower, COUNTIF(Tower_Num_Table[Tower Rm Numbers], LEFT(Task_Summary_Table[[#This Row],[Area/Room]], 3)) &gt; 0,
_xlpm.typeResult, _xlfn.SWITCH(LEFT(Tasks[[#This Row],[Page]], 2), "Hi", "Historic", "An", "Annex", "Si", "Site", "S5", "Project Task", "SWITCH ERROR"),
IF(_xlpm.inTower, "West Tower", _xlpm.typeResult)
)</f>
        <v>Annex</v>
      </c>
      <c r="F370" t="str">
        <f>IFERROR(MID(Tasks[[#This Row],[Page]], FIND("Level", Tasks[[#This Row],[Page]]), 7), IF(ISNUMBER(FIND("Roof", Tasks[[#This Row],[Page]])), "Roof",  IF(ISNUMBER(FIND("S590", Tasks[[#This Row],[Page]])), "",  IF(ISNUMBER(FIND("Site", Tasks[[#This Row],[Page]])), "", "ERROR"))))</f>
        <v>Level 1</v>
      </c>
      <c r="G370" t="str">
        <f>IF(Tasks[[#This Row],[Location]]=0, "", Tasks[[#This Row],[Location]])</f>
        <v>104 - interview</v>
      </c>
      <c r="H370" t="str">
        <f>Tasks[[#This Row],[To Package]]</f>
        <v>Electrical</v>
      </c>
      <c r="I370" t="str">
        <f>Tasks[[#This Row],[To Organisation]]</f>
        <v>Wilkinson Electric Inc</v>
      </c>
    </row>
    <row r="371" spans="1:9" x14ac:dyDescent="0.35">
      <c r="A371" s="9" t="str">
        <f>HYPERLINK(_xlfn.CONCAT(Edit_URL,Tasks[[#This Row],[Ref]]),Tasks[[#This Row],[Ref]])</f>
        <v>T59123.31</v>
      </c>
      <c r="B371" s="6" t="str" cm="1">
        <f t="array" ref="B371">_xlfn.SWITCH(LEFT(Tasks[[#This Row],[Status]],1),"O","Opened","C","Completed","S","Signed Off","ERROR")</f>
        <v>Signed Off</v>
      </c>
      <c r="C371" s="6" t="str" cm="1">
        <f t="array" ref="C371">_xlfn.SWITCH(LEFT(Tasks[[#This Row],[Type]], 2), "Fi", "Field Report", "Co", "Contractor QC", "Ge", "Contractor QC", "Pu", "Punch List")</f>
        <v>Punch List</v>
      </c>
      <c r="D371" s="6" t="str">
        <f>LEFT(Tasks[[#This Row],[Description]], 50)</f>
        <v>Missing electrical floor box</v>
      </c>
      <c r="E371" s="6" t="str" cm="1">
        <f t="array" ref="E371">_xlfn.LET(
_xlpm.inTower, COUNTIF(Tower_Num_Table[Tower Rm Numbers], LEFT(Task_Summary_Table[[#This Row],[Area/Room]], 3)) &gt; 0,
_xlpm.typeResult, _xlfn.SWITCH(LEFT(Tasks[[#This Row],[Page]], 2), "Hi", "Historic", "An", "Annex", "Si", "Site", "S5", "Project Task", "SWITCH ERROR"),
IF(_xlpm.inTower, "West Tower", _xlpm.typeResult)
)</f>
        <v>Annex</v>
      </c>
      <c r="F371" t="str">
        <f>IFERROR(MID(Tasks[[#This Row],[Page]], FIND("Level", Tasks[[#This Row],[Page]]), 7), IF(ISNUMBER(FIND("Roof", Tasks[[#This Row],[Page]])), "Roof",  IF(ISNUMBER(FIND("S590", Tasks[[#This Row],[Page]])), "",  IF(ISNUMBER(FIND("Site", Tasks[[#This Row],[Page]])), "", "ERROR"))))</f>
        <v>Level 1</v>
      </c>
      <c r="G371" t="str">
        <f>IF(Tasks[[#This Row],[Location]]=0, "", Tasks[[#This Row],[Location]])</f>
        <v>117 - Office 1</v>
      </c>
      <c r="H371" t="str">
        <f>Tasks[[#This Row],[To Package]]</f>
        <v>Electrical</v>
      </c>
      <c r="I371" t="str">
        <f>Tasks[[#This Row],[To Organisation]]</f>
        <v>Wilkinson Electric Inc</v>
      </c>
    </row>
    <row r="372" spans="1:9" x14ac:dyDescent="0.35">
      <c r="A372" s="9" t="str">
        <f>HYPERLINK(_xlfn.CONCAT(Edit_URL,Tasks[[#This Row],[Ref]]),Tasks[[#This Row],[Ref]])</f>
        <v>T59123.30</v>
      </c>
      <c r="B372" s="6" t="str" cm="1">
        <f t="array" ref="B372">_xlfn.SWITCH(LEFT(Tasks[[#This Row],[Status]],1),"O","Opened","C","Completed","S","Signed Off","ERROR")</f>
        <v>Signed Off</v>
      </c>
      <c r="C372" s="6" t="str" cm="1">
        <f t="array" ref="C372">_xlfn.SWITCH(LEFT(Tasks[[#This Row],[Type]], 2), "Fi", "Field Report", "Co", "Contractor QC", "Ge", "Contractor QC", "Pu", "Punch List")</f>
        <v>Punch List</v>
      </c>
      <c r="D372" s="6" t="str">
        <f>LEFT(Tasks[[#This Row],[Description]], 50)</f>
        <v>Electrical devices are a little low. Adjust to pro</v>
      </c>
      <c r="E372" s="6" t="str" cm="1">
        <f t="array" ref="E372">_xlfn.LET(
_xlpm.inTower, COUNTIF(Tower_Num_Table[Tower Rm Numbers], LEFT(Task_Summary_Table[[#This Row],[Area/Room]], 3)) &gt; 0,
_xlpm.typeResult, _xlfn.SWITCH(LEFT(Tasks[[#This Row],[Page]], 2), "Hi", "Historic", "An", "Annex", "Si", "Site", "S5", "Project Task", "SWITCH ERROR"),
IF(_xlpm.inTower, "West Tower", _xlpm.typeResult)
)</f>
        <v>Annex</v>
      </c>
      <c r="F372" s="6" t="str">
        <f>IFERROR(MID(Tasks[[#This Row],[Page]], FIND("Level", Tasks[[#This Row],[Page]]), 7), IF(ISNUMBER(FIND("Roof", Tasks[[#This Row],[Page]])), "Roof",  IF(ISNUMBER(FIND("S590", Tasks[[#This Row],[Page]])), "",  IF(ISNUMBER(FIND("Site", Tasks[[#This Row],[Page]])), "", "ERROR"))))</f>
        <v>Level 1</v>
      </c>
      <c r="G372" s="6" t="str">
        <f>IF(Tasks[[#This Row],[Location]]=0, "", Tasks[[#This Row],[Location]])</f>
        <v>112 - President</v>
      </c>
      <c r="H372" s="6" t="str">
        <f>Tasks[[#This Row],[To Package]]</f>
        <v>Electrical</v>
      </c>
      <c r="I372" s="6" t="str">
        <f>Tasks[[#This Row],[To Organisation]]</f>
        <v>Wilkinson Electric Inc</v>
      </c>
    </row>
    <row r="373" spans="1:9" x14ac:dyDescent="0.35">
      <c r="A373" s="9" t="str">
        <f>HYPERLINK(_xlfn.CONCAT(Edit_URL,Tasks[[#This Row],[Ref]]),Tasks[[#This Row],[Ref]])</f>
        <v>T59123.29</v>
      </c>
      <c r="B373" s="6" t="str" cm="1">
        <f t="array" ref="B373">_xlfn.SWITCH(LEFT(Tasks[[#This Row],[Status]],1),"O","Opened","C","Completed","S","Signed Off","ERROR")</f>
        <v>Signed Off</v>
      </c>
      <c r="C373" s="6" t="str" cm="1">
        <f t="array" ref="C373">_xlfn.SWITCH(LEFT(Tasks[[#This Row],[Type]], 2), "Fi", "Field Report", "Co", "Contractor QC", "Ge", "Contractor QC", "Pu", "Punch List")</f>
        <v>Punch List</v>
      </c>
      <c r="D373" s="6" t="str">
        <f>LEFT(Tasks[[#This Row],[Description]], 50)</f>
        <v xml:space="preserve">All devices next to door are a little low. Adjust </v>
      </c>
      <c r="E373" s="6" t="str" cm="1">
        <f t="array" ref="E373">_xlfn.LET(
_xlpm.inTower, COUNTIF(Tower_Num_Table[Tower Rm Numbers], LEFT(Task_Summary_Table[[#This Row],[Area/Room]], 3)) &gt; 0,
_xlpm.typeResult, _xlfn.SWITCH(LEFT(Tasks[[#This Row],[Page]], 2), "Hi", "Historic", "An", "Annex", "Si", "Site", "S5", "Project Task", "SWITCH ERROR"),
IF(_xlpm.inTower, "West Tower", _xlpm.typeResult)
)</f>
        <v>Annex</v>
      </c>
      <c r="F373" s="6" t="str">
        <f>IFERROR(MID(Tasks[[#This Row],[Page]], FIND("Level", Tasks[[#This Row],[Page]]), 7), IF(ISNUMBER(FIND("Roof", Tasks[[#This Row],[Page]])), "Roof",  IF(ISNUMBER(FIND("S590", Tasks[[#This Row],[Page]])), "",  IF(ISNUMBER(FIND("Site", Tasks[[#This Row],[Page]])), "", "ERROR"))))</f>
        <v>Level 1</v>
      </c>
      <c r="G373" s="6" t="str">
        <f>IF(Tasks[[#This Row],[Location]]=0, "", Tasks[[#This Row],[Location]])</f>
        <v>112 - President</v>
      </c>
      <c r="H373" s="6" t="str">
        <f>Tasks[[#This Row],[To Package]]</f>
        <v>Electrical</v>
      </c>
      <c r="I373" s="6" t="str">
        <f>Tasks[[#This Row],[To Organisation]]</f>
        <v>Wilkinson Electric Inc</v>
      </c>
    </row>
    <row r="374" spans="1:9" x14ac:dyDescent="0.35">
      <c r="A374" s="9" t="str">
        <f>HYPERLINK(_xlfn.CONCAT(Edit_URL,Tasks[[#This Row],[Ref]]),Tasks[[#This Row],[Ref]])</f>
        <v>T59123.28</v>
      </c>
      <c r="B374" s="6" t="str" cm="1">
        <f t="array" ref="B374">_xlfn.SWITCH(LEFT(Tasks[[#This Row],[Status]],1),"O","Opened","C","Completed","S","Signed Off","ERROR")</f>
        <v>Completed</v>
      </c>
      <c r="C374" s="6" t="str" cm="1">
        <f t="array" ref="C374">_xlfn.SWITCH(LEFT(Tasks[[#This Row],[Type]], 2), "Fi", "Field Report", "Co", "Contractor QC", "Ge", "Contractor QC", "Pu", "Punch List")</f>
        <v>Punch List</v>
      </c>
      <c r="D374" s="6" t="str">
        <f>LEFT(Tasks[[#This Row],[Description]], 50)</f>
        <v>Alignment of rough in for this room being verified</v>
      </c>
      <c r="E374" s="6" t="str" cm="1">
        <f t="array" ref="E374">_xlfn.LET(
_xlpm.inTower, COUNTIF(Tower_Num_Table[Tower Rm Numbers], LEFT(Task_Summary_Table[[#This Row],[Area/Room]], 3)) &gt; 0,
_xlpm.typeResult, _xlfn.SWITCH(LEFT(Tasks[[#This Row],[Page]], 2), "Hi", "Historic", "An", "Annex", "Si", "Site", "S5", "Project Task", "SWITCH ERROR"),
IF(_xlpm.inTower, "West Tower", _xlpm.typeResult)
)</f>
        <v>Annex</v>
      </c>
      <c r="F374" s="6" t="str">
        <f>IFERROR(MID(Tasks[[#This Row],[Page]], FIND("Level", Tasks[[#This Row],[Page]]), 7), IF(ISNUMBER(FIND("Roof", Tasks[[#This Row],[Page]])), "Roof",  IF(ISNUMBER(FIND("S590", Tasks[[#This Row],[Page]])), "",  IF(ISNUMBER(FIND("Site", Tasks[[#This Row],[Page]])), "", "ERROR"))))</f>
        <v>Level 1</v>
      </c>
      <c r="G374" s="6" t="str">
        <f>IF(Tasks[[#This Row],[Location]]=0, "", Tasks[[#This Row],[Location]])</f>
        <v>136 - Instruction - Brother</v>
      </c>
      <c r="H374" s="6" t="str">
        <f>Tasks[[#This Row],[To Package]]</f>
        <v>HVAC</v>
      </c>
      <c r="I374" s="6" t="str">
        <f>Tasks[[#This Row],[To Organisation]]</f>
        <v>US Mechanical</v>
      </c>
    </row>
    <row r="375" spans="1:9" x14ac:dyDescent="0.35">
      <c r="A375" s="9" t="str">
        <f>HYPERLINK(_xlfn.CONCAT(Edit_URL,Tasks[[#This Row],[Ref]]),Tasks[[#This Row],[Ref]])</f>
        <v>T59123.27</v>
      </c>
      <c r="B375" s="6" t="str" cm="1">
        <f t="array" ref="B375">_xlfn.SWITCH(LEFT(Tasks[[#This Row],[Status]],1),"O","Opened","C","Completed","S","Signed Off","ERROR")</f>
        <v>Signed Off</v>
      </c>
      <c r="C375" s="6" t="str" cm="1">
        <f t="array" ref="C375">_xlfn.SWITCH(LEFT(Tasks[[#This Row],[Type]], 2), "Fi", "Field Report", "Co", "Contractor QC", "Ge", "Contractor QC", "Pu", "Punch List")</f>
        <v>Punch List</v>
      </c>
      <c r="D375" s="6" t="str">
        <f>LEFT(Tasks[[#This Row],[Description]], 50)</f>
        <v>Rough in session clock after framing is complete</v>
      </c>
      <c r="E375" s="6" t="str" cm="1">
        <f t="array" ref="E375">_xlfn.LET(
_xlpm.inTower, COUNTIF(Tower_Num_Table[Tower Rm Numbers], LEFT(Task_Summary_Table[[#This Row],[Area/Room]], 3)) &gt; 0,
_xlpm.typeResult, _xlfn.SWITCH(LEFT(Tasks[[#This Row],[Page]], 2), "Hi", "Historic", "An", "Annex", "Si", "Site", "S5", "Project Task", "SWITCH ERROR"),
IF(_xlpm.inTower, "West Tower", _xlpm.typeResult)
)</f>
        <v>Annex</v>
      </c>
      <c r="F375" s="6" t="str">
        <f>IFERROR(MID(Tasks[[#This Row],[Page]], FIND("Level", Tasks[[#This Row],[Page]]), 7), IF(ISNUMBER(FIND("Roof", Tasks[[#This Row],[Page]])), "Roof",  IF(ISNUMBER(FIND("S590", Tasks[[#This Row],[Page]])), "",  IF(ISNUMBER(FIND("Site", Tasks[[#This Row],[Page]])), "", "ERROR"))))</f>
        <v>Level 1</v>
      </c>
      <c r="G375" s="6" t="str">
        <f>IF(Tasks[[#This Row],[Location]]=0, "", Tasks[[#This Row],[Location]])</f>
        <v>135 - Workers Dressing - Men</v>
      </c>
      <c r="H375" s="6" t="str">
        <f>Tasks[[#This Row],[To Package]]</f>
        <v>Electrical</v>
      </c>
      <c r="I375" s="6" t="str">
        <f>Tasks[[#This Row],[To Organisation]]</f>
        <v>Wilkinson Electric Inc</v>
      </c>
    </row>
    <row r="376" spans="1:9" x14ac:dyDescent="0.35">
      <c r="A376" s="9" t="str">
        <f>HYPERLINK(_xlfn.CONCAT(Edit_URL,Tasks[[#This Row],[Ref]]),Tasks[[#This Row],[Ref]])</f>
        <v>T59123.26</v>
      </c>
      <c r="B376" s="6" t="str" cm="1">
        <f t="array" ref="B376">_xlfn.SWITCH(LEFT(Tasks[[#This Row],[Status]],1),"O","Opened","C","Completed","S","Signed Off","ERROR")</f>
        <v>Signed Off</v>
      </c>
      <c r="C376" s="6" t="str" cm="1">
        <f t="array" ref="C376">_xlfn.SWITCH(LEFT(Tasks[[#This Row],[Type]], 2), "Fi", "Field Report", "Co", "Contractor QC", "Ge", "Contractor QC", "Pu", "Punch List")</f>
        <v>Punch List</v>
      </c>
      <c r="D376" s="6" t="str">
        <f>LEFT(Tasks[[#This Row],[Description]], 50)</f>
        <v>Missing WAP rough in</v>
      </c>
      <c r="E376" s="6" t="str" cm="1">
        <f t="array" ref="E376">_xlfn.LET(
_xlpm.inTower, COUNTIF(Tower_Num_Table[Tower Rm Numbers], LEFT(Task_Summary_Table[[#This Row],[Area/Room]], 3)) &gt; 0,
_xlpm.typeResult, _xlfn.SWITCH(LEFT(Tasks[[#This Row],[Page]], 2), "Hi", "Historic", "An", "Annex", "Si", "Site", "S5", "Project Task", "SWITCH ERROR"),
IF(_xlpm.inTower, "West Tower", _xlpm.typeResult)
)</f>
        <v>Annex</v>
      </c>
      <c r="F376" s="6" t="str">
        <f>IFERROR(MID(Tasks[[#This Row],[Page]], FIND("Level", Tasks[[#This Row],[Page]]), 7), IF(ISNUMBER(FIND("Roof", Tasks[[#This Row],[Page]])), "Roof",  IF(ISNUMBER(FIND("S590", Tasks[[#This Row],[Page]])), "",  IF(ISNUMBER(FIND("Site", Tasks[[#This Row],[Page]])), "", "ERROR"))))</f>
        <v>Level 1</v>
      </c>
      <c r="G376" s="6" t="str">
        <f>IF(Tasks[[#This Row],[Location]]=0, "", Tasks[[#This Row],[Location]])</f>
        <v>132A - Clothing</v>
      </c>
      <c r="H376" s="6" t="str">
        <f>Tasks[[#This Row],[To Package]]</f>
        <v>Electrical</v>
      </c>
      <c r="I376" s="6" t="str">
        <f>Tasks[[#This Row],[To Organisation]]</f>
        <v>Wilkinson Electric Inc</v>
      </c>
    </row>
    <row r="377" spans="1:9" x14ac:dyDescent="0.35">
      <c r="A377" s="9" t="str">
        <f>HYPERLINK(_xlfn.CONCAT(Edit_URL,Tasks[[#This Row],[Ref]]),Tasks[[#This Row],[Ref]])</f>
        <v>T59123.25</v>
      </c>
      <c r="B377" s="6" t="str" cm="1">
        <f t="array" ref="B377">_xlfn.SWITCH(LEFT(Tasks[[#This Row],[Status]],1),"O","Opened","C","Completed","S","Signed Off","ERROR")</f>
        <v>Completed</v>
      </c>
      <c r="C377" s="6" t="str" cm="1">
        <f t="array" ref="C377">_xlfn.SWITCH(LEFT(Tasks[[#This Row],[Type]], 2), "Fi", "Field Report", "Co", "Contractor QC", "Ge", "Contractor QC", "Pu", "Punch List")</f>
        <v>Punch List</v>
      </c>
      <c r="D377" s="6" t="str">
        <f>LEFT(Tasks[[#This Row],[Description]], 50)</f>
        <v>Missing duress button</v>
      </c>
      <c r="E377" s="6" t="str" cm="1">
        <f t="array" ref="E377">_xlfn.LET(
_xlpm.inTower, COUNTIF(Tower_Num_Table[Tower Rm Numbers], LEFT(Task_Summary_Table[[#This Row],[Area/Room]], 3)) &gt; 0,
_xlpm.typeResult, _xlfn.SWITCH(LEFT(Tasks[[#This Row],[Page]], 2), "Hi", "Historic", "An", "Annex", "Si", "Site", "S5", "Project Task", "SWITCH ERROR"),
IF(_xlpm.inTower, "West Tower", _xlpm.typeResult)
)</f>
        <v>Annex</v>
      </c>
      <c r="F377" s="6" t="str">
        <f>IFERROR(MID(Tasks[[#This Row],[Page]], FIND("Level", Tasks[[#This Row],[Page]]), 7), IF(ISNUMBER(FIND("Roof", Tasks[[#This Row],[Page]])), "Roof",  IF(ISNUMBER(FIND("S590", Tasks[[#This Row],[Page]])), "",  IF(ISNUMBER(FIND("Site", Tasks[[#This Row],[Page]])), "", "ERROR"))))</f>
        <v>Level 1</v>
      </c>
      <c r="G377" s="6" t="str">
        <f>IF(Tasks[[#This Row],[Location]]=0, "", Tasks[[#This Row],[Location]])</f>
        <v>132A - Clothing</v>
      </c>
      <c r="H377" s="6" t="str">
        <f>Tasks[[#This Row],[To Package]]</f>
        <v>Electrical</v>
      </c>
      <c r="I377" s="6" t="str">
        <f>Tasks[[#This Row],[To Organisation]]</f>
        <v>Wilkinson Electric Inc</v>
      </c>
    </row>
    <row r="378" spans="1:9" x14ac:dyDescent="0.35">
      <c r="A378" s="9" t="str">
        <f>HYPERLINK(_xlfn.CONCAT(Edit_URL,Tasks[[#This Row],[Ref]]),Tasks[[#This Row],[Ref]])</f>
        <v>T59123.24</v>
      </c>
      <c r="B378" s="6" t="str" cm="1">
        <f t="array" ref="B378">_xlfn.SWITCH(LEFT(Tasks[[#This Row],[Status]],1),"O","Opened","C","Completed","S","Signed Off","ERROR")</f>
        <v>Completed</v>
      </c>
      <c r="C378" s="6" t="str" cm="1">
        <f t="array" ref="C378">_xlfn.SWITCH(LEFT(Tasks[[#This Row],[Type]], 2), "Fi", "Field Report", "Co", "Contractor QC", "Ge", "Contractor QC", "Pu", "Punch List")</f>
        <v>Punch List</v>
      </c>
      <c r="D378" s="6" t="str">
        <f>LEFT(Tasks[[#This Row],[Description]], 50)</f>
        <v>Missing laundry bell</v>
      </c>
      <c r="E378" s="6" t="str" cm="1">
        <f t="array" ref="E378">_xlfn.LET(
_xlpm.inTower, COUNTIF(Tower_Num_Table[Tower Rm Numbers], LEFT(Task_Summary_Table[[#This Row],[Area/Room]], 3)) &gt; 0,
_xlpm.typeResult, _xlfn.SWITCH(LEFT(Tasks[[#This Row],[Page]], 2), "Hi", "Historic", "An", "Annex", "Si", "Site", "S5", "Project Task", "SWITCH ERROR"),
IF(_xlpm.inTower, "West Tower", _xlpm.typeResult)
)</f>
        <v>Annex</v>
      </c>
      <c r="F378" s="6" t="str">
        <f>IFERROR(MID(Tasks[[#This Row],[Page]], FIND("Level", Tasks[[#This Row],[Page]]), 7), IF(ISNUMBER(FIND("Roof", Tasks[[#This Row],[Page]])), "Roof",  IF(ISNUMBER(FIND("S590", Tasks[[#This Row],[Page]])), "",  IF(ISNUMBER(FIND("Site", Tasks[[#This Row],[Page]])), "", "ERROR"))))</f>
        <v>Level 1</v>
      </c>
      <c r="G378" s="6" t="str">
        <f>IF(Tasks[[#This Row],[Location]]=0, "", Tasks[[#This Row],[Location]])</f>
        <v>132A - Clothing</v>
      </c>
      <c r="H378" s="6" t="str">
        <f>Tasks[[#This Row],[To Package]]</f>
        <v>Electrical</v>
      </c>
      <c r="I378" s="6" t="str">
        <f>Tasks[[#This Row],[To Organisation]]</f>
        <v>Wilkinson Electric Inc</v>
      </c>
    </row>
    <row r="379" spans="1:9" x14ac:dyDescent="0.35">
      <c r="A379" s="9" t="str">
        <f>HYPERLINK(_xlfn.CONCAT(Edit_URL,Tasks[[#This Row],[Ref]]),Tasks[[#This Row],[Ref]])</f>
        <v>T59123.23</v>
      </c>
      <c r="B379" s="6" t="str" cm="1">
        <f t="array" ref="B379">_xlfn.SWITCH(LEFT(Tasks[[#This Row],[Status]],1),"O","Opened","C","Completed","S","Signed Off","ERROR")</f>
        <v>Signed Off</v>
      </c>
      <c r="C379" s="6" t="str" cm="1">
        <f t="array" ref="C379">_xlfn.SWITCH(LEFT(Tasks[[#This Row],[Type]], 2), "Fi", "Field Report", "Co", "Contractor QC", "Ge", "Contractor QC", "Pu", "Punch List")</f>
        <v>Punch List</v>
      </c>
      <c r="D379" s="6" t="str">
        <f>LEFT(Tasks[[#This Row],[Description]], 50)</f>
        <v>Missing electrical conduit rough in at session clo</v>
      </c>
      <c r="E379" s="6" t="str" cm="1">
        <f t="array" ref="E379">_xlfn.LET(
_xlpm.inTower, COUNTIF(Tower_Num_Table[Tower Rm Numbers], LEFT(Task_Summary_Table[[#This Row],[Area/Room]], 3)) &gt; 0,
_xlpm.typeResult, _xlfn.SWITCH(LEFT(Tasks[[#This Row],[Page]], 2), "Hi", "Historic", "An", "Annex", "Si", "Site", "S5", "Project Task", "SWITCH ERROR"),
IF(_xlpm.inTower, "West Tower", _xlpm.typeResult)
)</f>
        <v>Annex</v>
      </c>
      <c r="F379" s="6" t="str">
        <f>IFERROR(MID(Tasks[[#This Row],[Page]], FIND("Level", Tasks[[#This Row],[Page]]), 7), IF(ISNUMBER(FIND("Roof", Tasks[[#This Row],[Page]])), "Roof",  IF(ISNUMBER(FIND("S590", Tasks[[#This Row],[Page]])), "",  IF(ISNUMBER(FIND("Site", Tasks[[#This Row],[Page]])), "", "ERROR"))))</f>
        <v>Level 1</v>
      </c>
      <c r="G379" s="6" t="str">
        <f>IF(Tasks[[#This Row],[Location]]=0, "", Tasks[[#This Row],[Location]])</f>
        <v>132A - Clothing</v>
      </c>
      <c r="H379" s="6" t="str">
        <f>Tasks[[#This Row],[To Package]]</f>
        <v>Electrical</v>
      </c>
      <c r="I379" s="6" t="str">
        <f>Tasks[[#This Row],[To Organisation]]</f>
        <v>Wilkinson Electric Inc</v>
      </c>
    </row>
    <row r="380" spans="1:9" x14ac:dyDescent="0.35">
      <c r="A380" s="9" t="str">
        <f>HYPERLINK(_xlfn.CONCAT(Edit_URL,Tasks[[#This Row],[Ref]]),Tasks[[#This Row],[Ref]])</f>
        <v>T59123.22</v>
      </c>
      <c r="B380" s="6" t="str" cm="1">
        <f t="array" ref="B380">_xlfn.SWITCH(LEFT(Tasks[[#This Row],[Status]],1),"O","Opened","C","Completed","S","Signed Off","ERROR")</f>
        <v>Completed</v>
      </c>
      <c r="C380" s="6" t="str" cm="1">
        <f t="array" ref="C380">_xlfn.SWITCH(LEFT(Tasks[[#This Row],[Type]], 2), "Fi", "Field Report", "Co", "Contractor QC", "Ge", "Contractor QC", "Pu", "Punch List")</f>
        <v>Punch List</v>
      </c>
      <c r="D380" s="6" t="str">
        <f>LEFT(Tasks[[#This Row],[Description]], 50)</f>
        <v>Verify electrical layout is centered per C3/A4116</v>
      </c>
      <c r="E380" s="6" t="str" cm="1">
        <f t="array" ref="E380">_xlfn.LET(
_xlpm.inTower, COUNTIF(Tower_Num_Table[Tower Rm Numbers], LEFT(Task_Summary_Table[[#This Row],[Area/Room]], 3)) &gt; 0,
_xlpm.typeResult, _xlfn.SWITCH(LEFT(Tasks[[#This Row],[Page]], 2), "Hi", "Historic", "An", "Annex", "Si", "Site", "S5", "Project Task", "SWITCH ERROR"),
IF(_xlpm.inTower, "West Tower", _xlpm.typeResult)
)</f>
        <v>Annex</v>
      </c>
      <c r="F380" s="6" t="str">
        <f>IFERROR(MID(Tasks[[#This Row],[Page]], FIND("Level", Tasks[[#This Row],[Page]]), 7), IF(ISNUMBER(FIND("Roof", Tasks[[#This Row],[Page]])), "Roof",  IF(ISNUMBER(FIND("S590", Tasks[[#This Row],[Page]])), "",  IF(ISNUMBER(FIND("Site", Tasks[[#This Row],[Page]])), "", "ERROR"))))</f>
        <v>Level 1</v>
      </c>
      <c r="G380" s="6" t="str">
        <f>IF(Tasks[[#This Row],[Location]]=0, "", Tasks[[#This Row],[Location]])</f>
        <v>132 - Clothing</v>
      </c>
      <c r="H380" s="6" t="str">
        <f>Tasks[[#This Row],[To Package]]</f>
        <v>Electrical</v>
      </c>
      <c r="I380" s="6" t="str">
        <f>Tasks[[#This Row],[To Organisation]]</f>
        <v>Wilkinson Electric Inc</v>
      </c>
    </row>
    <row r="381" spans="1:9" x14ac:dyDescent="0.35">
      <c r="A381" s="9" t="str">
        <f>HYPERLINK(_xlfn.CONCAT(Edit_URL,Tasks[[#This Row],[Ref]]),Tasks[[#This Row],[Ref]])</f>
        <v>T59123.21</v>
      </c>
      <c r="B381" s="6" t="str" cm="1">
        <f t="array" ref="B381">_xlfn.SWITCH(LEFT(Tasks[[#This Row],[Status]],1),"O","Opened","C","Completed","S","Signed Off","ERROR")</f>
        <v>Signed Off</v>
      </c>
      <c r="C381" s="6" t="str" cm="1">
        <f t="array" ref="C381">_xlfn.SWITCH(LEFT(Tasks[[#This Row],[Type]], 2), "Fi", "Field Report", "Co", "Contractor QC", "Ge", "Contractor QC", "Pu", "Punch List")</f>
        <v>Punch List</v>
      </c>
      <c r="D381" s="6" t="str">
        <f>LEFT(Tasks[[#This Row],[Description]], 50)</f>
        <v xml:space="preserve">Outlet not centered between doors. Need to review </v>
      </c>
      <c r="E381" s="6" t="str" cm="1">
        <f t="array" ref="E381">_xlfn.LET(
_xlpm.inTower, COUNTIF(Tower_Num_Table[Tower Rm Numbers], LEFT(Task_Summary_Table[[#This Row],[Area/Room]], 3)) &gt; 0,
_xlpm.typeResult, _xlfn.SWITCH(LEFT(Tasks[[#This Row],[Page]], 2), "Hi", "Historic", "An", "Annex", "Si", "Site", "S5", "Project Task", "SWITCH ERROR"),
IF(_xlpm.inTower, "West Tower", _xlpm.typeResult)
)</f>
        <v>Annex</v>
      </c>
      <c r="F381" s="6" t="str">
        <f>IFERROR(MID(Tasks[[#This Row],[Page]], FIND("Level", Tasks[[#This Row],[Page]]), 7), IF(ISNUMBER(FIND("Roof", Tasks[[#This Row],[Page]])), "Roof",  IF(ISNUMBER(FIND("S590", Tasks[[#This Row],[Page]])), "",  IF(ISNUMBER(FIND("Site", Tasks[[#This Row],[Page]])), "", "ERROR"))))</f>
        <v>Level 1</v>
      </c>
      <c r="G381" s="6" t="str">
        <f>IF(Tasks[[#This Row],[Location]]=0, "", Tasks[[#This Row],[Location]])</f>
        <v>138 - Folding</v>
      </c>
      <c r="H381" s="6" t="str">
        <f>Tasks[[#This Row],[To Package]]</f>
        <v>Electrical</v>
      </c>
      <c r="I381" s="6" t="str">
        <f>Tasks[[#This Row],[To Organisation]]</f>
        <v>Wilkinson Electric Inc</v>
      </c>
    </row>
    <row r="382" spans="1:9" x14ac:dyDescent="0.35">
      <c r="A382" s="9" t="str">
        <f>HYPERLINK(_xlfn.CONCAT(Edit_URL,Tasks[[#This Row],[Ref]]),Tasks[[#This Row],[Ref]])</f>
        <v>T59123.20</v>
      </c>
      <c r="B382" s="6" t="str" cm="1">
        <f t="array" ref="B382">_xlfn.SWITCH(LEFT(Tasks[[#This Row],[Status]],1),"O","Opened","C","Completed","S","Signed Off","ERROR")</f>
        <v>Signed Off</v>
      </c>
      <c r="C382" s="6" t="str" cm="1">
        <f t="array" ref="C382">_xlfn.SWITCH(LEFT(Tasks[[#This Row],[Type]], 2), "Fi", "Field Report", "Co", "Contractor QC", "Ge", "Contractor QC", "Pu", "Punch List")</f>
        <v>Punch List</v>
      </c>
      <c r="D382" s="6" t="str">
        <f>LEFT(Tasks[[#This Row],[Description]], 50)</f>
        <v>Outlet not centered between doors.</v>
      </c>
      <c r="E382" s="6" t="str" cm="1">
        <f t="array" ref="E382">_xlfn.LET(
_xlpm.inTower, COUNTIF(Tower_Num_Table[Tower Rm Numbers], LEFT(Task_Summary_Table[[#This Row],[Area/Room]], 3)) &gt; 0,
_xlpm.typeResult, _xlfn.SWITCH(LEFT(Tasks[[#This Row],[Page]], 2), "Hi", "Historic", "An", "Annex", "Si", "Site", "S5", "Project Task", "SWITCH ERROR"),
IF(_xlpm.inTower, "West Tower", _xlpm.typeResult)
)</f>
        <v>Annex</v>
      </c>
      <c r="F382" s="6" t="str">
        <f>IFERROR(MID(Tasks[[#This Row],[Page]], FIND("Level", Tasks[[#This Row],[Page]]), 7), IF(ISNUMBER(FIND("Roof", Tasks[[#This Row],[Page]])), "Roof",  IF(ISNUMBER(FIND("S590", Tasks[[#This Row],[Page]])), "",  IF(ISNUMBER(FIND("Site", Tasks[[#This Row],[Page]])), "", "ERROR"))))</f>
        <v>Level 1</v>
      </c>
      <c r="G382" s="6" t="str">
        <f>IF(Tasks[[#This Row],[Location]]=0, "", Tasks[[#This Row],[Location]])</f>
        <v>138 - Folding</v>
      </c>
      <c r="H382" s="6" t="str">
        <f>Tasks[[#This Row],[To Package]]</f>
        <v>Electrical</v>
      </c>
      <c r="I382" s="6" t="str">
        <f>Tasks[[#This Row],[To Organisation]]</f>
        <v>Wilkinson Electric Inc</v>
      </c>
    </row>
    <row r="383" spans="1:9" x14ac:dyDescent="0.35">
      <c r="A383" s="9" t="str">
        <f>HYPERLINK(_xlfn.CONCAT(Edit_URL,Tasks[[#This Row],[Ref]]),Tasks[[#This Row],[Ref]])</f>
        <v>T59123.19</v>
      </c>
      <c r="B383" s="6" t="str" cm="1">
        <f t="array" ref="B383">_xlfn.SWITCH(LEFT(Tasks[[#This Row],[Status]],1),"O","Opened","C","Completed","S","Signed Off","ERROR")</f>
        <v>Signed Off</v>
      </c>
      <c r="C383" s="6" t="str" cm="1">
        <f t="array" ref="C383">_xlfn.SWITCH(LEFT(Tasks[[#This Row],[Type]], 2), "Fi", "Field Report", "Co", "Contractor QC", "Ge", "Contractor QC", "Pu", "Punch List")</f>
        <v>Punch List</v>
      </c>
      <c r="D383" s="6" t="str">
        <f>LEFT(Tasks[[#This Row],[Description]], 50)</f>
        <v>Electrical box needs conduit tied in</v>
      </c>
      <c r="E383" s="6" t="str" cm="1">
        <f t="array" ref="E383">_xlfn.LET(
_xlpm.inTower, COUNTIF(Tower_Num_Table[Tower Rm Numbers], LEFT(Task_Summary_Table[[#This Row],[Area/Room]], 3)) &gt; 0,
_xlpm.typeResult, _xlfn.SWITCH(LEFT(Tasks[[#This Row],[Page]], 2), "Hi", "Historic", "An", "Annex", "Si", "Site", "S5", "Project Task", "SWITCH ERROR"),
IF(_xlpm.inTower, "West Tower", _xlpm.typeResult)
)</f>
        <v>Annex</v>
      </c>
      <c r="F383" s="6" t="str">
        <f>IFERROR(MID(Tasks[[#This Row],[Page]], FIND("Level", Tasks[[#This Row],[Page]]), 7), IF(ISNUMBER(FIND("Roof", Tasks[[#This Row],[Page]])), "Roof",  IF(ISNUMBER(FIND("S590", Tasks[[#This Row],[Page]])), "",  IF(ISNUMBER(FIND("Site", Tasks[[#This Row],[Page]])), "", "ERROR"))))</f>
        <v>Level 1</v>
      </c>
      <c r="G383" s="6" t="str">
        <f>IF(Tasks[[#This Row],[Location]]=0, "", Tasks[[#This Row],[Location]])</f>
        <v>139 - Vest</v>
      </c>
      <c r="H383" s="6" t="str">
        <f>Tasks[[#This Row],[To Package]]</f>
        <v>Electrical</v>
      </c>
      <c r="I383" s="6" t="str">
        <f>Tasks[[#This Row],[To Organisation]]</f>
        <v>Wilkinson Electric Inc</v>
      </c>
    </row>
    <row r="384" spans="1:9" x14ac:dyDescent="0.35">
      <c r="A384" s="9" t="str">
        <f>HYPERLINK(_xlfn.CONCAT(Edit_URL,Tasks[[#This Row],[Ref]]),Tasks[[#This Row],[Ref]])</f>
        <v>T59123.18</v>
      </c>
      <c r="B384" s="6" t="str" cm="1">
        <f t="array" ref="B384">_xlfn.SWITCH(LEFT(Tasks[[#This Row],[Status]],1),"O","Opened","C","Completed","S","Signed Off","ERROR")</f>
        <v>Signed Off</v>
      </c>
      <c r="C384" s="6" t="str" cm="1">
        <f t="array" ref="C384">_xlfn.SWITCH(LEFT(Tasks[[#This Row],[Type]], 2), "Fi", "Field Report", "Co", "Contractor QC", "Ge", "Contractor QC", "Pu", "Punch List")</f>
        <v>Punch List</v>
      </c>
      <c r="D384" s="6" t="str">
        <f>LEFT(Tasks[[#This Row],[Description]], 50)</f>
        <v>Framing below windows to be adjusted to accommodat</v>
      </c>
      <c r="E384" s="6" t="str" cm="1">
        <f t="array" ref="E384">_xlfn.LET(
_xlpm.inTower, COUNTIF(Tower_Num_Table[Tower Rm Numbers], LEFT(Task_Summary_Table[[#This Row],[Area/Room]], 3)) &gt; 0,
_xlpm.typeResult, _xlfn.SWITCH(LEFT(Tasks[[#This Row],[Page]], 2), "Hi", "Historic", "An", "Annex", "Si", "Site", "S5", "Project Task", "SWITCH ERROR"),
IF(_xlpm.inTower, "West Tower", _xlpm.typeResult)
)</f>
        <v>Annex</v>
      </c>
      <c r="F384" s="6" t="str">
        <f>IFERROR(MID(Tasks[[#This Row],[Page]], FIND("Level", Tasks[[#This Row],[Page]]), 7), IF(ISNUMBER(FIND("Roof", Tasks[[#This Row],[Page]])), "Roof",  IF(ISNUMBER(FIND("S590", Tasks[[#This Row],[Page]])), "",  IF(ISNUMBER(FIND("Site", Tasks[[#This Row],[Page]])), "", "ERROR"))))</f>
        <v>Level 1</v>
      </c>
      <c r="G384" s="6" t="str">
        <f>IF(Tasks[[#This Row],[Location]]=0, "", Tasks[[#This Row],[Location]])</f>
        <v>110 - Chapel</v>
      </c>
      <c r="H384" s="6" t="str">
        <f>Tasks[[#This Row],[To Package]]</f>
        <v>Metal Stud / Drywall</v>
      </c>
      <c r="I384" s="6" t="str">
        <f>Tasks[[#This Row],[To Organisation]]</f>
        <v>Pete King Construction</v>
      </c>
    </row>
    <row r="385" spans="1:9" x14ac:dyDescent="0.35">
      <c r="A385" s="9" t="str">
        <f>HYPERLINK(_xlfn.CONCAT(Edit_URL,Tasks[[#This Row],[Ref]]),Tasks[[#This Row],[Ref]])</f>
        <v>T59123.17</v>
      </c>
      <c r="B385" s="6" t="str" cm="1">
        <f t="array" ref="B385">_xlfn.SWITCH(LEFT(Tasks[[#This Row],[Status]],1),"O","Opened","C","Completed","S","Signed Off","ERROR")</f>
        <v>Signed Off</v>
      </c>
      <c r="C385" s="6" t="str" cm="1">
        <f t="array" ref="C385">_xlfn.SWITCH(LEFT(Tasks[[#This Row],[Type]], 2), "Fi", "Field Report", "Co", "Contractor QC", "Ge", "Contractor QC", "Pu", "Punch List")</f>
        <v>Punch List</v>
      </c>
      <c r="D385" s="6" t="str">
        <f>LEFT(Tasks[[#This Row],[Description]], 50)</f>
        <v>HVAC not symmetrical on wall but per architectural</v>
      </c>
      <c r="E385" s="6" t="str" cm="1">
        <f t="array" ref="E385">_xlfn.LET(
_xlpm.inTower, COUNTIF(Tower_Num_Table[Tower Rm Numbers], LEFT(Task_Summary_Table[[#This Row],[Area/Room]], 3)) &gt; 0,
_xlpm.typeResult, _xlfn.SWITCH(LEFT(Tasks[[#This Row],[Page]], 2), "Hi", "Historic", "An", "Annex", "Si", "Site", "S5", "Project Task", "SWITCH ERROR"),
IF(_xlpm.inTower, "West Tower", _xlpm.typeResult)
)</f>
        <v>Annex</v>
      </c>
      <c r="F385" s="6" t="str">
        <f>IFERROR(MID(Tasks[[#This Row],[Page]], FIND("Level", Tasks[[#This Row],[Page]]), 7), IF(ISNUMBER(FIND("Roof", Tasks[[#This Row],[Page]])), "Roof",  IF(ISNUMBER(FIND("S590", Tasks[[#This Row],[Page]])), "",  IF(ISNUMBER(FIND("Site", Tasks[[#This Row],[Page]])), "", "ERROR"))))</f>
        <v>Level 1</v>
      </c>
      <c r="G385" s="6" t="str">
        <f>IF(Tasks[[#This Row],[Location]]=0, "", Tasks[[#This Row],[Location]])</f>
        <v>133 - Instruction Men</v>
      </c>
      <c r="H385" s="6" t="str">
        <f>Tasks[[#This Row],[To Package]]</f>
        <v>HVAC</v>
      </c>
      <c r="I385" s="6" t="str">
        <f>Tasks[[#This Row],[To Organisation]]</f>
        <v>US Mechanical</v>
      </c>
    </row>
    <row r="386" spans="1:9" x14ac:dyDescent="0.35">
      <c r="A386" s="9" t="str">
        <f>HYPERLINK(_xlfn.CONCAT(Edit_URL,Tasks[[#This Row],[Ref]]),Tasks[[#This Row],[Ref]])</f>
        <v>T59123.16</v>
      </c>
      <c r="B386" s="6" t="str" cm="1">
        <f t="array" ref="B386">_xlfn.SWITCH(LEFT(Tasks[[#This Row],[Status]],1),"O","Opened","C","Completed","S","Signed Off","ERROR")</f>
        <v>Signed Off</v>
      </c>
      <c r="C386" s="6" t="str" cm="1">
        <f t="array" ref="C386">_xlfn.SWITCH(LEFT(Tasks[[#This Row],[Type]], 2), "Fi", "Field Report", "Co", "Contractor QC", "Ge", "Contractor QC", "Pu", "Punch List")</f>
        <v>Punch List</v>
      </c>
      <c r="D386" s="6" t="str">
        <f>LEFT(Tasks[[#This Row],[Description]], 50)</f>
        <v xml:space="preserve">Above Counter Outlet alignment </v>
      </c>
      <c r="E386" s="6" t="str" cm="1">
        <f t="array" ref="E386">_xlfn.LET(
_xlpm.inTower, COUNTIF(Tower_Num_Table[Tower Rm Numbers], LEFT(Task_Summary_Table[[#This Row],[Area/Room]], 3)) &gt; 0,
_xlpm.typeResult, _xlfn.SWITCH(LEFT(Tasks[[#This Row],[Page]], 2), "Hi", "Historic", "An", "Annex", "Si", "Site", "S5", "Project Task", "SWITCH ERROR"),
IF(_xlpm.inTower, "West Tower", _xlpm.typeResult)
)</f>
        <v>Annex</v>
      </c>
      <c r="F386" s="6" t="str">
        <f>IFERROR(MID(Tasks[[#This Row],[Page]], FIND("Level", Tasks[[#This Row],[Page]]), 7), IF(ISNUMBER(FIND("Roof", Tasks[[#This Row],[Page]])), "Roof",  IF(ISNUMBER(FIND("S590", Tasks[[#This Row],[Page]])), "",  IF(ISNUMBER(FIND("Site", Tasks[[#This Row],[Page]])), "", "ERROR"))))</f>
        <v>Level 1</v>
      </c>
      <c r="G386" s="6" t="str">
        <f>IF(Tasks[[#This Row],[Location]]=0, "", Tasks[[#This Row],[Location]])</f>
        <v>134 - Men</v>
      </c>
      <c r="H386" s="6" t="str">
        <f>Tasks[[#This Row],[To Package]]</f>
        <v>Electrical</v>
      </c>
      <c r="I386" s="6" t="str">
        <f>Tasks[[#This Row],[To Organisation]]</f>
        <v>Wilkinson Electric Inc</v>
      </c>
    </row>
    <row r="387" spans="1:9" x14ac:dyDescent="0.35">
      <c r="A387" s="9" t="str">
        <f>HYPERLINK(_xlfn.CONCAT(Edit_URL,Tasks[[#This Row],[Ref]]),Tasks[[#This Row],[Ref]])</f>
        <v>T59123.15</v>
      </c>
      <c r="B387" s="6" t="str" cm="1">
        <f t="array" ref="B387">_xlfn.SWITCH(LEFT(Tasks[[#This Row],[Status]],1),"O","Opened","C","Completed","S","Signed Off","ERROR")</f>
        <v>Signed Off</v>
      </c>
      <c r="C387" s="6" t="str" cm="1">
        <f t="array" ref="C387">_xlfn.SWITCH(LEFT(Tasks[[#This Row],[Type]], 2), "Fi", "Field Report", "Co", "Contractor QC", "Ge", "Contractor QC", "Pu", "Punch List")</f>
        <v>Punch List</v>
      </c>
      <c r="D387" s="6" t="str">
        <f>LEFT(Tasks[[#This Row],[Description]], 50)</f>
        <v>Missing power outlet</v>
      </c>
      <c r="E387" s="6" t="str" cm="1">
        <f t="array" ref="E387">_xlfn.LET(
_xlpm.inTower, COUNTIF(Tower_Num_Table[Tower Rm Numbers], LEFT(Task_Summary_Table[[#This Row],[Area/Room]], 3)) &gt; 0,
_xlpm.typeResult, _xlfn.SWITCH(LEFT(Tasks[[#This Row],[Page]], 2), "Hi", "Historic", "An", "Annex", "Si", "Site", "S5", "Project Task", "SWITCH ERROR"),
IF(_xlpm.inTower, "West Tower", _xlpm.typeResult)
)</f>
        <v>Annex</v>
      </c>
      <c r="F387" s="6" t="str">
        <f>IFERROR(MID(Tasks[[#This Row],[Page]], FIND("Level", Tasks[[#This Row],[Page]]), 7), IF(ISNUMBER(FIND("Roof", Tasks[[#This Row],[Page]])), "Roof",  IF(ISNUMBER(FIND("S590", Tasks[[#This Row],[Page]])), "",  IF(ISNUMBER(FIND("Site", Tasks[[#This Row],[Page]])), "", "ERROR"))))</f>
        <v>Level 1</v>
      </c>
      <c r="G387" s="6" t="str">
        <f>IF(Tasks[[#This Row],[Location]]=0, "", Tasks[[#This Row],[Location]])</f>
        <v>140 - Booth - Men</v>
      </c>
      <c r="H387" s="6" t="str">
        <f>Tasks[[#This Row],[To Package]]</f>
        <v>Electrical</v>
      </c>
      <c r="I387" s="6" t="str">
        <f>Tasks[[#This Row],[To Organisation]]</f>
        <v>Wilkinson Electric Inc</v>
      </c>
    </row>
    <row r="388" spans="1:9" x14ac:dyDescent="0.35">
      <c r="A388" s="9" t="str">
        <f>HYPERLINK(_xlfn.CONCAT(Edit_URL,Tasks[[#This Row],[Ref]]),Tasks[[#This Row],[Ref]])</f>
        <v>T59123.14</v>
      </c>
      <c r="B388" s="6" t="str" cm="1">
        <f t="array" ref="B388">_xlfn.SWITCH(LEFT(Tasks[[#This Row],[Status]],1),"O","Opened","C","Completed","S","Signed Off","ERROR")</f>
        <v>Signed Off</v>
      </c>
      <c r="C388" s="6" t="str" cm="1">
        <f t="array" ref="C388">_xlfn.SWITCH(LEFT(Tasks[[#This Row],[Type]], 2), "Fi", "Field Report", "Co", "Contractor QC", "Ge", "Contractor QC", "Pu", "Punch List")</f>
        <v>Punch List</v>
      </c>
      <c r="D388" s="6" t="str">
        <f>LEFT(Tasks[[#This Row],[Description]], 50)</f>
        <v>Missing outlet - shaft wall not yet framed</v>
      </c>
      <c r="E388" s="6" t="str" cm="1">
        <f t="array" ref="E388">_xlfn.LET(
_xlpm.inTower, COUNTIF(Tower_Num_Table[Tower Rm Numbers], LEFT(Task_Summary_Table[[#This Row],[Area/Room]], 3)) &gt; 0,
_xlpm.typeResult, _xlfn.SWITCH(LEFT(Tasks[[#This Row],[Page]], 2), "Hi", "Historic", "An", "Annex", "Si", "Site", "S5", "Project Task", "SWITCH ERROR"),
IF(_xlpm.inTower, "West Tower", _xlpm.typeResult)
)</f>
        <v>Annex</v>
      </c>
      <c r="F388" s="6" t="str">
        <f>IFERROR(MID(Tasks[[#This Row],[Page]], FIND("Level", Tasks[[#This Row],[Page]]), 7), IF(ISNUMBER(FIND("Roof", Tasks[[#This Row],[Page]])), "Roof",  IF(ISNUMBER(FIND("S590", Tasks[[#This Row],[Page]])), "",  IF(ISNUMBER(FIND("Site", Tasks[[#This Row],[Page]])), "", "ERROR"))))</f>
        <v>Level 1</v>
      </c>
      <c r="G388" s="6" t="str">
        <f>IF(Tasks[[#This Row],[Location]]=0, "", Tasks[[#This Row],[Location]])</f>
        <v>140 - Booth - Men</v>
      </c>
      <c r="H388" s="6" t="str">
        <f>Tasks[[#This Row],[To Package]]</f>
        <v>Electrical</v>
      </c>
      <c r="I388" s="6" t="str">
        <f>Tasks[[#This Row],[To Organisation]]</f>
        <v>Wilkinson Electric Inc</v>
      </c>
    </row>
    <row r="389" spans="1:9" x14ac:dyDescent="0.35">
      <c r="A389" s="9" t="str">
        <f>HYPERLINK(_xlfn.CONCAT(Edit_URL,Tasks[[#This Row],[Ref]]),Tasks[[#This Row],[Ref]])</f>
        <v>T59123.13</v>
      </c>
      <c r="B389" s="6" t="str" cm="1">
        <f t="array" ref="B389">_xlfn.SWITCH(LEFT(Tasks[[#This Row],[Status]],1),"O","Opened","C","Completed","S","Signed Off","ERROR")</f>
        <v>Signed Off</v>
      </c>
      <c r="C389" s="6" t="str" cm="1">
        <f t="array" ref="C389">_xlfn.SWITCH(LEFT(Tasks[[#This Row],[Type]], 2), "Fi", "Field Report", "Co", "Contractor QC", "Ge", "Contractor QC", "Pu", "Punch List")</f>
        <v>Punch List</v>
      </c>
      <c r="D389" s="6" t="str">
        <f>LEFT(Tasks[[#This Row],[Description]], 50)</f>
        <v>Power outlet missing</v>
      </c>
      <c r="E389" s="6" t="str" cm="1">
        <f t="array" ref="E389">_xlfn.LET(
_xlpm.inTower, COUNTIF(Tower_Num_Table[Tower Rm Numbers], LEFT(Task_Summary_Table[[#This Row],[Area/Room]], 3)) &gt; 0,
_xlpm.typeResult, _xlfn.SWITCH(LEFT(Tasks[[#This Row],[Page]], 2), "Hi", "Historic", "An", "Annex", "Si", "Site", "S5", "Project Task", "SWITCH ERROR"),
IF(_xlpm.inTower, "West Tower", _xlpm.typeResult)
)</f>
        <v>Annex</v>
      </c>
      <c r="F389" s="6" t="str">
        <f>IFERROR(MID(Tasks[[#This Row],[Page]], FIND("Level", Tasks[[#This Row],[Page]]), 7), IF(ISNUMBER(FIND("Roof", Tasks[[#This Row],[Page]])), "Roof",  IF(ISNUMBER(FIND("S590", Tasks[[#This Row],[Page]])), "",  IF(ISNUMBER(FIND("Site", Tasks[[#This Row],[Page]])), "", "ERROR"))))</f>
        <v>Level 1</v>
      </c>
      <c r="G389" s="6" t="str">
        <f>IF(Tasks[[#This Row],[Location]]=0, "", Tasks[[#This Row],[Location]])</f>
        <v>140 - Booth - Men</v>
      </c>
      <c r="H389" s="6" t="str">
        <f>Tasks[[#This Row],[To Package]]</f>
        <v>Electrical</v>
      </c>
      <c r="I389" s="6" t="str">
        <f>Tasks[[#This Row],[To Organisation]]</f>
        <v>Wilkinson Electric Inc</v>
      </c>
    </row>
    <row r="390" spans="1:9" x14ac:dyDescent="0.35">
      <c r="A390" s="9" t="str">
        <f>HYPERLINK(_xlfn.CONCAT(Edit_URL,Tasks[[#This Row],[Ref]]),Tasks[[#This Row],[Ref]])</f>
        <v>T59123.12</v>
      </c>
      <c r="B390" s="6" t="str" cm="1">
        <f t="array" ref="B390">_xlfn.SWITCH(LEFT(Tasks[[#This Row],[Status]],1),"O","Opened","C","Completed","S","Signed Off","ERROR")</f>
        <v>Signed Off</v>
      </c>
      <c r="C390" s="6" t="str" cm="1">
        <f t="array" ref="C390">_xlfn.SWITCH(LEFT(Tasks[[#This Row],[Type]], 2), "Fi", "Field Report", "Co", "Contractor QC", "Ge", "Contractor QC", "Pu", "Punch List")</f>
        <v>Punch List</v>
      </c>
      <c r="D390" s="6" t="str">
        <f>LEFT(Tasks[[#This Row],[Description]], 50)</f>
        <v>Power outlet missing</v>
      </c>
      <c r="E390" s="6" t="str" cm="1">
        <f t="array" ref="E390">_xlfn.LET(
_xlpm.inTower, COUNTIF(Tower_Num_Table[Tower Rm Numbers], LEFT(Task_Summary_Table[[#This Row],[Area/Room]], 3)) &gt; 0,
_xlpm.typeResult, _xlfn.SWITCH(LEFT(Tasks[[#This Row],[Page]], 2), "Hi", "Historic", "An", "Annex", "Si", "Site", "S5", "Project Task", "SWITCH ERROR"),
IF(_xlpm.inTower, "West Tower", _xlpm.typeResult)
)</f>
        <v>Annex</v>
      </c>
      <c r="F390" s="6" t="str">
        <f>IFERROR(MID(Tasks[[#This Row],[Page]], FIND("Level", Tasks[[#This Row],[Page]]), 7), IF(ISNUMBER(FIND("Roof", Tasks[[#This Row],[Page]])), "Roof",  IF(ISNUMBER(FIND("S590", Tasks[[#This Row],[Page]])), "",  IF(ISNUMBER(FIND("Site", Tasks[[#This Row],[Page]])), "", "ERROR"))))</f>
        <v>Level 1</v>
      </c>
      <c r="G390" s="6" t="str">
        <f>IF(Tasks[[#This Row],[Location]]=0, "", Tasks[[#This Row],[Location]])</f>
        <v>141 - Dressing Men</v>
      </c>
      <c r="H390" s="6" t="str">
        <f>Tasks[[#This Row],[To Package]]</f>
        <v>Electrical</v>
      </c>
      <c r="I390" s="6" t="str">
        <f>Tasks[[#This Row],[To Organisation]]</f>
        <v>Wilkinson Electric Inc</v>
      </c>
    </row>
    <row r="391" spans="1:9" x14ac:dyDescent="0.35">
      <c r="A391" s="9" t="str">
        <f>HYPERLINK(_xlfn.CONCAT(Edit_URL,Tasks[[#This Row],[Ref]]),Tasks[[#This Row],[Ref]])</f>
        <v>T59123.11</v>
      </c>
      <c r="B391" s="6" t="str" cm="1">
        <f t="array" ref="B391">_xlfn.SWITCH(LEFT(Tasks[[#This Row],[Status]],1),"O","Opened","C","Completed","S","Signed Off","ERROR")</f>
        <v>Signed Off</v>
      </c>
      <c r="C391" s="6" t="str" cm="1">
        <f t="array" ref="C391">_xlfn.SWITCH(LEFT(Tasks[[#This Row],[Type]], 2), "Fi", "Field Report", "Co", "Contractor QC", "Ge", "Contractor QC", "Pu", "Punch List")</f>
        <v>Punch List</v>
      </c>
      <c r="D391" s="6" t="str">
        <f>LEFT(Tasks[[#This Row],[Description]], 50)</f>
        <v>Insulation of mechanical piping at mechanical shaf</v>
      </c>
      <c r="E391" s="6" t="str" cm="1">
        <f t="array" ref="E391">_xlfn.LET(
_xlpm.inTower, COUNTIF(Tower_Num_Table[Tower Rm Numbers], LEFT(Task_Summary_Table[[#This Row],[Area/Room]], 3)) &gt; 0,
_xlpm.typeResult, _xlfn.SWITCH(LEFT(Tasks[[#This Row],[Page]], 2), "Hi", "Historic", "An", "Annex", "Si", "Site", "S5", "Project Task", "SWITCH ERROR"),
IF(_xlpm.inTower, "West Tower", _xlpm.typeResult)
)</f>
        <v>Annex</v>
      </c>
      <c r="F391" s="6" t="str">
        <f>IFERROR(MID(Tasks[[#This Row],[Page]], FIND("Level", Tasks[[#This Row],[Page]]), 7), IF(ISNUMBER(FIND("Roof", Tasks[[#This Row],[Page]])), "Roof",  IF(ISNUMBER(FIND("S590", Tasks[[#This Row],[Page]])), "",  IF(ISNUMBER(FIND("Site", Tasks[[#This Row],[Page]])), "", "ERROR"))))</f>
        <v>Level 1</v>
      </c>
      <c r="G391" s="6" t="str">
        <f>IF(Tasks[[#This Row],[Location]]=0, "", Tasks[[#This Row],[Location]])</f>
        <v>140 - Booth - Men</v>
      </c>
      <c r="H391" s="6" t="str">
        <f>Tasks[[#This Row],[To Package]]</f>
        <v>Plumbing</v>
      </c>
      <c r="I391" s="6" t="str">
        <f>Tasks[[#This Row],[To Organisation]]</f>
        <v>US Mechanical</v>
      </c>
    </row>
    <row r="392" spans="1:9" x14ac:dyDescent="0.35">
      <c r="A392" s="9" t="str">
        <f>HYPERLINK(_xlfn.CONCAT(Edit_URL,Tasks[[#This Row],[Ref]]),Tasks[[#This Row],[Ref]])</f>
        <v>T59123.10</v>
      </c>
      <c r="B392" s="6" t="str" cm="1">
        <f t="array" ref="B392">_xlfn.SWITCH(LEFT(Tasks[[#This Row],[Status]],1),"O","Opened","C","Completed","S","Signed Off","ERROR")</f>
        <v>Signed Off</v>
      </c>
      <c r="C392" s="6" t="str" cm="1">
        <f t="array" ref="C392">_xlfn.SWITCH(LEFT(Tasks[[#This Row],[Type]], 2), "Fi", "Field Report", "Co", "Contractor QC", "Ge", "Contractor QC", "Pu", "Punch List")</f>
        <v>Punch List</v>
      </c>
      <c r="D392" s="6" t="str">
        <f>LEFT(Tasks[[#This Row],[Description]], 50)</f>
        <v>Layout of outlets at south wall not per plan</v>
      </c>
      <c r="E392" s="6" t="str" cm="1">
        <f t="array" ref="E392">_xlfn.LET(
_xlpm.inTower, COUNTIF(Tower_Num_Table[Tower Rm Numbers], LEFT(Task_Summary_Table[[#This Row],[Area/Room]], 3)) &gt; 0,
_xlpm.typeResult, _xlfn.SWITCH(LEFT(Tasks[[#This Row],[Page]], 2), "Hi", "Historic", "An", "Annex", "Si", "Site", "S5", "Project Task", "SWITCH ERROR"),
IF(_xlpm.inTower, "West Tower", _xlpm.typeResult)
)</f>
        <v>Annex</v>
      </c>
      <c r="F392" s="6" t="str">
        <f>IFERROR(MID(Tasks[[#This Row],[Page]], FIND("Level", Tasks[[#This Row],[Page]]), 7), IF(ISNUMBER(FIND("Roof", Tasks[[#This Row],[Page]])), "Roof",  IF(ISNUMBER(FIND("S590", Tasks[[#This Row],[Page]])), "",  IF(ISNUMBER(FIND("Site", Tasks[[#This Row],[Page]])), "", "ERROR"))))</f>
        <v>Level 1</v>
      </c>
      <c r="G392" s="6" t="str">
        <f>IF(Tasks[[#This Row],[Location]]=0, "", Tasks[[#This Row],[Location]])</f>
        <v>141 - Dressing Men</v>
      </c>
      <c r="H392" s="6" t="str">
        <f>Tasks[[#This Row],[To Package]]</f>
        <v>Electrical</v>
      </c>
      <c r="I392" s="6" t="str">
        <f>Tasks[[#This Row],[To Organisation]]</f>
        <v>Wilkinson Electric Inc</v>
      </c>
    </row>
    <row r="393" spans="1:9" x14ac:dyDescent="0.35">
      <c r="A393" s="9" t="str">
        <f>HYPERLINK(_xlfn.CONCAT(Edit_URL,Tasks[[#This Row],[Ref]]),Tasks[[#This Row],[Ref]])</f>
        <v>T59123.9</v>
      </c>
      <c r="B393" s="6" t="str" cm="1">
        <f t="array" ref="B393">_xlfn.SWITCH(LEFT(Tasks[[#This Row],[Status]],1),"O","Opened","C","Completed","S","Signed Off","ERROR")</f>
        <v>Signed Off</v>
      </c>
      <c r="C393" s="6" t="str" cm="1">
        <f t="array" ref="C393">_xlfn.SWITCH(LEFT(Tasks[[#This Row],[Type]], 2), "Fi", "Field Report", "Co", "Contractor QC", "Ge", "Contractor QC", "Pu", "Punch List")</f>
        <v>Punch List</v>
      </c>
      <c r="D393" s="6" t="str">
        <f>LEFT(Tasks[[#This Row],[Description]], 50)</f>
        <v>Verify Outlet is located correctly at 141a</v>
      </c>
      <c r="E393" s="6" t="str" cm="1">
        <f t="array" ref="E393">_xlfn.LET(
_xlpm.inTower, COUNTIF(Tower_Num_Table[Tower Rm Numbers], LEFT(Task_Summary_Table[[#This Row],[Area/Room]], 3)) &gt; 0,
_xlpm.typeResult, _xlfn.SWITCH(LEFT(Tasks[[#This Row],[Page]], 2), "Hi", "Historic", "An", "Annex", "Si", "Site", "S5", "Project Task", "SWITCH ERROR"),
IF(_xlpm.inTower, "West Tower", _xlpm.typeResult)
)</f>
        <v>Annex</v>
      </c>
      <c r="F393" s="6" t="str">
        <f>IFERROR(MID(Tasks[[#This Row],[Page]], FIND("Level", Tasks[[#This Row],[Page]]), 7), IF(ISNUMBER(FIND("Roof", Tasks[[#This Row],[Page]])), "Roof",  IF(ISNUMBER(FIND("S590", Tasks[[#This Row],[Page]])), "",  IF(ISNUMBER(FIND("Site", Tasks[[#This Row],[Page]])), "", "ERROR"))))</f>
        <v>Level 1</v>
      </c>
      <c r="G393" s="6" t="str">
        <f>IF(Tasks[[#This Row],[Location]]=0, "", Tasks[[#This Row],[Location]])</f>
        <v>141 - Dressing Men</v>
      </c>
      <c r="H393" s="6" t="str">
        <f>Tasks[[#This Row],[To Package]]</f>
        <v>Electrical</v>
      </c>
      <c r="I393" s="6" t="str">
        <f>Tasks[[#This Row],[To Organisation]]</f>
        <v>Wilkinson Electric Inc</v>
      </c>
    </row>
    <row r="394" spans="1:9" x14ac:dyDescent="0.35">
      <c r="A394" s="9" t="str">
        <f>HYPERLINK(_xlfn.CONCAT(Edit_URL,Tasks[[#This Row],[Ref]]),Tasks[[#This Row],[Ref]])</f>
        <v>T59123.8</v>
      </c>
      <c r="B394" s="6" t="str" cm="1">
        <f t="array" ref="B394">_xlfn.SWITCH(LEFT(Tasks[[#This Row],[Status]],1),"O","Opened","C","Completed","S","Signed Off","ERROR")</f>
        <v>Signed Off</v>
      </c>
      <c r="C394" s="6" t="str" cm="1">
        <f t="array" ref="C394">_xlfn.SWITCH(LEFT(Tasks[[#This Row],[Type]], 2), "Fi", "Field Report", "Co", "Contractor QC", "Ge", "Contractor QC", "Pu", "Punch List")</f>
        <v>Punch List</v>
      </c>
      <c r="D394" s="6" t="str">
        <f>LEFT(Tasks[[#This Row],[Description]], 50)</f>
        <v>Verify Outlet is located correctly at 141a</v>
      </c>
      <c r="E394" s="6" t="str" cm="1">
        <f t="array" ref="E394">_xlfn.LET(
_xlpm.inTower, COUNTIF(Tower_Num_Table[Tower Rm Numbers], LEFT(Task_Summary_Table[[#This Row],[Area/Room]], 3)) &gt; 0,
_xlpm.typeResult, _xlfn.SWITCH(LEFT(Tasks[[#This Row],[Page]], 2), "Hi", "Historic", "An", "Annex", "Si", "Site", "S5", "Project Task", "SWITCH ERROR"),
IF(_xlpm.inTower, "West Tower", _xlpm.typeResult)
)</f>
        <v>Annex</v>
      </c>
      <c r="F394" s="6" t="str">
        <f>IFERROR(MID(Tasks[[#This Row],[Page]], FIND("Level", Tasks[[#This Row],[Page]]), 7), IF(ISNUMBER(FIND("Roof", Tasks[[#This Row],[Page]])), "Roof",  IF(ISNUMBER(FIND("S590", Tasks[[#This Row],[Page]])), "",  IF(ISNUMBER(FIND("Site", Tasks[[#This Row],[Page]])), "", "ERROR"))))</f>
        <v>Level 1</v>
      </c>
      <c r="G394" s="6" t="str">
        <f>IF(Tasks[[#This Row],[Location]]=0, "", Tasks[[#This Row],[Location]])</f>
        <v>141 - Dressing Men</v>
      </c>
      <c r="H394" s="6" t="str">
        <f>Tasks[[#This Row],[To Package]]</f>
        <v>Electrical</v>
      </c>
      <c r="I394" s="6" t="str">
        <f>Tasks[[#This Row],[To Organisation]]</f>
        <v>Wilkinson Electric Inc</v>
      </c>
    </row>
    <row r="395" spans="1:9" x14ac:dyDescent="0.35">
      <c r="A395" s="9" t="str">
        <f>HYPERLINK(_xlfn.CONCAT(Edit_URL,Tasks[[#This Row],[Ref]]),Tasks[[#This Row],[Ref]])</f>
        <v>T59123.7</v>
      </c>
      <c r="B395" s="6" t="str" cm="1">
        <f t="array" ref="B395">_xlfn.SWITCH(LEFT(Tasks[[#This Row],[Status]],1),"O","Opened","C","Completed","S","Signed Off","ERROR")</f>
        <v>Signed Off</v>
      </c>
      <c r="C395" s="6" t="str" cm="1">
        <f t="array" ref="C395">_xlfn.SWITCH(LEFT(Tasks[[#This Row],[Type]], 2), "Fi", "Field Report", "Co", "Contractor QC", "Ge", "Contractor QC", "Pu", "Punch List")</f>
        <v>Punch List</v>
      </c>
      <c r="D395" s="6" t="str">
        <f>LEFT(Tasks[[#This Row],[Description]], 50)</f>
        <v>Missing WAP rough in box</v>
      </c>
      <c r="E395" s="6" t="str" cm="1">
        <f t="array" ref="E395">_xlfn.LET(
_xlpm.inTower, COUNTIF(Tower_Num_Table[Tower Rm Numbers], LEFT(Task_Summary_Table[[#This Row],[Area/Room]], 3)) &gt; 0,
_xlpm.typeResult, _xlfn.SWITCH(LEFT(Tasks[[#This Row],[Page]], 2), "Hi", "Historic", "An", "Annex", "Si", "Site", "S5", "Project Task", "SWITCH ERROR"),
IF(_xlpm.inTower, "West Tower", _xlpm.typeResult)
)</f>
        <v>Annex</v>
      </c>
      <c r="F395" s="6" t="str">
        <f>IFERROR(MID(Tasks[[#This Row],[Page]], FIND("Level", Tasks[[#This Row],[Page]]), 7), IF(ISNUMBER(FIND("Roof", Tasks[[#This Row],[Page]])), "Roof",  IF(ISNUMBER(FIND("S590", Tasks[[#This Row],[Page]])), "",  IF(ISNUMBER(FIND("Site", Tasks[[#This Row],[Page]])), "", "ERROR"))))</f>
        <v>Level 1</v>
      </c>
      <c r="G395" s="6" t="str">
        <f>IF(Tasks[[#This Row],[Location]]=0, "", Tasks[[#This Row],[Location]])</f>
        <v>141 - Dressing Men</v>
      </c>
      <c r="H395" s="6" t="str">
        <f>Tasks[[#This Row],[To Package]]</f>
        <v>Electrical</v>
      </c>
      <c r="I395" s="6" t="str">
        <f>Tasks[[#This Row],[To Organisation]]</f>
        <v>Wilkinson Electric Inc</v>
      </c>
    </row>
    <row r="396" spans="1:9" x14ac:dyDescent="0.35">
      <c r="A396" s="9" t="str">
        <f>HYPERLINK(_xlfn.CONCAT(Edit_URL,Tasks[[#This Row],[Ref]]),Tasks[[#This Row],[Ref]])</f>
        <v>T59123.6</v>
      </c>
      <c r="B396" s="6" t="str" cm="1">
        <f t="array" ref="B396">_xlfn.SWITCH(LEFT(Tasks[[#This Row],[Status]],1),"O","Opened","C","Completed","S","Signed Off","ERROR")</f>
        <v>Signed Off</v>
      </c>
      <c r="C396" s="6" t="str" cm="1">
        <f t="array" ref="C396">_xlfn.SWITCH(LEFT(Tasks[[#This Row],[Type]], 2), "Fi", "Field Report", "Co", "Contractor QC", "Ge", "Contractor QC", "Pu", "Punch List")</f>
        <v>Punch List</v>
      </c>
      <c r="D396" s="6" t="str">
        <f>LEFT(Tasks[[#This Row],[Description]], 50)</f>
        <v>Electrical rough needs to be completed at this wal</v>
      </c>
      <c r="E396" s="6" t="str" cm="1">
        <f t="array" ref="E396">_xlfn.LET(
_xlpm.inTower, COUNTIF(Tower_Num_Table[Tower Rm Numbers], LEFT(Task_Summary_Table[[#This Row],[Area/Room]], 3)) &gt; 0,
_xlpm.typeResult, _xlfn.SWITCH(LEFT(Tasks[[#This Row],[Page]], 2), "Hi", "Historic", "An", "Annex", "Si", "Site", "S5", "Project Task", "SWITCH ERROR"),
IF(_xlpm.inTower, "West Tower", _xlpm.typeResult)
)</f>
        <v>Annex</v>
      </c>
      <c r="F396" s="6" t="str">
        <f>IFERROR(MID(Tasks[[#This Row],[Page]], FIND("Level", Tasks[[#This Row],[Page]]), 7), IF(ISNUMBER(FIND("Roof", Tasks[[#This Row],[Page]])), "Roof",  IF(ISNUMBER(FIND("S590", Tasks[[#This Row],[Page]])), "",  IF(ISNUMBER(FIND("Site", Tasks[[#This Row],[Page]])), "", "ERROR"))))</f>
        <v>Level 1</v>
      </c>
      <c r="G396" s="6" t="str">
        <f>IF(Tasks[[#This Row],[Location]]=0, "", Tasks[[#This Row],[Location]])</f>
        <v>141 - Dressing Men</v>
      </c>
      <c r="H396" s="6" t="str">
        <f>Tasks[[#This Row],[To Package]]</f>
        <v>Electrical</v>
      </c>
      <c r="I396" s="6" t="str">
        <f>Tasks[[#This Row],[To Organisation]]</f>
        <v>Wilkinson Electric Inc</v>
      </c>
    </row>
    <row r="397" spans="1:9" x14ac:dyDescent="0.35">
      <c r="A397" s="9" t="str">
        <f>HYPERLINK(_xlfn.CONCAT(Edit_URL,Tasks[[#This Row],[Ref]]),Tasks[[#This Row],[Ref]])</f>
        <v>T59123.5</v>
      </c>
      <c r="B397" s="6" t="str" cm="1">
        <f t="array" ref="B397">_xlfn.SWITCH(LEFT(Tasks[[#This Row],[Status]],1),"O","Opened","C","Completed","S","Signed Off","ERROR")</f>
        <v>Signed Off</v>
      </c>
      <c r="C397" s="6" t="str" cm="1">
        <f t="array" ref="C397">_xlfn.SWITCH(LEFT(Tasks[[#This Row],[Type]], 2), "Fi", "Field Report", "Co", "Contractor QC", "Ge", "Contractor QC", "Pu", "Punch List")</f>
        <v>Punch List</v>
      </c>
      <c r="D397" s="6" t="str">
        <f>LEFT(Tasks[[#This Row],[Description]], 50)</f>
        <v>Electrical rough in incomplete this wall</v>
      </c>
      <c r="E397" s="6" t="str" cm="1">
        <f t="array" ref="E397">_xlfn.LET(
_xlpm.inTower, COUNTIF(Tower_Num_Table[Tower Rm Numbers], LEFT(Task_Summary_Table[[#This Row],[Area/Room]], 3)) &gt; 0,
_xlpm.typeResult, _xlfn.SWITCH(LEFT(Tasks[[#This Row],[Page]], 2), "Hi", "Historic", "An", "Annex", "Si", "Site", "S5", "Project Task", "SWITCH ERROR"),
IF(_xlpm.inTower, "West Tower", _xlpm.typeResult)
)</f>
        <v>Annex</v>
      </c>
      <c r="F397" s="6" t="str">
        <f>IFERROR(MID(Tasks[[#This Row],[Page]], FIND("Level", Tasks[[#This Row],[Page]]), 7), IF(ISNUMBER(FIND("Roof", Tasks[[#This Row],[Page]])), "Roof",  IF(ISNUMBER(FIND("S590", Tasks[[#This Row],[Page]])), "",  IF(ISNUMBER(FIND("Site", Tasks[[#This Row],[Page]])), "", "ERROR"))))</f>
        <v>Level 1</v>
      </c>
      <c r="G397" s="6" t="str">
        <f>IF(Tasks[[#This Row],[Location]]=0, "", Tasks[[#This Row],[Location]])</f>
        <v>141 - Dressing Men</v>
      </c>
      <c r="H397" s="6" t="str">
        <f>Tasks[[#This Row],[To Package]]</f>
        <v>Electrical</v>
      </c>
      <c r="I397" s="6" t="str">
        <f>Tasks[[#This Row],[To Organisation]]</f>
        <v>Wilkinson Electric Inc</v>
      </c>
    </row>
    <row r="398" spans="1:9" x14ac:dyDescent="0.35">
      <c r="A398" s="9" t="str">
        <f>HYPERLINK(_xlfn.CONCAT(Edit_URL,Tasks[[#This Row],[Ref]]),Tasks[[#This Row],[Ref]])</f>
        <v>T59123.4</v>
      </c>
      <c r="B398" s="6" t="str" cm="1">
        <f t="array" ref="B398">_xlfn.SWITCH(LEFT(Tasks[[#This Row],[Status]],1),"O","Opened","C","Completed","S","Signed Off","ERROR")</f>
        <v>Signed Off</v>
      </c>
      <c r="C398" s="6" t="str" cm="1">
        <f t="array" ref="C398">_xlfn.SWITCH(LEFT(Tasks[[#This Row],[Type]], 2), "Fi", "Field Report", "Co", "Contractor QC", "Ge", "Contractor QC", "Pu", "Punch List")</f>
        <v>Punch List</v>
      </c>
      <c r="D398" s="6" t="str">
        <f>LEFT(Tasks[[#This Row],[Description]], 50)</f>
        <v>Exit Sign Mounting Elevation Too High</v>
      </c>
      <c r="E398" s="6" t="str" cm="1">
        <f t="array" ref="E398">_xlfn.LET(
_xlpm.inTower, COUNTIF(Tower_Num_Table[Tower Rm Numbers], LEFT(Task_Summary_Table[[#This Row],[Area/Room]], 3)) &gt; 0,
_xlpm.typeResult, _xlfn.SWITCH(LEFT(Tasks[[#This Row],[Page]], 2), "Hi", "Historic", "An", "Annex", "Si", "Site", "S5", "Project Task", "SWITCH ERROR"),
IF(_xlpm.inTower, "West Tower", _xlpm.typeResult)
)</f>
        <v>Annex</v>
      </c>
      <c r="F398" s="6" t="str">
        <f>IFERROR(MID(Tasks[[#This Row],[Page]], FIND("Level", Tasks[[#This Row],[Page]]), 7), IF(ISNUMBER(FIND("Roof", Tasks[[#This Row],[Page]])), "Roof",  IF(ISNUMBER(FIND("S590", Tasks[[#This Row],[Page]])), "",  IF(ISNUMBER(FIND("Site", Tasks[[#This Row],[Page]])), "", "ERROR"))))</f>
        <v>Level 1</v>
      </c>
      <c r="G398" s="6" t="str">
        <f>IF(Tasks[[#This Row],[Location]]=0, "", Tasks[[#This Row],[Location]])</f>
        <v>141 - Dressing Men</v>
      </c>
      <c r="H398" s="6" t="str">
        <f>Tasks[[#This Row],[To Package]]</f>
        <v>Electrical</v>
      </c>
      <c r="I398" s="6" t="str">
        <f>Tasks[[#This Row],[To Organisation]]</f>
        <v>Wilkinson Electric Inc</v>
      </c>
    </row>
    <row r="399" spans="1:9" x14ac:dyDescent="0.35">
      <c r="A399" s="9" t="str">
        <f>HYPERLINK(_xlfn.CONCAT(Edit_URL,Tasks[[#This Row],[Ref]]),Tasks[[#This Row],[Ref]])</f>
        <v>T59123.3</v>
      </c>
      <c r="B399" s="6" t="str" cm="1">
        <f t="array" ref="B399">_xlfn.SWITCH(LEFT(Tasks[[#This Row],[Status]],1),"O","Opened","C","Completed","S","Signed Off","ERROR")</f>
        <v>Signed Off</v>
      </c>
      <c r="C399" s="6" t="str" cm="1">
        <f t="array" ref="C399">_xlfn.SWITCH(LEFT(Tasks[[#This Row],[Type]], 2), "Fi", "Field Report", "Co", "Contractor QC", "Ge", "Contractor QC", "Pu", "Punch List")</f>
        <v>Punch List</v>
      </c>
      <c r="D399" s="6" t="str">
        <f>LEFT(Tasks[[#This Row],[Description]], 50)</f>
        <v>Missing Tstat</v>
      </c>
      <c r="E399" s="6" t="str" cm="1">
        <f t="array" ref="E399">_xlfn.LET(
_xlpm.inTower, COUNTIF(Tower_Num_Table[Tower Rm Numbers], LEFT(Task_Summary_Table[[#This Row],[Area/Room]], 3)) &gt; 0,
_xlpm.typeResult, _xlfn.SWITCH(LEFT(Tasks[[#This Row],[Page]], 2), "Hi", "Historic", "An", "Annex", "Si", "Site", "S5", "Project Task", "SWITCH ERROR"),
IF(_xlpm.inTower, "West Tower", _xlpm.typeResult)
)</f>
        <v>Annex</v>
      </c>
      <c r="F399" s="6" t="str">
        <f>IFERROR(MID(Tasks[[#This Row],[Page]], FIND("Level", Tasks[[#This Row],[Page]]), 7), IF(ISNUMBER(FIND("Roof", Tasks[[#This Row],[Page]])), "Roof",  IF(ISNUMBER(FIND("S590", Tasks[[#This Row],[Page]])), "",  IF(ISNUMBER(FIND("Site", Tasks[[#This Row],[Page]])), "", "ERROR"))))</f>
        <v>Level 1</v>
      </c>
      <c r="G399" s="6" t="str">
        <f>IF(Tasks[[#This Row],[Location]]=0, "", Tasks[[#This Row],[Location]])</f>
        <v>141 - Dressing Men</v>
      </c>
      <c r="H399" s="6" t="str">
        <f>Tasks[[#This Row],[To Package]]</f>
        <v>HVAC</v>
      </c>
      <c r="I399" s="6" t="str">
        <f>Tasks[[#This Row],[To Organisation]]</f>
        <v>US Mechanical</v>
      </c>
    </row>
    <row r="400" spans="1:9" x14ac:dyDescent="0.35">
      <c r="A400" s="9" t="str">
        <f>HYPERLINK(_xlfn.CONCAT(Edit_URL,Tasks[[#This Row],[Ref]]),Tasks[[#This Row],[Ref]])</f>
        <v>T59123.2</v>
      </c>
      <c r="B400" s="6" t="str" cm="1">
        <f t="array" ref="B400">_xlfn.SWITCH(LEFT(Tasks[[#This Row],[Status]],1),"O","Opened","C","Completed","S","Signed Off","ERROR")</f>
        <v>Signed Off</v>
      </c>
      <c r="C400" s="6" t="str" cm="1">
        <f t="array" ref="C400">_xlfn.SWITCH(LEFT(Tasks[[#This Row],[Type]], 2), "Fi", "Field Report", "Co", "Contractor QC", "Ge", "Contractor QC", "Pu", "Punch List")</f>
        <v>Punch List</v>
      </c>
      <c r="D400" s="6" t="str">
        <f>LEFT(Tasks[[#This Row],[Description]], 50)</f>
        <v>Exit Sign Mounting Elevation Too High</v>
      </c>
      <c r="E400" s="6" t="str" cm="1">
        <f t="array" ref="E400">_xlfn.LET(
_xlpm.inTower, COUNTIF(Tower_Num_Table[Tower Rm Numbers], LEFT(Task_Summary_Table[[#This Row],[Area/Room]], 3)) &gt; 0,
_xlpm.typeResult, _xlfn.SWITCH(LEFT(Tasks[[#This Row],[Page]], 2), "Hi", "Historic", "An", "Annex", "Si", "Site", "S5", "Project Task", "SWITCH ERROR"),
IF(_xlpm.inTower, "West Tower", _xlpm.typeResult)
)</f>
        <v>Annex</v>
      </c>
      <c r="F400" s="6" t="str">
        <f>IFERROR(MID(Tasks[[#This Row],[Page]], FIND("Level", Tasks[[#This Row],[Page]]), 7), IF(ISNUMBER(FIND("Roof", Tasks[[#This Row],[Page]])), "Roof",  IF(ISNUMBER(FIND("S590", Tasks[[#This Row],[Page]])), "",  IF(ISNUMBER(FIND("Site", Tasks[[#This Row],[Page]])), "", "ERROR"))))</f>
        <v>Level 1</v>
      </c>
      <c r="G400" s="6" t="str">
        <f>IF(Tasks[[#This Row],[Location]]=0, "", Tasks[[#This Row],[Location]])</f>
        <v>141 - Dressing Men</v>
      </c>
      <c r="H400" s="6" t="str">
        <f>Tasks[[#This Row],[To Package]]</f>
        <v>Electrical</v>
      </c>
      <c r="I400" s="6" t="str">
        <f>Tasks[[#This Row],[To Organisation]]</f>
        <v>Wilkinson Electric Inc</v>
      </c>
    </row>
    <row r="401" spans="1:9" x14ac:dyDescent="0.35">
      <c r="A401" s="9" t="str">
        <f>HYPERLINK(_xlfn.CONCAT(Edit_URL,Tasks[[#This Row],[Ref]]),Tasks[[#This Row],[Ref]])</f>
        <v>T59123.1</v>
      </c>
      <c r="B401" s="6" t="str" cm="1">
        <f t="array" ref="B401">_xlfn.SWITCH(LEFT(Tasks[[#This Row],[Status]],1),"O","Opened","C","Completed","S","Signed Off","ERROR")</f>
        <v>Signed Off</v>
      </c>
      <c r="C401" s="6" t="str" cm="1">
        <f t="array" ref="C401">_xlfn.SWITCH(LEFT(Tasks[[#This Row],[Type]], 2), "Fi", "Field Report", "Co", "Contractor QC", "Ge", "Contractor QC", "Pu", "Punch List")</f>
        <v>Punch List</v>
      </c>
      <c r="D401" s="6" t="str">
        <f>LEFT(Tasks[[#This Row],[Description]], 50)</f>
        <v>Missing Tstat</v>
      </c>
      <c r="E401" s="6" t="str" cm="1">
        <f t="array" ref="E401">_xlfn.LET(
_xlpm.inTower, COUNTIF(Tower_Num_Table[Tower Rm Numbers], LEFT(Task_Summary_Table[[#This Row],[Area/Room]], 3)) &gt; 0,
_xlpm.typeResult, _xlfn.SWITCH(LEFT(Tasks[[#This Row],[Page]], 2), "Hi", "Historic", "An", "Annex", "Si", "Site", "S5", "Project Task", "SWITCH ERROR"),
IF(_xlpm.inTower, "West Tower", _xlpm.typeResult)
)</f>
        <v>Annex</v>
      </c>
      <c r="F401" s="6" t="str">
        <f>IFERROR(MID(Tasks[[#This Row],[Page]], FIND("Level", Tasks[[#This Row],[Page]]), 7), IF(ISNUMBER(FIND("Roof", Tasks[[#This Row],[Page]])), "Roof",  IF(ISNUMBER(FIND("S590", Tasks[[#This Row],[Page]])), "",  IF(ISNUMBER(FIND("Site", Tasks[[#This Row],[Page]])), "", "ERROR"))))</f>
        <v>Level 1</v>
      </c>
      <c r="G401" s="6" t="str">
        <f>IF(Tasks[[#This Row],[Location]]=0, "", Tasks[[#This Row],[Location]])</f>
        <v>141 - Dressing Men</v>
      </c>
      <c r="H401" s="6" t="str">
        <f>Tasks[[#This Row],[To Package]]</f>
        <v>HVAC</v>
      </c>
      <c r="I401" s="6" t="str">
        <f>Tasks[[#This Row],[To Organisation]]</f>
        <v>US Mechanical</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D11"/>
  <sheetViews>
    <sheetView workbookViewId="0">
      <selection activeCell="C7" sqref="C7"/>
    </sheetView>
  </sheetViews>
  <sheetFormatPr defaultRowHeight="14.5" x14ac:dyDescent="0.35"/>
  <cols>
    <col min="1" max="1" width="2.36328125" customWidth="1"/>
    <col min="2" max="2" width="14.36328125" customWidth="1"/>
    <col min="3" max="3" width="52.54296875" bestFit="1" customWidth="1"/>
  </cols>
  <sheetData>
    <row r="2" spans="2:4" ht="21" x14ac:dyDescent="0.5">
      <c r="B2" s="4" t="s">
        <v>2</v>
      </c>
      <c r="C2" s="5"/>
    </row>
    <row r="3" spans="2:4" x14ac:dyDescent="0.35">
      <c r="B3" s="1" t="s">
        <v>0</v>
      </c>
      <c r="C3" s="3" t="b">
        <v>1</v>
      </c>
      <c r="D3" s="2"/>
    </row>
    <row r="4" spans="2:4" x14ac:dyDescent="0.35">
      <c r="B4" s="1" t="s">
        <v>1</v>
      </c>
      <c r="C4" s="3" t="b">
        <v>1</v>
      </c>
      <c r="D4" s="2"/>
    </row>
    <row r="5" spans="2:4" x14ac:dyDescent="0.35">
      <c r="B5" s="1" t="s">
        <v>858</v>
      </c>
      <c r="C5" s="3" t="s">
        <v>859</v>
      </c>
      <c r="D5" s="2"/>
    </row>
    <row r="6" spans="2:4" x14ac:dyDescent="0.35">
      <c r="B6" s="1" t="s">
        <v>860</v>
      </c>
      <c r="C6" s="3" t="s">
        <v>861</v>
      </c>
      <c r="D6" s="2"/>
    </row>
    <row r="7" spans="2:4" x14ac:dyDescent="0.35">
      <c r="B7" s="1"/>
      <c r="C7" s="1"/>
      <c r="D7" s="2"/>
    </row>
    <row r="8" spans="2:4" x14ac:dyDescent="0.35">
      <c r="B8" s="1"/>
      <c r="C8" s="1"/>
      <c r="D8" s="2"/>
    </row>
    <row r="9" spans="2:4" x14ac:dyDescent="0.35">
      <c r="B9" s="2"/>
      <c r="C9" s="2"/>
      <c r="D9" s="2"/>
    </row>
    <row r="10" spans="2:4" x14ac:dyDescent="0.35">
      <c r="B10" s="2"/>
      <c r="C10" s="2"/>
      <c r="D10" s="2"/>
    </row>
    <row r="11" spans="2:4" x14ac:dyDescent="0.35">
      <c r="B11" s="2"/>
      <c r="C11" s="2"/>
      <c r="D11" s="2"/>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T41"/>
  <sheetViews>
    <sheetView workbookViewId="0">
      <selection activeCell="P29" sqref="P29"/>
    </sheetView>
  </sheetViews>
  <sheetFormatPr defaultRowHeight="14.5" x14ac:dyDescent="0.35"/>
  <cols>
    <col min="1" max="5" width="10.26953125" customWidth="1"/>
    <col min="7" max="8" width="10.26953125" customWidth="1"/>
    <col min="10" max="11" width="10.26953125" customWidth="1"/>
    <col min="13" max="13" width="9.90625" bestFit="1" customWidth="1"/>
    <col min="14" max="14" width="10.26953125" customWidth="1"/>
    <col min="17" max="17" width="9.90625" bestFit="1" customWidth="1"/>
    <col min="18" max="18" width="12.453125" bestFit="1" customWidth="1"/>
    <col min="20" max="20" width="19.36328125" customWidth="1"/>
  </cols>
  <sheetData>
    <row r="1" spans="1:20" ht="15.5" x14ac:dyDescent="0.35">
      <c r="A1" s="10" t="s">
        <v>982</v>
      </c>
      <c r="B1" s="10"/>
      <c r="D1" s="10" t="s">
        <v>983</v>
      </c>
      <c r="E1" s="10"/>
      <c r="G1" s="10" t="s">
        <v>984</v>
      </c>
      <c r="H1" s="10"/>
      <c r="J1" s="10" t="s">
        <v>986</v>
      </c>
      <c r="K1" s="10"/>
      <c r="M1" s="10" t="s">
        <v>988</v>
      </c>
      <c r="N1" s="10"/>
      <c r="O1" s="10"/>
      <c r="Q1" s="10" t="s">
        <v>991</v>
      </c>
      <c r="R1" s="10"/>
    </row>
    <row r="2" spans="1:20" x14ac:dyDescent="0.35">
      <c r="A2" t="s">
        <v>4</v>
      </c>
      <c r="B2" t="s">
        <v>985</v>
      </c>
      <c r="D2" t="s">
        <v>4</v>
      </c>
      <c r="E2" t="s">
        <v>985</v>
      </c>
      <c r="G2" t="s">
        <v>4</v>
      </c>
      <c r="H2" t="s">
        <v>985</v>
      </c>
      <c r="J2" t="s">
        <v>4</v>
      </c>
      <c r="K2" t="s">
        <v>985</v>
      </c>
      <c r="M2" t="s">
        <v>4</v>
      </c>
      <c r="N2" t="s">
        <v>985</v>
      </c>
      <c r="O2" t="s">
        <v>989</v>
      </c>
      <c r="Q2" t="s">
        <v>4</v>
      </c>
      <c r="R2" t="s">
        <v>985</v>
      </c>
      <c r="T2" t="s">
        <v>990</v>
      </c>
    </row>
    <row r="3" spans="1:20" x14ac:dyDescent="0.35">
      <c r="A3" t="s">
        <v>19</v>
      </c>
      <c r="B3">
        <f>COUNTIFS(Task_Summary_Table[Status], Annex_Overall_Table[[#This Row],[Status]], Task_Summary_Table[Building], "Annex")</f>
        <v>68</v>
      </c>
      <c r="D3" t="s">
        <v>19</v>
      </c>
      <c r="E3">
        <f>COUNTIFS(Task_Summary_Table[Status], Historic_Overall_Table[[#This Row],[Status]], Task_Summary_Table[Building], "Historic")</f>
        <v>108</v>
      </c>
      <c r="G3" t="s">
        <v>19</v>
      </c>
      <c r="H3">
        <f>COUNTIFS(Task_Summary_Table[Status], Site_Overall_Table[[#This Row],[Status]], Task_Summary_Table[Building], "Site")</f>
        <v>4</v>
      </c>
      <c r="J3" t="s">
        <v>19</v>
      </c>
      <c r="K3">
        <f>COUNTIFS(Task_Summary_Table[Status], Other_Overall_Table[[#This Row],[Status]], Task_Summary_Table[Building], "Project Task")</f>
        <v>4</v>
      </c>
      <c r="M3" t="s">
        <v>19</v>
      </c>
      <c r="N3">
        <f>COUNTIFS(Task_Summary_Table[Status], Combine_Overall_Table[[#This Row],[Status]])</f>
        <v>185</v>
      </c>
      <c r="O3" s="11">
        <f>Combine_Overall_Table[[#This Row],[Task Count]]/SUM(Combine_Overall_Table[Task Count])</f>
        <v>0.46250000000000002</v>
      </c>
      <c r="Q3" t="s">
        <v>19</v>
      </c>
      <c r="R3">
        <f>COUNTIFS(Task_Summary_Table[Status], West_Tower_Overall_Table[[#This Row],[Status]], Task_Summary_Table[Building], "West Tower")</f>
        <v>1</v>
      </c>
      <c r="T3" s="13">
        <v>507</v>
      </c>
    </row>
    <row r="4" spans="1:20" x14ac:dyDescent="0.35">
      <c r="A4" t="s">
        <v>89</v>
      </c>
      <c r="B4">
        <f>COUNTIFS(Task_Summary_Table[Status], Annex_Overall_Table[[#This Row],[Status]], Task_Summary_Table[Building], "Annex")</f>
        <v>37</v>
      </c>
      <c r="D4" t="s">
        <v>89</v>
      </c>
      <c r="E4">
        <f>COUNTIFS(Task_Summary_Table[Status], Historic_Overall_Table[[#This Row],[Status]], Task_Summary_Table[Building], "Historic")</f>
        <v>23</v>
      </c>
      <c r="G4" t="s">
        <v>89</v>
      </c>
      <c r="H4">
        <f>COUNTIFS(Task_Summary_Table[Status], Site_Overall_Table[[#This Row],[Status]], Task_Summary_Table[Building], "Site")</f>
        <v>0</v>
      </c>
      <c r="J4" t="s">
        <v>89</v>
      </c>
      <c r="K4">
        <f>COUNTIFS(Task_Summary_Table[Status], Other_Overall_Table[[#This Row],[Status]], Task_Summary_Table[Building], "Project Task")</f>
        <v>0</v>
      </c>
      <c r="M4" t="s">
        <v>89</v>
      </c>
      <c r="N4">
        <f>COUNTIFS(Task_Summary_Table[Status], Combine_Overall_Table[[#This Row],[Status]])</f>
        <v>65</v>
      </c>
      <c r="O4" s="11">
        <f>Combine_Overall_Table[[#This Row],[Task Count]]/SUM(Combine_Overall_Table[Task Count])</f>
        <v>0.16250000000000001</v>
      </c>
      <c r="Q4" t="s">
        <v>89</v>
      </c>
      <c r="R4">
        <f>COUNTIFS(Task_Summary_Table[Status], West_Tower_Overall_Table[[#This Row],[Status]], Task_Summary_Table[Building], "West Tower")</f>
        <v>5</v>
      </c>
      <c r="T4" s="13">
        <v>506</v>
      </c>
    </row>
    <row r="5" spans="1:20" x14ac:dyDescent="0.35">
      <c r="A5" t="s">
        <v>987</v>
      </c>
      <c r="B5">
        <f>COUNTIFS(Task_Summary_Table[Status], Annex_Overall_Table[[#This Row],[Status]], Task_Summary_Table[Building], "Annex")</f>
        <v>92</v>
      </c>
      <c r="D5" t="s">
        <v>987</v>
      </c>
      <c r="E5">
        <f>COUNTIFS(Task_Summary_Table[Status], Historic_Overall_Table[[#This Row],[Status]], Task_Summary_Table[Building], "Historic")</f>
        <v>38</v>
      </c>
      <c r="G5" t="s">
        <v>987</v>
      </c>
      <c r="H5">
        <f>COUNTIFS(Task_Summary_Table[Status], Site_Overall_Table[[#This Row],[Status]], Task_Summary_Table[Building], "Site")</f>
        <v>1</v>
      </c>
      <c r="J5" t="s">
        <v>987</v>
      </c>
      <c r="K5">
        <f>COUNTIFS(Task_Summary_Table[Status], Other_Overall_Table[[#This Row],[Status]], Task_Summary_Table[Building], "Project Task")</f>
        <v>1</v>
      </c>
      <c r="M5" t="s">
        <v>987</v>
      </c>
      <c r="N5">
        <f>COUNTIFS(Task_Summary_Table[Status], Combine_Overall_Table[[#This Row],[Status]])</f>
        <v>150</v>
      </c>
      <c r="O5" s="11">
        <f>Combine_Overall_Table[[#This Row],[Task Count]]/SUM(Combine_Overall_Table[Task Count])</f>
        <v>0.375</v>
      </c>
      <c r="Q5" t="s">
        <v>987</v>
      </c>
      <c r="R5">
        <f>COUNTIFS(Task_Summary_Table[Status], West_Tower_Overall_Table[[#This Row],[Status]], Task_Summary_Table[Building], "West Tower")</f>
        <v>18</v>
      </c>
      <c r="T5" s="13">
        <v>505</v>
      </c>
    </row>
    <row r="6" spans="1:20" x14ac:dyDescent="0.35">
      <c r="T6" s="13">
        <v>504</v>
      </c>
    </row>
    <row r="7" spans="1:20" x14ac:dyDescent="0.35">
      <c r="T7" s="13">
        <v>503</v>
      </c>
    </row>
    <row r="8" spans="1:20" x14ac:dyDescent="0.35">
      <c r="T8" s="13">
        <v>502</v>
      </c>
    </row>
    <row r="9" spans="1:20" x14ac:dyDescent="0.35">
      <c r="T9" s="13">
        <v>501</v>
      </c>
    </row>
    <row r="10" spans="1:20" x14ac:dyDescent="0.35">
      <c r="T10" s="13">
        <v>407</v>
      </c>
    </row>
    <row r="11" spans="1:20" x14ac:dyDescent="0.35">
      <c r="T11" s="13">
        <v>406</v>
      </c>
    </row>
    <row r="12" spans="1:20" x14ac:dyDescent="0.35">
      <c r="T12" s="13">
        <v>405</v>
      </c>
    </row>
    <row r="13" spans="1:20" x14ac:dyDescent="0.35">
      <c r="T13" s="13">
        <v>404</v>
      </c>
    </row>
    <row r="14" spans="1:20" x14ac:dyDescent="0.35">
      <c r="T14" s="13">
        <v>403</v>
      </c>
    </row>
    <row r="15" spans="1:20" x14ac:dyDescent="0.35">
      <c r="T15" s="13">
        <v>402</v>
      </c>
    </row>
    <row r="16" spans="1:20" x14ac:dyDescent="0.35">
      <c r="T16" s="13">
        <v>401</v>
      </c>
    </row>
    <row r="17" spans="20:20" x14ac:dyDescent="0.35">
      <c r="T17" s="13">
        <v>307</v>
      </c>
    </row>
    <row r="18" spans="20:20" x14ac:dyDescent="0.35">
      <c r="T18" s="13">
        <v>306</v>
      </c>
    </row>
    <row r="19" spans="20:20" x14ac:dyDescent="0.35">
      <c r="T19" s="13">
        <v>305</v>
      </c>
    </row>
    <row r="20" spans="20:20" x14ac:dyDescent="0.35">
      <c r="T20" s="13">
        <v>304</v>
      </c>
    </row>
    <row r="21" spans="20:20" x14ac:dyDescent="0.35">
      <c r="T21" s="13">
        <v>303</v>
      </c>
    </row>
    <row r="22" spans="20:20" x14ac:dyDescent="0.35">
      <c r="T22" s="13">
        <v>302</v>
      </c>
    </row>
    <row r="23" spans="20:20" x14ac:dyDescent="0.35">
      <c r="T23" s="13">
        <v>301</v>
      </c>
    </row>
    <row r="24" spans="20:20" x14ac:dyDescent="0.35">
      <c r="T24" s="13">
        <v>207</v>
      </c>
    </row>
    <row r="25" spans="20:20" x14ac:dyDescent="0.35">
      <c r="T25" s="13">
        <v>206</v>
      </c>
    </row>
    <row r="26" spans="20:20" x14ac:dyDescent="0.35">
      <c r="T26" s="13">
        <v>205</v>
      </c>
    </row>
    <row r="27" spans="20:20" x14ac:dyDescent="0.35">
      <c r="T27" s="13">
        <v>204</v>
      </c>
    </row>
    <row r="28" spans="20:20" x14ac:dyDescent="0.35">
      <c r="T28" s="13">
        <v>203</v>
      </c>
    </row>
    <row r="29" spans="20:20" x14ac:dyDescent="0.35">
      <c r="T29" s="13">
        <v>202</v>
      </c>
    </row>
    <row r="30" spans="20:20" x14ac:dyDescent="0.35">
      <c r="T30" s="13">
        <v>201</v>
      </c>
    </row>
    <row r="31" spans="20:20" x14ac:dyDescent="0.35">
      <c r="T31" s="13">
        <v>189</v>
      </c>
    </row>
    <row r="32" spans="20:20" x14ac:dyDescent="0.35">
      <c r="T32" s="13">
        <v>188</v>
      </c>
    </row>
    <row r="33" spans="20:20" x14ac:dyDescent="0.35">
      <c r="T33" s="13">
        <v>187</v>
      </c>
    </row>
    <row r="34" spans="20:20" x14ac:dyDescent="0.35">
      <c r="T34" s="13">
        <v>186</v>
      </c>
    </row>
    <row r="35" spans="20:20" x14ac:dyDescent="0.35">
      <c r="T35" s="13">
        <v>185</v>
      </c>
    </row>
    <row r="36" spans="20:20" x14ac:dyDescent="0.35">
      <c r="T36" s="13">
        <v>184</v>
      </c>
    </row>
    <row r="37" spans="20:20" x14ac:dyDescent="0.35">
      <c r="T37" s="13">
        <v>183</v>
      </c>
    </row>
    <row r="38" spans="20:20" x14ac:dyDescent="0.35">
      <c r="T38" s="12" t="s">
        <v>995</v>
      </c>
    </row>
    <row r="39" spans="20:20" x14ac:dyDescent="0.35">
      <c r="T39" s="12" t="s">
        <v>994</v>
      </c>
    </row>
    <row r="40" spans="20:20" x14ac:dyDescent="0.35">
      <c r="T40" s="12" t="s">
        <v>993</v>
      </c>
    </row>
    <row r="41" spans="20:20" x14ac:dyDescent="0.35">
      <c r="T41" s="12" t="s">
        <v>992</v>
      </c>
    </row>
  </sheetData>
  <mergeCells count="6">
    <mergeCell ref="Q1:R1"/>
    <mergeCell ref="A1:B1"/>
    <mergeCell ref="D1:E1"/>
    <mergeCell ref="G1:H1"/>
    <mergeCell ref="J1:K1"/>
    <mergeCell ref="M1:O1"/>
  </mergeCells>
  <pageMargins left="0.7" right="0.7" top="0.75" bottom="0.75" header="0.3" footer="0.3"/>
  <tableParts count="7">
    <tablePart r:id="rId1"/>
    <tablePart r:id="rId2"/>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401"/>
  <sheetViews>
    <sheetView workbookViewId="0">
      <selection activeCell="D4" sqref="D4"/>
    </sheetView>
  </sheetViews>
  <sheetFormatPr defaultRowHeight="14.5" x14ac:dyDescent="0.35"/>
  <cols>
    <col min="1" max="1" width="10.36328125" bestFit="1" customWidth="1"/>
    <col min="2" max="2" width="23"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18"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customWidth="1"/>
    <col min="17" max="17" width="7.7265625" bestFit="1" customWidth="1"/>
  </cols>
  <sheetData>
    <row r="1" spans="1:17" x14ac:dyDescent="0.35">
      <c r="A1" t="s">
        <v>3</v>
      </c>
      <c r="B1" t="s">
        <v>4</v>
      </c>
      <c r="C1" t="s">
        <v>862</v>
      </c>
      <c r="D1" t="s">
        <v>5</v>
      </c>
      <c r="E1" t="s">
        <v>6</v>
      </c>
      <c r="F1" t="s">
        <v>7</v>
      </c>
      <c r="G1" t="s">
        <v>8</v>
      </c>
      <c r="H1" t="s">
        <v>9</v>
      </c>
      <c r="I1" t="s">
        <v>10</v>
      </c>
      <c r="J1" t="s">
        <v>11</v>
      </c>
      <c r="K1" t="s">
        <v>12</v>
      </c>
      <c r="L1" t="s">
        <v>13</v>
      </c>
      <c r="M1" t="s">
        <v>14</v>
      </c>
      <c r="N1" t="s">
        <v>15</v>
      </c>
      <c r="O1" t="s">
        <v>16</v>
      </c>
      <c r="P1" t="s">
        <v>17</v>
      </c>
      <c r="Q1" t="s">
        <v>863</v>
      </c>
    </row>
    <row r="2" spans="1:17" x14ac:dyDescent="0.35">
      <c r="A2" s="6" t="s">
        <v>18</v>
      </c>
      <c r="B2" s="6" t="s">
        <v>19</v>
      </c>
      <c r="C2" s="6" t="s">
        <v>705</v>
      </c>
      <c r="D2" s="6" t="s">
        <v>864</v>
      </c>
      <c r="E2" s="6" t="s">
        <v>20</v>
      </c>
      <c r="F2" s="7">
        <v>44795</v>
      </c>
      <c r="G2" s="7">
        <v>44802</v>
      </c>
      <c r="H2" s="6" t="s">
        <v>21</v>
      </c>
      <c r="I2" s="6" t="s">
        <v>22</v>
      </c>
      <c r="J2" s="6" t="s">
        <v>23</v>
      </c>
      <c r="K2" s="7">
        <v>44795</v>
      </c>
      <c r="L2" s="6" t="s">
        <v>24</v>
      </c>
      <c r="M2" t="b">
        <v>0</v>
      </c>
      <c r="N2" t="b">
        <v>1</v>
      </c>
      <c r="O2" t="b">
        <v>0</v>
      </c>
      <c r="Q2">
        <v>1</v>
      </c>
    </row>
    <row r="3" spans="1:17" x14ac:dyDescent="0.35">
      <c r="A3" s="6" t="s">
        <v>25</v>
      </c>
      <c r="B3" s="6" t="s">
        <v>19</v>
      </c>
      <c r="C3" s="6" t="s">
        <v>73</v>
      </c>
      <c r="D3" s="6" t="s">
        <v>865</v>
      </c>
      <c r="E3" s="6" t="s">
        <v>26</v>
      </c>
      <c r="F3" s="7">
        <v>44791</v>
      </c>
      <c r="G3" s="7">
        <v>44798</v>
      </c>
      <c r="H3" s="6" t="s">
        <v>27</v>
      </c>
      <c r="I3" s="6" t="s">
        <v>28</v>
      </c>
      <c r="J3" s="6" t="s">
        <v>29</v>
      </c>
      <c r="K3" s="7">
        <v>44791</v>
      </c>
      <c r="L3" s="6" t="s">
        <v>24</v>
      </c>
      <c r="M3" t="b">
        <v>0</v>
      </c>
      <c r="N3" t="b">
        <v>1</v>
      </c>
      <c r="O3" t="b">
        <v>0</v>
      </c>
      <c r="Q3">
        <v>2</v>
      </c>
    </row>
    <row r="4" spans="1:17" x14ac:dyDescent="0.35">
      <c r="A4" s="6" t="s">
        <v>30</v>
      </c>
      <c r="B4" s="6" t="s">
        <v>19</v>
      </c>
      <c r="C4" s="6" t="s">
        <v>186</v>
      </c>
      <c r="D4" s="6" t="s">
        <v>866</v>
      </c>
      <c r="E4" s="6" t="s">
        <v>31</v>
      </c>
      <c r="F4" s="7">
        <v>44791</v>
      </c>
      <c r="G4" s="7">
        <v>44798</v>
      </c>
      <c r="H4" s="6" t="s">
        <v>27</v>
      </c>
      <c r="I4" s="6" t="s">
        <v>28</v>
      </c>
      <c r="J4" s="6" t="s">
        <v>29</v>
      </c>
      <c r="K4" s="7">
        <v>44791</v>
      </c>
      <c r="L4" s="6" t="s">
        <v>24</v>
      </c>
      <c r="M4" t="b">
        <v>0</v>
      </c>
      <c r="N4" t="b">
        <v>1</v>
      </c>
      <c r="O4" t="b">
        <v>1</v>
      </c>
      <c r="Q4">
        <v>3</v>
      </c>
    </row>
    <row r="5" spans="1:17" x14ac:dyDescent="0.35">
      <c r="A5" s="6" t="s">
        <v>32</v>
      </c>
      <c r="B5" s="6" t="s">
        <v>19</v>
      </c>
      <c r="C5" s="6" t="s">
        <v>107</v>
      </c>
      <c r="D5" s="6" t="s">
        <v>867</v>
      </c>
      <c r="E5" s="6" t="s">
        <v>33</v>
      </c>
      <c r="F5" s="7">
        <v>44791</v>
      </c>
      <c r="G5" s="7">
        <v>44798</v>
      </c>
      <c r="H5" s="6" t="s">
        <v>27</v>
      </c>
      <c r="I5" s="6" t="s">
        <v>34</v>
      </c>
      <c r="J5" s="6" t="s">
        <v>35</v>
      </c>
      <c r="K5" s="7">
        <v>44791</v>
      </c>
      <c r="L5" s="6" t="s">
        <v>24</v>
      </c>
      <c r="M5" t="b">
        <v>0</v>
      </c>
      <c r="N5" t="b">
        <v>1</v>
      </c>
      <c r="O5" t="b">
        <v>0</v>
      </c>
      <c r="Q5">
        <v>4</v>
      </c>
    </row>
    <row r="6" spans="1:17" x14ac:dyDescent="0.35">
      <c r="A6" s="6" t="s">
        <v>36</v>
      </c>
      <c r="B6" s="6" t="s">
        <v>19</v>
      </c>
      <c r="C6" s="6" t="s">
        <v>107</v>
      </c>
      <c r="D6" s="6" t="s">
        <v>868</v>
      </c>
      <c r="E6" s="6" t="s">
        <v>37</v>
      </c>
      <c r="F6" s="7">
        <v>44791</v>
      </c>
      <c r="G6" s="7">
        <v>44798</v>
      </c>
      <c r="H6" s="6" t="s">
        <v>27</v>
      </c>
      <c r="I6" s="6" t="s">
        <v>28</v>
      </c>
      <c r="J6" s="6" t="s">
        <v>29</v>
      </c>
      <c r="K6" s="7">
        <v>44791</v>
      </c>
      <c r="L6" s="6" t="s">
        <v>24</v>
      </c>
      <c r="M6" t="b">
        <v>0</v>
      </c>
      <c r="N6" t="b">
        <v>1</v>
      </c>
      <c r="O6" t="b">
        <v>0</v>
      </c>
      <c r="Q6">
        <v>5</v>
      </c>
    </row>
    <row r="7" spans="1:17" x14ac:dyDescent="0.35">
      <c r="A7" s="6" t="s">
        <v>38</v>
      </c>
      <c r="B7" s="6" t="s">
        <v>19</v>
      </c>
      <c r="C7" s="6" t="s">
        <v>869</v>
      </c>
      <c r="D7" s="6" t="s">
        <v>870</v>
      </c>
      <c r="E7" s="6" t="s">
        <v>39</v>
      </c>
      <c r="F7" s="7">
        <v>44791</v>
      </c>
      <c r="G7" s="7">
        <v>44798</v>
      </c>
      <c r="H7" s="6" t="s">
        <v>27</v>
      </c>
      <c r="I7" s="6" t="s">
        <v>40</v>
      </c>
      <c r="J7" s="6" t="s">
        <v>41</v>
      </c>
      <c r="K7" s="7">
        <v>44791</v>
      </c>
      <c r="L7" s="6" t="s">
        <v>24</v>
      </c>
      <c r="M7" t="b">
        <v>0</v>
      </c>
      <c r="N7" t="b">
        <v>1</v>
      </c>
      <c r="O7" t="b">
        <v>0</v>
      </c>
      <c r="Q7">
        <v>6</v>
      </c>
    </row>
    <row r="8" spans="1:17" x14ac:dyDescent="0.35">
      <c r="A8" s="6" t="s">
        <v>42</v>
      </c>
      <c r="B8" s="6" t="s">
        <v>19</v>
      </c>
      <c r="C8" s="6" t="s">
        <v>869</v>
      </c>
      <c r="D8" s="6" t="s">
        <v>870</v>
      </c>
      <c r="E8" s="6" t="s">
        <v>43</v>
      </c>
      <c r="F8" s="7">
        <v>44791</v>
      </c>
      <c r="G8" s="7">
        <v>44798</v>
      </c>
      <c r="H8" s="6" t="s">
        <v>27</v>
      </c>
      <c r="I8" s="6" t="s">
        <v>44</v>
      </c>
      <c r="J8" s="6" t="s">
        <v>45</v>
      </c>
      <c r="K8" s="7">
        <v>44791</v>
      </c>
      <c r="L8" s="6" t="s">
        <v>24</v>
      </c>
      <c r="M8" t="b">
        <v>0</v>
      </c>
      <c r="N8" t="b">
        <v>1</v>
      </c>
      <c r="O8" t="b">
        <v>0</v>
      </c>
      <c r="Q8">
        <v>7</v>
      </c>
    </row>
    <row r="9" spans="1:17" x14ac:dyDescent="0.35">
      <c r="A9" s="6" t="s">
        <v>46</v>
      </c>
      <c r="B9" s="6" t="s">
        <v>19</v>
      </c>
      <c r="C9" s="6" t="s">
        <v>869</v>
      </c>
      <c r="D9" s="6" t="s">
        <v>870</v>
      </c>
      <c r="E9" s="6" t="s">
        <v>47</v>
      </c>
      <c r="F9" s="7">
        <v>44791</v>
      </c>
      <c r="G9" s="7">
        <v>44798</v>
      </c>
      <c r="H9" s="6" t="s">
        <v>27</v>
      </c>
      <c r="I9" s="6" t="s">
        <v>40</v>
      </c>
      <c r="J9" s="6" t="s">
        <v>48</v>
      </c>
      <c r="K9" s="7">
        <v>44791</v>
      </c>
      <c r="L9" s="6" t="s">
        <v>24</v>
      </c>
      <c r="M9" t="b">
        <v>0</v>
      </c>
      <c r="N9" t="b">
        <v>1</v>
      </c>
      <c r="O9" t="b">
        <v>0</v>
      </c>
      <c r="Q9">
        <v>8</v>
      </c>
    </row>
    <row r="10" spans="1:17" x14ac:dyDescent="0.35">
      <c r="A10" s="6" t="s">
        <v>49</v>
      </c>
      <c r="B10" s="6" t="s">
        <v>19</v>
      </c>
      <c r="C10" s="6" t="s">
        <v>107</v>
      </c>
      <c r="D10" s="6" t="s">
        <v>871</v>
      </c>
      <c r="E10" s="6" t="s">
        <v>50</v>
      </c>
      <c r="F10" s="7">
        <v>44791</v>
      </c>
      <c r="G10" s="7">
        <v>44798</v>
      </c>
      <c r="H10" s="6" t="s">
        <v>21</v>
      </c>
      <c r="I10" s="6" t="s">
        <v>51</v>
      </c>
      <c r="J10" s="6" t="s">
        <v>52</v>
      </c>
      <c r="K10" s="7">
        <v>44791</v>
      </c>
      <c r="L10" s="6" t="s">
        <v>24</v>
      </c>
      <c r="M10" t="b">
        <v>0</v>
      </c>
      <c r="N10" t="b">
        <v>1</v>
      </c>
      <c r="O10" t="b">
        <v>0</v>
      </c>
      <c r="P10" t="b">
        <v>0</v>
      </c>
      <c r="Q10">
        <v>9</v>
      </c>
    </row>
    <row r="11" spans="1:17" x14ac:dyDescent="0.35">
      <c r="A11" s="6" t="s">
        <v>53</v>
      </c>
      <c r="B11" s="6" t="s">
        <v>19</v>
      </c>
      <c r="C11" s="6" t="s">
        <v>107</v>
      </c>
      <c r="D11" s="6" t="s">
        <v>872</v>
      </c>
      <c r="E11" s="6" t="s">
        <v>54</v>
      </c>
      <c r="F11" s="7">
        <v>44791</v>
      </c>
      <c r="G11" s="7">
        <v>44798</v>
      </c>
      <c r="H11" s="6" t="s">
        <v>21</v>
      </c>
      <c r="I11" s="6" t="s">
        <v>51</v>
      </c>
      <c r="J11" s="6" t="s">
        <v>52</v>
      </c>
      <c r="K11" s="7">
        <v>44791</v>
      </c>
      <c r="L11" s="6" t="s">
        <v>24</v>
      </c>
      <c r="M11" t="b">
        <v>0</v>
      </c>
      <c r="N11" t="b">
        <v>1</v>
      </c>
      <c r="O11" t="b">
        <v>0</v>
      </c>
      <c r="P11" t="b">
        <v>0</v>
      </c>
      <c r="Q11">
        <v>10</v>
      </c>
    </row>
    <row r="12" spans="1:17" x14ac:dyDescent="0.35">
      <c r="A12" s="6" t="s">
        <v>55</v>
      </c>
      <c r="B12" s="6" t="s">
        <v>19</v>
      </c>
      <c r="C12" s="6" t="s">
        <v>107</v>
      </c>
      <c r="D12" s="6" t="s">
        <v>873</v>
      </c>
      <c r="E12" s="6" t="s">
        <v>56</v>
      </c>
      <c r="F12" s="7">
        <v>44791</v>
      </c>
      <c r="G12" s="7">
        <v>44798</v>
      </c>
      <c r="H12" s="6" t="s">
        <v>27</v>
      </c>
      <c r="I12" s="6" t="s">
        <v>57</v>
      </c>
      <c r="J12" s="6" t="s">
        <v>58</v>
      </c>
      <c r="K12" s="7">
        <v>44791</v>
      </c>
      <c r="L12" s="6" t="s">
        <v>24</v>
      </c>
      <c r="M12" t="b">
        <v>0</v>
      </c>
      <c r="N12" t="b">
        <v>1</v>
      </c>
      <c r="O12" t="b">
        <v>0</v>
      </c>
      <c r="P12" t="b">
        <v>0</v>
      </c>
      <c r="Q12">
        <v>11</v>
      </c>
    </row>
    <row r="13" spans="1:17" x14ac:dyDescent="0.35">
      <c r="A13" s="6" t="s">
        <v>59</v>
      </c>
      <c r="B13" s="6" t="s">
        <v>19</v>
      </c>
      <c r="C13" s="6" t="s">
        <v>107</v>
      </c>
      <c r="D13" s="6" t="s">
        <v>873</v>
      </c>
      <c r="E13" s="6" t="s">
        <v>56</v>
      </c>
      <c r="F13" s="7">
        <v>44791</v>
      </c>
      <c r="G13" s="7">
        <v>44798</v>
      </c>
      <c r="H13" s="6" t="s">
        <v>27</v>
      </c>
      <c r="I13" s="6" t="s">
        <v>57</v>
      </c>
      <c r="J13" s="6" t="s">
        <v>58</v>
      </c>
      <c r="K13" s="7">
        <v>44791</v>
      </c>
      <c r="L13" s="6" t="s">
        <v>24</v>
      </c>
      <c r="M13" t="b">
        <v>0</v>
      </c>
      <c r="N13" t="b">
        <v>1</v>
      </c>
      <c r="O13" t="b">
        <v>0</v>
      </c>
      <c r="P13" t="b">
        <v>0</v>
      </c>
      <c r="Q13">
        <v>12</v>
      </c>
    </row>
    <row r="14" spans="1:17" x14ac:dyDescent="0.35">
      <c r="A14" s="6" t="s">
        <v>60</v>
      </c>
      <c r="B14" s="6" t="s">
        <v>19</v>
      </c>
      <c r="C14" s="6" t="s">
        <v>107</v>
      </c>
      <c r="D14" s="6" t="s">
        <v>873</v>
      </c>
      <c r="E14" s="6" t="s">
        <v>56</v>
      </c>
      <c r="F14" s="7">
        <v>44791</v>
      </c>
      <c r="G14" s="7">
        <v>44798</v>
      </c>
      <c r="H14" s="6" t="s">
        <v>27</v>
      </c>
      <c r="I14" s="6" t="s">
        <v>57</v>
      </c>
      <c r="J14" s="6" t="s">
        <v>58</v>
      </c>
      <c r="K14" s="7">
        <v>44791</v>
      </c>
      <c r="L14" s="6" t="s">
        <v>24</v>
      </c>
      <c r="M14" t="b">
        <v>0</v>
      </c>
      <c r="N14" t="b">
        <v>1</v>
      </c>
      <c r="O14" t="b">
        <v>0</v>
      </c>
      <c r="P14" t="b">
        <v>0</v>
      </c>
      <c r="Q14">
        <v>13</v>
      </c>
    </row>
    <row r="15" spans="1:17" x14ac:dyDescent="0.35">
      <c r="A15" s="6" t="s">
        <v>61</v>
      </c>
      <c r="B15" s="6" t="s">
        <v>19</v>
      </c>
      <c r="C15" s="6" t="s">
        <v>228</v>
      </c>
      <c r="D15" s="6" t="s">
        <v>874</v>
      </c>
      <c r="E15" s="6" t="s">
        <v>62</v>
      </c>
      <c r="F15" s="7">
        <v>44790</v>
      </c>
      <c r="G15" s="7">
        <v>44791</v>
      </c>
      <c r="H15" s="6" t="s">
        <v>21</v>
      </c>
      <c r="I15" s="6" t="s">
        <v>34</v>
      </c>
      <c r="J15" s="6" t="s">
        <v>35</v>
      </c>
      <c r="K15" s="7">
        <v>44790</v>
      </c>
      <c r="L15" s="6" t="s">
        <v>24</v>
      </c>
      <c r="M15" t="b">
        <v>1</v>
      </c>
      <c r="N15" t="b">
        <v>0</v>
      </c>
      <c r="O15" t="b">
        <v>0</v>
      </c>
      <c r="P15" t="b">
        <v>0</v>
      </c>
      <c r="Q15">
        <v>14</v>
      </c>
    </row>
    <row r="16" spans="1:17" x14ac:dyDescent="0.35">
      <c r="A16" s="6" t="s">
        <v>63</v>
      </c>
      <c r="B16" s="6" t="s">
        <v>19</v>
      </c>
      <c r="C16" s="6" t="s">
        <v>228</v>
      </c>
      <c r="D16" s="6" t="s">
        <v>875</v>
      </c>
      <c r="E16" s="6" t="s">
        <v>64</v>
      </c>
      <c r="F16" s="7">
        <v>44790</v>
      </c>
      <c r="G16" s="7">
        <v>44791</v>
      </c>
      <c r="H16" s="6" t="s">
        <v>21</v>
      </c>
      <c r="I16" s="6" t="s">
        <v>34</v>
      </c>
      <c r="J16" s="6" t="s">
        <v>35</v>
      </c>
      <c r="K16" s="7">
        <v>44790</v>
      </c>
      <c r="L16" s="6" t="s">
        <v>24</v>
      </c>
      <c r="M16" t="b">
        <v>1</v>
      </c>
      <c r="N16" t="b">
        <v>1</v>
      </c>
      <c r="O16" t="b">
        <v>0</v>
      </c>
      <c r="P16" t="b">
        <v>0</v>
      </c>
      <c r="Q16">
        <v>15</v>
      </c>
    </row>
    <row r="17" spans="1:17" x14ac:dyDescent="0.35">
      <c r="A17" s="6" t="s">
        <v>65</v>
      </c>
      <c r="B17" s="6" t="s">
        <v>19</v>
      </c>
      <c r="C17" s="6" t="s">
        <v>66</v>
      </c>
      <c r="D17" s="6"/>
      <c r="E17" s="6" t="s">
        <v>67</v>
      </c>
      <c r="F17" s="7">
        <v>44790</v>
      </c>
      <c r="G17" s="7">
        <v>44791</v>
      </c>
      <c r="H17" s="6" t="s">
        <v>21</v>
      </c>
      <c r="I17" s="6" t="s">
        <v>22</v>
      </c>
      <c r="J17" s="6" t="s">
        <v>23</v>
      </c>
      <c r="K17" s="7">
        <v>44790</v>
      </c>
      <c r="L17" s="6" t="s">
        <v>24</v>
      </c>
      <c r="M17" t="b">
        <v>1</v>
      </c>
      <c r="N17" t="b">
        <v>1</v>
      </c>
      <c r="O17" t="b">
        <v>0</v>
      </c>
      <c r="P17" t="b">
        <v>0</v>
      </c>
      <c r="Q17">
        <v>16</v>
      </c>
    </row>
    <row r="18" spans="1:17" x14ac:dyDescent="0.35">
      <c r="A18" s="6" t="s">
        <v>68</v>
      </c>
      <c r="B18" s="6" t="s">
        <v>19</v>
      </c>
      <c r="C18" s="6" t="s">
        <v>869</v>
      </c>
      <c r="D18" s="6" t="s">
        <v>996</v>
      </c>
      <c r="E18" s="6" t="s">
        <v>69</v>
      </c>
      <c r="F18" s="7">
        <v>44789</v>
      </c>
      <c r="G18" s="7">
        <v>44790</v>
      </c>
      <c r="H18" s="6" t="s">
        <v>70</v>
      </c>
      <c r="I18" s="6" t="s">
        <v>51</v>
      </c>
      <c r="J18" s="6" t="s">
        <v>52</v>
      </c>
      <c r="K18" s="7">
        <v>44789</v>
      </c>
      <c r="L18" s="6" t="s">
        <v>24</v>
      </c>
      <c r="M18" t="b">
        <v>1</v>
      </c>
      <c r="N18" t="b">
        <v>1</v>
      </c>
      <c r="O18" t="b">
        <v>0</v>
      </c>
      <c r="P18" t="b">
        <v>0</v>
      </c>
      <c r="Q18">
        <v>17</v>
      </c>
    </row>
    <row r="19" spans="1:17" x14ac:dyDescent="0.35">
      <c r="A19" s="6" t="s">
        <v>71</v>
      </c>
      <c r="B19" s="6" t="s">
        <v>19</v>
      </c>
      <c r="C19" s="6" t="s">
        <v>228</v>
      </c>
      <c r="D19" s="6" t="s">
        <v>876</v>
      </c>
      <c r="E19" s="6" t="s">
        <v>62</v>
      </c>
      <c r="F19" s="7">
        <v>44789</v>
      </c>
      <c r="G19" s="7">
        <v>44791</v>
      </c>
      <c r="H19" s="6" t="s">
        <v>70</v>
      </c>
      <c r="I19" s="6" t="s">
        <v>34</v>
      </c>
      <c r="J19" s="6" t="s">
        <v>35</v>
      </c>
      <c r="K19" s="7">
        <v>44789</v>
      </c>
      <c r="L19" s="6" t="s">
        <v>24</v>
      </c>
      <c r="M19" t="b">
        <v>1</v>
      </c>
      <c r="N19" t="b">
        <v>1</v>
      </c>
      <c r="O19" t="b">
        <v>0</v>
      </c>
      <c r="P19" t="b">
        <v>0</v>
      </c>
      <c r="Q19">
        <v>18</v>
      </c>
    </row>
    <row r="20" spans="1:17" x14ac:dyDescent="0.35">
      <c r="A20" s="6" t="s">
        <v>72</v>
      </c>
      <c r="B20" s="6" t="s">
        <v>19</v>
      </c>
      <c r="C20" s="6" t="s">
        <v>73</v>
      </c>
      <c r="D20" s="6"/>
      <c r="E20" s="6" t="s">
        <v>74</v>
      </c>
      <c r="F20" s="7">
        <v>44789</v>
      </c>
      <c r="G20" s="7">
        <v>44791</v>
      </c>
      <c r="H20" s="6" t="s">
        <v>70</v>
      </c>
      <c r="I20" s="6" t="s">
        <v>51</v>
      </c>
      <c r="J20" s="6" t="s">
        <v>52</v>
      </c>
      <c r="K20" s="7">
        <v>44789</v>
      </c>
      <c r="L20" s="6" t="s">
        <v>24</v>
      </c>
      <c r="M20" t="b">
        <v>1</v>
      </c>
      <c r="N20" t="b">
        <v>1</v>
      </c>
      <c r="O20" t="b">
        <v>0</v>
      </c>
      <c r="P20" t="b">
        <v>0</v>
      </c>
      <c r="Q20">
        <v>19</v>
      </c>
    </row>
    <row r="21" spans="1:17" x14ac:dyDescent="0.35">
      <c r="A21" s="6" t="s">
        <v>75</v>
      </c>
      <c r="B21" s="6" t="s">
        <v>19</v>
      </c>
      <c r="C21" s="6" t="s">
        <v>73</v>
      </c>
      <c r="D21" s="6" t="s">
        <v>877</v>
      </c>
      <c r="E21" s="6" t="s">
        <v>76</v>
      </c>
      <c r="F21" s="7">
        <v>44789</v>
      </c>
      <c r="G21" s="7">
        <v>44796</v>
      </c>
      <c r="H21" s="6" t="s">
        <v>70</v>
      </c>
      <c r="I21" s="6" t="s">
        <v>22</v>
      </c>
      <c r="J21" s="6" t="s">
        <v>23</v>
      </c>
      <c r="K21" s="7">
        <v>44789</v>
      </c>
      <c r="L21" s="6" t="s">
        <v>24</v>
      </c>
      <c r="M21" t="b">
        <v>0</v>
      </c>
      <c r="N21" t="b">
        <v>1</v>
      </c>
      <c r="O21" t="b">
        <v>0</v>
      </c>
      <c r="P21" t="b">
        <v>0</v>
      </c>
      <c r="Q21">
        <v>20</v>
      </c>
    </row>
    <row r="22" spans="1:17" x14ac:dyDescent="0.35">
      <c r="A22" s="6" t="s">
        <v>77</v>
      </c>
      <c r="B22" s="6" t="s">
        <v>19</v>
      </c>
      <c r="C22" s="6" t="s">
        <v>73</v>
      </c>
      <c r="D22" s="6"/>
      <c r="E22" s="6" t="s">
        <v>78</v>
      </c>
      <c r="F22" s="7">
        <v>44789</v>
      </c>
      <c r="G22" s="7">
        <v>44791</v>
      </c>
      <c r="H22" s="6" t="s">
        <v>70</v>
      </c>
      <c r="I22" s="6" t="s">
        <v>57</v>
      </c>
      <c r="J22" s="6" t="s">
        <v>58</v>
      </c>
      <c r="K22" s="7">
        <v>44789</v>
      </c>
      <c r="L22" s="6" t="s">
        <v>24</v>
      </c>
      <c r="M22" t="b">
        <v>1</v>
      </c>
      <c r="N22" t="b">
        <v>1</v>
      </c>
      <c r="O22" t="b">
        <v>0</v>
      </c>
      <c r="P22" t="b">
        <v>0</v>
      </c>
      <c r="Q22">
        <v>21</v>
      </c>
    </row>
    <row r="23" spans="1:17" x14ac:dyDescent="0.35">
      <c r="A23" s="6" t="s">
        <v>79</v>
      </c>
      <c r="B23" s="6" t="s">
        <v>19</v>
      </c>
      <c r="C23" s="6" t="s">
        <v>73</v>
      </c>
      <c r="D23" s="6" t="s">
        <v>878</v>
      </c>
      <c r="E23" s="6" t="s">
        <v>80</v>
      </c>
      <c r="F23" s="7">
        <v>44789</v>
      </c>
      <c r="G23" s="7">
        <v>44805</v>
      </c>
      <c r="H23" s="6" t="s">
        <v>81</v>
      </c>
      <c r="I23" s="6" t="s">
        <v>51</v>
      </c>
      <c r="J23" s="6" t="s">
        <v>52</v>
      </c>
      <c r="K23" s="7">
        <v>44789</v>
      </c>
      <c r="L23" s="6" t="s">
        <v>24</v>
      </c>
      <c r="M23" t="b">
        <v>0</v>
      </c>
      <c r="N23" t="b">
        <v>1</v>
      </c>
      <c r="O23" t="b">
        <v>0</v>
      </c>
      <c r="P23" t="b">
        <v>0</v>
      </c>
      <c r="Q23">
        <v>22</v>
      </c>
    </row>
    <row r="24" spans="1:17" x14ac:dyDescent="0.35">
      <c r="A24" s="6" t="s">
        <v>82</v>
      </c>
      <c r="B24" s="6" t="s">
        <v>19</v>
      </c>
      <c r="C24" s="6" t="s">
        <v>73</v>
      </c>
      <c r="D24" s="6" t="s">
        <v>878</v>
      </c>
      <c r="E24" s="6" t="s">
        <v>83</v>
      </c>
      <c r="F24" s="7">
        <v>44789</v>
      </c>
      <c r="G24" s="7">
        <v>44805</v>
      </c>
      <c r="H24" s="6" t="s">
        <v>81</v>
      </c>
      <c r="I24" s="6" t="s">
        <v>34</v>
      </c>
      <c r="J24" s="6" t="s">
        <v>35</v>
      </c>
      <c r="K24" s="7">
        <v>44789</v>
      </c>
      <c r="L24" s="6" t="s">
        <v>24</v>
      </c>
      <c r="M24" t="b">
        <v>0</v>
      </c>
      <c r="N24" t="b">
        <v>1</v>
      </c>
      <c r="O24" t="b">
        <v>0</v>
      </c>
      <c r="P24" t="b">
        <v>0</v>
      </c>
      <c r="Q24">
        <v>23</v>
      </c>
    </row>
    <row r="25" spans="1:17" x14ac:dyDescent="0.35">
      <c r="A25" s="6" t="s">
        <v>84</v>
      </c>
      <c r="B25" s="6" t="s">
        <v>19</v>
      </c>
      <c r="C25" s="6" t="s">
        <v>73</v>
      </c>
      <c r="D25" s="6" t="s">
        <v>878</v>
      </c>
      <c r="E25" s="6" t="s">
        <v>85</v>
      </c>
      <c r="F25" s="7">
        <v>44789</v>
      </c>
      <c r="G25" s="7">
        <v>45170</v>
      </c>
      <c r="H25" s="6" t="s">
        <v>81</v>
      </c>
      <c r="I25" s="6" t="s">
        <v>51</v>
      </c>
      <c r="J25" s="6" t="s">
        <v>52</v>
      </c>
      <c r="K25" s="7">
        <v>44789</v>
      </c>
      <c r="L25" s="6" t="s">
        <v>24</v>
      </c>
      <c r="M25" t="b">
        <v>0</v>
      </c>
      <c r="N25" t="b">
        <v>1</v>
      </c>
      <c r="O25" t="b">
        <v>0</v>
      </c>
      <c r="P25" t="b">
        <v>0</v>
      </c>
      <c r="Q25">
        <v>24</v>
      </c>
    </row>
    <row r="26" spans="1:17" x14ac:dyDescent="0.35">
      <c r="A26" s="6" t="s">
        <v>86</v>
      </c>
      <c r="B26" s="6" t="s">
        <v>19</v>
      </c>
      <c r="C26" s="6" t="s">
        <v>73</v>
      </c>
      <c r="D26" s="6" t="s">
        <v>878</v>
      </c>
      <c r="E26" s="6" t="s">
        <v>87</v>
      </c>
      <c r="F26" s="7">
        <v>44789</v>
      </c>
      <c r="G26" s="7">
        <v>44805</v>
      </c>
      <c r="H26" s="6" t="s">
        <v>81</v>
      </c>
      <c r="I26" s="6" t="s">
        <v>28</v>
      </c>
      <c r="J26" s="6" t="s">
        <v>29</v>
      </c>
      <c r="K26" s="7">
        <v>44789</v>
      </c>
      <c r="L26" s="6" t="s">
        <v>24</v>
      </c>
      <c r="M26" t="b">
        <v>0</v>
      </c>
      <c r="N26" t="b">
        <v>1</v>
      </c>
      <c r="O26" t="b">
        <v>0</v>
      </c>
      <c r="P26" t="b">
        <v>0</v>
      </c>
      <c r="Q26">
        <v>25</v>
      </c>
    </row>
    <row r="27" spans="1:17" x14ac:dyDescent="0.35">
      <c r="A27" s="6" t="s">
        <v>88</v>
      </c>
      <c r="B27" s="6" t="s">
        <v>89</v>
      </c>
      <c r="C27" s="6" t="s">
        <v>73</v>
      </c>
      <c r="D27" s="6" t="s">
        <v>878</v>
      </c>
      <c r="E27" s="6" t="s">
        <v>90</v>
      </c>
      <c r="F27" s="7">
        <v>44789</v>
      </c>
      <c r="G27" s="7">
        <v>44805</v>
      </c>
      <c r="H27" s="6" t="s">
        <v>81</v>
      </c>
      <c r="I27" s="6" t="s">
        <v>91</v>
      </c>
      <c r="J27" s="6" t="s">
        <v>92</v>
      </c>
      <c r="K27" s="7">
        <v>44790</v>
      </c>
      <c r="L27" s="6" t="s">
        <v>24</v>
      </c>
      <c r="M27" t="b">
        <v>0</v>
      </c>
      <c r="N27" t="b">
        <v>1</v>
      </c>
      <c r="O27" t="b">
        <v>1</v>
      </c>
      <c r="P27" t="b">
        <v>0</v>
      </c>
      <c r="Q27">
        <v>26</v>
      </c>
    </row>
    <row r="28" spans="1:17" x14ac:dyDescent="0.35">
      <c r="A28" s="6" t="s">
        <v>93</v>
      </c>
      <c r="B28" s="6" t="s">
        <v>19</v>
      </c>
      <c r="C28" s="6" t="s">
        <v>73</v>
      </c>
      <c r="D28" s="6" t="s">
        <v>878</v>
      </c>
      <c r="E28" s="6" t="s">
        <v>94</v>
      </c>
      <c r="F28" s="7">
        <v>44789</v>
      </c>
      <c r="G28" s="7">
        <v>44805</v>
      </c>
      <c r="H28" s="6" t="s">
        <v>81</v>
      </c>
      <c r="I28" s="6" t="s">
        <v>57</v>
      </c>
      <c r="J28" s="6" t="s">
        <v>58</v>
      </c>
      <c r="K28" s="7">
        <v>44789</v>
      </c>
      <c r="L28" s="6" t="s">
        <v>24</v>
      </c>
      <c r="M28" t="b">
        <v>0</v>
      </c>
      <c r="N28" t="b">
        <v>1</v>
      </c>
      <c r="O28" t="b">
        <v>0</v>
      </c>
      <c r="P28" t="b">
        <v>0</v>
      </c>
      <c r="Q28">
        <v>27</v>
      </c>
    </row>
    <row r="29" spans="1:17" x14ac:dyDescent="0.35">
      <c r="A29" s="6" t="s">
        <v>95</v>
      </c>
      <c r="B29" s="6" t="s">
        <v>19</v>
      </c>
      <c r="C29" s="6" t="s">
        <v>73</v>
      </c>
      <c r="D29" s="6" t="s">
        <v>878</v>
      </c>
      <c r="E29" s="6" t="s">
        <v>96</v>
      </c>
      <c r="F29" s="7">
        <v>44789</v>
      </c>
      <c r="G29" s="7">
        <v>44805</v>
      </c>
      <c r="H29" s="6" t="s">
        <v>81</v>
      </c>
      <c r="I29" s="6" t="s">
        <v>51</v>
      </c>
      <c r="J29" s="6" t="s">
        <v>52</v>
      </c>
      <c r="K29" s="7">
        <v>44789</v>
      </c>
      <c r="L29" s="6" t="s">
        <v>24</v>
      </c>
      <c r="M29" t="b">
        <v>0</v>
      </c>
      <c r="N29" t="b">
        <v>1</v>
      </c>
      <c r="O29" t="b">
        <v>0</v>
      </c>
      <c r="P29" t="b">
        <v>0</v>
      </c>
      <c r="Q29">
        <v>28</v>
      </c>
    </row>
    <row r="30" spans="1:17" x14ac:dyDescent="0.35">
      <c r="A30" s="6" t="s">
        <v>97</v>
      </c>
      <c r="B30" s="6" t="s">
        <v>19</v>
      </c>
      <c r="C30" s="6" t="s">
        <v>73</v>
      </c>
      <c r="D30" s="6" t="s">
        <v>878</v>
      </c>
      <c r="E30" s="6" t="s">
        <v>98</v>
      </c>
      <c r="F30" s="7">
        <v>44789</v>
      </c>
      <c r="G30" s="7">
        <v>44805</v>
      </c>
      <c r="H30" s="6" t="s">
        <v>81</v>
      </c>
      <c r="I30" s="6" t="s">
        <v>34</v>
      </c>
      <c r="J30" s="6" t="s">
        <v>35</v>
      </c>
      <c r="K30" s="7">
        <v>44789</v>
      </c>
      <c r="L30" s="6" t="s">
        <v>24</v>
      </c>
      <c r="M30" t="b">
        <v>0</v>
      </c>
      <c r="N30" t="b">
        <v>0</v>
      </c>
      <c r="O30" t="b">
        <v>0</v>
      </c>
      <c r="P30" t="b">
        <v>0</v>
      </c>
      <c r="Q30">
        <v>29</v>
      </c>
    </row>
    <row r="31" spans="1:17" x14ac:dyDescent="0.35">
      <c r="A31" s="6" t="s">
        <v>99</v>
      </c>
      <c r="B31" s="6" t="s">
        <v>19</v>
      </c>
      <c r="C31" s="6" t="s">
        <v>228</v>
      </c>
      <c r="D31" s="6" t="s">
        <v>879</v>
      </c>
      <c r="E31" s="6" t="s">
        <v>100</v>
      </c>
      <c r="F31" s="7">
        <v>44782</v>
      </c>
      <c r="G31" s="7">
        <v>44784</v>
      </c>
      <c r="H31" s="6" t="s">
        <v>70</v>
      </c>
      <c r="I31" s="6" t="s">
        <v>34</v>
      </c>
      <c r="J31" s="6" t="s">
        <v>35</v>
      </c>
      <c r="K31" s="7">
        <v>44782</v>
      </c>
      <c r="L31" s="6" t="s">
        <v>24</v>
      </c>
      <c r="M31" t="b">
        <v>1</v>
      </c>
      <c r="N31" t="b">
        <v>1</v>
      </c>
      <c r="O31" t="b">
        <v>0</v>
      </c>
      <c r="P31" t="b">
        <v>0</v>
      </c>
      <c r="Q31">
        <v>30</v>
      </c>
    </row>
    <row r="32" spans="1:17" x14ac:dyDescent="0.35">
      <c r="A32" s="6" t="s">
        <v>101</v>
      </c>
      <c r="B32" s="6" t="s">
        <v>19</v>
      </c>
      <c r="C32" s="6" t="s">
        <v>102</v>
      </c>
      <c r="D32" s="6"/>
      <c r="E32" s="6" t="s">
        <v>103</v>
      </c>
      <c r="F32" s="7">
        <v>44782</v>
      </c>
      <c r="G32" s="7">
        <v>44785</v>
      </c>
      <c r="H32" s="6" t="s">
        <v>70</v>
      </c>
      <c r="I32" s="6" t="s">
        <v>51</v>
      </c>
      <c r="J32" s="6" t="s">
        <v>52</v>
      </c>
      <c r="K32" s="7">
        <v>44782</v>
      </c>
      <c r="L32" s="6" t="s">
        <v>24</v>
      </c>
      <c r="M32" t="b">
        <v>1</v>
      </c>
      <c r="N32" t="b">
        <v>0</v>
      </c>
      <c r="O32" t="b">
        <v>0</v>
      </c>
      <c r="P32" t="b">
        <v>0</v>
      </c>
      <c r="Q32">
        <v>31</v>
      </c>
    </row>
    <row r="33" spans="1:17" x14ac:dyDescent="0.35">
      <c r="A33" s="6" t="s">
        <v>104</v>
      </c>
      <c r="B33" s="6" t="s">
        <v>19</v>
      </c>
      <c r="C33" s="6" t="s">
        <v>186</v>
      </c>
      <c r="D33" s="6" t="s">
        <v>880</v>
      </c>
      <c r="E33" s="6" t="s">
        <v>105</v>
      </c>
      <c r="F33" s="7">
        <v>44782</v>
      </c>
      <c r="G33" s="7">
        <v>44782</v>
      </c>
      <c r="H33" s="6" t="s">
        <v>70</v>
      </c>
      <c r="I33" s="6" t="s">
        <v>34</v>
      </c>
      <c r="J33" s="6" t="s">
        <v>35</v>
      </c>
      <c r="K33" s="7">
        <v>44782</v>
      </c>
      <c r="L33" s="6" t="s">
        <v>24</v>
      </c>
      <c r="M33" t="b">
        <v>1</v>
      </c>
      <c r="N33" t="b">
        <v>1</v>
      </c>
      <c r="O33" t="b">
        <v>0</v>
      </c>
      <c r="P33" t="b">
        <v>0</v>
      </c>
      <c r="Q33">
        <v>32</v>
      </c>
    </row>
    <row r="34" spans="1:17" x14ac:dyDescent="0.35">
      <c r="A34" s="6" t="s">
        <v>106</v>
      </c>
      <c r="B34" s="6" t="s">
        <v>19</v>
      </c>
      <c r="C34" s="6" t="s">
        <v>107</v>
      </c>
      <c r="D34" s="6"/>
      <c r="E34" s="6" t="s">
        <v>108</v>
      </c>
      <c r="F34" s="7">
        <v>44777</v>
      </c>
      <c r="G34" s="7">
        <v>44784</v>
      </c>
      <c r="H34" s="6" t="s">
        <v>70</v>
      </c>
      <c r="I34" s="6" t="s">
        <v>57</v>
      </c>
      <c r="J34" s="6" t="s">
        <v>58</v>
      </c>
      <c r="K34" s="7">
        <v>44777</v>
      </c>
      <c r="L34" s="6" t="s">
        <v>24</v>
      </c>
      <c r="M34" t="b">
        <v>1</v>
      </c>
      <c r="N34" t="b">
        <v>1</v>
      </c>
      <c r="O34" t="b">
        <v>0</v>
      </c>
      <c r="P34" t="b">
        <v>0</v>
      </c>
      <c r="Q34">
        <v>33</v>
      </c>
    </row>
    <row r="35" spans="1:17" x14ac:dyDescent="0.35">
      <c r="A35" s="6" t="s">
        <v>109</v>
      </c>
      <c r="B35" s="6" t="s">
        <v>19</v>
      </c>
      <c r="C35" s="6" t="s">
        <v>107</v>
      </c>
      <c r="D35" s="6" t="s">
        <v>881</v>
      </c>
      <c r="E35" s="6" t="s">
        <v>110</v>
      </c>
      <c r="F35" s="7">
        <v>44777</v>
      </c>
      <c r="G35" s="7">
        <v>44784</v>
      </c>
      <c r="H35" s="6" t="s">
        <v>70</v>
      </c>
      <c r="I35" s="6" t="s">
        <v>111</v>
      </c>
      <c r="J35" s="6" t="s">
        <v>112</v>
      </c>
      <c r="K35" s="7">
        <v>44777</v>
      </c>
      <c r="L35" s="6" t="s">
        <v>24</v>
      </c>
      <c r="M35" t="b">
        <v>1</v>
      </c>
      <c r="N35" t="b">
        <v>1</v>
      </c>
      <c r="O35" t="b">
        <v>0</v>
      </c>
      <c r="P35" t="b">
        <v>0</v>
      </c>
      <c r="Q35">
        <v>34</v>
      </c>
    </row>
    <row r="36" spans="1:17" x14ac:dyDescent="0.35">
      <c r="A36" s="6" t="s">
        <v>113</v>
      </c>
      <c r="B36" s="6" t="s">
        <v>19</v>
      </c>
      <c r="C36" s="6" t="s">
        <v>107</v>
      </c>
      <c r="D36" s="6"/>
      <c r="E36" s="6" t="s">
        <v>114</v>
      </c>
      <c r="F36" s="7">
        <v>44777</v>
      </c>
      <c r="G36" s="7">
        <v>44784</v>
      </c>
      <c r="H36" s="6" t="s">
        <v>70</v>
      </c>
      <c r="I36" s="6" t="s">
        <v>57</v>
      </c>
      <c r="J36" s="6" t="s">
        <v>58</v>
      </c>
      <c r="K36" s="7">
        <v>44777</v>
      </c>
      <c r="L36" s="6" t="s">
        <v>24</v>
      </c>
      <c r="M36" t="b">
        <v>1</v>
      </c>
      <c r="N36" t="b">
        <v>1</v>
      </c>
      <c r="O36" t="b">
        <v>0</v>
      </c>
      <c r="P36" t="b">
        <v>0</v>
      </c>
      <c r="Q36">
        <v>35</v>
      </c>
    </row>
    <row r="37" spans="1:17" x14ac:dyDescent="0.35">
      <c r="A37" s="6" t="s">
        <v>115</v>
      </c>
      <c r="B37" s="6" t="s">
        <v>19</v>
      </c>
      <c r="C37" s="6" t="s">
        <v>189</v>
      </c>
      <c r="D37" s="6" t="s">
        <v>882</v>
      </c>
      <c r="E37" s="6" t="s">
        <v>116</v>
      </c>
      <c r="F37" s="7">
        <v>44777</v>
      </c>
      <c r="G37" s="7">
        <v>44784</v>
      </c>
      <c r="H37" s="6" t="s">
        <v>70</v>
      </c>
      <c r="I37" s="6" t="s">
        <v>34</v>
      </c>
      <c r="J37" s="6" t="s">
        <v>117</v>
      </c>
      <c r="K37" s="7">
        <v>44777</v>
      </c>
      <c r="L37" s="6" t="s">
        <v>24</v>
      </c>
      <c r="M37" t="b">
        <v>1</v>
      </c>
      <c r="N37" t="b">
        <v>1</v>
      </c>
      <c r="O37" t="b">
        <v>0</v>
      </c>
      <c r="P37" t="b">
        <v>0</v>
      </c>
      <c r="Q37">
        <v>36</v>
      </c>
    </row>
    <row r="38" spans="1:17" x14ac:dyDescent="0.35">
      <c r="A38" s="6" t="s">
        <v>118</v>
      </c>
      <c r="B38" s="6" t="s">
        <v>19</v>
      </c>
      <c r="C38" s="6" t="s">
        <v>186</v>
      </c>
      <c r="D38" s="6" t="s">
        <v>866</v>
      </c>
      <c r="E38" s="6" t="s">
        <v>119</v>
      </c>
      <c r="F38" s="7">
        <v>44777</v>
      </c>
      <c r="G38" s="7">
        <v>44782</v>
      </c>
      <c r="H38" s="6" t="s">
        <v>70</v>
      </c>
      <c r="I38" s="6" t="s">
        <v>28</v>
      </c>
      <c r="J38" s="6" t="s">
        <v>29</v>
      </c>
      <c r="K38" s="7">
        <v>44777</v>
      </c>
      <c r="L38" s="6" t="s">
        <v>24</v>
      </c>
      <c r="M38" t="b">
        <v>1</v>
      </c>
      <c r="N38" t="b">
        <v>1</v>
      </c>
      <c r="O38" t="b">
        <v>0</v>
      </c>
      <c r="P38" t="b">
        <v>0</v>
      </c>
      <c r="Q38">
        <v>37</v>
      </c>
    </row>
    <row r="39" spans="1:17" x14ac:dyDescent="0.35">
      <c r="A39" s="6" t="s">
        <v>120</v>
      </c>
      <c r="B39" s="6" t="s">
        <v>19</v>
      </c>
      <c r="C39" s="6" t="s">
        <v>102</v>
      </c>
      <c r="D39" s="6" t="s">
        <v>883</v>
      </c>
      <c r="E39" s="6" t="s">
        <v>121</v>
      </c>
      <c r="F39" s="7">
        <v>44777</v>
      </c>
      <c r="G39" s="7">
        <v>44778</v>
      </c>
      <c r="H39" s="6" t="s">
        <v>70</v>
      </c>
      <c r="I39" s="6" t="s">
        <v>51</v>
      </c>
      <c r="J39" s="6" t="s">
        <v>52</v>
      </c>
      <c r="K39" s="7">
        <v>44777</v>
      </c>
      <c r="L39" s="6" t="s">
        <v>24</v>
      </c>
      <c r="M39" t="b">
        <v>1</v>
      </c>
      <c r="N39" t="b">
        <v>1</v>
      </c>
      <c r="O39" t="b">
        <v>0</v>
      </c>
      <c r="P39" t="b">
        <v>0</v>
      </c>
      <c r="Q39">
        <v>38</v>
      </c>
    </row>
    <row r="40" spans="1:17" x14ac:dyDescent="0.35">
      <c r="A40" s="6" t="s">
        <v>122</v>
      </c>
      <c r="B40" s="6" t="s">
        <v>19</v>
      </c>
      <c r="C40" s="6" t="s">
        <v>107</v>
      </c>
      <c r="D40" s="6" t="s">
        <v>881</v>
      </c>
      <c r="E40" s="6" t="s">
        <v>123</v>
      </c>
      <c r="F40" s="7">
        <v>44776</v>
      </c>
      <c r="G40" s="7">
        <v>44789</v>
      </c>
      <c r="H40" s="6" t="s">
        <v>70</v>
      </c>
      <c r="I40" s="6" t="s">
        <v>111</v>
      </c>
      <c r="J40" s="6" t="s">
        <v>112</v>
      </c>
      <c r="K40" s="7">
        <v>44776</v>
      </c>
      <c r="L40" s="6" t="s">
        <v>24</v>
      </c>
      <c r="M40" t="b">
        <v>1</v>
      </c>
      <c r="N40" t="b">
        <v>0</v>
      </c>
      <c r="O40" t="b">
        <v>0</v>
      </c>
      <c r="P40" t="b">
        <v>0</v>
      </c>
      <c r="Q40">
        <v>39</v>
      </c>
    </row>
    <row r="41" spans="1:17" x14ac:dyDescent="0.35">
      <c r="A41" s="6" t="s">
        <v>124</v>
      </c>
      <c r="B41" s="6" t="s">
        <v>89</v>
      </c>
      <c r="C41" s="6" t="s">
        <v>102</v>
      </c>
      <c r="D41" s="6" t="s">
        <v>884</v>
      </c>
      <c r="E41" s="6" t="s">
        <v>125</v>
      </c>
      <c r="F41" s="7">
        <v>44776</v>
      </c>
      <c r="G41" s="7">
        <v>44752</v>
      </c>
      <c r="H41" s="6" t="s">
        <v>70</v>
      </c>
      <c r="I41" s="6" t="s">
        <v>22</v>
      </c>
      <c r="J41" s="6" t="s">
        <v>23</v>
      </c>
      <c r="K41" s="7">
        <v>44776</v>
      </c>
      <c r="L41" s="6" t="s">
        <v>24</v>
      </c>
      <c r="M41" t="b">
        <v>1</v>
      </c>
      <c r="N41" t="b">
        <v>0</v>
      </c>
      <c r="O41" t="b">
        <v>0</v>
      </c>
      <c r="P41" t="b">
        <v>0</v>
      </c>
      <c r="Q41">
        <v>40</v>
      </c>
    </row>
    <row r="42" spans="1:17" x14ac:dyDescent="0.35">
      <c r="A42" s="6" t="s">
        <v>126</v>
      </c>
      <c r="B42" s="6" t="s">
        <v>89</v>
      </c>
      <c r="C42" s="6" t="s">
        <v>107</v>
      </c>
      <c r="D42" s="6" t="s">
        <v>872</v>
      </c>
      <c r="E42" s="6" t="s">
        <v>127</v>
      </c>
      <c r="F42" s="7">
        <v>44776</v>
      </c>
      <c r="G42" s="7">
        <v>44752</v>
      </c>
      <c r="H42" s="6" t="s">
        <v>70</v>
      </c>
      <c r="I42" s="6" t="s">
        <v>34</v>
      </c>
      <c r="J42" s="6" t="s">
        <v>117</v>
      </c>
      <c r="K42" s="7">
        <v>44776</v>
      </c>
      <c r="L42" s="6" t="s">
        <v>24</v>
      </c>
      <c r="M42" t="b">
        <v>1</v>
      </c>
      <c r="N42" t="b">
        <v>0</v>
      </c>
      <c r="O42" t="b">
        <v>0</v>
      </c>
      <c r="P42" t="b">
        <v>0</v>
      </c>
      <c r="Q42">
        <v>41</v>
      </c>
    </row>
    <row r="43" spans="1:17" x14ac:dyDescent="0.35">
      <c r="A43" s="6" t="s">
        <v>128</v>
      </c>
      <c r="B43" s="6" t="s">
        <v>19</v>
      </c>
      <c r="C43" s="6" t="s">
        <v>107</v>
      </c>
      <c r="D43" s="6"/>
      <c r="E43" s="6" t="s">
        <v>129</v>
      </c>
      <c r="F43" s="7">
        <v>44776</v>
      </c>
      <c r="G43" s="7">
        <v>44778</v>
      </c>
      <c r="H43" s="6" t="s">
        <v>70</v>
      </c>
      <c r="I43" s="6" t="s">
        <v>22</v>
      </c>
      <c r="J43" s="6" t="s">
        <v>130</v>
      </c>
      <c r="K43" s="7">
        <v>44776</v>
      </c>
      <c r="L43" s="6" t="s">
        <v>24</v>
      </c>
      <c r="M43" t="b">
        <v>1</v>
      </c>
      <c r="N43" t="b">
        <v>0</v>
      </c>
      <c r="O43" t="b">
        <v>0</v>
      </c>
      <c r="P43" t="b">
        <v>0</v>
      </c>
      <c r="Q43">
        <v>42</v>
      </c>
    </row>
    <row r="44" spans="1:17" x14ac:dyDescent="0.35">
      <c r="A44" s="6" t="s">
        <v>131</v>
      </c>
      <c r="B44" s="6" t="s">
        <v>19</v>
      </c>
      <c r="C44" s="6" t="s">
        <v>228</v>
      </c>
      <c r="D44" s="6" t="s">
        <v>885</v>
      </c>
      <c r="E44" s="6" t="s">
        <v>132</v>
      </c>
      <c r="F44" s="7">
        <v>44776</v>
      </c>
      <c r="G44" s="7">
        <v>44778</v>
      </c>
      <c r="H44" s="6" t="s">
        <v>70</v>
      </c>
      <c r="I44" s="6" t="s">
        <v>34</v>
      </c>
      <c r="J44" s="6" t="s">
        <v>35</v>
      </c>
      <c r="K44" s="7">
        <v>44776</v>
      </c>
      <c r="L44" s="6" t="s">
        <v>24</v>
      </c>
      <c r="M44" t="b">
        <v>1</v>
      </c>
      <c r="N44" t="b">
        <v>1</v>
      </c>
      <c r="O44" t="b">
        <v>0</v>
      </c>
      <c r="P44" t="b">
        <v>0</v>
      </c>
      <c r="Q44">
        <v>43</v>
      </c>
    </row>
    <row r="45" spans="1:17" x14ac:dyDescent="0.35">
      <c r="A45" s="6" t="s">
        <v>133</v>
      </c>
      <c r="B45" s="6" t="s">
        <v>134</v>
      </c>
      <c r="C45" s="6" t="s">
        <v>107</v>
      </c>
      <c r="D45" s="6" t="s">
        <v>886</v>
      </c>
      <c r="E45" s="6" t="s">
        <v>135</v>
      </c>
      <c r="F45" s="7">
        <v>44776</v>
      </c>
      <c r="G45" s="7">
        <v>44788</v>
      </c>
      <c r="H45" s="6" t="s">
        <v>70</v>
      </c>
      <c r="I45" s="6" t="s">
        <v>22</v>
      </c>
      <c r="J45" s="6" t="s">
        <v>130</v>
      </c>
      <c r="K45" s="7">
        <v>44790</v>
      </c>
      <c r="L45" s="6" t="s">
        <v>24</v>
      </c>
      <c r="M45" t="b">
        <v>0</v>
      </c>
      <c r="N45" t="b">
        <v>1</v>
      </c>
      <c r="O45" t="b">
        <v>1</v>
      </c>
      <c r="P45" t="b">
        <v>0</v>
      </c>
      <c r="Q45">
        <v>44</v>
      </c>
    </row>
    <row r="46" spans="1:17" x14ac:dyDescent="0.35">
      <c r="A46" s="6" t="s">
        <v>136</v>
      </c>
      <c r="B46" s="6" t="s">
        <v>89</v>
      </c>
      <c r="C46" s="6" t="s">
        <v>107</v>
      </c>
      <c r="D46" s="6"/>
      <c r="E46" s="6" t="s">
        <v>137</v>
      </c>
      <c r="F46" s="7">
        <v>44776</v>
      </c>
      <c r="G46" s="7">
        <v>44778</v>
      </c>
      <c r="H46" s="6" t="s">
        <v>70</v>
      </c>
      <c r="I46" s="6" t="s">
        <v>51</v>
      </c>
      <c r="J46" s="6" t="s">
        <v>52</v>
      </c>
      <c r="K46" s="7">
        <v>44782</v>
      </c>
      <c r="L46" s="6" t="s">
        <v>24</v>
      </c>
      <c r="M46" t="b">
        <v>1</v>
      </c>
      <c r="N46" t="b">
        <v>1</v>
      </c>
      <c r="O46" t="b">
        <v>0</v>
      </c>
      <c r="P46" t="b">
        <v>0</v>
      </c>
      <c r="Q46">
        <v>45</v>
      </c>
    </row>
    <row r="47" spans="1:17" x14ac:dyDescent="0.35">
      <c r="A47" s="6" t="s">
        <v>138</v>
      </c>
      <c r="B47" s="6" t="s">
        <v>19</v>
      </c>
      <c r="C47" s="6" t="s">
        <v>66</v>
      </c>
      <c r="D47" s="6" t="s">
        <v>887</v>
      </c>
      <c r="E47" s="6" t="s">
        <v>139</v>
      </c>
      <c r="F47" s="7">
        <v>44776</v>
      </c>
      <c r="G47" s="7">
        <v>44778</v>
      </c>
      <c r="H47" s="6" t="s">
        <v>70</v>
      </c>
      <c r="I47" s="6" t="s">
        <v>28</v>
      </c>
      <c r="J47" s="6" t="s">
        <v>29</v>
      </c>
      <c r="K47" s="7">
        <v>44776</v>
      </c>
      <c r="L47" s="6" t="s">
        <v>24</v>
      </c>
      <c r="M47" t="b">
        <v>1</v>
      </c>
      <c r="N47" t="b">
        <v>1</v>
      </c>
      <c r="O47" t="b">
        <v>0</v>
      </c>
      <c r="P47" t="b">
        <v>0</v>
      </c>
      <c r="Q47">
        <v>46</v>
      </c>
    </row>
    <row r="48" spans="1:17" x14ac:dyDescent="0.35">
      <c r="A48" s="6" t="s">
        <v>140</v>
      </c>
      <c r="B48" s="6" t="s">
        <v>19</v>
      </c>
      <c r="C48" s="6" t="s">
        <v>107</v>
      </c>
      <c r="D48" s="6" t="s">
        <v>888</v>
      </c>
      <c r="E48" s="6" t="s">
        <v>141</v>
      </c>
      <c r="F48" s="7">
        <v>44776</v>
      </c>
      <c r="G48" s="7">
        <v>44777</v>
      </c>
      <c r="H48" s="6" t="s">
        <v>70</v>
      </c>
      <c r="I48" s="6" t="s">
        <v>28</v>
      </c>
      <c r="J48" s="6" t="s">
        <v>29</v>
      </c>
      <c r="K48" s="7">
        <v>44776</v>
      </c>
      <c r="L48" s="6" t="s">
        <v>24</v>
      </c>
      <c r="M48" t="b">
        <v>1</v>
      </c>
      <c r="N48" t="b">
        <v>1</v>
      </c>
      <c r="O48" t="b">
        <v>0</v>
      </c>
      <c r="P48" t="b">
        <v>0</v>
      </c>
      <c r="Q48">
        <v>47</v>
      </c>
    </row>
    <row r="49" spans="1:17" x14ac:dyDescent="0.35">
      <c r="A49" s="6" t="s">
        <v>142</v>
      </c>
      <c r="B49" s="6" t="s">
        <v>19</v>
      </c>
      <c r="C49" s="6" t="s">
        <v>73</v>
      </c>
      <c r="D49" s="6" t="s">
        <v>889</v>
      </c>
      <c r="E49" s="6" t="s">
        <v>143</v>
      </c>
      <c r="F49" s="7">
        <v>44776</v>
      </c>
      <c r="G49" s="7">
        <v>44768</v>
      </c>
      <c r="H49" s="6" t="s">
        <v>70</v>
      </c>
      <c r="I49" s="6" t="s">
        <v>28</v>
      </c>
      <c r="J49" s="6" t="s">
        <v>29</v>
      </c>
      <c r="K49" s="7">
        <v>44776</v>
      </c>
      <c r="L49" s="6" t="s">
        <v>24</v>
      </c>
      <c r="M49" t="b">
        <v>1</v>
      </c>
      <c r="N49" t="b">
        <v>0</v>
      </c>
      <c r="O49" t="b">
        <v>0</v>
      </c>
      <c r="P49" t="b">
        <v>0</v>
      </c>
      <c r="Q49">
        <v>48</v>
      </c>
    </row>
    <row r="50" spans="1:17" x14ac:dyDescent="0.35">
      <c r="A50" s="6" t="s">
        <v>144</v>
      </c>
      <c r="B50" s="6" t="s">
        <v>19</v>
      </c>
      <c r="C50" s="6" t="s">
        <v>705</v>
      </c>
      <c r="D50" s="6" t="s">
        <v>890</v>
      </c>
      <c r="E50" s="6" t="s">
        <v>145</v>
      </c>
      <c r="F50" s="7">
        <v>44775</v>
      </c>
      <c r="G50" s="7">
        <v>44782</v>
      </c>
      <c r="H50" s="6" t="s">
        <v>70</v>
      </c>
      <c r="I50" s="6" t="s">
        <v>57</v>
      </c>
      <c r="J50" s="6" t="s">
        <v>58</v>
      </c>
      <c r="K50" s="7">
        <v>44775</v>
      </c>
      <c r="L50" s="6" t="s">
        <v>24</v>
      </c>
      <c r="M50" t="b">
        <v>1</v>
      </c>
      <c r="N50" t="b">
        <v>0</v>
      </c>
      <c r="O50" t="b">
        <v>0</v>
      </c>
      <c r="P50" t="b">
        <v>0</v>
      </c>
      <c r="Q50">
        <v>49</v>
      </c>
    </row>
    <row r="51" spans="1:17" x14ac:dyDescent="0.35">
      <c r="A51" s="6" t="s">
        <v>146</v>
      </c>
      <c r="B51" s="6" t="s">
        <v>89</v>
      </c>
      <c r="C51" s="6" t="s">
        <v>186</v>
      </c>
      <c r="D51" s="6" t="s">
        <v>891</v>
      </c>
      <c r="E51" s="6" t="s">
        <v>147</v>
      </c>
      <c r="F51" s="7">
        <v>44775</v>
      </c>
      <c r="G51" s="7">
        <v>44782</v>
      </c>
      <c r="H51" s="6" t="s">
        <v>70</v>
      </c>
      <c r="I51" s="6" t="s">
        <v>22</v>
      </c>
      <c r="J51" s="6" t="s">
        <v>23</v>
      </c>
      <c r="K51" s="7">
        <v>44789</v>
      </c>
      <c r="L51" s="6" t="s">
        <v>24</v>
      </c>
      <c r="M51" t="b">
        <v>1</v>
      </c>
      <c r="N51" t="b">
        <v>0</v>
      </c>
      <c r="O51" t="b">
        <v>0</v>
      </c>
      <c r="P51" t="b">
        <v>0</v>
      </c>
      <c r="Q51">
        <v>50</v>
      </c>
    </row>
    <row r="52" spans="1:17" x14ac:dyDescent="0.35">
      <c r="A52" s="6" t="s">
        <v>148</v>
      </c>
      <c r="B52" s="6" t="s">
        <v>19</v>
      </c>
      <c r="C52" s="6" t="s">
        <v>228</v>
      </c>
      <c r="D52" s="6" t="s">
        <v>892</v>
      </c>
      <c r="E52" s="6" t="s">
        <v>149</v>
      </c>
      <c r="F52" s="7">
        <v>44775</v>
      </c>
      <c r="G52" s="7">
        <v>44777</v>
      </c>
      <c r="H52" s="6" t="s">
        <v>70</v>
      </c>
      <c r="I52" s="6" t="s">
        <v>28</v>
      </c>
      <c r="J52" s="6" t="s">
        <v>29</v>
      </c>
      <c r="K52" s="7">
        <v>44775</v>
      </c>
      <c r="L52" s="6" t="s">
        <v>24</v>
      </c>
      <c r="M52" t="b">
        <v>1</v>
      </c>
      <c r="N52" t="b">
        <v>1</v>
      </c>
      <c r="O52" t="b">
        <v>0</v>
      </c>
      <c r="P52" t="b">
        <v>0</v>
      </c>
      <c r="Q52">
        <v>51</v>
      </c>
    </row>
    <row r="53" spans="1:17" x14ac:dyDescent="0.35">
      <c r="A53" s="6" t="s">
        <v>150</v>
      </c>
      <c r="B53" s="6" t="s">
        <v>19</v>
      </c>
      <c r="C53" s="6" t="s">
        <v>228</v>
      </c>
      <c r="D53" s="6" t="s">
        <v>893</v>
      </c>
      <c r="E53" s="6" t="s">
        <v>151</v>
      </c>
      <c r="F53" s="7">
        <v>44775</v>
      </c>
      <c r="G53" s="7">
        <v>44777</v>
      </c>
      <c r="H53" s="6" t="s">
        <v>70</v>
      </c>
      <c r="I53" s="6" t="s">
        <v>111</v>
      </c>
      <c r="J53" s="6" t="s">
        <v>112</v>
      </c>
      <c r="K53" s="7">
        <v>44775</v>
      </c>
      <c r="L53" s="6" t="s">
        <v>24</v>
      </c>
      <c r="M53" t="b">
        <v>1</v>
      </c>
      <c r="N53" t="b">
        <v>1</v>
      </c>
      <c r="O53" t="b">
        <v>0</v>
      </c>
      <c r="P53" t="b">
        <v>0</v>
      </c>
      <c r="Q53">
        <v>52</v>
      </c>
    </row>
    <row r="54" spans="1:17" x14ac:dyDescent="0.35">
      <c r="A54" s="6" t="s">
        <v>152</v>
      </c>
      <c r="B54" s="6" t="s">
        <v>19</v>
      </c>
      <c r="C54" s="6" t="s">
        <v>107</v>
      </c>
      <c r="D54" s="6" t="s">
        <v>881</v>
      </c>
      <c r="E54" s="6" t="s">
        <v>153</v>
      </c>
      <c r="F54" s="7">
        <v>44775</v>
      </c>
      <c r="G54" s="7">
        <v>44782</v>
      </c>
      <c r="H54" s="6" t="s">
        <v>70</v>
      </c>
      <c r="I54" s="6" t="s">
        <v>57</v>
      </c>
      <c r="J54" s="6" t="s">
        <v>58</v>
      </c>
      <c r="K54" s="7">
        <v>44775</v>
      </c>
      <c r="L54" s="6" t="s">
        <v>24</v>
      </c>
      <c r="M54" t="b">
        <v>1</v>
      </c>
      <c r="N54" t="b">
        <v>0</v>
      </c>
      <c r="O54" t="b">
        <v>0</v>
      </c>
      <c r="P54" t="b">
        <v>0</v>
      </c>
      <c r="Q54">
        <v>53</v>
      </c>
    </row>
    <row r="55" spans="1:17" x14ac:dyDescent="0.35">
      <c r="A55" s="6" t="s">
        <v>154</v>
      </c>
      <c r="B55" s="6" t="s">
        <v>19</v>
      </c>
      <c r="C55" s="6" t="s">
        <v>107</v>
      </c>
      <c r="D55" s="6" t="s">
        <v>894</v>
      </c>
      <c r="E55" s="6" t="s">
        <v>155</v>
      </c>
      <c r="F55" s="7">
        <v>44775</v>
      </c>
      <c r="G55" s="7">
        <v>44787</v>
      </c>
      <c r="H55" s="6" t="s">
        <v>70</v>
      </c>
      <c r="I55" s="6" t="s">
        <v>34</v>
      </c>
      <c r="J55" s="6" t="s">
        <v>35</v>
      </c>
      <c r="K55" s="7">
        <v>44775</v>
      </c>
      <c r="L55" s="6" t="s">
        <v>24</v>
      </c>
      <c r="M55" t="b">
        <v>1</v>
      </c>
      <c r="N55" t="b">
        <v>1</v>
      </c>
      <c r="O55" t="b">
        <v>0</v>
      </c>
      <c r="P55" t="b">
        <v>0</v>
      </c>
      <c r="Q55">
        <v>54</v>
      </c>
    </row>
    <row r="56" spans="1:17" x14ac:dyDescent="0.35">
      <c r="A56" s="6" t="s">
        <v>156</v>
      </c>
      <c r="B56" s="6" t="s">
        <v>19</v>
      </c>
      <c r="C56" s="6" t="s">
        <v>157</v>
      </c>
      <c r="D56" s="6"/>
      <c r="E56" s="6" t="s">
        <v>158</v>
      </c>
      <c r="F56" s="7">
        <v>44775</v>
      </c>
      <c r="G56" s="7">
        <v>44782</v>
      </c>
      <c r="H56" s="6" t="s">
        <v>70</v>
      </c>
      <c r="I56" s="6" t="s">
        <v>44</v>
      </c>
      <c r="J56" s="6" t="s">
        <v>45</v>
      </c>
      <c r="K56" s="7">
        <v>44775</v>
      </c>
      <c r="L56" s="6" t="s">
        <v>24</v>
      </c>
      <c r="M56" t="b">
        <v>1</v>
      </c>
      <c r="N56" t="b">
        <v>0</v>
      </c>
      <c r="O56" t="b">
        <v>0</v>
      </c>
      <c r="P56" t="b">
        <v>0</v>
      </c>
      <c r="Q56">
        <v>55</v>
      </c>
    </row>
    <row r="57" spans="1:17" x14ac:dyDescent="0.35">
      <c r="A57" s="6" t="s">
        <v>159</v>
      </c>
      <c r="B57" s="6" t="s">
        <v>19</v>
      </c>
      <c r="C57" s="6" t="s">
        <v>107</v>
      </c>
      <c r="D57" s="6"/>
      <c r="E57" s="6" t="s">
        <v>160</v>
      </c>
      <c r="F57" s="7">
        <v>44775</v>
      </c>
      <c r="G57" s="7">
        <v>44786</v>
      </c>
      <c r="H57" s="6" t="s">
        <v>70</v>
      </c>
      <c r="I57" s="6" t="s">
        <v>161</v>
      </c>
      <c r="J57" s="6" t="s">
        <v>162</v>
      </c>
      <c r="K57" s="7">
        <v>44775</v>
      </c>
      <c r="L57" s="6" t="s">
        <v>24</v>
      </c>
      <c r="M57" t="b">
        <v>1</v>
      </c>
      <c r="N57" t="b">
        <v>0</v>
      </c>
      <c r="O57" t="b">
        <v>0</v>
      </c>
      <c r="P57" t="b">
        <v>0</v>
      </c>
      <c r="Q57">
        <v>56</v>
      </c>
    </row>
    <row r="58" spans="1:17" x14ac:dyDescent="0.35">
      <c r="A58" s="6" t="s">
        <v>163</v>
      </c>
      <c r="B58" s="6" t="s">
        <v>89</v>
      </c>
      <c r="C58" s="6" t="s">
        <v>107</v>
      </c>
      <c r="D58" s="6"/>
      <c r="E58" s="6" t="s">
        <v>164</v>
      </c>
      <c r="F58" s="7">
        <v>44775</v>
      </c>
      <c r="G58" s="7">
        <v>44777</v>
      </c>
      <c r="H58" s="6" t="s">
        <v>70</v>
      </c>
      <c r="I58" s="6" t="s">
        <v>22</v>
      </c>
      <c r="J58" s="6" t="s">
        <v>130</v>
      </c>
      <c r="K58" s="7">
        <v>44777</v>
      </c>
      <c r="L58" s="6" t="s">
        <v>24</v>
      </c>
      <c r="M58" t="b">
        <v>1</v>
      </c>
      <c r="N58" t="b">
        <v>1</v>
      </c>
      <c r="O58" t="b">
        <v>0</v>
      </c>
      <c r="P58" t="b">
        <v>0</v>
      </c>
      <c r="Q58">
        <v>57</v>
      </c>
    </row>
    <row r="59" spans="1:17" x14ac:dyDescent="0.35">
      <c r="A59" s="6" t="s">
        <v>165</v>
      </c>
      <c r="B59" s="6" t="s">
        <v>89</v>
      </c>
      <c r="C59" s="6" t="s">
        <v>107</v>
      </c>
      <c r="D59" s="6"/>
      <c r="E59" s="6" t="s">
        <v>166</v>
      </c>
      <c r="F59" s="7">
        <v>44775</v>
      </c>
      <c r="G59" s="7">
        <v>44776</v>
      </c>
      <c r="H59" s="6" t="s">
        <v>27</v>
      </c>
      <c r="I59" s="6" t="s">
        <v>44</v>
      </c>
      <c r="J59" s="6" t="s">
        <v>45</v>
      </c>
      <c r="K59" s="7">
        <v>44777</v>
      </c>
      <c r="L59" s="6" t="s">
        <v>24</v>
      </c>
      <c r="M59" t="b">
        <v>1</v>
      </c>
      <c r="N59" t="b">
        <v>1</v>
      </c>
      <c r="O59" t="b">
        <v>1</v>
      </c>
      <c r="P59" t="b">
        <v>0</v>
      </c>
      <c r="Q59">
        <v>58</v>
      </c>
    </row>
    <row r="60" spans="1:17" x14ac:dyDescent="0.35">
      <c r="A60" s="6" t="s">
        <v>167</v>
      </c>
      <c r="B60" s="6" t="s">
        <v>19</v>
      </c>
      <c r="C60" s="6" t="s">
        <v>228</v>
      </c>
      <c r="D60" s="6" t="s">
        <v>885</v>
      </c>
      <c r="E60" s="6" t="s">
        <v>168</v>
      </c>
      <c r="F60" s="7">
        <v>44775</v>
      </c>
      <c r="G60" s="7">
        <v>44782</v>
      </c>
      <c r="H60" s="6" t="s">
        <v>70</v>
      </c>
      <c r="I60" s="6" t="s">
        <v>51</v>
      </c>
      <c r="J60" s="6" t="s">
        <v>52</v>
      </c>
      <c r="K60" s="7">
        <v>44775</v>
      </c>
      <c r="L60" s="6" t="s">
        <v>24</v>
      </c>
      <c r="M60" t="b">
        <v>1</v>
      </c>
      <c r="N60" t="b">
        <v>1</v>
      </c>
      <c r="O60" t="b">
        <v>0</v>
      </c>
      <c r="P60" t="b">
        <v>0</v>
      </c>
      <c r="Q60">
        <v>59</v>
      </c>
    </row>
    <row r="61" spans="1:17" x14ac:dyDescent="0.35">
      <c r="A61" s="6" t="s">
        <v>169</v>
      </c>
      <c r="B61" s="6" t="s">
        <v>134</v>
      </c>
      <c r="C61" s="6" t="s">
        <v>107</v>
      </c>
      <c r="D61" s="6" t="s">
        <v>895</v>
      </c>
      <c r="E61" s="6" t="s">
        <v>170</v>
      </c>
      <c r="F61" s="7">
        <v>44768</v>
      </c>
      <c r="G61" s="7">
        <v>44764</v>
      </c>
      <c r="H61" s="6" t="s">
        <v>70</v>
      </c>
      <c r="I61" s="6" t="s">
        <v>34</v>
      </c>
      <c r="J61" s="6" t="s">
        <v>117</v>
      </c>
      <c r="K61" s="7">
        <v>44768</v>
      </c>
      <c r="L61" s="6" t="s">
        <v>24</v>
      </c>
      <c r="M61" t="b">
        <v>0</v>
      </c>
      <c r="N61" t="b">
        <v>0</v>
      </c>
      <c r="O61" t="b">
        <v>0</v>
      </c>
      <c r="P61" t="b">
        <v>0</v>
      </c>
      <c r="Q61">
        <v>60</v>
      </c>
    </row>
    <row r="62" spans="1:17" x14ac:dyDescent="0.35">
      <c r="A62" s="6" t="s">
        <v>171</v>
      </c>
      <c r="B62" s="6" t="s">
        <v>19</v>
      </c>
      <c r="C62" s="6" t="s">
        <v>107</v>
      </c>
      <c r="D62" s="6"/>
      <c r="E62" s="6" t="s">
        <v>172</v>
      </c>
      <c r="F62" s="7">
        <v>44764</v>
      </c>
      <c r="G62" s="7">
        <v>44769</v>
      </c>
      <c r="H62" s="6" t="s">
        <v>70</v>
      </c>
      <c r="I62" s="6" t="s">
        <v>57</v>
      </c>
      <c r="J62" s="6" t="s">
        <v>58</v>
      </c>
      <c r="K62" s="7">
        <v>44790</v>
      </c>
      <c r="L62" s="6" t="s">
        <v>24</v>
      </c>
      <c r="M62" t="b">
        <v>1</v>
      </c>
      <c r="N62" t="b">
        <v>1</v>
      </c>
      <c r="O62" t="b">
        <v>1</v>
      </c>
      <c r="P62" t="b">
        <v>0</v>
      </c>
      <c r="Q62">
        <v>61</v>
      </c>
    </row>
    <row r="63" spans="1:17" x14ac:dyDescent="0.35">
      <c r="A63" s="6" t="s">
        <v>173</v>
      </c>
      <c r="B63" s="6" t="s">
        <v>19</v>
      </c>
      <c r="C63" s="6" t="s">
        <v>102</v>
      </c>
      <c r="D63" s="6" t="s">
        <v>883</v>
      </c>
      <c r="E63" s="6" t="s">
        <v>174</v>
      </c>
      <c r="F63" s="7">
        <v>44754</v>
      </c>
      <c r="G63" s="7">
        <v>44761</v>
      </c>
      <c r="H63" s="6" t="s">
        <v>70</v>
      </c>
      <c r="I63" s="6" t="s">
        <v>28</v>
      </c>
      <c r="J63" s="6" t="s">
        <v>29</v>
      </c>
      <c r="K63" s="7">
        <v>44754</v>
      </c>
      <c r="L63" s="6" t="s">
        <v>24</v>
      </c>
      <c r="M63" t="b">
        <v>1</v>
      </c>
      <c r="N63" t="b">
        <v>1</v>
      </c>
      <c r="O63" t="b">
        <v>0</v>
      </c>
      <c r="P63" t="b">
        <v>0</v>
      </c>
      <c r="Q63">
        <v>62</v>
      </c>
    </row>
    <row r="64" spans="1:17" x14ac:dyDescent="0.35">
      <c r="A64" s="6" t="s">
        <v>175</v>
      </c>
      <c r="B64" s="6" t="s">
        <v>19</v>
      </c>
      <c r="C64" s="6" t="s">
        <v>102</v>
      </c>
      <c r="D64" s="6" t="s">
        <v>896</v>
      </c>
      <c r="E64" s="6" t="s">
        <v>176</v>
      </c>
      <c r="F64" s="7">
        <v>44754</v>
      </c>
      <c r="G64" s="7">
        <v>44756</v>
      </c>
      <c r="H64" s="6" t="s">
        <v>70</v>
      </c>
      <c r="I64" s="6" t="s">
        <v>161</v>
      </c>
      <c r="J64" s="6" t="s">
        <v>162</v>
      </c>
      <c r="K64" s="7">
        <v>44754</v>
      </c>
      <c r="L64" s="6" t="s">
        <v>24</v>
      </c>
      <c r="M64" t="b">
        <v>1</v>
      </c>
      <c r="N64" t="b">
        <v>1</v>
      </c>
      <c r="O64" t="b">
        <v>0</v>
      </c>
      <c r="P64" t="b">
        <v>0</v>
      </c>
      <c r="Q64">
        <v>63</v>
      </c>
    </row>
    <row r="65" spans="1:17" x14ac:dyDescent="0.35">
      <c r="A65" s="6" t="s">
        <v>177</v>
      </c>
      <c r="B65" s="6" t="s">
        <v>89</v>
      </c>
      <c r="C65" s="6" t="s">
        <v>102</v>
      </c>
      <c r="D65" s="6" t="s">
        <v>897</v>
      </c>
      <c r="E65" s="6" t="s">
        <v>178</v>
      </c>
      <c r="F65" s="7">
        <v>44754</v>
      </c>
      <c r="G65" s="7">
        <v>44756</v>
      </c>
      <c r="H65" s="6" t="s">
        <v>70</v>
      </c>
      <c r="I65" s="6" t="s">
        <v>34</v>
      </c>
      <c r="J65" s="6" t="s">
        <v>35</v>
      </c>
      <c r="K65" s="7">
        <v>44782</v>
      </c>
      <c r="L65" s="6" t="s">
        <v>24</v>
      </c>
      <c r="M65" t="b">
        <v>1</v>
      </c>
      <c r="N65" t="b">
        <v>1</v>
      </c>
      <c r="O65" t="b">
        <v>0</v>
      </c>
      <c r="P65" t="b">
        <v>0</v>
      </c>
      <c r="Q65">
        <v>64</v>
      </c>
    </row>
    <row r="66" spans="1:17" x14ac:dyDescent="0.35">
      <c r="A66" s="6" t="s">
        <v>179</v>
      </c>
      <c r="B66" s="6" t="s">
        <v>89</v>
      </c>
      <c r="C66" s="6" t="s">
        <v>186</v>
      </c>
      <c r="D66" s="6" t="s">
        <v>898</v>
      </c>
      <c r="E66" s="6" t="s">
        <v>180</v>
      </c>
      <c r="F66" s="7">
        <v>44754</v>
      </c>
      <c r="G66" s="7">
        <v>44755</v>
      </c>
      <c r="H66" s="6" t="s">
        <v>70</v>
      </c>
      <c r="I66" s="6" t="s">
        <v>34</v>
      </c>
      <c r="J66" s="6" t="s">
        <v>35</v>
      </c>
      <c r="K66" s="7">
        <v>44776</v>
      </c>
      <c r="L66" s="6" t="s">
        <v>24</v>
      </c>
      <c r="M66" t="b">
        <v>1</v>
      </c>
      <c r="N66" t="b">
        <v>1</v>
      </c>
      <c r="O66" t="b">
        <v>0</v>
      </c>
      <c r="P66" t="b">
        <v>0</v>
      </c>
      <c r="Q66">
        <v>65</v>
      </c>
    </row>
    <row r="67" spans="1:17" x14ac:dyDescent="0.35">
      <c r="A67" s="6" t="s">
        <v>181</v>
      </c>
      <c r="B67" s="6" t="s">
        <v>89</v>
      </c>
      <c r="C67" s="6" t="s">
        <v>186</v>
      </c>
      <c r="D67" s="6" t="s">
        <v>899</v>
      </c>
      <c r="E67" s="6" t="s">
        <v>180</v>
      </c>
      <c r="F67" s="7">
        <v>44754</v>
      </c>
      <c r="G67" s="7">
        <v>44755</v>
      </c>
      <c r="H67" s="6" t="s">
        <v>70</v>
      </c>
      <c r="I67" s="6" t="s">
        <v>34</v>
      </c>
      <c r="J67" s="6" t="s">
        <v>35</v>
      </c>
      <c r="K67" s="7">
        <v>44776</v>
      </c>
      <c r="L67" s="6" t="s">
        <v>24</v>
      </c>
      <c r="M67" t="b">
        <v>1</v>
      </c>
      <c r="N67" t="b">
        <v>1</v>
      </c>
      <c r="O67" t="b">
        <v>0</v>
      </c>
      <c r="P67" t="b">
        <v>0</v>
      </c>
      <c r="Q67">
        <v>66</v>
      </c>
    </row>
    <row r="68" spans="1:17" x14ac:dyDescent="0.35">
      <c r="A68" s="6" t="s">
        <v>182</v>
      </c>
      <c r="B68" s="6" t="s">
        <v>19</v>
      </c>
      <c r="C68" s="6" t="s">
        <v>102</v>
      </c>
      <c r="D68" s="6"/>
      <c r="E68" s="6" t="s">
        <v>183</v>
      </c>
      <c r="F68" s="7">
        <v>44749</v>
      </c>
      <c r="G68" s="7">
        <v>44756</v>
      </c>
      <c r="H68" s="6" t="s">
        <v>27</v>
      </c>
      <c r="I68" s="6" t="s">
        <v>91</v>
      </c>
      <c r="J68" s="6" t="s">
        <v>184</v>
      </c>
      <c r="K68" s="7">
        <v>44749</v>
      </c>
      <c r="L68" s="6" t="s">
        <v>24</v>
      </c>
      <c r="M68" t="b">
        <v>1</v>
      </c>
      <c r="N68" t="b">
        <v>1</v>
      </c>
      <c r="Q68">
        <v>67</v>
      </c>
    </row>
    <row r="69" spans="1:17" x14ac:dyDescent="0.35">
      <c r="A69" s="6" t="s">
        <v>185</v>
      </c>
      <c r="B69" s="6" t="s">
        <v>19</v>
      </c>
      <c r="C69" s="6" t="s">
        <v>186</v>
      </c>
      <c r="D69" s="6"/>
      <c r="E69" s="6" t="s">
        <v>187</v>
      </c>
      <c r="F69" s="7">
        <v>44749</v>
      </c>
      <c r="G69" s="7">
        <v>44756</v>
      </c>
      <c r="H69" s="6" t="s">
        <v>27</v>
      </c>
      <c r="I69" s="6" t="s">
        <v>91</v>
      </c>
      <c r="J69" s="6" t="s">
        <v>184</v>
      </c>
      <c r="K69" s="7">
        <v>44749</v>
      </c>
      <c r="L69" s="6" t="s">
        <v>24</v>
      </c>
      <c r="M69" t="b">
        <v>1</v>
      </c>
      <c r="N69" t="b">
        <v>1</v>
      </c>
      <c r="Q69">
        <v>68</v>
      </c>
    </row>
    <row r="70" spans="1:17" x14ac:dyDescent="0.35">
      <c r="A70" s="6" t="s">
        <v>188</v>
      </c>
      <c r="B70" s="6" t="s">
        <v>19</v>
      </c>
      <c r="C70" s="6" t="s">
        <v>189</v>
      </c>
      <c r="D70" s="6"/>
      <c r="E70" s="6" t="s">
        <v>190</v>
      </c>
      <c r="F70" s="7">
        <v>44749</v>
      </c>
      <c r="G70" s="7">
        <v>44756</v>
      </c>
      <c r="H70" s="6" t="s">
        <v>27</v>
      </c>
      <c r="I70" s="6" t="s">
        <v>91</v>
      </c>
      <c r="J70" s="6" t="s">
        <v>184</v>
      </c>
      <c r="K70" s="7">
        <v>44749</v>
      </c>
      <c r="L70" s="6" t="s">
        <v>24</v>
      </c>
      <c r="M70" t="b">
        <v>1</v>
      </c>
      <c r="N70" t="b">
        <v>1</v>
      </c>
      <c r="Q70">
        <v>69</v>
      </c>
    </row>
    <row r="71" spans="1:17" x14ac:dyDescent="0.35">
      <c r="A71" s="6" t="s">
        <v>191</v>
      </c>
      <c r="B71" s="6" t="s">
        <v>19</v>
      </c>
      <c r="C71" s="6" t="s">
        <v>189</v>
      </c>
      <c r="D71" s="6"/>
      <c r="E71" s="6" t="s">
        <v>192</v>
      </c>
      <c r="F71" s="7">
        <v>44749</v>
      </c>
      <c r="G71" s="7">
        <v>44756</v>
      </c>
      <c r="H71" s="6" t="s">
        <v>27</v>
      </c>
      <c r="I71" s="6" t="s">
        <v>91</v>
      </c>
      <c r="J71" s="6" t="s">
        <v>184</v>
      </c>
      <c r="K71" s="7">
        <v>44749</v>
      </c>
      <c r="L71" s="6" t="s">
        <v>24</v>
      </c>
      <c r="M71" t="b">
        <v>1</v>
      </c>
      <c r="N71" t="b">
        <v>1</v>
      </c>
      <c r="Q71">
        <v>70</v>
      </c>
    </row>
    <row r="72" spans="1:17" x14ac:dyDescent="0.35">
      <c r="A72" s="6" t="s">
        <v>193</v>
      </c>
      <c r="B72" s="6" t="s">
        <v>19</v>
      </c>
      <c r="C72" s="6" t="s">
        <v>189</v>
      </c>
      <c r="D72" s="6" t="s">
        <v>900</v>
      </c>
      <c r="E72" s="6" t="s">
        <v>194</v>
      </c>
      <c r="F72" s="7">
        <v>44740</v>
      </c>
      <c r="G72" s="7">
        <v>44750</v>
      </c>
      <c r="H72" s="6" t="s">
        <v>70</v>
      </c>
      <c r="I72" s="6" t="s">
        <v>195</v>
      </c>
      <c r="J72" s="6" t="s">
        <v>196</v>
      </c>
      <c r="K72" s="7">
        <v>44740</v>
      </c>
      <c r="L72" s="6" t="s">
        <v>24</v>
      </c>
      <c r="M72" t="b">
        <v>1</v>
      </c>
      <c r="N72" t="b">
        <v>1</v>
      </c>
      <c r="O72" t="b">
        <v>0</v>
      </c>
      <c r="P72" t="b">
        <v>0</v>
      </c>
      <c r="Q72">
        <v>71</v>
      </c>
    </row>
    <row r="73" spans="1:17" x14ac:dyDescent="0.35">
      <c r="A73" s="6" t="s">
        <v>197</v>
      </c>
      <c r="B73" s="6" t="s">
        <v>19</v>
      </c>
      <c r="C73" s="6" t="s">
        <v>102</v>
      </c>
      <c r="D73" s="6" t="s">
        <v>901</v>
      </c>
      <c r="E73" s="6" t="s">
        <v>198</v>
      </c>
      <c r="F73" s="7">
        <v>44740</v>
      </c>
      <c r="G73" s="7">
        <v>44747</v>
      </c>
      <c r="H73" s="6" t="s">
        <v>70</v>
      </c>
      <c r="I73" s="6" t="s">
        <v>22</v>
      </c>
      <c r="J73" s="6" t="s">
        <v>23</v>
      </c>
      <c r="K73" s="7">
        <v>44740</v>
      </c>
      <c r="L73" s="6" t="s">
        <v>24</v>
      </c>
      <c r="M73" t="b">
        <v>1</v>
      </c>
      <c r="N73" t="b">
        <v>0</v>
      </c>
      <c r="O73" t="b">
        <v>0</v>
      </c>
      <c r="P73" t="b">
        <v>0</v>
      </c>
      <c r="Q73">
        <v>72</v>
      </c>
    </row>
    <row r="74" spans="1:17" x14ac:dyDescent="0.35">
      <c r="A74" s="6" t="s">
        <v>199</v>
      </c>
      <c r="B74" s="6" t="s">
        <v>134</v>
      </c>
      <c r="C74" s="6" t="s">
        <v>107</v>
      </c>
      <c r="D74" s="6" t="s">
        <v>902</v>
      </c>
      <c r="E74" s="6" t="s">
        <v>200</v>
      </c>
      <c r="F74" s="7">
        <v>44727</v>
      </c>
      <c r="G74" s="7">
        <v>44732</v>
      </c>
      <c r="H74" s="6" t="s">
        <v>70</v>
      </c>
      <c r="I74" s="6" t="s">
        <v>57</v>
      </c>
      <c r="J74" s="6" t="s">
        <v>58</v>
      </c>
      <c r="K74" s="7">
        <v>44754</v>
      </c>
      <c r="L74" s="6" t="s">
        <v>24</v>
      </c>
      <c r="M74" t="b">
        <v>0</v>
      </c>
      <c r="N74" t="b">
        <v>1</v>
      </c>
      <c r="O74" t="b">
        <v>0</v>
      </c>
      <c r="P74" t="b">
        <v>0</v>
      </c>
      <c r="Q74">
        <v>73</v>
      </c>
    </row>
    <row r="75" spans="1:17" x14ac:dyDescent="0.35">
      <c r="A75" s="6" t="s">
        <v>201</v>
      </c>
      <c r="B75" s="6" t="s">
        <v>19</v>
      </c>
      <c r="C75" s="6" t="s">
        <v>107</v>
      </c>
      <c r="D75" s="6"/>
      <c r="E75" s="6" t="s">
        <v>202</v>
      </c>
      <c r="F75" s="7">
        <v>44718</v>
      </c>
      <c r="G75" s="7">
        <v>44725</v>
      </c>
      <c r="H75" s="6" t="s">
        <v>27</v>
      </c>
      <c r="I75" s="6" t="s">
        <v>51</v>
      </c>
      <c r="J75" s="6" t="s">
        <v>52</v>
      </c>
      <c r="K75" s="7">
        <v>44718</v>
      </c>
      <c r="L75" s="6" t="s">
        <v>24</v>
      </c>
      <c r="M75" t="b">
        <v>1</v>
      </c>
      <c r="Q75">
        <v>74</v>
      </c>
    </row>
    <row r="76" spans="1:17" x14ac:dyDescent="0.35">
      <c r="A76" s="6" t="s">
        <v>203</v>
      </c>
      <c r="B76" s="6" t="s">
        <v>134</v>
      </c>
      <c r="C76" s="6" t="s">
        <v>107</v>
      </c>
      <c r="D76" s="6" t="s">
        <v>903</v>
      </c>
      <c r="E76" s="6" t="s">
        <v>204</v>
      </c>
      <c r="F76" s="7">
        <v>44718</v>
      </c>
      <c r="G76" s="7">
        <v>44720</v>
      </c>
      <c r="H76" s="6" t="s">
        <v>70</v>
      </c>
      <c r="I76" s="6" t="s">
        <v>51</v>
      </c>
      <c r="J76" s="6" t="s">
        <v>52</v>
      </c>
      <c r="K76" s="7">
        <v>44754</v>
      </c>
      <c r="L76" s="6" t="s">
        <v>24</v>
      </c>
      <c r="M76" t="b">
        <v>0</v>
      </c>
      <c r="N76" t="b">
        <v>1</v>
      </c>
      <c r="O76" t="b">
        <v>0</v>
      </c>
      <c r="P76" t="b">
        <v>0</v>
      </c>
      <c r="Q76">
        <v>75</v>
      </c>
    </row>
    <row r="77" spans="1:17" x14ac:dyDescent="0.35">
      <c r="A77" s="6" t="s">
        <v>205</v>
      </c>
      <c r="B77" s="6" t="s">
        <v>19</v>
      </c>
      <c r="C77" s="6" t="s">
        <v>107</v>
      </c>
      <c r="D77" s="6" t="s">
        <v>904</v>
      </c>
      <c r="E77" s="6" t="s">
        <v>206</v>
      </c>
      <c r="F77" s="7">
        <v>44718</v>
      </c>
      <c r="G77" s="7">
        <v>44721</v>
      </c>
      <c r="H77" s="6" t="s">
        <v>70</v>
      </c>
      <c r="I77" s="6" t="s">
        <v>51</v>
      </c>
      <c r="J77" s="6" t="s">
        <v>52</v>
      </c>
      <c r="K77" s="7">
        <v>44718</v>
      </c>
      <c r="L77" s="6" t="s">
        <v>24</v>
      </c>
      <c r="M77" t="b">
        <v>1</v>
      </c>
      <c r="N77" t="b">
        <v>1</v>
      </c>
      <c r="O77" t="b">
        <v>0</v>
      </c>
      <c r="P77" t="b">
        <v>0</v>
      </c>
      <c r="Q77">
        <v>76</v>
      </c>
    </row>
    <row r="78" spans="1:17" x14ac:dyDescent="0.35">
      <c r="A78" s="6" t="s">
        <v>207</v>
      </c>
      <c r="B78" s="6" t="s">
        <v>134</v>
      </c>
      <c r="C78" s="6" t="s">
        <v>107</v>
      </c>
      <c r="D78" s="6"/>
      <c r="E78" s="6" t="s">
        <v>208</v>
      </c>
      <c r="F78" s="7">
        <v>44718</v>
      </c>
      <c r="G78" s="7">
        <v>44719</v>
      </c>
      <c r="H78" s="6" t="s">
        <v>70</v>
      </c>
      <c r="I78" s="6" t="s">
        <v>57</v>
      </c>
      <c r="J78" s="6" t="s">
        <v>58</v>
      </c>
      <c r="K78" s="7">
        <v>44754</v>
      </c>
      <c r="L78" s="6" t="s">
        <v>24</v>
      </c>
      <c r="M78" t="b">
        <v>0</v>
      </c>
      <c r="N78" t="b">
        <v>1</v>
      </c>
      <c r="O78" t="b">
        <v>1</v>
      </c>
      <c r="P78" t="b">
        <v>0</v>
      </c>
      <c r="Q78">
        <v>77</v>
      </c>
    </row>
    <row r="79" spans="1:17" x14ac:dyDescent="0.35">
      <c r="A79" s="6" t="s">
        <v>209</v>
      </c>
      <c r="B79" s="6" t="s">
        <v>134</v>
      </c>
      <c r="C79" s="6" t="s">
        <v>107</v>
      </c>
      <c r="D79" s="6" t="s">
        <v>905</v>
      </c>
      <c r="E79" s="6" t="s">
        <v>210</v>
      </c>
      <c r="F79" s="7">
        <v>44705</v>
      </c>
      <c r="G79" s="7">
        <v>44705</v>
      </c>
      <c r="H79" s="6" t="s">
        <v>70</v>
      </c>
      <c r="I79" s="6" t="s">
        <v>34</v>
      </c>
      <c r="J79" s="6" t="s">
        <v>117</v>
      </c>
      <c r="K79" s="7">
        <v>44754</v>
      </c>
      <c r="L79" s="6" t="s">
        <v>24</v>
      </c>
      <c r="M79" t="b">
        <v>0</v>
      </c>
      <c r="N79" t="b">
        <v>1</v>
      </c>
      <c r="O79" t="b">
        <v>0</v>
      </c>
      <c r="P79" t="b">
        <v>0</v>
      </c>
      <c r="Q79">
        <v>78</v>
      </c>
    </row>
    <row r="80" spans="1:17" x14ac:dyDescent="0.35">
      <c r="A80" s="6" t="s">
        <v>211</v>
      </c>
      <c r="B80" s="6" t="s">
        <v>19</v>
      </c>
      <c r="C80" s="6" t="s">
        <v>186</v>
      </c>
      <c r="D80" s="6" t="s">
        <v>906</v>
      </c>
      <c r="E80" s="6" t="s">
        <v>212</v>
      </c>
      <c r="F80" s="7">
        <v>44705</v>
      </c>
      <c r="G80" s="7">
        <v>44712</v>
      </c>
      <c r="H80" s="6" t="s">
        <v>70</v>
      </c>
      <c r="I80" s="6" t="s">
        <v>28</v>
      </c>
      <c r="J80" s="6" t="s">
        <v>29</v>
      </c>
      <c r="K80" s="7">
        <v>44705</v>
      </c>
      <c r="L80" s="6" t="s">
        <v>24</v>
      </c>
      <c r="M80" t="b">
        <v>1</v>
      </c>
      <c r="N80" t="b">
        <v>1</v>
      </c>
      <c r="O80" t="b">
        <v>0</v>
      </c>
      <c r="P80" t="b">
        <v>0</v>
      </c>
      <c r="Q80">
        <v>79</v>
      </c>
    </row>
    <row r="81" spans="1:17" x14ac:dyDescent="0.35">
      <c r="A81" s="6" t="s">
        <v>213</v>
      </c>
      <c r="B81" s="6" t="s">
        <v>19</v>
      </c>
      <c r="C81" s="6" t="s">
        <v>107</v>
      </c>
      <c r="D81" s="6" t="s">
        <v>867</v>
      </c>
      <c r="E81" s="6" t="s">
        <v>214</v>
      </c>
      <c r="F81" s="7">
        <v>44701</v>
      </c>
      <c r="G81" s="7">
        <v>44704</v>
      </c>
      <c r="H81" s="6" t="s">
        <v>70</v>
      </c>
      <c r="I81" s="6" t="s">
        <v>28</v>
      </c>
      <c r="J81" s="6" t="s">
        <v>29</v>
      </c>
      <c r="K81" s="7">
        <v>44701</v>
      </c>
      <c r="L81" s="6" t="s">
        <v>24</v>
      </c>
      <c r="M81" t="b">
        <v>1</v>
      </c>
      <c r="N81" t="b">
        <v>1</v>
      </c>
      <c r="O81" t="b">
        <v>0</v>
      </c>
      <c r="P81" t="b">
        <v>0</v>
      </c>
      <c r="Q81">
        <v>80</v>
      </c>
    </row>
    <row r="82" spans="1:17" x14ac:dyDescent="0.35">
      <c r="A82" s="6" t="s">
        <v>215</v>
      </c>
      <c r="B82" s="6" t="s">
        <v>89</v>
      </c>
      <c r="C82" s="6" t="s">
        <v>705</v>
      </c>
      <c r="D82" s="6" t="s">
        <v>890</v>
      </c>
      <c r="E82" s="6" t="s">
        <v>216</v>
      </c>
      <c r="F82" s="7">
        <v>44700</v>
      </c>
      <c r="G82" s="7">
        <v>44707</v>
      </c>
      <c r="H82" s="6" t="s">
        <v>70</v>
      </c>
      <c r="I82" s="6" t="s">
        <v>51</v>
      </c>
      <c r="J82" s="6" t="s">
        <v>52</v>
      </c>
      <c r="K82" s="7">
        <v>44776</v>
      </c>
      <c r="L82" s="6" t="s">
        <v>24</v>
      </c>
      <c r="M82" t="b">
        <v>1</v>
      </c>
      <c r="N82" t="b">
        <v>0</v>
      </c>
      <c r="O82" t="b">
        <v>0</v>
      </c>
      <c r="P82" t="b">
        <v>0</v>
      </c>
      <c r="Q82">
        <v>81</v>
      </c>
    </row>
    <row r="83" spans="1:17" x14ac:dyDescent="0.35">
      <c r="A83" s="6" t="s">
        <v>217</v>
      </c>
      <c r="B83" s="6" t="s">
        <v>89</v>
      </c>
      <c r="C83" s="6" t="s">
        <v>705</v>
      </c>
      <c r="D83" s="6" t="s">
        <v>890</v>
      </c>
      <c r="E83" s="6" t="s">
        <v>218</v>
      </c>
      <c r="F83" s="7">
        <v>44700</v>
      </c>
      <c r="G83" s="7">
        <v>44707</v>
      </c>
      <c r="H83" s="6" t="s">
        <v>70</v>
      </c>
      <c r="I83" s="6" t="s">
        <v>51</v>
      </c>
      <c r="J83" s="6" t="s">
        <v>52</v>
      </c>
      <c r="K83" s="7">
        <v>44776</v>
      </c>
      <c r="L83" s="6" t="s">
        <v>24</v>
      </c>
      <c r="M83" t="b">
        <v>1</v>
      </c>
      <c r="N83" t="b">
        <v>1</v>
      </c>
      <c r="O83" t="b">
        <v>0</v>
      </c>
      <c r="P83" t="b">
        <v>0</v>
      </c>
      <c r="Q83">
        <v>82</v>
      </c>
    </row>
    <row r="84" spans="1:17" x14ac:dyDescent="0.35">
      <c r="A84" s="6" t="s">
        <v>219</v>
      </c>
      <c r="B84" s="6" t="s">
        <v>19</v>
      </c>
      <c r="C84" s="6" t="s">
        <v>189</v>
      </c>
      <c r="D84" s="6" t="s">
        <v>882</v>
      </c>
      <c r="E84" s="6" t="s">
        <v>220</v>
      </c>
      <c r="F84" s="7">
        <v>44698</v>
      </c>
      <c r="G84" s="7">
        <v>44699</v>
      </c>
      <c r="H84" s="6" t="s">
        <v>70</v>
      </c>
      <c r="I84" s="6" t="s">
        <v>51</v>
      </c>
      <c r="J84" s="6" t="s">
        <v>52</v>
      </c>
      <c r="K84" s="7">
        <v>44698</v>
      </c>
      <c r="L84" s="6" t="s">
        <v>24</v>
      </c>
      <c r="M84" t="b">
        <v>1</v>
      </c>
      <c r="N84" t="b">
        <v>1</v>
      </c>
      <c r="O84" t="b">
        <v>0</v>
      </c>
      <c r="P84" t="b">
        <v>0</v>
      </c>
      <c r="Q84">
        <v>83</v>
      </c>
    </row>
    <row r="85" spans="1:17" x14ac:dyDescent="0.35">
      <c r="A85" s="6" t="s">
        <v>221</v>
      </c>
      <c r="B85" s="6" t="s">
        <v>19</v>
      </c>
      <c r="C85" s="6" t="s">
        <v>189</v>
      </c>
      <c r="D85" s="6" t="s">
        <v>882</v>
      </c>
      <c r="E85" s="6" t="s">
        <v>222</v>
      </c>
      <c r="F85" s="7">
        <v>44698</v>
      </c>
      <c r="G85" s="7">
        <v>44699</v>
      </c>
      <c r="H85" s="6" t="s">
        <v>70</v>
      </c>
      <c r="I85" s="6" t="s">
        <v>51</v>
      </c>
      <c r="J85" s="6" t="s">
        <v>52</v>
      </c>
      <c r="K85" s="7">
        <v>44698</v>
      </c>
      <c r="L85" s="6" t="s">
        <v>24</v>
      </c>
      <c r="M85" t="b">
        <v>1</v>
      </c>
      <c r="N85" t="b">
        <v>1</v>
      </c>
      <c r="O85" t="b">
        <v>0</v>
      </c>
      <c r="P85" t="b">
        <v>0</v>
      </c>
      <c r="Q85">
        <v>84</v>
      </c>
    </row>
    <row r="86" spans="1:17" x14ac:dyDescent="0.35">
      <c r="A86" s="6" t="s">
        <v>223</v>
      </c>
      <c r="B86" s="6" t="s">
        <v>134</v>
      </c>
      <c r="C86" s="6" t="s">
        <v>705</v>
      </c>
      <c r="D86" s="6" t="s">
        <v>907</v>
      </c>
      <c r="E86" s="6" t="s">
        <v>224</v>
      </c>
      <c r="F86" s="7">
        <v>44697</v>
      </c>
      <c r="G86" s="7">
        <v>44698</v>
      </c>
      <c r="H86" s="6" t="s">
        <v>70</v>
      </c>
      <c r="I86" s="6" t="s">
        <v>57</v>
      </c>
      <c r="J86" s="6" t="s">
        <v>58</v>
      </c>
      <c r="K86" s="7">
        <v>44728</v>
      </c>
      <c r="L86" s="6" t="s">
        <v>24</v>
      </c>
      <c r="M86" t="b">
        <v>0</v>
      </c>
      <c r="N86" t="b">
        <v>1</v>
      </c>
      <c r="O86" t="b">
        <v>0</v>
      </c>
      <c r="P86" t="b">
        <v>0</v>
      </c>
      <c r="Q86">
        <v>85</v>
      </c>
    </row>
    <row r="87" spans="1:17" x14ac:dyDescent="0.35">
      <c r="A87" s="6" t="s">
        <v>225</v>
      </c>
      <c r="B87" s="6" t="s">
        <v>19</v>
      </c>
      <c r="C87" s="6" t="s">
        <v>66</v>
      </c>
      <c r="D87" s="6"/>
      <c r="E87" s="6" t="s">
        <v>226</v>
      </c>
      <c r="F87" s="7">
        <v>44694</v>
      </c>
      <c r="G87" s="7">
        <v>44701</v>
      </c>
      <c r="H87" s="6" t="s">
        <v>70</v>
      </c>
      <c r="I87" s="6" t="s">
        <v>44</v>
      </c>
      <c r="J87" s="6" t="s">
        <v>45</v>
      </c>
      <c r="K87" s="7">
        <v>44694</v>
      </c>
      <c r="L87" s="6" t="s">
        <v>24</v>
      </c>
      <c r="M87" t="b">
        <v>1</v>
      </c>
      <c r="N87" t="b">
        <v>1</v>
      </c>
      <c r="O87" t="b">
        <v>0</v>
      </c>
      <c r="P87" t="b">
        <v>0</v>
      </c>
      <c r="Q87">
        <v>86</v>
      </c>
    </row>
    <row r="88" spans="1:17" x14ac:dyDescent="0.35">
      <c r="A88" s="6" t="s">
        <v>227</v>
      </c>
      <c r="B88" s="6" t="s">
        <v>89</v>
      </c>
      <c r="C88" s="6" t="s">
        <v>228</v>
      </c>
      <c r="D88" s="6"/>
      <c r="E88" s="6" t="s">
        <v>229</v>
      </c>
      <c r="F88" s="7">
        <v>44694</v>
      </c>
      <c r="G88" s="7">
        <v>44701</v>
      </c>
      <c r="H88" s="6" t="s">
        <v>70</v>
      </c>
      <c r="I88" s="6" t="s">
        <v>44</v>
      </c>
      <c r="J88" s="6" t="s">
        <v>45</v>
      </c>
      <c r="K88" s="7">
        <v>44789</v>
      </c>
      <c r="L88" s="6" t="s">
        <v>24</v>
      </c>
      <c r="M88" t="b">
        <v>1</v>
      </c>
      <c r="N88" t="b">
        <v>1</v>
      </c>
      <c r="O88" t="b">
        <v>1</v>
      </c>
      <c r="P88" t="b">
        <v>0</v>
      </c>
      <c r="Q88">
        <v>87</v>
      </c>
    </row>
    <row r="89" spans="1:17" x14ac:dyDescent="0.35">
      <c r="A89" s="6" t="s">
        <v>230</v>
      </c>
      <c r="B89" s="6" t="s">
        <v>134</v>
      </c>
      <c r="C89" s="6" t="s">
        <v>228</v>
      </c>
      <c r="D89" s="6" t="s">
        <v>908</v>
      </c>
      <c r="E89" s="6" t="s">
        <v>231</v>
      </c>
      <c r="F89" s="7">
        <v>44693</v>
      </c>
      <c r="G89" s="7">
        <v>44694</v>
      </c>
      <c r="H89" s="6" t="s">
        <v>70</v>
      </c>
      <c r="I89" s="6" t="s">
        <v>91</v>
      </c>
      <c r="J89" s="6" t="s">
        <v>184</v>
      </c>
      <c r="K89" s="7">
        <v>44699</v>
      </c>
      <c r="L89" s="6" t="s">
        <v>24</v>
      </c>
      <c r="M89" t="b">
        <v>0</v>
      </c>
      <c r="N89" t="b">
        <v>1</v>
      </c>
      <c r="O89" t="b">
        <v>0</v>
      </c>
      <c r="P89" t="b">
        <v>0</v>
      </c>
      <c r="Q89">
        <v>88</v>
      </c>
    </row>
    <row r="90" spans="1:17" x14ac:dyDescent="0.35">
      <c r="A90" s="6" t="s">
        <v>232</v>
      </c>
      <c r="B90" s="6" t="s">
        <v>19</v>
      </c>
      <c r="C90" s="6" t="s">
        <v>107</v>
      </c>
      <c r="D90" s="6"/>
      <c r="E90" s="6" t="s">
        <v>233</v>
      </c>
      <c r="F90" s="7">
        <v>44692</v>
      </c>
      <c r="G90" s="7">
        <v>44697</v>
      </c>
      <c r="H90" s="6" t="s">
        <v>70</v>
      </c>
      <c r="I90" s="6" t="s">
        <v>22</v>
      </c>
      <c r="J90" s="6" t="s">
        <v>130</v>
      </c>
      <c r="K90" s="7">
        <v>44692</v>
      </c>
      <c r="L90" s="6" t="s">
        <v>24</v>
      </c>
      <c r="M90" t="b">
        <v>1</v>
      </c>
      <c r="N90" t="b">
        <v>1</v>
      </c>
      <c r="O90" t="b">
        <v>0</v>
      </c>
      <c r="P90" t="b">
        <v>0</v>
      </c>
      <c r="Q90">
        <v>89</v>
      </c>
    </row>
    <row r="91" spans="1:17" x14ac:dyDescent="0.35">
      <c r="A91" s="6" t="s">
        <v>234</v>
      </c>
      <c r="B91" s="6" t="s">
        <v>19</v>
      </c>
      <c r="C91" s="6" t="s">
        <v>349</v>
      </c>
      <c r="D91" s="6" t="s">
        <v>909</v>
      </c>
      <c r="E91" s="6" t="s">
        <v>235</v>
      </c>
      <c r="F91" s="7">
        <v>44692</v>
      </c>
      <c r="G91" s="7">
        <v>44695</v>
      </c>
      <c r="H91" s="6" t="s">
        <v>70</v>
      </c>
      <c r="I91" s="6" t="s">
        <v>195</v>
      </c>
      <c r="J91" s="6" t="s">
        <v>236</v>
      </c>
      <c r="K91" s="7">
        <v>44692</v>
      </c>
      <c r="L91" s="6" t="s">
        <v>24</v>
      </c>
      <c r="M91" t="b">
        <v>1</v>
      </c>
      <c r="N91" t="b">
        <v>1</v>
      </c>
      <c r="O91" t="b">
        <v>0</v>
      </c>
      <c r="P91" t="b">
        <v>0</v>
      </c>
      <c r="Q91">
        <v>90</v>
      </c>
    </row>
    <row r="92" spans="1:17" x14ac:dyDescent="0.35">
      <c r="A92" s="6" t="s">
        <v>237</v>
      </c>
      <c r="B92" s="6" t="s">
        <v>134</v>
      </c>
      <c r="C92" s="6" t="s">
        <v>107</v>
      </c>
      <c r="D92" s="6" t="s">
        <v>886</v>
      </c>
      <c r="E92" s="6" t="s">
        <v>238</v>
      </c>
      <c r="F92" s="7">
        <v>44692</v>
      </c>
      <c r="G92" s="7">
        <v>44695</v>
      </c>
      <c r="H92" s="6" t="s">
        <v>70</v>
      </c>
      <c r="I92" s="6" t="s">
        <v>34</v>
      </c>
      <c r="J92" s="6" t="s">
        <v>35</v>
      </c>
      <c r="K92" s="7">
        <v>44728</v>
      </c>
      <c r="L92" s="6" t="s">
        <v>24</v>
      </c>
      <c r="M92" t="b">
        <v>0</v>
      </c>
      <c r="N92" t="b">
        <v>1</v>
      </c>
      <c r="O92" t="b">
        <v>0</v>
      </c>
      <c r="P92" t="b">
        <v>0</v>
      </c>
      <c r="Q92">
        <v>91</v>
      </c>
    </row>
    <row r="93" spans="1:17" x14ac:dyDescent="0.35">
      <c r="A93" s="6" t="s">
        <v>239</v>
      </c>
      <c r="B93" s="6" t="s">
        <v>19</v>
      </c>
      <c r="C93" s="6" t="s">
        <v>228</v>
      </c>
      <c r="D93" s="6" t="s">
        <v>879</v>
      </c>
      <c r="E93" s="6" t="s">
        <v>240</v>
      </c>
      <c r="F93" s="7">
        <v>44691</v>
      </c>
      <c r="G93" s="7">
        <v>44692</v>
      </c>
      <c r="H93" s="6" t="s">
        <v>70</v>
      </c>
      <c r="I93" s="6" t="s">
        <v>34</v>
      </c>
      <c r="J93" s="6" t="s">
        <v>35</v>
      </c>
      <c r="K93" s="7">
        <v>44691</v>
      </c>
      <c r="L93" s="6" t="s">
        <v>24</v>
      </c>
      <c r="M93" t="b">
        <v>1</v>
      </c>
      <c r="N93" t="b">
        <v>1</v>
      </c>
      <c r="O93" t="b">
        <v>0</v>
      </c>
      <c r="P93" t="b">
        <v>0</v>
      </c>
      <c r="Q93">
        <v>92</v>
      </c>
    </row>
    <row r="94" spans="1:17" x14ac:dyDescent="0.35">
      <c r="A94" s="6" t="s">
        <v>241</v>
      </c>
      <c r="B94" s="6" t="s">
        <v>19</v>
      </c>
      <c r="C94" s="6" t="s">
        <v>705</v>
      </c>
      <c r="D94" s="6" t="s">
        <v>890</v>
      </c>
      <c r="E94" s="6" t="s">
        <v>242</v>
      </c>
      <c r="F94" s="7">
        <v>44691</v>
      </c>
      <c r="G94" s="7">
        <v>44694</v>
      </c>
      <c r="H94" s="6" t="s">
        <v>70</v>
      </c>
      <c r="I94" s="6" t="s">
        <v>34</v>
      </c>
      <c r="J94" s="6" t="s">
        <v>117</v>
      </c>
      <c r="K94" s="7">
        <v>44691</v>
      </c>
      <c r="L94" s="6" t="s">
        <v>24</v>
      </c>
      <c r="M94" t="b">
        <v>1</v>
      </c>
      <c r="N94" t="b">
        <v>0</v>
      </c>
      <c r="O94" t="b">
        <v>0</v>
      </c>
      <c r="P94" t="b">
        <v>0</v>
      </c>
      <c r="Q94">
        <v>93</v>
      </c>
    </row>
    <row r="95" spans="1:17" x14ac:dyDescent="0.35">
      <c r="A95" s="6" t="s">
        <v>243</v>
      </c>
      <c r="B95" s="6" t="s">
        <v>89</v>
      </c>
      <c r="C95" s="6" t="s">
        <v>102</v>
      </c>
      <c r="D95" s="6" t="s">
        <v>910</v>
      </c>
      <c r="E95" s="6" t="s">
        <v>244</v>
      </c>
      <c r="F95" s="7">
        <v>44691</v>
      </c>
      <c r="G95" s="7">
        <v>44694</v>
      </c>
      <c r="H95" s="6" t="s">
        <v>70</v>
      </c>
      <c r="I95" s="6" t="s">
        <v>34</v>
      </c>
      <c r="J95" s="6" t="s">
        <v>117</v>
      </c>
      <c r="K95" s="7">
        <v>44701</v>
      </c>
      <c r="L95" s="6" t="s">
        <v>24</v>
      </c>
      <c r="M95" t="b">
        <v>1</v>
      </c>
      <c r="N95" t="b">
        <v>0</v>
      </c>
      <c r="O95" t="b">
        <v>0</v>
      </c>
      <c r="P95" t="b">
        <v>0</v>
      </c>
      <c r="Q95">
        <v>94</v>
      </c>
    </row>
    <row r="96" spans="1:17" x14ac:dyDescent="0.35">
      <c r="A96" s="6" t="s">
        <v>245</v>
      </c>
      <c r="B96" s="6" t="s">
        <v>134</v>
      </c>
      <c r="C96" s="6" t="s">
        <v>107</v>
      </c>
      <c r="D96" s="6" t="s">
        <v>905</v>
      </c>
      <c r="E96" s="6" t="s">
        <v>246</v>
      </c>
      <c r="F96" s="7">
        <v>44691</v>
      </c>
      <c r="G96" s="7">
        <v>44692</v>
      </c>
      <c r="H96" s="6" t="s">
        <v>70</v>
      </c>
      <c r="I96" s="6" t="s">
        <v>28</v>
      </c>
      <c r="J96" s="6" t="s">
        <v>29</v>
      </c>
      <c r="K96" s="7">
        <v>44692</v>
      </c>
      <c r="L96" s="6" t="s">
        <v>24</v>
      </c>
      <c r="M96" t="b">
        <v>0</v>
      </c>
      <c r="N96" t="b">
        <v>1</v>
      </c>
      <c r="O96" t="b">
        <v>0</v>
      </c>
      <c r="P96" t="b">
        <v>0</v>
      </c>
      <c r="Q96">
        <v>95</v>
      </c>
    </row>
    <row r="97" spans="1:17" x14ac:dyDescent="0.35">
      <c r="A97" s="6" t="s">
        <v>247</v>
      </c>
      <c r="B97" s="6" t="s">
        <v>89</v>
      </c>
      <c r="C97" s="6" t="s">
        <v>107</v>
      </c>
      <c r="D97" s="6" t="s">
        <v>911</v>
      </c>
      <c r="E97" s="6" t="s">
        <v>248</v>
      </c>
      <c r="F97" s="7">
        <v>44691</v>
      </c>
      <c r="G97" s="7">
        <v>44697</v>
      </c>
      <c r="H97" s="6" t="s">
        <v>70</v>
      </c>
      <c r="I97" s="6" t="s">
        <v>51</v>
      </c>
      <c r="J97" s="6" t="s">
        <v>52</v>
      </c>
      <c r="K97" s="7">
        <v>44754</v>
      </c>
      <c r="L97" s="6" t="s">
        <v>24</v>
      </c>
      <c r="M97" t="b">
        <v>1</v>
      </c>
      <c r="N97" t="b">
        <v>1</v>
      </c>
      <c r="O97" t="b">
        <v>0</v>
      </c>
      <c r="P97" t="b">
        <v>0</v>
      </c>
      <c r="Q97">
        <v>96</v>
      </c>
    </row>
    <row r="98" spans="1:17" x14ac:dyDescent="0.35">
      <c r="A98" s="6" t="s">
        <v>249</v>
      </c>
      <c r="B98" s="6" t="s">
        <v>134</v>
      </c>
      <c r="C98" s="6" t="s">
        <v>107</v>
      </c>
      <c r="D98" s="6" t="s">
        <v>912</v>
      </c>
      <c r="E98" s="6" t="s">
        <v>250</v>
      </c>
      <c r="F98" s="7">
        <v>44690</v>
      </c>
      <c r="G98" s="7">
        <v>44691</v>
      </c>
      <c r="H98" s="6" t="s">
        <v>70</v>
      </c>
      <c r="I98" s="6" t="s">
        <v>34</v>
      </c>
      <c r="J98" s="6" t="s">
        <v>117</v>
      </c>
      <c r="K98" s="7">
        <v>44692</v>
      </c>
      <c r="L98" s="6" t="s">
        <v>24</v>
      </c>
      <c r="M98" t="b">
        <v>0</v>
      </c>
      <c r="N98" t="b">
        <v>0</v>
      </c>
      <c r="O98" t="b">
        <v>0</v>
      </c>
      <c r="P98" t="b">
        <v>0</v>
      </c>
      <c r="Q98">
        <v>97</v>
      </c>
    </row>
    <row r="99" spans="1:17" x14ac:dyDescent="0.35">
      <c r="A99" s="6" t="s">
        <v>251</v>
      </c>
      <c r="B99" s="6" t="s">
        <v>89</v>
      </c>
      <c r="C99" s="6" t="s">
        <v>107</v>
      </c>
      <c r="D99" s="6" t="s">
        <v>913</v>
      </c>
      <c r="E99" s="6" t="s">
        <v>252</v>
      </c>
      <c r="F99" s="7">
        <v>44690</v>
      </c>
      <c r="G99" s="7">
        <v>44693</v>
      </c>
      <c r="H99" s="6" t="s">
        <v>70</v>
      </c>
      <c r="I99" s="6" t="s">
        <v>34</v>
      </c>
      <c r="J99" s="6" t="s">
        <v>35</v>
      </c>
      <c r="K99" s="7">
        <v>44705</v>
      </c>
      <c r="L99" s="6" t="s">
        <v>24</v>
      </c>
      <c r="M99" t="b">
        <v>1</v>
      </c>
      <c r="N99" t="b">
        <v>0</v>
      </c>
      <c r="O99" t="b">
        <v>0</v>
      </c>
      <c r="P99" t="b">
        <v>0</v>
      </c>
      <c r="Q99">
        <v>98</v>
      </c>
    </row>
    <row r="100" spans="1:17" x14ac:dyDescent="0.35">
      <c r="A100" s="6" t="s">
        <v>253</v>
      </c>
      <c r="B100" s="6" t="s">
        <v>19</v>
      </c>
      <c r="C100" s="6" t="s">
        <v>107</v>
      </c>
      <c r="D100" s="6"/>
      <c r="E100" s="6" t="s">
        <v>254</v>
      </c>
      <c r="F100" s="7">
        <v>44687</v>
      </c>
      <c r="G100" s="7">
        <v>44694</v>
      </c>
      <c r="H100" s="6" t="s">
        <v>70</v>
      </c>
      <c r="I100" s="6" t="s">
        <v>34</v>
      </c>
      <c r="J100" s="6" t="s">
        <v>117</v>
      </c>
      <c r="K100" s="7">
        <v>44777</v>
      </c>
      <c r="L100" s="6" t="s">
        <v>24</v>
      </c>
      <c r="M100" t="b">
        <v>1</v>
      </c>
      <c r="N100" t="b">
        <v>1</v>
      </c>
      <c r="O100" t="b">
        <v>0</v>
      </c>
      <c r="P100" t="b">
        <v>0</v>
      </c>
      <c r="Q100">
        <v>99</v>
      </c>
    </row>
    <row r="101" spans="1:17" x14ac:dyDescent="0.35">
      <c r="A101" s="6" t="s">
        <v>255</v>
      </c>
      <c r="B101" s="6" t="s">
        <v>134</v>
      </c>
      <c r="C101" s="6" t="s">
        <v>869</v>
      </c>
      <c r="D101" s="6" t="s">
        <v>996</v>
      </c>
      <c r="E101" s="6" t="s">
        <v>256</v>
      </c>
      <c r="F101" s="7">
        <v>44687</v>
      </c>
      <c r="G101" s="7">
        <v>44687</v>
      </c>
      <c r="H101" s="6" t="s">
        <v>70</v>
      </c>
      <c r="I101" s="6" t="s">
        <v>44</v>
      </c>
      <c r="J101" s="6" t="s">
        <v>45</v>
      </c>
      <c r="K101" s="7">
        <v>44718</v>
      </c>
      <c r="L101" s="6" t="s">
        <v>24</v>
      </c>
      <c r="M101" t="b">
        <v>0</v>
      </c>
      <c r="N101" t="b">
        <v>1</v>
      </c>
      <c r="O101" t="b">
        <v>0</v>
      </c>
      <c r="P101" t="b">
        <v>0</v>
      </c>
      <c r="Q101">
        <v>100</v>
      </c>
    </row>
    <row r="102" spans="1:17" x14ac:dyDescent="0.35">
      <c r="A102" s="6" t="s">
        <v>257</v>
      </c>
      <c r="B102" s="6" t="s">
        <v>89</v>
      </c>
      <c r="C102" s="6" t="s">
        <v>107</v>
      </c>
      <c r="D102" s="6"/>
      <c r="E102" s="6" t="s">
        <v>258</v>
      </c>
      <c r="F102" s="7">
        <v>44687</v>
      </c>
      <c r="G102" s="7">
        <v>44687</v>
      </c>
      <c r="H102" s="6" t="s">
        <v>70</v>
      </c>
      <c r="I102" s="6" t="s">
        <v>22</v>
      </c>
      <c r="J102" s="6" t="s">
        <v>130</v>
      </c>
      <c r="K102" s="7">
        <v>44691</v>
      </c>
      <c r="L102" s="6" t="s">
        <v>24</v>
      </c>
      <c r="M102" t="b">
        <v>1</v>
      </c>
      <c r="N102" t="b">
        <v>1</v>
      </c>
      <c r="O102" t="b">
        <v>0</v>
      </c>
      <c r="P102" t="b">
        <v>0</v>
      </c>
      <c r="Q102">
        <v>101</v>
      </c>
    </row>
    <row r="103" spans="1:17" x14ac:dyDescent="0.35">
      <c r="A103" s="6" t="s">
        <v>259</v>
      </c>
      <c r="B103" s="6" t="s">
        <v>134</v>
      </c>
      <c r="C103" s="6" t="s">
        <v>107</v>
      </c>
      <c r="D103" s="6" t="s">
        <v>914</v>
      </c>
      <c r="E103" s="6" t="s">
        <v>260</v>
      </c>
      <c r="F103" s="7">
        <v>44678</v>
      </c>
      <c r="G103" s="7">
        <v>44679</v>
      </c>
      <c r="H103" s="6" t="s">
        <v>70</v>
      </c>
      <c r="I103" s="6" t="s">
        <v>28</v>
      </c>
      <c r="J103" s="6" t="s">
        <v>29</v>
      </c>
      <c r="K103" s="7">
        <v>44683</v>
      </c>
      <c r="L103" s="6" t="s">
        <v>24</v>
      </c>
      <c r="M103" t="b">
        <v>0</v>
      </c>
      <c r="N103" t="b">
        <v>0</v>
      </c>
      <c r="O103" t="b">
        <v>0</v>
      </c>
      <c r="P103" t="b">
        <v>0</v>
      </c>
      <c r="Q103">
        <v>102</v>
      </c>
    </row>
    <row r="104" spans="1:17" x14ac:dyDescent="0.35">
      <c r="A104" s="6" t="s">
        <v>261</v>
      </c>
      <c r="B104" s="6" t="s">
        <v>19</v>
      </c>
      <c r="C104" s="6" t="s">
        <v>107</v>
      </c>
      <c r="D104" s="6" t="s">
        <v>914</v>
      </c>
      <c r="E104" s="6" t="s">
        <v>262</v>
      </c>
      <c r="F104" s="7">
        <v>44678</v>
      </c>
      <c r="G104" s="7">
        <v>44679</v>
      </c>
      <c r="H104" s="6" t="s">
        <v>70</v>
      </c>
      <c r="I104" s="6" t="s">
        <v>28</v>
      </c>
      <c r="J104" s="6" t="s">
        <v>29</v>
      </c>
      <c r="K104" s="7">
        <v>44678</v>
      </c>
      <c r="L104" s="6" t="s">
        <v>24</v>
      </c>
      <c r="M104" t="b">
        <v>1</v>
      </c>
      <c r="N104" t="b">
        <v>1</v>
      </c>
      <c r="O104" t="b">
        <v>0</v>
      </c>
      <c r="P104" t="b">
        <v>0</v>
      </c>
      <c r="Q104">
        <v>103</v>
      </c>
    </row>
    <row r="105" spans="1:17" x14ac:dyDescent="0.35">
      <c r="A105" s="6" t="s">
        <v>263</v>
      </c>
      <c r="B105" s="6" t="s">
        <v>134</v>
      </c>
      <c r="C105" s="6" t="s">
        <v>189</v>
      </c>
      <c r="D105" s="6" t="s">
        <v>915</v>
      </c>
      <c r="E105" s="6" t="s">
        <v>264</v>
      </c>
      <c r="F105" s="7">
        <v>44678</v>
      </c>
      <c r="G105" s="7">
        <v>44679</v>
      </c>
      <c r="H105" s="6" t="s">
        <v>70</v>
      </c>
      <c r="I105" s="6" t="s">
        <v>22</v>
      </c>
      <c r="J105" s="6" t="s">
        <v>130</v>
      </c>
      <c r="K105" s="7">
        <v>44728</v>
      </c>
      <c r="L105" s="6" t="s">
        <v>24</v>
      </c>
      <c r="M105" t="b">
        <v>0</v>
      </c>
      <c r="N105" t="b">
        <v>1</v>
      </c>
      <c r="O105" t="b">
        <v>0</v>
      </c>
      <c r="P105" t="b">
        <v>0</v>
      </c>
      <c r="Q105">
        <v>104</v>
      </c>
    </row>
    <row r="106" spans="1:17" x14ac:dyDescent="0.35">
      <c r="A106" s="6" t="s">
        <v>265</v>
      </c>
      <c r="B106" s="6" t="s">
        <v>134</v>
      </c>
      <c r="C106" s="6" t="s">
        <v>228</v>
      </c>
      <c r="D106" s="6" t="s">
        <v>916</v>
      </c>
      <c r="E106" s="6" t="s">
        <v>266</v>
      </c>
      <c r="F106" s="7">
        <v>44678</v>
      </c>
      <c r="G106" s="7">
        <v>44679</v>
      </c>
      <c r="H106" s="6" t="s">
        <v>70</v>
      </c>
      <c r="I106" s="6" t="s">
        <v>34</v>
      </c>
      <c r="J106" s="6" t="s">
        <v>35</v>
      </c>
      <c r="K106" s="7">
        <v>44683</v>
      </c>
      <c r="L106" s="6" t="s">
        <v>24</v>
      </c>
      <c r="M106" t="b">
        <v>0</v>
      </c>
      <c r="N106" t="b">
        <v>1</v>
      </c>
      <c r="O106" t="b">
        <v>0</v>
      </c>
      <c r="P106" t="b">
        <v>0</v>
      </c>
      <c r="Q106">
        <v>105</v>
      </c>
    </row>
    <row r="107" spans="1:17" x14ac:dyDescent="0.35">
      <c r="A107" s="6" t="s">
        <v>267</v>
      </c>
      <c r="B107" s="6" t="s">
        <v>19</v>
      </c>
      <c r="C107" s="6" t="s">
        <v>107</v>
      </c>
      <c r="D107" s="6"/>
      <c r="E107" s="6" t="s">
        <v>268</v>
      </c>
      <c r="F107" s="7">
        <v>44678</v>
      </c>
      <c r="G107" s="7">
        <v>44679</v>
      </c>
      <c r="H107" s="6" t="s">
        <v>70</v>
      </c>
      <c r="I107" s="6" t="s">
        <v>22</v>
      </c>
      <c r="J107" s="6" t="s">
        <v>130</v>
      </c>
      <c r="K107" s="7">
        <v>44678</v>
      </c>
      <c r="L107" s="6" t="s">
        <v>24</v>
      </c>
      <c r="M107" t="b">
        <v>1</v>
      </c>
      <c r="N107" t="b">
        <v>1</v>
      </c>
      <c r="O107" t="b">
        <v>0</v>
      </c>
      <c r="P107" t="b">
        <v>0</v>
      </c>
      <c r="Q107">
        <v>106</v>
      </c>
    </row>
    <row r="108" spans="1:17" x14ac:dyDescent="0.35">
      <c r="A108" s="6" t="s">
        <v>269</v>
      </c>
      <c r="B108" s="6" t="s">
        <v>134</v>
      </c>
      <c r="C108" s="6" t="s">
        <v>107</v>
      </c>
      <c r="D108" s="6" t="s">
        <v>917</v>
      </c>
      <c r="E108" s="6" t="s">
        <v>270</v>
      </c>
      <c r="F108" s="7">
        <v>44677</v>
      </c>
      <c r="G108" s="7">
        <v>44679</v>
      </c>
      <c r="H108" s="6" t="s">
        <v>70</v>
      </c>
      <c r="I108" s="6" t="s">
        <v>111</v>
      </c>
      <c r="J108" s="6" t="s">
        <v>112</v>
      </c>
      <c r="K108" s="7">
        <v>44754</v>
      </c>
      <c r="L108" s="6" t="s">
        <v>24</v>
      </c>
      <c r="M108" t="b">
        <v>0</v>
      </c>
      <c r="N108" t="b">
        <v>0</v>
      </c>
      <c r="O108" t="b">
        <v>0</v>
      </c>
      <c r="P108" t="b">
        <v>0</v>
      </c>
      <c r="Q108">
        <v>107</v>
      </c>
    </row>
    <row r="109" spans="1:17" x14ac:dyDescent="0.35">
      <c r="A109" s="6" t="s">
        <v>271</v>
      </c>
      <c r="B109" s="6" t="s">
        <v>134</v>
      </c>
      <c r="C109" s="6" t="s">
        <v>107</v>
      </c>
      <c r="D109" s="6" t="s">
        <v>905</v>
      </c>
      <c r="E109" s="6" t="s">
        <v>272</v>
      </c>
      <c r="F109" s="7">
        <v>44676</v>
      </c>
      <c r="G109" s="7">
        <v>44677</v>
      </c>
      <c r="H109" s="6" t="s">
        <v>70</v>
      </c>
      <c r="I109" s="6" t="s">
        <v>111</v>
      </c>
      <c r="J109" s="6" t="s">
        <v>112</v>
      </c>
      <c r="K109" s="7">
        <v>44705</v>
      </c>
      <c r="L109" s="6" t="s">
        <v>24</v>
      </c>
      <c r="M109" t="b">
        <v>0</v>
      </c>
      <c r="N109" t="b">
        <v>1</v>
      </c>
      <c r="O109" t="b">
        <v>0</v>
      </c>
      <c r="P109" t="b">
        <v>0</v>
      </c>
      <c r="Q109">
        <v>108</v>
      </c>
    </row>
    <row r="110" spans="1:17" x14ac:dyDescent="0.35">
      <c r="A110" s="6" t="s">
        <v>273</v>
      </c>
      <c r="B110" s="6" t="s">
        <v>89</v>
      </c>
      <c r="C110" s="6" t="s">
        <v>107</v>
      </c>
      <c r="D110" s="6" t="s">
        <v>913</v>
      </c>
      <c r="E110" s="6" t="s">
        <v>274</v>
      </c>
      <c r="F110" s="7">
        <v>44676</v>
      </c>
      <c r="G110" s="7">
        <v>44679</v>
      </c>
      <c r="H110" s="6" t="s">
        <v>70</v>
      </c>
      <c r="I110" s="6" t="s">
        <v>34</v>
      </c>
      <c r="J110" s="6" t="s">
        <v>35</v>
      </c>
      <c r="K110" s="7">
        <v>44683</v>
      </c>
      <c r="L110" s="6" t="s">
        <v>24</v>
      </c>
      <c r="M110" t="b">
        <v>1</v>
      </c>
      <c r="N110" t="b">
        <v>1</v>
      </c>
      <c r="O110" t="b">
        <v>1</v>
      </c>
      <c r="P110" t="b">
        <v>0</v>
      </c>
      <c r="Q110">
        <v>109</v>
      </c>
    </row>
    <row r="111" spans="1:17" x14ac:dyDescent="0.35">
      <c r="A111" s="6" t="s">
        <v>275</v>
      </c>
      <c r="B111" s="6" t="s">
        <v>89</v>
      </c>
      <c r="C111" s="6" t="s">
        <v>107</v>
      </c>
      <c r="D111" s="6" t="s">
        <v>918</v>
      </c>
      <c r="E111" s="6" t="s">
        <v>276</v>
      </c>
      <c r="F111" s="7">
        <v>44676</v>
      </c>
      <c r="G111" s="7">
        <v>44678</v>
      </c>
      <c r="H111" s="6" t="s">
        <v>70</v>
      </c>
      <c r="I111" s="6" t="s">
        <v>22</v>
      </c>
      <c r="J111" s="6" t="s">
        <v>130</v>
      </c>
      <c r="K111" s="7">
        <v>44687</v>
      </c>
      <c r="L111" s="6" t="s">
        <v>24</v>
      </c>
      <c r="M111" t="b">
        <v>1</v>
      </c>
      <c r="N111" t="b">
        <v>1</v>
      </c>
      <c r="O111" t="b">
        <v>0</v>
      </c>
      <c r="P111" t="b">
        <v>0</v>
      </c>
      <c r="Q111">
        <v>110</v>
      </c>
    </row>
    <row r="112" spans="1:17" x14ac:dyDescent="0.35">
      <c r="A112" s="6" t="s">
        <v>277</v>
      </c>
      <c r="B112" s="6" t="s">
        <v>19</v>
      </c>
      <c r="C112" s="6" t="s">
        <v>349</v>
      </c>
      <c r="D112" s="6" t="s">
        <v>919</v>
      </c>
      <c r="E112" s="6" t="s">
        <v>278</v>
      </c>
      <c r="F112" s="7">
        <v>44672</v>
      </c>
      <c r="G112" s="7">
        <v>44673</v>
      </c>
      <c r="H112" s="6" t="s">
        <v>70</v>
      </c>
      <c r="I112" s="6" t="s">
        <v>34</v>
      </c>
      <c r="J112" s="6" t="s">
        <v>35</v>
      </c>
      <c r="K112" s="7">
        <v>44672</v>
      </c>
      <c r="L112" s="6" t="s">
        <v>24</v>
      </c>
      <c r="M112" t="b">
        <v>1</v>
      </c>
      <c r="N112" t="b">
        <v>1</v>
      </c>
      <c r="O112" t="b">
        <v>0</v>
      </c>
      <c r="P112" t="b">
        <v>0</v>
      </c>
      <c r="Q112">
        <v>111</v>
      </c>
    </row>
    <row r="113" spans="1:17" x14ac:dyDescent="0.35">
      <c r="A113" s="6" t="s">
        <v>279</v>
      </c>
      <c r="B113" s="6" t="s">
        <v>89</v>
      </c>
      <c r="C113" s="6" t="s">
        <v>107</v>
      </c>
      <c r="D113" s="6" t="s">
        <v>920</v>
      </c>
      <c r="E113" s="6" t="s">
        <v>280</v>
      </c>
      <c r="F113" s="7">
        <v>44672</v>
      </c>
      <c r="G113" s="7">
        <v>44673</v>
      </c>
      <c r="H113" s="6" t="s">
        <v>70</v>
      </c>
      <c r="I113" s="6" t="s">
        <v>161</v>
      </c>
      <c r="J113" s="6" t="s">
        <v>162</v>
      </c>
      <c r="K113" s="7">
        <v>44782</v>
      </c>
      <c r="L113" s="6" t="s">
        <v>24</v>
      </c>
      <c r="M113" t="b">
        <v>1</v>
      </c>
      <c r="N113" t="b">
        <v>1</v>
      </c>
      <c r="O113" t="b">
        <v>0</v>
      </c>
      <c r="P113" t="b">
        <v>0</v>
      </c>
      <c r="Q113">
        <v>112</v>
      </c>
    </row>
    <row r="114" spans="1:17" x14ac:dyDescent="0.35">
      <c r="A114" s="6" t="s">
        <v>281</v>
      </c>
      <c r="B114" s="6" t="s">
        <v>89</v>
      </c>
      <c r="C114" s="6" t="s">
        <v>189</v>
      </c>
      <c r="D114" s="6" t="s">
        <v>921</v>
      </c>
      <c r="E114" s="6" t="s">
        <v>282</v>
      </c>
      <c r="F114" s="7">
        <v>44672</v>
      </c>
      <c r="G114" s="7">
        <v>44673</v>
      </c>
      <c r="H114" s="6" t="s">
        <v>70</v>
      </c>
      <c r="I114" s="6" t="s">
        <v>34</v>
      </c>
      <c r="J114" s="6" t="s">
        <v>35</v>
      </c>
      <c r="K114" s="7">
        <v>44699</v>
      </c>
      <c r="L114" s="6" t="s">
        <v>24</v>
      </c>
      <c r="M114" t="b">
        <v>1</v>
      </c>
      <c r="N114" t="b">
        <v>1</v>
      </c>
      <c r="O114" t="b">
        <v>0</v>
      </c>
      <c r="P114" t="b">
        <v>0</v>
      </c>
      <c r="Q114">
        <v>113</v>
      </c>
    </row>
    <row r="115" spans="1:17" x14ac:dyDescent="0.35">
      <c r="A115" s="6" t="s">
        <v>283</v>
      </c>
      <c r="B115" s="6" t="s">
        <v>134</v>
      </c>
      <c r="C115" s="6" t="s">
        <v>66</v>
      </c>
      <c r="D115" s="6" t="s">
        <v>922</v>
      </c>
      <c r="E115" s="6" t="s">
        <v>284</v>
      </c>
      <c r="F115" s="7">
        <v>44671</v>
      </c>
      <c r="G115" s="7">
        <v>44672</v>
      </c>
      <c r="H115" s="6" t="s">
        <v>70</v>
      </c>
      <c r="I115" s="6" t="s">
        <v>51</v>
      </c>
      <c r="J115" s="6" t="s">
        <v>52</v>
      </c>
      <c r="K115" s="7">
        <v>44672</v>
      </c>
      <c r="L115" s="6" t="s">
        <v>24</v>
      </c>
      <c r="M115" t="b">
        <v>0</v>
      </c>
      <c r="N115" t="b">
        <v>1</v>
      </c>
      <c r="O115" t="b">
        <v>0</v>
      </c>
      <c r="P115" t="b">
        <v>0</v>
      </c>
      <c r="Q115">
        <v>114</v>
      </c>
    </row>
    <row r="116" spans="1:17" x14ac:dyDescent="0.35">
      <c r="A116" s="6" t="s">
        <v>285</v>
      </c>
      <c r="B116" s="6" t="s">
        <v>134</v>
      </c>
      <c r="C116" s="6" t="s">
        <v>107</v>
      </c>
      <c r="D116" s="6" t="s">
        <v>923</v>
      </c>
      <c r="E116" s="6" t="s">
        <v>286</v>
      </c>
      <c r="F116" s="7">
        <v>44670</v>
      </c>
      <c r="G116" s="7">
        <v>44671</v>
      </c>
      <c r="H116" s="6" t="s">
        <v>70</v>
      </c>
      <c r="I116" s="6" t="s">
        <v>111</v>
      </c>
      <c r="J116" s="6" t="s">
        <v>112</v>
      </c>
      <c r="K116" s="7">
        <v>44672</v>
      </c>
      <c r="L116" s="6" t="s">
        <v>24</v>
      </c>
      <c r="M116" t="b">
        <v>0</v>
      </c>
      <c r="N116" t="b">
        <v>1</v>
      </c>
      <c r="O116" t="b">
        <v>0</v>
      </c>
      <c r="P116" t="b">
        <v>0</v>
      </c>
      <c r="Q116">
        <v>115</v>
      </c>
    </row>
    <row r="117" spans="1:17" x14ac:dyDescent="0.35">
      <c r="A117" s="6" t="s">
        <v>287</v>
      </c>
      <c r="B117" s="6" t="s">
        <v>134</v>
      </c>
      <c r="C117" s="6" t="s">
        <v>107</v>
      </c>
      <c r="D117" s="6" t="s">
        <v>923</v>
      </c>
      <c r="E117" s="6" t="s">
        <v>288</v>
      </c>
      <c r="F117" s="7">
        <v>44670</v>
      </c>
      <c r="G117" s="7">
        <v>44671</v>
      </c>
      <c r="H117" s="6" t="s">
        <v>70</v>
      </c>
      <c r="I117" s="6" t="s">
        <v>28</v>
      </c>
      <c r="J117" s="6" t="s">
        <v>29</v>
      </c>
      <c r="K117" s="7">
        <v>44683</v>
      </c>
      <c r="L117" s="6" t="s">
        <v>24</v>
      </c>
      <c r="M117" t="b">
        <v>0</v>
      </c>
      <c r="N117" t="b">
        <v>1</v>
      </c>
      <c r="O117" t="b">
        <v>0</v>
      </c>
      <c r="P117" t="b">
        <v>0</v>
      </c>
      <c r="Q117">
        <v>116</v>
      </c>
    </row>
    <row r="118" spans="1:17" x14ac:dyDescent="0.35">
      <c r="A118" s="6" t="s">
        <v>289</v>
      </c>
      <c r="B118" s="6" t="s">
        <v>89</v>
      </c>
      <c r="C118" s="6" t="s">
        <v>107</v>
      </c>
      <c r="D118" s="6" t="s">
        <v>886</v>
      </c>
      <c r="E118" s="6" t="s">
        <v>290</v>
      </c>
      <c r="F118" s="7">
        <v>44670</v>
      </c>
      <c r="G118" s="7">
        <v>44671</v>
      </c>
      <c r="H118" s="6" t="s">
        <v>70</v>
      </c>
      <c r="I118" s="6" t="s">
        <v>34</v>
      </c>
      <c r="J118" s="6" t="s">
        <v>117</v>
      </c>
      <c r="K118" s="7">
        <v>44672</v>
      </c>
      <c r="L118" s="6" t="s">
        <v>24</v>
      </c>
      <c r="M118" t="b">
        <v>1</v>
      </c>
      <c r="N118" t="b">
        <v>1</v>
      </c>
      <c r="O118" t="b">
        <v>0</v>
      </c>
      <c r="P118" t="b">
        <v>0</v>
      </c>
      <c r="Q118">
        <v>117</v>
      </c>
    </row>
    <row r="119" spans="1:17" x14ac:dyDescent="0.35">
      <c r="A119" s="6" t="s">
        <v>291</v>
      </c>
      <c r="B119" s="6" t="s">
        <v>19</v>
      </c>
      <c r="C119" s="6" t="s">
        <v>107</v>
      </c>
      <c r="D119" s="6" t="s">
        <v>894</v>
      </c>
      <c r="E119" s="6" t="s">
        <v>292</v>
      </c>
      <c r="F119" s="7">
        <v>44670</v>
      </c>
      <c r="G119" s="7">
        <v>44671</v>
      </c>
      <c r="H119" s="6" t="s">
        <v>70</v>
      </c>
      <c r="I119" s="6" t="s">
        <v>22</v>
      </c>
      <c r="J119" s="6" t="s">
        <v>130</v>
      </c>
      <c r="K119" s="7">
        <v>44670</v>
      </c>
      <c r="L119" s="6" t="s">
        <v>24</v>
      </c>
      <c r="M119" t="b">
        <v>1</v>
      </c>
      <c r="N119" t="b">
        <v>1</v>
      </c>
      <c r="O119" t="b">
        <v>0</v>
      </c>
      <c r="P119" t="b">
        <v>0</v>
      </c>
      <c r="Q119">
        <v>118</v>
      </c>
    </row>
    <row r="120" spans="1:17" x14ac:dyDescent="0.35">
      <c r="A120" s="6" t="s">
        <v>293</v>
      </c>
      <c r="B120" s="6" t="s">
        <v>89</v>
      </c>
      <c r="C120" s="6" t="s">
        <v>66</v>
      </c>
      <c r="D120" s="6"/>
      <c r="E120" s="6" t="s">
        <v>294</v>
      </c>
      <c r="F120" s="7">
        <v>44670</v>
      </c>
      <c r="G120" s="7">
        <v>44677</v>
      </c>
      <c r="H120" s="6" t="s">
        <v>70</v>
      </c>
      <c r="I120" s="6" t="s">
        <v>28</v>
      </c>
      <c r="J120" s="6" t="s">
        <v>29</v>
      </c>
      <c r="K120" s="7">
        <v>44718</v>
      </c>
      <c r="L120" s="6" t="s">
        <v>24</v>
      </c>
      <c r="M120" t="b">
        <v>1</v>
      </c>
      <c r="N120" t="b">
        <v>1</v>
      </c>
      <c r="O120" t="b">
        <v>0</v>
      </c>
      <c r="P120" t="b">
        <v>0</v>
      </c>
      <c r="Q120">
        <v>119</v>
      </c>
    </row>
    <row r="121" spans="1:17" x14ac:dyDescent="0.35">
      <c r="A121" s="6" t="s">
        <v>295</v>
      </c>
      <c r="B121" s="6" t="s">
        <v>89</v>
      </c>
      <c r="C121" s="6" t="s">
        <v>107</v>
      </c>
      <c r="D121" s="6"/>
      <c r="E121" s="6" t="s">
        <v>296</v>
      </c>
      <c r="F121" s="7">
        <v>44670</v>
      </c>
      <c r="G121" s="7">
        <v>44670</v>
      </c>
      <c r="H121" s="6" t="s">
        <v>70</v>
      </c>
      <c r="I121" s="6" t="s">
        <v>22</v>
      </c>
      <c r="J121" s="6" t="s">
        <v>130</v>
      </c>
      <c r="K121" s="7">
        <v>44691</v>
      </c>
      <c r="L121" s="6" t="s">
        <v>24</v>
      </c>
      <c r="M121" t="b">
        <v>1</v>
      </c>
      <c r="N121" t="b">
        <v>1</v>
      </c>
      <c r="O121" t="b">
        <v>0</v>
      </c>
      <c r="P121" t="b">
        <v>0</v>
      </c>
      <c r="Q121">
        <v>120</v>
      </c>
    </row>
    <row r="122" spans="1:17" x14ac:dyDescent="0.35">
      <c r="A122" s="6" t="s">
        <v>297</v>
      </c>
      <c r="B122" s="6" t="s">
        <v>89</v>
      </c>
      <c r="C122" s="6" t="s">
        <v>107</v>
      </c>
      <c r="D122" s="6" t="s">
        <v>895</v>
      </c>
      <c r="E122" s="6" t="s">
        <v>298</v>
      </c>
      <c r="F122" s="7">
        <v>44669</v>
      </c>
      <c r="G122" s="7">
        <v>44692</v>
      </c>
      <c r="H122" s="6" t="s">
        <v>70</v>
      </c>
      <c r="I122" s="6" t="s">
        <v>111</v>
      </c>
      <c r="J122" s="6" t="s">
        <v>112</v>
      </c>
      <c r="K122" s="7">
        <v>44699</v>
      </c>
      <c r="L122" s="6" t="s">
        <v>24</v>
      </c>
      <c r="M122" t="b">
        <v>1</v>
      </c>
      <c r="N122" t="b">
        <v>1</v>
      </c>
      <c r="O122" t="b">
        <v>0</v>
      </c>
      <c r="P122" t="b">
        <v>0</v>
      </c>
      <c r="Q122">
        <v>121</v>
      </c>
    </row>
    <row r="123" spans="1:17" x14ac:dyDescent="0.35">
      <c r="A123" s="6" t="s">
        <v>299</v>
      </c>
      <c r="B123" s="6" t="s">
        <v>19</v>
      </c>
      <c r="C123" s="6" t="s">
        <v>102</v>
      </c>
      <c r="D123" s="6" t="s">
        <v>924</v>
      </c>
      <c r="E123" s="6" t="s">
        <v>300</v>
      </c>
      <c r="F123" s="7">
        <v>44666</v>
      </c>
      <c r="G123" s="7">
        <v>44671</v>
      </c>
      <c r="H123" s="6" t="s">
        <v>70</v>
      </c>
      <c r="I123" s="6" t="s">
        <v>44</v>
      </c>
      <c r="J123" s="6" t="s">
        <v>45</v>
      </c>
      <c r="K123" s="7">
        <v>44666</v>
      </c>
      <c r="L123" s="6" t="s">
        <v>24</v>
      </c>
      <c r="M123" t="b">
        <v>1</v>
      </c>
      <c r="N123" t="b">
        <v>0</v>
      </c>
      <c r="O123" t="b">
        <v>0</v>
      </c>
      <c r="P123" t="b">
        <v>0</v>
      </c>
      <c r="Q123">
        <v>122</v>
      </c>
    </row>
    <row r="124" spans="1:17" x14ac:dyDescent="0.35">
      <c r="A124" s="6" t="s">
        <v>301</v>
      </c>
      <c r="B124" s="6" t="s">
        <v>19</v>
      </c>
      <c r="C124" s="6" t="s">
        <v>186</v>
      </c>
      <c r="D124" s="6" t="s">
        <v>925</v>
      </c>
      <c r="E124" s="6" t="s">
        <v>302</v>
      </c>
      <c r="F124" s="7">
        <v>44666</v>
      </c>
      <c r="G124" s="7">
        <v>44669</v>
      </c>
      <c r="H124" s="6" t="s">
        <v>70</v>
      </c>
      <c r="I124" s="6" t="s">
        <v>44</v>
      </c>
      <c r="J124" s="6" t="s">
        <v>45</v>
      </c>
      <c r="K124" s="7">
        <v>44666</v>
      </c>
      <c r="L124" s="6" t="s">
        <v>24</v>
      </c>
      <c r="M124" t="b">
        <v>1</v>
      </c>
      <c r="N124" t="b">
        <v>0</v>
      </c>
      <c r="O124" t="b">
        <v>0</v>
      </c>
      <c r="P124" t="b">
        <v>0</v>
      </c>
      <c r="Q124">
        <v>123</v>
      </c>
    </row>
    <row r="125" spans="1:17" x14ac:dyDescent="0.35">
      <c r="A125" s="6" t="s">
        <v>303</v>
      </c>
      <c r="B125" s="6" t="s">
        <v>89</v>
      </c>
      <c r="C125" s="6" t="s">
        <v>705</v>
      </c>
      <c r="D125" s="6" t="s">
        <v>926</v>
      </c>
      <c r="E125" s="6" t="s">
        <v>304</v>
      </c>
      <c r="F125" s="7">
        <v>44666</v>
      </c>
      <c r="G125" s="7">
        <v>44666</v>
      </c>
      <c r="H125" s="6" t="s">
        <v>70</v>
      </c>
      <c r="I125" s="6" t="s">
        <v>44</v>
      </c>
      <c r="J125" s="6" t="s">
        <v>45</v>
      </c>
      <c r="K125" s="7">
        <v>44728</v>
      </c>
      <c r="L125" s="6" t="s">
        <v>24</v>
      </c>
      <c r="M125" t="b">
        <v>1</v>
      </c>
      <c r="N125" t="b">
        <v>0</v>
      </c>
      <c r="O125" t="b">
        <v>0</v>
      </c>
      <c r="P125" t="b">
        <v>0</v>
      </c>
      <c r="Q125">
        <v>124</v>
      </c>
    </row>
    <row r="126" spans="1:17" x14ac:dyDescent="0.35">
      <c r="A126" s="6" t="s">
        <v>305</v>
      </c>
      <c r="B126" s="6" t="s">
        <v>89</v>
      </c>
      <c r="C126" s="6" t="s">
        <v>705</v>
      </c>
      <c r="D126" s="6" t="s">
        <v>927</v>
      </c>
      <c r="E126" s="6" t="s">
        <v>306</v>
      </c>
      <c r="F126" s="7">
        <v>44666</v>
      </c>
      <c r="G126" s="7">
        <v>44673</v>
      </c>
      <c r="H126" s="6" t="s">
        <v>70</v>
      </c>
      <c r="I126" s="6" t="s">
        <v>28</v>
      </c>
      <c r="J126" s="6" t="s">
        <v>29</v>
      </c>
      <c r="K126" s="7">
        <v>44776</v>
      </c>
      <c r="L126" s="6" t="s">
        <v>24</v>
      </c>
      <c r="M126" t="b">
        <v>1</v>
      </c>
      <c r="N126" t="b">
        <v>1</v>
      </c>
      <c r="O126" t="b">
        <v>1</v>
      </c>
      <c r="P126" t="b">
        <v>0</v>
      </c>
      <c r="Q126">
        <v>125</v>
      </c>
    </row>
    <row r="127" spans="1:17" x14ac:dyDescent="0.35">
      <c r="A127" s="6" t="s">
        <v>307</v>
      </c>
      <c r="B127" s="6" t="s">
        <v>89</v>
      </c>
      <c r="C127" s="6" t="s">
        <v>228</v>
      </c>
      <c r="D127" s="6" t="s">
        <v>879</v>
      </c>
      <c r="E127" s="6" t="s">
        <v>308</v>
      </c>
      <c r="F127" s="7">
        <v>44665</v>
      </c>
      <c r="G127" s="7">
        <v>44665</v>
      </c>
      <c r="H127" s="6" t="s">
        <v>70</v>
      </c>
      <c r="I127" s="6" t="s">
        <v>22</v>
      </c>
      <c r="J127" s="6" t="s">
        <v>23</v>
      </c>
      <c r="K127" s="7">
        <v>44670</v>
      </c>
      <c r="L127" s="6" t="s">
        <v>24</v>
      </c>
      <c r="M127" t="b">
        <v>1</v>
      </c>
      <c r="N127" t="b">
        <v>1</v>
      </c>
      <c r="O127" t="b">
        <v>1</v>
      </c>
      <c r="P127" t="b">
        <v>0</v>
      </c>
      <c r="Q127">
        <v>126</v>
      </c>
    </row>
    <row r="128" spans="1:17" x14ac:dyDescent="0.35">
      <c r="A128" s="6" t="s">
        <v>309</v>
      </c>
      <c r="B128" s="6" t="s">
        <v>134</v>
      </c>
      <c r="C128" s="6" t="s">
        <v>107</v>
      </c>
      <c r="D128" s="6" t="s">
        <v>905</v>
      </c>
      <c r="E128" s="6" t="s">
        <v>310</v>
      </c>
      <c r="F128" s="7">
        <v>44665</v>
      </c>
      <c r="G128" s="7">
        <v>44665</v>
      </c>
      <c r="H128" s="6" t="s">
        <v>70</v>
      </c>
      <c r="I128" s="6" t="s">
        <v>28</v>
      </c>
      <c r="J128" s="6" t="s">
        <v>29</v>
      </c>
      <c r="K128" s="7">
        <v>44672</v>
      </c>
      <c r="L128" s="6" t="s">
        <v>24</v>
      </c>
      <c r="M128" t="b">
        <v>0</v>
      </c>
      <c r="N128" t="b">
        <v>1</v>
      </c>
      <c r="O128" t="b">
        <v>0</v>
      </c>
      <c r="P128" t="b">
        <v>0</v>
      </c>
      <c r="Q128">
        <v>127</v>
      </c>
    </row>
    <row r="129" spans="1:17" x14ac:dyDescent="0.35">
      <c r="A129" s="6" t="s">
        <v>311</v>
      </c>
      <c r="B129" s="6" t="s">
        <v>134</v>
      </c>
      <c r="C129" s="6" t="s">
        <v>107</v>
      </c>
      <c r="D129" s="6" t="s">
        <v>928</v>
      </c>
      <c r="E129" s="6" t="s">
        <v>312</v>
      </c>
      <c r="F129" s="7">
        <v>44665</v>
      </c>
      <c r="G129" s="7">
        <v>44665</v>
      </c>
      <c r="H129" s="6" t="s">
        <v>70</v>
      </c>
      <c r="I129" s="6" t="s">
        <v>34</v>
      </c>
      <c r="J129" s="6" t="s">
        <v>35</v>
      </c>
      <c r="K129" s="7">
        <v>44670</v>
      </c>
      <c r="L129" s="6" t="s">
        <v>24</v>
      </c>
      <c r="M129" t="b">
        <v>0</v>
      </c>
      <c r="N129" t="b">
        <v>1</v>
      </c>
      <c r="O129" t="b">
        <v>0</v>
      </c>
      <c r="P129" t="b">
        <v>0</v>
      </c>
      <c r="Q129">
        <v>128</v>
      </c>
    </row>
    <row r="130" spans="1:17" x14ac:dyDescent="0.35">
      <c r="A130" s="6" t="s">
        <v>313</v>
      </c>
      <c r="B130" s="6" t="s">
        <v>134</v>
      </c>
      <c r="C130" s="6" t="s">
        <v>107</v>
      </c>
      <c r="D130" s="6" t="s">
        <v>928</v>
      </c>
      <c r="E130" s="6" t="s">
        <v>314</v>
      </c>
      <c r="F130" s="7">
        <v>44665</v>
      </c>
      <c r="G130" s="7">
        <v>44669</v>
      </c>
      <c r="H130" s="6" t="s">
        <v>70</v>
      </c>
      <c r="I130" s="6" t="s">
        <v>195</v>
      </c>
      <c r="J130" s="6" t="s">
        <v>196</v>
      </c>
      <c r="K130" s="7">
        <v>44693</v>
      </c>
      <c r="L130" s="6" t="s">
        <v>24</v>
      </c>
      <c r="M130" t="b">
        <v>0</v>
      </c>
      <c r="N130" t="b">
        <v>1</v>
      </c>
      <c r="O130" t="b">
        <v>1</v>
      </c>
      <c r="P130" t="b">
        <v>0</v>
      </c>
      <c r="Q130">
        <v>129</v>
      </c>
    </row>
    <row r="131" spans="1:17" x14ac:dyDescent="0.35">
      <c r="A131" s="6" t="s">
        <v>315</v>
      </c>
      <c r="B131" s="6" t="s">
        <v>134</v>
      </c>
      <c r="C131" s="6" t="s">
        <v>107</v>
      </c>
      <c r="D131" s="6"/>
      <c r="E131" s="6" t="s">
        <v>316</v>
      </c>
      <c r="F131" s="7">
        <v>44664</v>
      </c>
      <c r="G131" s="7">
        <v>44665</v>
      </c>
      <c r="H131" s="6" t="s">
        <v>70</v>
      </c>
      <c r="I131" s="6" t="s">
        <v>28</v>
      </c>
      <c r="J131" s="6" t="s">
        <v>29</v>
      </c>
      <c r="K131" s="7">
        <v>44683</v>
      </c>
      <c r="L131" s="6" t="s">
        <v>24</v>
      </c>
      <c r="M131" t="b">
        <v>0</v>
      </c>
      <c r="N131" t="b">
        <v>1</v>
      </c>
      <c r="O131" t="b">
        <v>0</v>
      </c>
      <c r="P131" t="b">
        <v>0</v>
      </c>
      <c r="Q131">
        <v>130</v>
      </c>
    </row>
    <row r="132" spans="1:17" x14ac:dyDescent="0.35">
      <c r="A132" s="6" t="s">
        <v>317</v>
      </c>
      <c r="B132" s="6" t="s">
        <v>134</v>
      </c>
      <c r="C132" s="6" t="s">
        <v>228</v>
      </c>
      <c r="D132" s="6" t="s">
        <v>929</v>
      </c>
      <c r="E132" s="6" t="s">
        <v>318</v>
      </c>
      <c r="F132" s="7">
        <v>44664</v>
      </c>
      <c r="G132" s="7">
        <v>44670</v>
      </c>
      <c r="H132" s="6" t="s">
        <v>70</v>
      </c>
      <c r="I132" s="6" t="s">
        <v>28</v>
      </c>
      <c r="J132" s="6" t="s">
        <v>29</v>
      </c>
      <c r="K132" s="7">
        <v>44728</v>
      </c>
      <c r="L132" s="6" t="s">
        <v>24</v>
      </c>
      <c r="M132" t="b">
        <v>0</v>
      </c>
      <c r="N132" t="b">
        <v>1</v>
      </c>
      <c r="O132" t="b">
        <v>0</v>
      </c>
      <c r="P132" t="b">
        <v>0</v>
      </c>
      <c r="Q132">
        <v>131</v>
      </c>
    </row>
    <row r="133" spans="1:17" x14ac:dyDescent="0.35">
      <c r="A133" s="6" t="s">
        <v>319</v>
      </c>
      <c r="B133" s="6" t="s">
        <v>89</v>
      </c>
      <c r="C133" s="6" t="s">
        <v>228</v>
      </c>
      <c r="D133" s="6" t="s">
        <v>930</v>
      </c>
      <c r="E133" s="6" t="s">
        <v>320</v>
      </c>
      <c r="F133" s="7">
        <v>44664</v>
      </c>
      <c r="G133" s="7">
        <v>44665</v>
      </c>
      <c r="H133" s="6" t="s">
        <v>70</v>
      </c>
      <c r="I133" s="6" t="s">
        <v>34</v>
      </c>
      <c r="J133" s="6" t="s">
        <v>35</v>
      </c>
      <c r="K133" s="7">
        <v>44683</v>
      </c>
      <c r="L133" s="6" t="s">
        <v>24</v>
      </c>
      <c r="M133" t="b">
        <v>1</v>
      </c>
      <c r="N133" t="b">
        <v>1</v>
      </c>
      <c r="O133" t="b">
        <v>0</v>
      </c>
      <c r="P133" t="b">
        <v>0</v>
      </c>
      <c r="Q133">
        <v>132</v>
      </c>
    </row>
    <row r="134" spans="1:17" x14ac:dyDescent="0.35">
      <c r="A134" s="6" t="s">
        <v>321</v>
      </c>
      <c r="B134" s="6" t="s">
        <v>134</v>
      </c>
      <c r="C134" s="6" t="s">
        <v>228</v>
      </c>
      <c r="D134" s="6" t="s">
        <v>929</v>
      </c>
      <c r="E134" s="6" t="s">
        <v>322</v>
      </c>
      <c r="F134" s="7">
        <v>44664</v>
      </c>
      <c r="G134" s="7">
        <v>44665</v>
      </c>
      <c r="H134" s="6" t="s">
        <v>70</v>
      </c>
      <c r="I134" s="6" t="s">
        <v>34</v>
      </c>
      <c r="J134" s="6" t="s">
        <v>35</v>
      </c>
      <c r="K134" s="7">
        <v>44676</v>
      </c>
      <c r="L134" s="6" t="s">
        <v>24</v>
      </c>
      <c r="M134" t="b">
        <v>0</v>
      </c>
      <c r="N134" t="b">
        <v>1</v>
      </c>
      <c r="O134" t="b">
        <v>0</v>
      </c>
      <c r="P134" t="b">
        <v>0</v>
      </c>
      <c r="Q134">
        <v>133</v>
      </c>
    </row>
    <row r="135" spans="1:17" x14ac:dyDescent="0.35">
      <c r="A135" s="6" t="s">
        <v>323</v>
      </c>
      <c r="B135" s="6" t="s">
        <v>134</v>
      </c>
      <c r="C135" s="6" t="s">
        <v>102</v>
      </c>
      <c r="D135" s="6" t="s">
        <v>931</v>
      </c>
      <c r="E135" s="6" t="s">
        <v>324</v>
      </c>
      <c r="F135" s="7">
        <v>44664</v>
      </c>
      <c r="G135" s="7">
        <v>44665</v>
      </c>
      <c r="H135" s="6" t="s">
        <v>70</v>
      </c>
      <c r="I135" s="6" t="s">
        <v>28</v>
      </c>
      <c r="J135" s="6" t="s">
        <v>29</v>
      </c>
      <c r="K135" s="7">
        <v>44664</v>
      </c>
      <c r="L135" s="6" t="s">
        <v>24</v>
      </c>
      <c r="M135" t="b">
        <v>0</v>
      </c>
      <c r="N135" t="b">
        <v>1</v>
      </c>
      <c r="O135" t="b">
        <v>0</v>
      </c>
      <c r="P135" t="b">
        <v>0</v>
      </c>
      <c r="Q135">
        <v>134</v>
      </c>
    </row>
    <row r="136" spans="1:17" x14ac:dyDescent="0.35">
      <c r="A136" s="6" t="s">
        <v>325</v>
      </c>
      <c r="B136" s="6" t="s">
        <v>134</v>
      </c>
      <c r="C136" s="6" t="s">
        <v>107</v>
      </c>
      <c r="D136" s="6" t="s">
        <v>932</v>
      </c>
      <c r="E136" s="6" t="s">
        <v>204</v>
      </c>
      <c r="F136" s="7">
        <v>44664</v>
      </c>
      <c r="G136" s="7">
        <v>44666</v>
      </c>
      <c r="H136" s="6" t="s">
        <v>70</v>
      </c>
      <c r="I136" s="6" t="s">
        <v>51</v>
      </c>
      <c r="J136" s="6" t="s">
        <v>52</v>
      </c>
      <c r="K136" s="7">
        <v>44705</v>
      </c>
      <c r="L136" s="6" t="s">
        <v>24</v>
      </c>
      <c r="M136" t="b">
        <v>0</v>
      </c>
      <c r="N136" t="b">
        <v>1</v>
      </c>
      <c r="O136" t="b">
        <v>0</v>
      </c>
      <c r="P136" t="b">
        <v>0</v>
      </c>
      <c r="Q136">
        <v>135</v>
      </c>
    </row>
    <row r="137" spans="1:17" x14ac:dyDescent="0.35">
      <c r="A137" s="6" t="s">
        <v>326</v>
      </c>
      <c r="B137" s="6" t="s">
        <v>134</v>
      </c>
      <c r="C137" s="6" t="s">
        <v>107</v>
      </c>
      <c r="D137" s="6" t="s">
        <v>933</v>
      </c>
      <c r="E137" s="6" t="s">
        <v>327</v>
      </c>
      <c r="F137" s="7">
        <v>44664</v>
      </c>
      <c r="G137" s="7">
        <v>44692</v>
      </c>
      <c r="H137" s="6" t="s">
        <v>70</v>
      </c>
      <c r="I137" s="6" t="s">
        <v>111</v>
      </c>
      <c r="J137" s="6" t="s">
        <v>112</v>
      </c>
      <c r="K137" s="7">
        <v>44754</v>
      </c>
      <c r="L137" s="6" t="s">
        <v>24</v>
      </c>
      <c r="M137" t="b">
        <v>0</v>
      </c>
      <c r="N137" t="b">
        <v>1</v>
      </c>
      <c r="O137" t="b">
        <v>0</v>
      </c>
      <c r="P137" t="b">
        <v>0</v>
      </c>
      <c r="Q137">
        <v>136</v>
      </c>
    </row>
    <row r="138" spans="1:17" x14ac:dyDescent="0.35">
      <c r="A138" s="6" t="s">
        <v>328</v>
      </c>
      <c r="B138" s="6" t="s">
        <v>19</v>
      </c>
      <c r="C138" s="6" t="s">
        <v>189</v>
      </c>
      <c r="D138" s="6" t="s">
        <v>934</v>
      </c>
      <c r="E138" s="6" t="s">
        <v>329</v>
      </c>
      <c r="F138" s="7">
        <v>44664</v>
      </c>
      <c r="G138" s="7">
        <v>44671</v>
      </c>
      <c r="H138" s="6" t="s">
        <v>70</v>
      </c>
      <c r="I138" s="6" t="s">
        <v>111</v>
      </c>
      <c r="J138" s="6" t="s">
        <v>112</v>
      </c>
      <c r="K138" s="7">
        <v>44664</v>
      </c>
      <c r="L138" s="6" t="s">
        <v>24</v>
      </c>
      <c r="M138" t="b">
        <v>1</v>
      </c>
      <c r="N138" t="b">
        <v>1</v>
      </c>
      <c r="O138" t="b">
        <v>0</v>
      </c>
      <c r="P138" t="b">
        <v>0</v>
      </c>
      <c r="Q138">
        <v>137</v>
      </c>
    </row>
    <row r="139" spans="1:17" x14ac:dyDescent="0.35">
      <c r="A139" s="6" t="s">
        <v>330</v>
      </c>
      <c r="B139" s="6" t="s">
        <v>134</v>
      </c>
      <c r="C139" s="6" t="s">
        <v>107</v>
      </c>
      <c r="D139" s="6" t="s">
        <v>867</v>
      </c>
      <c r="E139" s="6" t="s">
        <v>331</v>
      </c>
      <c r="F139" s="7">
        <v>44664</v>
      </c>
      <c r="G139" s="7">
        <v>44664</v>
      </c>
      <c r="H139" s="6" t="s">
        <v>70</v>
      </c>
      <c r="I139" s="6" t="s">
        <v>51</v>
      </c>
      <c r="J139" s="6" t="s">
        <v>52</v>
      </c>
      <c r="K139" s="7">
        <v>44691</v>
      </c>
      <c r="L139" s="6" t="s">
        <v>24</v>
      </c>
      <c r="M139" t="b">
        <v>0</v>
      </c>
      <c r="N139" t="b">
        <v>1</v>
      </c>
      <c r="O139" t="b">
        <v>0</v>
      </c>
      <c r="P139" t="b">
        <v>0</v>
      </c>
      <c r="Q139">
        <v>138</v>
      </c>
    </row>
    <row r="140" spans="1:17" x14ac:dyDescent="0.35">
      <c r="A140" s="6" t="s">
        <v>332</v>
      </c>
      <c r="B140" s="6" t="s">
        <v>134</v>
      </c>
      <c r="C140" s="6" t="s">
        <v>102</v>
      </c>
      <c r="D140" s="6" t="s">
        <v>935</v>
      </c>
      <c r="E140" s="6" t="s">
        <v>333</v>
      </c>
      <c r="F140" s="7">
        <v>44663</v>
      </c>
      <c r="G140" s="7">
        <v>44664</v>
      </c>
      <c r="H140" s="6" t="s">
        <v>70</v>
      </c>
      <c r="I140" s="6" t="s">
        <v>57</v>
      </c>
      <c r="J140" s="6" t="s">
        <v>58</v>
      </c>
      <c r="K140" s="7">
        <v>44740</v>
      </c>
      <c r="L140" s="6" t="s">
        <v>24</v>
      </c>
      <c r="M140" t="b">
        <v>0</v>
      </c>
      <c r="N140" t="b">
        <v>0</v>
      </c>
      <c r="O140" t="b">
        <v>1</v>
      </c>
      <c r="P140" t="b">
        <v>0</v>
      </c>
      <c r="Q140">
        <v>139</v>
      </c>
    </row>
    <row r="141" spans="1:17" x14ac:dyDescent="0.35">
      <c r="A141" s="6" t="s">
        <v>334</v>
      </c>
      <c r="B141" s="6" t="s">
        <v>134</v>
      </c>
      <c r="C141" s="6" t="s">
        <v>102</v>
      </c>
      <c r="D141" s="6" t="s">
        <v>936</v>
      </c>
      <c r="E141" s="6" t="s">
        <v>335</v>
      </c>
      <c r="F141" s="7">
        <v>44663</v>
      </c>
      <c r="G141" s="7">
        <v>44664</v>
      </c>
      <c r="H141" s="6" t="s">
        <v>70</v>
      </c>
      <c r="I141" s="6" t="s">
        <v>57</v>
      </c>
      <c r="J141" s="6" t="s">
        <v>58</v>
      </c>
      <c r="K141" s="7">
        <v>44740</v>
      </c>
      <c r="L141" s="6" t="s">
        <v>24</v>
      </c>
      <c r="M141" t="b">
        <v>0</v>
      </c>
      <c r="N141" t="b">
        <v>1</v>
      </c>
      <c r="O141" t="b">
        <v>1</v>
      </c>
      <c r="P141" t="b">
        <v>0</v>
      </c>
      <c r="Q141">
        <v>140</v>
      </c>
    </row>
    <row r="142" spans="1:17" x14ac:dyDescent="0.35">
      <c r="A142" s="6" t="s">
        <v>336</v>
      </c>
      <c r="B142" s="6" t="s">
        <v>134</v>
      </c>
      <c r="C142" s="6" t="s">
        <v>66</v>
      </c>
      <c r="D142" s="6" t="s">
        <v>937</v>
      </c>
      <c r="E142" s="6" t="s">
        <v>337</v>
      </c>
      <c r="F142" s="7">
        <v>44663</v>
      </c>
      <c r="G142" s="7">
        <v>44670</v>
      </c>
      <c r="H142" s="6" t="s">
        <v>70</v>
      </c>
      <c r="I142" s="6" t="s">
        <v>57</v>
      </c>
      <c r="J142" s="6" t="s">
        <v>58</v>
      </c>
      <c r="K142" s="7">
        <v>44666</v>
      </c>
      <c r="L142" s="6" t="s">
        <v>24</v>
      </c>
      <c r="M142" t="b">
        <v>0</v>
      </c>
      <c r="N142" t="b">
        <v>0</v>
      </c>
      <c r="O142" t="b">
        <v>0</v>
      </c>
      <c r="P142" t="b">
        <v>0</v>
      </c>
      <c r="Q142">
        <v>141</v>
      </c>
    </row>
    <row r="143" spans="1:17" x14ac:dyDescent="0.35">
      <c r="A143" s="6" t="s">
        <v>338</v>
      </c>
      <c r="B143" s="6" t="s">
        <v>134</v>
      </c>
      <c r="C143" s="6" t="s">
        <v>107</v>
      </c>
      <c r="D143" s="6" t="s">
        <v>938</v>
      </c>
      <c r="E143" s="6" t="s">
        <v>339</v>
      </c>
      <c r="F143" s="7">
        <v>44663</v>
      </c>
      <c r="G143" s="7">
        <v>44663</v>
      </c>
      <c r="H143" s="6" t="s">
        <v>70</v>
      </c>
      <c r="I143" s="6" t="s">
        <v>34</v>
      </c>
      <c r="J143" s="6" t="s">
        <v>117</v>
      </c>
      <c r="K143" s="7">
        <v>44691</v>
      </c>
      <c r="L143" s="6" t="s">
        <v>24</v>
      </c>
      <c r="M143" t="b">
        <v>0</v>
      </c>
      <c r="N143" t="b">
        <v>0</v>
      </c>
      <c r="O143" t="b">
        <v>0</v>
      </c>
      <c r="P143" t="b">
        <v>0</v>
      </c>
      <c r="Q143">
        <v>142</v>
      </c>
    </row>
    <row r="144" spans="1:17" x14ac:dyDescent="0.35">
      <c r="A144" s="6" t="s">
        <v>340</v>
      </c>
      <c r="B144" s="6" t="s">
        <v>134</v>
      </c>
      <c r="C144" s="6" t="s">
        <v>107</v>
      </c>
      <c r="D144" s="6" t="s">
        <v>895</v>
      </c>
      <c r="E144" s="6" t="s">
        <v>341</v>
      </c>
      <c r="F144" s="7">
        <v>44662</v>
      </c>
      <c r="G144" s="7">
        <v>44663</v>
      </c>
      <c r="H144" s="6" t="s">
        <v>70</v>
      </c>
      <c r="I144" s="6" t="s">
        <v>34</v>
      </c>
      <c r="J144" s="6" t="s">
        <v>35</v>
      </c>
      <c r="K144" s="7">
        <v>44666</v>
      </c>
      <c r="L144" s="6" t="s">
        <v>24</v>
      </c>
      <c r="M144" t="b">
        <v>0</v>
      </c>
      <c r="N144" t="b">
        <v>0</v>
      </c>
      <c r="O144" t="b">
        <v>0</v>
      </c>
      <c r="P144" t="b">
        <v>0</v>
      </c>
      <c r="Q144">
        <v>143</v>
      </c>
    </row>
    <row r="145" spans="1:17" x14ac:dyDescent="0.35">
      <c r="A145" s="6" t="s">
        <v>342</v>
      </c>
      <c r="B145" s="6" t="s">
        <v>19</v>
      </c>
      <c r="C145" s="6" t="s">
        <v>349</v>
      </c>
      <c r="D145" s="6" t="s">
        <v>939</v>
      </c>
      <c r="E145" s="6" t="s">
        <v>343</v>
      </c>
      <c r="F145" s="7">
        <v>44662</v>
      </c>
      <c r="G145" s="7">
        <v>44669</v>
      </c>
      <c r="H145" s="6" t="s">
        <v>70</v>
      </c>
      <c r="I145" s="6" t="s">
        <v>195</v>
      </c>
      <c r="J145" s="6" t="s">
        <v>236</v>
      </c>
      <c r="K145" s="7">
        <v>44662</v>
      </c>
      <c r="L145" s="6" t="s">
        <v>24</v>
      </c>
      <c r="M145" t="b">
        <v>1</v>
      </c>
      <c r="N145" t="b">
        <v>1</v>
      </c>
      <c r="O145" t="b">
        <v>0</v>
      </c>
      <c r="P145" t="b">
        <v>0</v>
      </c>
      <c r="Q145">
        <v>144</v>
      </c>
    </row>
    <row r="146" spans="1:17" x14ac:dyDescent="0.35">
      <c r="A146" s="6" t="s">
        <v>344</v>
      </c>
      <c r="B146" s="6" t="s">
        <v>19</v>
      </c>
      <c r="C146" s="6" t="s">
        <v>349</v>
      </c>
      <c r="D146" s="6" t="s">
        <v>939</v>
      </c>
      <c r="E146" s="6" t="s">
        <v>345</v>
      </c>
      <c r="F146" s="7">
        <v>44662</v>
      </c>
      <c r="G146" s="7">
        <v>44669</v>
      </c>
      <c r="H146" s="6" t="s">
        <v>70</v>
      </c>
      <c r="I146" s="6" t="s">
        <v>22</v>
      </c>
      <c r="J146" s="6" t="s">
        <v>130</v>
      </c>
      <c r="K146" s="7">
        <v>44662</v>
      </c>
      <c r="L146" s="6" t="s">
        <v>24</v>
      </c>
      <c r="M146" t="b">
        <v>1</v>
      </c>
      <c r="N146" t="b">
        <v>1</v>
      </c>
      <c r="O146" t="b">
        <v>0</v>
      </c>
      <c r="P146" t="b">
        <v>0</v>
      </c>
      <c r="Q146">
        <v>145</v>
      </c>
    </row>
    <row r="147" spans="1:17" x14ac:dyDescent="0.35">
      <c r="A147" s="6" t="s">
        <v>346</v>
      </c>
      <c r="B147" s="6" t="s">
        <v>19</v>
      </c>
      <c r="C147" s="6" t="s">
        <v>349</v>
      </c>
      <c r="D147" s="6" t="s">
        <v>939</v>
      </c>
      <c r="E147" s="6" t="s">
        <v>347</v>
      </c>
      <c r="F147" s="7">
        <v>44662</v>
      </c>
      <c r="G147" s="7">
        <v>44669</v>
      </c>
      <c r="H147" s="6" t="s">
        <v>70</v>
      </c>
      <c r="I147" s="6" t="s">
        <v>22</v>
      </c>
      <c r="J147" s="6" t="s">
        <v>130</v>
      </c>
      <c r="K147" s="7">
        <v>44662</v>
      </c>
      <c r="L147" s="6" t="s">
        <v>24</v>
      </c>
      <c r="M147" t="b">
        <v>1</v>
      </c>
      <c r="N147" t="b">
        <v>1</v>
      </c>
      <c r="O147" t="b">
        <v>0</v>
      </c>
      <c r="P147" t="b">
        <v>0</v>
      </c>
      <c r="Q147">
        <v>146</v>
      </c>
    </row>
    <row r="148" spans="1:17" x14ac:dyDescent="0.35">
      <c r="A148" s="6" t="s">
        <v>348</v>
      </c>
      <c r="B148" s="6" t="s">
        <v>19</v>
      </c>
      <c r="C148" s="6" t="s">
        <v>349</v>
      </c>
      <c r="D148" s="6"/>
      <c r="E148" s="6" t="s">
        <v>350</v>
      </c>
      <c r="F148" s="7">
        <v>44662</v>
      </c>
      <c r="G148" s="7">
        <v>44669</v>
      </c>
      <c r="H148" s="6" t="s">
        <v>70</v>
      </c>
      <c r="I148" s="6" t="s">
        <v>195</v>
      </c>
      <c r="J148" s="6" t="s">
        <v>236</v>
      </c>
      <c r="K148" s="7">
        <v>44662</v>
      </c>
      <c r="L148" s="6" t="s">
        <v>24</v>
      </c>
      <c r="M148" t="b">
        <v>1</v>
      </c>
      <c r="N148" t="b">
        <v>1</v>
      </c>
      <c r="O148" t="b">
        <v>0</v>
      </c>
      <c r="P148" t="b">
        <v>0</v>
      </c>
      <c r="Q148">
        <v>147</v>
      </c>
    </row>
    <row r="149" spans="1:17" x14ac:dyDescent="0.35">
      <c r="A149" s="6" t="s">
        <v>351</v>
      </c>
      <c r="B149" s="6" t="s">
        <v>89</v>
      </c>
      <c r="C149" s="6" t="s">
        <v>107</v>
      </c>
      <c r="D149" s="6" t="s">
        <v>894</v>
      </c>
      <c r="E149" s="6" t="s">
        <v>352</v>
      </c>
      <c r="F149" s="7">
        <v>44662</v>
      </c>
      <c r="G149" s="7">
        <v>44669</v>
      </c>
      <c r="H149" s="6" t="s">
        <v>70</v>
      </c>
      <c r="I149" s="6" t="s">
        <v>51</v>
      </c>
      <c r="J149" s="6" t="s">
        <v>52</v>
      </c>
      <c r="K149" s="7">
        <v>44782</v>
      </c>
      <c r="L149" s="6" t="s">
        <v>24</v>
      </c>
      <c r="M149" t="b">
        <v>1</v>
      </c>
      <c r="N149" t="b">
        <v>1</v>
      </c>
      <c r="O149" t="b">
        <v>1</v>
      </c>
      <c r="P149" t="b">
        <v>0</v>
      </c>
      <c r="Q149">
        <v>148</v>
      </c>
    </row>
    <row r="150" spans="1:17" x14ac:dyDescent="0.35">
      <c r="A150" s="6" t="s">
        <v>353</v>
      </c>
      <c r="B150" s="6" t="s">
        <v>89</v>
      </c>
      <c r="C150" s="6" t="s">
        <v>66</v>
      </c>
      <c r="D150" s="6" t="s">
        <v>940</v>
      </c>
      <c r="E150" s="6" t="s">
        <v>354</v>
      </c>
      <c r="F150" s="7">
        <v>44662</v>
      </c>
      <c r="G150" s="7">
        <v>44663</v>
      </c>
      <c r="H150" s="6" t="s">
        <v>70</v>
      </c>
      <c r="I150" s="6" t="s">
        <v>195</v>
      </c>
      <c r="J150" s="6" t="s">
        <v>196</v>
      </c>
      <c r="K150" s="7">
        <v>44754</v>
      </c>
      <c r="L150" s="6" t="s">
        <v>24</v>
      </c>
      <c r="M150" t="b">
        <v>1</v>
      </c>
      <c r="N150" t="b">
        <v>1</v>
      </c>
      <c r="O150" t="b">
        <v>0</v>
      </c>
      <c r="P150" t="b">
        <v>0</v>
      </c>
      <c r="Q150">
        <v>149</v>
      </c>
    </row>
    <row r="151" spans="1:17" x14ac:dyDescent="0.35">
      <c r="A151" s="6" t="s">
        <v>355</v>
      </c>
      <c r="B151" s="6" t="s">
        <v>89</v>
      </c>
      <c r="C151" s="6" t="s">
        <v>66</v>
      </c>
      <c r="D151" s="6" t="s">
        <v>941</v>
      </c>
      <c r="E151" s="6" t="s">
        <v>356</v>
      </c>
      <c r="F151" s="7">
        <v>44662</v>
      </c>
      <c r="G151" s="7">
        <v>44663</v>
      </c>
      <c r="H151" s="6" t="s">
        <v>70</v>
      </c>
      <c r="I151" s="6" t="s">
        <v>34</v>
      </c>
      <c r="J151" s="6" t="s">
        <v>35</v>
      </c>
      <c r="K151" s="7">
        <v>44664</v>
      </c>
      <c r="L151" s="6" t="s">
        <v>24</v>
      </c>
      <c r="M151" t="b">
        <v>1</v>
      </c>
      <c r="N151" t="b">
        <v>1</v>
      </c>
      <c r="O151" t="b">
        <v>1</v>
      </c>
      <c r="P151" t="b">
        <v>0</v>
      </c>
      <c r="Q151">
        <v>150</v>
      </c>
    </row>
    <row r="152" spans="1:17" x14ac:dyDescent="0.35">
      <c r="A152" s="6" t="s">
        <v>357</v>
      </c>
      <c r="B152" s="6" t="s">
        <v>134</v>
      </c>
      <c r="C152" s="6" t="s">
        <v>228</v>
      </c>
      <c r="D152" s="6" t="s">
        <v>942</v>
      </c>
      <c r="E152" s="6" t="s">
        <v>358</v>
      </c>
      <c r="F152" s="7">
        <v>44662</v>
      </c>
      <c r="G152" s="7">
        <v>44663</v>
      </c>
      <c r="H152" s="6" t="s">
        <v>70</v>
      </c>
      <c r="I152" s="6" t="s">
        <v>57</v>
      </c>
      <c r="J152" s="6" t="s">
        <v>58</v>
      </c>
      <c r="K152" s="7">
        <v>44740</v>
      </c>
      <c r="L152" s="6" t="s">
        <v>24</v>
      </c>
      <c r="M152" t="b">
        <v>0</v>
      </c>
      <c r="N152" t="b">
        <v>1</v>
      </c>
      <c r="O152" t="b">
        <v>0</v>
      </c>
      <c r="P152" t="b">
        <v>0</v>
      </c>
      <c r="Q152">
        <v>151</v>
      </c>
    </row>
    <row r="153" spans="1:17" x14ac:dyDescent="0.35">
      <c r="A153" s="6" t="s">
        <v>359</v>
      </c>
      <c r="B153" s="6" t="s">
        <v>134</v>
      </c>
      <c r="C153" s="6" t="s">
        <v>228</v>
      </c>
      <c r="D153" s="6" t="s">
        <v>942</v>
      </c>
      <c r="E153" s="6" t="s">
        <v>358</v>
      </c>
      <c r="F153" s="7">
        <v>44662</v>
      </c>
      <c r="G153" s="7">
        <v>44663</v>
      </c>
      <c r="H153" s="6" t="s">
        <v>70</v>
      </c>
      <c r="I153" s="6" t="s">
        <v>57</v>
      </c>
      <c r="J153" s="6" t="s">
        <v>58</v>
      </c>
      <c r="K153" s="7">
        <v>44740</v>
      </c>
      <c r="L153" s="6" t="s">
        <v>24</v>
      </c>
      <c r="M153" t="b">
        <v>0</v>
      </c>
      <c r="N153" t="b">
        <v>1</v>
      </c>
      <c r="O153" t="b">
        <v>1</v>
      </c>
      <c r="P153" t="b">
        <v>0</v>
      </c>
      <c r="Q153">
        <v>152</v>
      </c>
    </row>
    <row r="154" spans="1:17" x14ac:dyDescent="0.35">
      <c r="A154" s="6" t="s">
        <v>360</v>
      </c>
      <c r="B154" s="6" t="s">
        <v>19</v>
      </c>
      <c r="C154" s="6" t="s">
        <v>73</v>
      </c>
      <c r="D154" s="6"/>
      <c r="E154" s="6" t="s">
        <v>361</v>
      </c>
      <c r="F154" s="7">
        <v>44662</v>
      </c>
      <c r="G154" s="7">
        <v>44666</v>
      </c>
      <c r="H154" s="6" t="s">
        <v>70</v>
      </c>
      <c r="I154" s="6" t="s">
        <v>111</v>
      </c>
      <c r="J154" s="6" t="s">
        <v>112</v>
      </c>
      <c r="K154" s="7">
        <v>44662</v>
      </c>
      <c r="L154" s="6" t="s">
        <v>24</v>
      </c>
      <c r="M154" t="b">
        <v>1</v>
      </c>
      <c r="N154" t="b">
        <v>1</v>
      </c>
      <c r="O154" t="b">
        <v>0</v>
      </c>
      <c r="P154" t="b">
        <v>0</v>
      </c>
      <c r="Q154">
        <v>153</v>
      </c>
    </row>
    <row r="155" spans="1:17" x14ac:dyDescent="0.35">
      <c r="A155" s="6" t="s">
        <v>362</v>
      </c>
      <c r="B155" s="6" t="s">
        <v>19</v>
      </c>
      <c r="C155" s="6" t="s">
        <v>349</v>
      </c>
      <c r="D155" s="6" t="s">
        <v>909</v>
      </c>
      <c r="E155" s="6" t="s">
        <v>363</v>
      </c>
      <c r="F155" s="7">
        <v>44662</v>
      </c>
      <c r="G155" s="7">
        <v>44673</v>
      </c>
      <c r="H155" s="6" t="s">
        <v>70</v>
      </c>
      <c r="I155" s="6" t="s">
        <v>22</v>
      </c>
      <c r="J155" s="6" t="s">
        <v>130</v>
      </c>
      <c r="K155" s="7">
        <v>44662</v>
      </c>
      <c r="L155" s="6" t="s">
        <v>24</v>
      </c>
      <c r="M155" t="b">
        <v>1</v>
      </c>
      <c r="N155" t="b">
        <v>1</v>
      </c>
      <c r="O155" t="b">
        <v>0</v>
      </c>
      <c r="P155" t="b">
        <v>0</v>
      </c>
      <c r="Q155">
        <v>154</v>
      </c>
    </row>
    <row r="156" spans="1:17" x14ac:dyDescent="0.35">
      <c r="A156" s="6" t="s">
        <v>364</v>
      </c>
      <c r="B156" s="6" t="s">
        <v>19</v>
      </c>
      <c r="C156" s="6" t="s">
        <v>186</v>
      </c>
      <c r="D156" s="6" t="s">
        <v>943</v>
      </c>
      <c r="E156" s="6" t="s">
        <v>365</v>
      </c>
      <c r="F156" s="7">
        <v>44657</v>
      </c>
      <c r="G156" s="7">
        <v>44664</v>
      </c>
      <c r="H156" s="6" t="s">
        <v>70</v>
      </c>
      <c r="I156" s="6" t="s">
        <v>91</v>
      </c>
      <c r="J156" s="6" t="s">
        <v>92</v>
      </c>
      <c r="K156" s="7">
        <v>44657</v>
      </c>
      <c r="L156" s="6" t="s">
        <v>24</v>
      </c>
      <c r="M156" t="b">
        <v>1</v>
      </c>
      <c r="N156" t="b">
        <v>1</v>
      </c>
      <c r="O156" t="b">
        <v>0</v>
      </c>
      <c r="P156" t="b">
        <v>0</v>
      </c>
      <c r="Q156">
        <v>155</v>
      </c>
    </row>
    <row r="157" spans="1:17" x14ac:dyDescent="0.35">
      <c r="A157" s="6" t="s">
        <v>366</v>
      </c>
      <c r="B157" s="6" t="s">
        <v>134</v>
      </c>
      <c r="C157" s="6" t="s">
        <v>66</v>
      </c>
      <c r="D157" s="6" t="s">
        <v>941</v>
      </c>
      <c r="E157" s="6" t="s">
        <v>367</v>
      </c>
      <c r="F157" s="7">
        <v>44656</v>
      </c>
      <c r="G157" s="7">
        <v>44663</v>
      </c>
      <c r="H157" s="6" t="s">
        <v>70</v>
      </c>
      <c r="I157" s="6" t="s">
        <v>91</v>
      </c>
      <c r="J157" s="6" t="s">
        <v>92</v>
      </c>
      <c r="K157" s="7">
        <v>44670</v>
      </c>
      <c r="L157" s="6" t="s">
        <v>24</v>
      </c>
      <c r="M157" t="b">
        <v>0</v>
      </c>
      <c r="N157" t="b">
        <v>1</v>
      </c>
      <c r="O157" t="b">
        <v>1</v>
      </c>
      <c r="P157" t="b">
        <v>0</v>
      </c>
      <c r="Q157">
        <v>156</v>
      </c>
    </row>
    <row r="158" spans="1:17" x14ac:dyDescent="0.35">
      <c r="A158" s="6" t="s">
        <v>368</v>
      </c>
      <c r="B158" s="6" t="s">
        <v>134</v>
      </c>
      <c r="C158" s="6" t="s">
        <v>66</v>
      </c>
      <c r="D158" s="6" t="s">
        <v>941</v>
      </c>
      <c r="E158" s="6" t="s">
        <v>369</v>
      </c>
      <c r="F158" s="7">
        <v>44656</v>
      </c>
      <c r="G158" s="7">
        <v>44663</v>
      </c>
      <c r="H158" s="6" t="s">
        <v>70</v>
      </c>
      <c r="I158" s="6" t="s">
        <v>195</v>
      </c>
      <c r="J158" s="6" t="s">
        <v>196</v>
      </c>
      <c r="K158" s="7">
        <v>44672</v>
      </c>
      <c r="L158" s="6" t="s">
        <v>24</v>
      </c>
      <c r="M158" t="b">
        <v>0</v>
      </c>
      <c r="N158" t="b">
        <v>1</v>
      </c>
      <c r="O158" t="b">
        <v>0</v>
      </c>
      <c r="P158" t="b">
        <v>0</v>
      </c>
      <c r="Q158">
        <v>157</v>
      </c>
    </row>
    <row r="159" spans="1:17" x14ac:dyDescent="0.35">
      <c r="A159" s="6" t="s">
        <v>370</v>
      </c>
      <c r="B159" s="6" t="s">
        <v>134</v>
      </c>
      <c r="C159" s="6" t="s">
        <v>66</v>
      </c>
      <c r="D159" s="6" t="s">
        <v>941</v>
      </c>
      <c r="E159" s="6" t="s">
        <v>371</v>
      </c>
      <c r="F159" s="7">
        <v>44656</v>
      </c>
      <c r="G159" s="7">
        <v>44663</v>
      </c>
      <c r="H159" s="6" t="s">
        <v>70</v>
      </c>
      <c r="I159" s="6" t="s">
        <v>91</v>
      </c>
      <c r="J159" s="6" t="s">
        <v>184</v>
      </c>
      <c r="K159" s="7">
        <v>44670</v>
      </c>
      <c r="L159" s="6" t="s">
        <v>24</v>
      </c>
      <c r="M159" t="b">
        <v>0</v>
      </c>
      <c r="N159" t="b">
        <v>0</v>
      </c>
      <c r="O159" t="b">
        <v>1</v>
      </c>
      <c r="P159" t="b">
        <v>0</v>
      </c>
      <c r="Q159">
        <v>158</v>
      </c>
    </row>
    <row r="160" spans="1:17" x14ac:dyDescent="0.35">
      <c r="A160" s="6" t="s">
        <v>372</v>
      </c>
      <c r="B160" s="6" t="s">
        <v>134</v>
      </c>
      <c r="C160" s="6" t="s">
        <v>66</v>
      </c>
      <c r="D160" s="6" t="s">
        <v>941</v>
      </c>
      <c r="E160" s="6" t="s">
        <v>373</v>
      </c>
      <c r="F160" s="7">
        <v>44656</v>
      </c>
      <c r="G160" s="7">
        <v>44663</v>
      </c>
      <c r="H160" s="6" t="s">
        <v>70</v>
      </c>
      <c r="I160" s="6" t="s">
        <v>57</v>
      </c>
      <c r="J160" s="6" t="s">
        <v>58</v>
      </c>
      <c r="K160" s="7">
        <v>44728</v>
      </c>
      <c r="L160" s="6" t="s">
        <v>24</v>
      </c>
      <c r="M160" t="b">
        <v>0</v>
      </c>
      <c r="N160" t="b">
        <v>1</v>
      </c>
      <c r="O160" t="b">
        <v>1</v>
      </c>
      <c r="P160" t="b">
        <v>0</v>
      </c>
      <c r="Q160">
        <v>159</v>
      </c>
    </row>
    <row r="161" spans="1:17" x14ac:dyDescent="0.35">
      <c r="A161" s="6" t="s">
        <v>374</v>
      </c>
      <c r="B161" s="6" t="s">
        <v>134</v>
      </c>
      <c r="C161" s="6" t="s">
        <v>66</v>
      </c>
      <c r="D161" s="6" t="s">
        <v>937</v>
      </c>
      <c r="E161" s="6" t="s">
        <v>375</v>
      </c>
      <c r="F161" s="7">
        <v>44655</v>
      </c>
      <c r="G161" s="7">
        <v>44662</v>
      </c>
      <c r="H161" s="6" t="s">
        <v>70</v>
      </c>
      <c r="I161" s="6" t="s">
        <v>57</v>
      </c>
      <c r="J161" s="6" t="s">
        <v>58</v>
      </c>
      <c r="K161" s="7">
        <v>44784</v>
      </c>
      <c r="L161" s="6" t="s">
        <v>24</v>
      </c>
      <c r="M161" t="b">
        <v>0</v>
      </c>
      <c r="N161" t="b">
        <v>1</v>
      </c>
      <c r="O161" t="b">
        <v>1</v>
      </c>
      <c r="P161" t="b">
        <v>0</v>
      </c>
      <c r="Q161">
        <v>160</v>
      </c>
    </row>
    <row r="162" spans="1:17" x14ac:dyDescent="0.35">
      <c r="A162" s="6" t="s">
        <v>376</v>
      </c>
      <c r="B162" s="6" t="s">
        <v>89</v>
      </c>
      <c r="C162" s="6" t="s">
        <v>228</v>
      </c>
      <c r="D162" s="6" t="s">
        <v>944</v>
      </c>
      <c r="E162" s="6" t="s">
        <v>377</v>
      </c>
      <c r="F162" s="7">
        <v>44652</v>
      </c>
      <c r="G162" s="7">
        <v>44656</v>
      </c>
      <c r="H162" s="6" t="s">
        <v>70</v>
      </c>
      <c r="I162" s="6" t="s">
        <v>44</v>
      </c>
      <c r="J162" s="6" t="s">
        <v>45</v>
      </c>
      <c r="K162" s="7">
        <v>44789</v>
      </c>
      <c r="L162" s="6" t="s">
        <v>24</v>
      </c>
      <c r="M162" t="b">
        <v>1</v>
      </c>
      <c r="N162" t="b">
        <v>1</v>
      </c>
      <c r="O162" t="b">
        <v>0</v>
      </c>
      <c r="P162" t="b">
        <v>0</v>
      </c>
      <c r="Q162">
        <v>161</v>
      </c>
    </row>
    <row r="163" spans="1:17" x14ac:dyDescent="0.35">
      <c r="A163" s="6" t="s">
        <v>378</v>
      </c>
      <c r="B163" s="6" t="s">
        <v>19</v>
      </c>
      <c r="C163" s="6" t="s">
        <v>66</v>
      </c>
      <c r="D163" s="6" t="s">
        <v>945</v>
      </c>
      <c r="E163" s="6" t="s">
        <v>379</v>
      </c>
      <c r="F163" s="7">
        <v>44652</v>
      </c>
      <c r="G163" s="7">
        <v>44659</v>
      </c>
      <c r="H163" s="6" t="s">
        <v>70</v>
      </c>
      <c r="I163" s="6" t="s">
        <v>44</v>
      </c>
      <c r="J163" s="6" t="s">
        <v>45</v>
      </c>
      <c r="K163" s="7">
        <v>44652</v>
      </c>
      <c r="L163" s="6" t="s">
        <v>24</v>
      </c>
      <c r="M163" t="b">
        <v>1</v>
      </c>
      <c r="N163" t="b">
        <v>0</v>
      </c>
      <c r="O163" t="b">
        <v>0</v>
      </c>
      <c r="P163" t="b">
        <v>0</v>
      </c>
      <c r="Q163">
        <v>162</v>
      </c>
    </row>
    <row r="164" spans="1:17" x14ac:dyDescent="0.35">
      <c r="A164" s="6" t="s">
        <v>380</v>
      </c>
      <c r="B164" s="6" t="s">
        <v>19</v>
      </c>
      <c r="C164" s="6" t="s">
        <v>349</v>
      </c>
      <c r="D164" s="6" t="s">
        <v>909</v>
      </c>
      <c r="E164" s="6" t="s">
        <v>381</v>
      </c>
      <c r="F164" s="7">
        <v>44652</v>
      </c>
      <c r="G164" s="7">
        <v>44666</v>
      </c>
      <c r="H164" s="6" t="s">
        <v>70</v>
      </c>
      <c r="I164" s="6" t="s">
        <v>22</v>
      </c>
      <c r="J164" s="6" t="s">
        <v>130</v>
      </c>
      <c r="K164" s="7">
        <v>44652</v>
      </c>
      <c r="L164" s="6" t="s">
        <v>24</v>
      </c>
      <c r="M164" t="b">
        <v>1</v>
      </c>
      <c r="N164" t="b">
        <v>0</v>
      </c>
      <c r="O164" t="b">
        <v>0</v>
      </c>
      <c r="P164" t="b">
        <v>0</v>
      </c>
      <c r="Q164">
        <v>163</v>
      </c>
    </row>
    <row r="165" spans="1:17" x14ac:dyDescent="0.35">
      <c r="A165" s="6" t="s">
        <v>382</v>
      </c>
      <c r="B165" s="6" t="s">
        <v>89</v>
      </c>
      <c r="C165" s="6" t="s">
        <v>157</v>
      </c>
      <c r="D165" s="6" t="s">
        <v>946</v>
      </c>
      <c r="E165" s="6" t="s">
        <v>383</v>
      </c>
      <c r="F165" s="7">
        <v>44652</v>
      </c>
      <c r="G165" s="7">
        <v>44659</v>
      </c>
      <c r="H165" s="6" t="s">
        <v>70</v>
      </c>
      <c r="I165" s="6" t="s">
        <v>195</v>
      </c>
      <c r="J165" s="6" t="s">
        <v>236</v>
      </c>
      <c r="K165" s="7">
        <v>44686</v>
      </c>
      <c r="L165" s="6" t="s">
        <v>24</v>
      </c>
      <c r="M165" t="b">
        <v>1</v>
      </c>
      <c r="N165" t="b">
        <v>0</v>
      </c>
      <c r="O165" t="b">
        <v>1</v>
      </c>
      <c r="P165" t="b">
        <v>0</v>
      </c>
      <c r="Q165">
        <v>164</v>
      </c>
    </row>
    <row r="166" spans="1:17" x14ac:dyDescent="0.35">
      <c r="A166" s="6" t="s">
        <v>384</v>
      </c>
      <c r="B166" s="6" t="s">
        <v>19</v>
      </c>
      <c r="C166" s="6" t="s">
        <v>157</v>
      </c>
      <c r="D166" s="6" t="s">
        <v>947</v>
      </c>
      <c r="E166" s="6" t="s">
        <v>385</v>
      </c>
      <c r="F166" s="7">
        <v>44652</v>
      </c>
      <c r="G166" s="7">
        <v>44659</v>
      </c>
      <c r="H166" s="6" t="s">
        <v>70</v>
      </c>
      <c r="I166" s="6" t="s">
        <v>195</v>
      </c>
      <c r="J166" s="6" t="s">
        <v>236</v>
      </c>
      <c r="K166" s="7">
        <v>44652</v>
      </c>
      <c r="L166" s="6" t="s">
        <v>24</v>
      </c>
      <c r="M166" t="b">
        <v>1</v>
      </c>
      <c r="N166" t="b">
        <v>0</v>
      </c>
      <c r="O166" t="b">
        <v>1</v>
      </c>
      <c r="P166" t="b">
        <v>0</v>
      </c>
      <c r="Q166">
        <v>165</v>
      </c>
    </row>
    <row r="167" spans="1:17" x14ac:dyDescent="0.35">
      <c r="A167" s="6" t="s">
        <v>386</v>
      </c>
      <c r="B167" s="6" t="s">
        <v>134</v>
      </c>
      <c r="C167" s="6" t="s">
        <v>66</v>
      </c>
      <c r="D167" s="6"/>
      <c r="E167" s="6" t="s">
        <v>387</v>
      </c>
      <c r="F167" s="7">
        <v>44652</v>
      </c>
      <c r="G167" s="7">
        <v>44659</v>
      </c>
      <c r="H167" s="6" t="s">
        <v>70</v>
      </c>
      <c r="I167" s="6" t="s">
        <v>44</v>
      </c>
      <c r="J167" s="6" t="s">
        <v>45</v>
      </c>
      <c r="K167" s="7">
        <v>44666</v>
      </c>
      <c r="L167" s="6" t="s">
        <v>24</v>
      </c>
      <c r="M167" t="b">
        <v>0</v>
      </c>
      <c r="N167" t="b">
        <v>1</v>
      </c>
      <c r="O167" t="b">
        <v>1</v>
      </c>
      <c r="P167" t="b">
        <v>0</v>
      </c>
      <c r="Q167">
        <v>166</v>
      </c>
    </row>
    <row r="168" spans="1:17" x14ac:dyDescent="0.35">
      <c r="A168" s="6" t="s">
        <v>388</v>
      </c>
      <c r="B168" s="6" t="s">
        <v>134</v>
      </c>
      <c r="C168" s="6" t="s">
        <v>107</v>
      </c>
      <c r="D168" s="6" t="s">
        <v>913</v>
      </c>
      <c r="E168" s="6" t="s">
        <v>389</v>
      </c>
      <c r="F168" s="7">
        <v>44652</v>
      </c>
      <c r="G168" s="7">
        <v>44659</v>
      </c>
      <c r="H168" s="6" t="s">
        <v>70</v>
      </c>
      <c r="I168" s="6" t="s">
        <v>28</v>
      </c>
      <c r="J168" s="6" t="s">
        <v>29</v>
      </c>
      <c r="K168" s="7">
        <v>44687</v>
      </c>
      <c r="L168" s="6" t="s">
        <v>24</v>
      </c>
      <c r="M168" t="b">
        <v>0</v>
      </c>
      <c r="N168" t="b">
        <v>1</v>
      </c>
      <c r="O168" t="b">
        <v>0</v>
      </c>
      <c r="P168" t="b">
        <v>0</v>
      </c>
      <c r="Q168">
        <v>167</v>
      </c>
    </row>
    <row r="169" spans="1:17" x14ac:dyDescent="0.35">
      <c r="A169" s="6" t="s">
        <v>390</v>
      </c>
      <c r="B169" s="6" t="s">
        <v>134</v>
      </c>
      <c r="C169" s="6" t="s">
        <v>228</v>
      </c>
      <c r="D169" s="6" t="s">
        <v>948</v>
      </c>
      <c r="E169" s="6" t="s">
        <v>391</v>
      </c>
      <c r="F169" s="7">
        <v>44652</v>
      </c>
      <c r="G169" s="7">
        <v>44659</v>
      </c>
      <c r="H169" s="6" t="s">
        <v>70</v>
      </c>
      <c r="I169" s="6" t="s">
        <v>34</v>
      </c>
      <c r="J169" s="6" t="s">
        <v>35</v>
      </c>
      <c r="K169" s="7">
        <v>44728</v>
      </c>
      <c r="L169" s="6" t="s">
        <v>24</v>
      </c>
      <c r="M169" t="b">
        <v>0</v>
      </c>
      <c r="N169" t="b">
        <v>1</v>
      </c>
      <c r="O169" t="b">
        <v>0</v>
      </c>
      <c r="P169" t="b">
        <v>0</v>
      </c>
      <c r="Q169">
        <v>168</v>
      </c>
    </row>
    <row r="170" spans="1:17" x14ac:dyDescent="0.35">
      <c r="A170" s="6" t="s">
        <v>392</v>
      </c>
      <c r="B170" s="6" t="s">
        <v>19</v>
      </c>
      <c r="C170" s="6" t="s">
        <v>189</v>
      </c>
      <c r="D170" s="6" t="s">
        <v>949</v>
      </c>
      <c r="E170" s="6" t="s">
        <v>393</v>
      </c>
      <c r="F170" s="7">
        <v>44652</v>
      </c>
      <c r="G170" s="7">
        <v>44659</v>
      </c>
      <c r="H170" s="6" t="s">
        <v>70</v>
      </c>
      <c r="I170" s="6" t="s">
        <v>22</v>
      </c>
      <c r="J170" s="6" t="s">
        <v>130</v>
      </c>
      <c r="K170" s="7">
        <v>44652</v>
      </c>
      <c r="L170" s="6" t="s">
        <v>24</v>
      </c>
      <c r="M170" t="b">
        <v>1</v>
      </c>
      <c r="N170" t="b">
        <v>1</v>
      </c>
      <c r="O170" t="b">
        <v>0</v>
      </c>
      <c r="P170" t="b">
        <v>0</v>
      </c>
      <c r="Q170">
        <v>169</v>
      </c>
    </row>
    <row r="171" spans="1:17" x14ac:dyDescent="0.35">
      <c r="A171" s="6" t="s">
        <v>394</v>
      </c>
      <c r="B171" s="6" t="s">
        <v>134</v>
      </c>
      <c r="C171" s="6" t="s">
        <v>66</v>
      </c>
      <c r="D171" s="6" t="s">
        <v>941</v>
      </c>
      <c r="E171" s="6" t="s">
        <v>395</v>
      </c>
      <c r="F171" s="7">
        <v>44652</v>
      </c>
      <c r="G171" s="7">
        <v>44659</v>
      </c>
      <c r="H171" s="6" t="s">
        <v>70</v>
      </c>
      <c r="I171" s="6" t="s">
        <v>195</v>
      </c>
      <c r="J171" s="6" t="s">
        <v>196</v>
      </c>
      <c r="K171" s="7">
        <v>44728</v>
      </c>
      <c r="L171" s="6" t="s">
        <v>24</v>
      </c>
      <c r="M171" t="b">
        <v>0</v>
      </c>
      <c r="N171" t="b">
        <v>1</v>
      </c>
      <c r="O171" t="b">
        <v>1</v>
      </c>
      <c r="P171" t="b">
        <v>0</v>
      </c>
      <c r="Q171">
        <v>170</v>
      </c>
    </row>
    <row r="172" spans="1:17" x14ac:dyDescent="0.35">
      <c r="A172" s="6" t="s">
        <v>396</v>
      </c>
      <c r="B172" s="6" t="s">
        <v>19</v>
      </c>
      <c r="C172" s="6" t="s">
        <v>157</v>
      </c>
      <c r="D172" s="6" t="s">
        <v>947</v>
      </c>
      <c r="E172" s="6" t="s">
        <v>397</v>
      </c>
      <c r="F172" s="7">
        <v>44652</v>
      </c>
      <c r="G172" s="7">
        <v>44672</v>
      </c>
      <c r="H172" s="6" t="s">
        <v>70</v>
      </c>
      <c r="I172" s="6" t="s">
        <v>51</v>
      </c>
      <c r="J172" s="6" t="s">
        <v>52</v>
      </c>
      <c r="K172" s="7">
        <v>44652</v>
      </c>
      <c r="L172" s="6" t="s">
        <v>24</v>
      </c>
      <c r="M172" t="b">
        <v>1</v>
      </c>
      <c r="N172" t="b">
        <v>0</v>
      </c>
      <c r="O172" t="b">
        <v>0</v>
      </c>
      <c r="P172" t="b">
        <v>0</v>
      </c>
      <c r="Q172">
        <v>171</v>
      </c>
    </row>
    <row r="173" spans="1:17" x14ac:dyDescent="0.35">
      <c r="A173" s="6" t="s">
        <v>398</v>
      </c>
      <c r="B173" s="6" t="s">
        <v>19</v>
      </c>
      <c r="C173" s="6" t="s">
        <v>107</v>
      </c>
      <c r="D173" s="6" t="s">
        <v>950</v>
      </c>
      <c r="E173" s="6" t="s">
        <v>399</v>
      </c>
      <c r="F173" s="7">
        <v>44651</v>
      </c>
      <c r="G173" s="7">
        <v>44658</v>
      </c>
      <c r="H173" s="6" t="s">
        <v>70</v>
      </c>
      <c r="I173" s="6" t="s">
        <v>34</v>
      </c>
      <c r="J173" s="6" t="s">
        <v>35</v>
      </c>
      <c r="K173" s="7">
        <v>44651</v>
      </c>
      <c r="L173" s="6" t="s">
        <v>24</v>
      </c>
      <c r="M173" t="b">
        <v>1</v>
      </c>
      <c r="N173" t="b">
        <v>1</v>
      </c>
      <c r="O173" t="b">
        <v>0</v>
      </c>
      <c r="P173" t="b">
        <v>0</v>
      </c>
      <c r="Q173">
        <v>172</v>
      </c>
    </row>
    <row r="174" spans="1:17" x14ac:dyDescent="0.35">
      <c r="A174" s="6" t="s">
        <v>400</v>
      </c>
      <c r="B174" s="6" t="s">
        <v>89</v>
      </c>
      <c r="C174" s="6" t="s">
        <v>102</v>
      </c>
      <c r="D174" s="6"/>
      <c r="E174" s="6" t="s">
        <v>401</v>
      </c>
      <c r="F174" s="7">
        <v>44651</v>
      </c>
      <c r="G174" s="7">
        <v>44658</v>
      </c>
      <c r="H174" s="6" t="s">
        <v>70</v>
      </c>
      <c r="I174" s="6" t="s">
        <v>22</v>
      </c>
      <c r="J174" s="6" t="s">
        <v>23</v>
      </c>
      <c r="K174" s="7">
        <v>44662</v>
      </c>
      <c r="L174" s="6" t="s">
        <v>24</v>
      </c>
      <c r="M174" t="b">
        <v>1</v>
      </c>
      <c r="N174" t="b">
        <v>1</v>
      </c>
      <c r="O174" t="b">
        <v>0</v>
      </c>
      <c r="P174" t="b">
        <v>0</v>
      </c>
      <c r="Q174">
        <v>173</v>
      </c>
    </row>
    <row r="175" spans="1:17" x14ac:dyDescent="0.35">
      <c r="A175" s="6" t="s">
        <v>402</v>
      </c>
      <c r="B175" s="6" t="s">
        <v>134</v>
      </c>
      <c r="C175" s="6" t="s">
        <v>107</v>
      </c>
      <c r="D175" s="6" t="s">
        <v>912</v>
      </c>
      <c r="E175" s="6" t="s">
        <v>403</v>
      </c>
      <c r="F175" s="7">
        <v>44651</v>
      </c>
      <c r="G175" s="7">
        <v>44662</v>
      </c>
      <c r="H175" s="6" t="s">
        <v>70</v>
      </c>
      <c r="I175" s="6" t="s">
        <v>22</v>
      </c>
      <c r="J175" s="6" t="s">
        <v>130</v>
      </c>
      <c r="K175" s="7">
        <v>44687</v>
      </c>
      <c r="L175" s="6" t="s">
        <v>24</v>
      </c>
      <c r="M175" t="b">
        <v>0</v>
      </c>
      <c r="N175" t="b">
        <v>1</v>
      </c>
      <c r="O175" t="b">
        <v>0</v>
      </c>
      <c r="P175" t="b">
        <v>0</v>
      </c>
      <c r="Q175">
        <v>174</v>
      </c>
    </row>
    <row r="176" spans="1:17" x14ac:dyDescent="0.35">
      <c r="A176" s="6" t="s">
        <v>404</v>
      </c>
      <c r="B176" s="6" t="s">
        <v>134</v>
      </c>
      <c r="C176" s="6" t="s">
        <v>186</v>
      </c>
      <c r="D176" s="6" t="s">
        <v>951</v>
      </c>
      <c r="E176" s="6" t="s">
        <v>405</v>
      </c>
      <c r="F176" s="7">
        <v>44651</v>
      </c>
      <c r="G176" s="7">
        <v>44658</v>
      </c>
      <c r="H176" s="6" t="s">
        <v>70</v>
      </c>
      <c r="I176" s="6" t="s">
        <v>22</v>
      </c>
      <c r="J176" s="6" t="s">
        <v>23</v>
      </c>
      <c r="K176" s="7">
        <v>44666</v>
      </c>
      <c r="L176" s="6" t="s">
        <v>24</v>
      </c>
      <c r="M176" t="b">
        <v>0</v>
      </c>
      <c r="N176" t="b">
        <v>1</v>
      </c>
      <c r="O176" t="b">
        <v>1</v>
      </c>
      <c r="P176" t="b">
        <v>0</v>
      </c>
      <c r="Q176">
        <v>175</v>
      </c>
    </row>
    <row r="177" spans="1:17" x14ac:dyDescent="0.35">
      <c r="A177" s="6" t="s">
        <v>406</v>
      </c>
      <c r="B177" s="6" t="s">
        <v>134</v>
      </c>
      <c r="C177" s="6" t="s">
        <v>228</v>
      </c>
      <c r="D177" s="6"/>
      <c r="E177" s="6" t="s">
        <v>407</v>
      </c>
      <c r="F177" s="7">
        <v>44651</v>
      </c>
      <c r="G177" s="7">
        <v>44658</v>
      </c>
      <c r="H177" s="6" t="s">
        <v>70</v>
      </c>
      <c r="I177" s="6" t="s">
        <v>195</v>
      </c>
      <c r="J177" s="6" t="s">
        <v>196</v>
      </c>
      <c r="K177" s="7">
        <v>44659</v>
      </c>
      <c r="L177" s="6" t="s">
        <v>24</v>
      </c>
      <c r="M177" t="b">
        <v>0</v>
      </c>
      <c r="N177" t="b">
        <v>1</v>
      </c>
      <c r="O177" t="b">
        <v>0</v>
      </c>
      <c r="P177" t="b">
        <v>0</v>
      </c>
      <c r="Q177">
        <v>176</v>
      </c>
    </row>
    <row r="178" spans="1:17" x14ac:dyDescent="0.35">
      <c r="A178" s="6" t="s">
        <v>408</v>
      </c>
      <c r="B178" s="6" t="s">
        <v>134</v>
      </c>
      <c r="C178" s="6" t="s">
        <v>107</v>
      </c>
      <c r="D178" s="6" t="s">
        <v>950</v>
      </c>
      <c r="E178" s="6" t="s">
        <v>409</v>
      </c>
      <c r="F178" s="7">
        <v>44651</v>
      </c>
      <c r="G178" s="7">
        <v>44658</v>
      </c>
      <c r="H178" s="6" t="s">
        <v>70</v>
      </c>
      <c r="I178" s="6" t="s">
        <v>22</v>
      </c>
      <c r="J178" s="6" t="s">
        <v>130</v>
      </c>
      <c r="K178" s="7">
        <v>44664</v>
      </c>
      <c r="L178" s="6" t="s">
        <v>24</v>
      </c>
      <c r="M178" t="b">
        <v>0</v>
      </c>
      <c r="N178" t="b">
        <v>1</v>
      </c>
      <c r="O178" t="b">
        <v>0</v>
      </c>
      <c r="P178" t="b">
        <v>0</v>
      </c>
      <c r="Q178">
        <v>177</v>
      </c>
    </row>
    <row r="179" spans="1:17" x14ac:dyDescent="0.35">
      <c r="A179" s="6" t="s">
        <v>410</v>
      </c>
      <c r="B179" s="6" t="s">
        <v>134</v>
      </c>
      <c r="C179" s="6" t="s">
        <v>107</v>
      </c>
      <c r="D179" s="6" t="s">
        <v>913</v>
      </c>
      <c r="E179" s="6" t="s">
        <v>411</v>
      </c>
      <c r="F179" s="7">
        <v>44651</v>
      </c>
      <c r="G179" s="7">
        <v>44652</v>
      </c>
      <c r="H179" s="6" t="s">
        <v>70</v>
      </c>
      <c r="I179" s="6" t="s">
        <v>22</v>
      </c>
      <c r="J179" s="6" t="s">
        <v>130</v>
      </c>
      <c r="K179" s="7">
        <v>44666</v>
      </c>
      <c r="L179" s="6" t="s">
        <v>24</v>
      </c>
      <c r="M179" t="b">
        <v>0</v>
      </c>
      <c r="N179" t="b">
        <v>0</v>
      </c>
      <c r="O179" t="b">
        <v>0</v>
      </c>
      <c r="P179" t="b">
        <v>0</v>
      </c>
      <c r="Q179">
        <v>178</v>
      </c>
    </row>
    <row r="180" spans="1:17" x14ac:dyDescent="0.35">
      <c r="A180" s="6" t="s">
        <v>412</v>
      </c>
      <c r="B180" s="6" t="s">
        <v>134</v>
      </c>
      <c r="C180" s="6" t="s">
        <v>107</v>
      </c>
      <c r="D180" s="6" t="s">
        <v>933</v>
      </c>
      <c r="E180" s="6" t="s">
        <v>413</v>
      </c>
      <c r="F180" s="7">
        <v>44651</v>
      </c>
      <c r="G180" s="7">
        <v>44652</v>
      </c>
      <c r="H180" s="6" t="s">
        <v>70</v>
      </c>
      <c r="I180" s="6" t="s">
        <v>22</v>
      </c>
      <c r="J180" s="6" t="s">
        <v>130</v>
      </c>
      <c r="K180" s="7">
        <v>44754</v>
      </c>
      <c r="L180" s="6" t="s">
        <v>24</v>
      </c>
      <c r="M180" t="b">
        <v>0</v>
      </c>
      <c r="N180" t="b">
        <v>1</v>
      </c>
      <c r="O180" t="b">
        <v>0</v>
      </c>
      <c r="P180" t="b">
        <v>0</v>
      </c>
      <c r="Q180">
        <v>179</v>
      </c>
    </row>
    <row r="181" spans="1:17" x14ac:dyDescent="0.35">
      <c r="A181" s="6" t="s">
        <v>414</v>
      </c>
      <c r="B181" s="6" t="s">
        <v>134</v>
      </c>
      <c r="C181" s="6" t="s">
        <v>427</v>
      </c>
      <c r="D181" s="6" t="s">
        <v>942</v>
      </c>
      <c r="E181" s="6" t="s">
        <v>415</v>
      </c>
      <c r="F181" s="7">
        <v>44651</v>
      </c>
      <c r="G181" s="7">
        <v>44655</v>
      </c>
      <c r="H181" s="6" t="s">
        <v>70</v>
      </c>
      <c r="I181" s="6" t="s">
        <v>91</v>
      </c>
      <c r="J181" s="6" t="s">
        <v>92</v>
      </c>
      <c r="K181" s="7">
        <v>44662</v>
      </c>
      <c r="L181" s="6" t="s">
        <v>24</v>
      </c>
      <c r="M181" t="b">
        <v>0</v>
      </c>
      <c r="N181" t="b">
        <v>1</v>
      </c>
      <c r="O181" t="b">
        <v>0</v>
      </c>
      <c r="P181" t="b">
        <v>0</v>
      </c>
      <c r="Q181">
        <v>180</v>
      </c>
    </row>
    <row r="182" spans="1:17" x14ac:dyDescent="0.35">
      <c r="A182" s="6" t="s">
        <v>416</v>
      </c>
      <c r="B182" s="6" t="s">
        <v>134</v>
      </c>
      <c r="C182" s="6" t="s">
        <v>228</v>
      </c>
      <c r="D182" s="6" t="s">
        <v>942</v>
      </c>
      <c r="E182" s="6" t="s">
        <v>417</v>
      </c>
      <c r="F182" s="7">
        <v>44650</v>
      </c>
      <c r="G182" s="7">
        <v>44655</v>
      </c>
      <c r="H182" s="6" t="s">
        <v>70</v>
      </c>
      <c r="I182" s="6" t="s">
        <v>57</v>
      </c>
      <c r="J182" s="6" t="s">
        <v>58</v>
      </c>
      <c r="K182" s="7">
        <v>44659</v>
      </c>
      <c r="L182" s="6" t="s">
        <v>24</v>
      </c>
      <c r="M182" t="b">
        <v>0</v>
      </c>
      <c r="N182" t="b">
        <v>0</v>
      </c>
      <c r="O182" t="b">
        <v>0</v>
      </c>
      <c r="P182" t="b">
        <v>0</v>
      </c>
      <c r="Q182">
        <v>181</v>
      </c>
    </row>
    <row r="183" spans="1:17" x14ac:dyDescent="0.35">
      <c r="A183" s="6" t="s">
        <v>418</v>
      </c>
      <c r="B183" s="6" t="s">
        <v>134</v>
      </c>
      <c r="C183" s="6" t="s">
        <v>228</v>
      </c>
      <c r="D183" s="6" t="s">
        <v>942</v>
      </c>
      <c r="E183" s="6" t="s">
        <v>419</v>
      </c>
      <c r="F183" s="7">
        <v>44650</v>
      </c>
      <c r="G183" s="7">
        <v>44655</v>
      </c>
      <c r="H183" s="6" t="s">
        <v>70</v>
      </c>
      <c r="I183" s="6" t="s">
        <v>195</v>
      </c>
      <c r="J183" s="6" t="s">
        <v>196</v>
      </c>
      <c r="K183" s="7">
        <v>44659</v>
      </c>
      <c r="L183" s="6" t="s">
        <v>24</v>
      </c>
      <c r="M183" t="b">
        <v>0</v>
      </c>
      <c r="N183" t="b">
        <v>1</v>
      </c>
      <c r="O183" t="b">
        <v>0</v>
      </c>
      <c r="P183" t="b">
        <v>0</v>
      </c>
      <c r="Q183">
        <v>182</v>
      </c>
    </row>
    <row r="184" spans="1:17" x14ac:dyDescent="0.35">
      <c r="A184" s="6" t="s">
        <v>420</v>
      </c>
      <c r="B184" s="6" t="s">
        <v>89</v>
      </c>
      <c r="C184" s="6" t="s">
        <v>228</v>
      </c>
      <c r="D184" s="6" t="s">
        <v>942</v>
      </c>
      <c r="E184" s="6" t="s">
        <v>421</v>
      </c>
      <c r="F184" s="7">
        <v>44650</v>
      </c>
      <c r="G184" s="7">
        <v>44655</v>
      </c>
      <c r="H184" s="6" t="s">
        <v>70</v>
      </c>
      <c r="I184" s="6" t="s">
        <v>34</v>
      </c>
      <c r="J184" s="6" t="s">
        <v>35</v>
      </c>
      <c r="K184" s="7">
        <v>44683</v>
      </c>
      <c r="L184" s="6" t="s">
        <v>24</v>
      </c>
      <c r="M184" t="b">
        <v>1</v>
      </c>
      <c r="N184" t="b">
        <v>1</v>
      </c>
      <c r="O184" t="b">
        <v>0</v>
      </c>
      <c r="P184" t="b">
        <v>0</v>
      </c>
      <c r="Q184">
        <v>183</v>
      </c>
    </row>
    <row r="185" spans="1:17" x14ac:dyDescent="0.35">
      <c r="A185" s="6" t="s">
        <v>422</v>
      </c>
      <c r="B185" s="6" t="s">
        <v>134</v>
      </c>
      <c r="C185" s="6" t="s">
        <v>228</v>
      </c>
      <c r="D185" s="6" t="s">
        <v>942</v>
      </c>
      <c r="E185" s="6" t="s">
        <v>423</v>
      </c>
      <c r="F185" s="7">
        <v>44650</v>
      </c>
      <c r="G185" s="7">
        <v>44655</v>
      </c>
      <c r="H185" s="6" t="s">
        <v>70</v>
      </c>
      <c r="I185" s="6" t="s">
        <v>57</v>
      </c>
      <c r="J185" s="6" t="s">
        <v>58</v>
      </c>
      <c r="K185" s="7">
        <v>44662</v>
      </c>
      <c r="L185" s="6" t="s">
        <v>24</v>
      </c>
      <c r="M185" t="b">
        <v>0</v>
      </c>
      <c r="N185" t="b">
        <v>0</v>
      </c>
      <c r="O185" t="b">
        <v>0</v>
      </c>
      <c r="P185" t="b">
        <v>0</v>
      </c>
      <c r="Q185">
        <v>184</v>
      </c>
    </row>
    <row r="186" spans="1:17" x14ac:dyDescent="0.35">
      <c r="A186" s="6" t="s">
        <v>424</v>
      </c>
      <c r="B186" s="6" t="s">
        <v>134</v>
      </c>
      <c r="C186" s="6" t="s">
        <v>427</v>
      </c>
      <c r="D186" s="6" t="s">
        <v>942</v>
      </c>
      <c r="E186" s="6" t="s">
        <v>425</v>
      </c>
      <c r="F186" s="7">
        <v>44650</v>
      </c>
      <c r="G186" s="7">
        <v>44655</v>
      </c>
      <c r="H186" s="6" t="s">
        <v>70</v>
      </c>
      <c r="I186" s="6" t="s">
        <v>34</v>
      </c>
      <c r="J186" s="6" t="s">
        <v>35</v>
      </c>
      <c r="K186" s="7">
        <v>44662</v>
      </c>
      <c r="L186" s="6" t="s">
        <v>24</v>
      </c>
      <c r="M186" t="b">
        <v>0</v>
      </c>
      <c r="N186" t="b">
        <v>1</v>
      </c>
      <c r="O186" t="b">
        <v>0</v>
      </c>
      <c r="P186" t="b">
        <v>0</v>
      </c>
      <c r="Q186">
        <v>185</v>
      </c>
    </row>
    <row r="187" spans="1:17" x14ac:dyDescent="0.35">
      <c r="A187" s="6" t="s">
        <v>426</v>
      </c>
      <c r="B187" s="6" t="s">
        <v>19</v>
      </c>
      <c r="C187" s="6" t="s">
        <v>427</v>
      </c>
      <c r="D187" s="6"/>
      <c r="E187" s="6" t="s">
        <v>428</v>
      </c>
      <c r="F187" s="7">
        <v>44645</v>
      </c>
      <c r="G187" s="7">
        <v>44652</v>
      </c>
      <c r="H187" s="6" t="s">
        <v>27</v>
      </c>
      <c r="I187" s="6" t="s">
        <v>91</v>
      </c>
      <c r="J187" s="6" t="s">
        <v>184</v>
      </c>
      <c r="K187" s="7">
        <v>44645</v>
      </c>
      <c r="L187" s="6" t="s">
        <v>24</v>
      </c>
      <c r="M187" t="b">
        <v>1</v>
      </c>
      <c r="N187" t="b">
        <v>1</v>
      </c>
      <c r="O187" t="b">
        <v>1</v>
      </c>
      <c r="Q187">
        <v>186</v>
      </c>
    </row>
    <row r="188" spans="1:17" x14ac:dyDescent="0.35">
      <c r="A188" s="6" t="s">
        <v>429</v>
      </c>
      <c r="B188" s="6" t="s">
        <v>19</v>
      </c>
      <c r="C188" s="6" t="s">
        <v>189</v>
      </c>
      <c r="D188" s="6"/>
      <c r="E188" s="6" t="s">
        <v>430</v>
      </c>
      <c r="F188" s="7">
        <v>44645</v>
      </c>
      <c r="G188" s="7">
        <v>44652</v>
      </c>
      <c r="H188" s="6" t="s">
        <v>27</v>
      </c>
      <c r="I188" s="6" t="s">
        <v>91</v>
      </c>
      <c r="J188" s="6" t="s">
        <v>184</v>
      </c>
      <c r="K188" s="7">
        <v>44645</v>
      </c>
      <c r="L188" s="6" t="s">
        <v>24</v>
      </c>
      <c r="M188" t="b">
        <v>1</v>
      </c>
      <c r="N188" t="b">
        <v>1</v>
      </c>
      <c r="O188" t="b">
        <v>1</v>
      </c>
      <c r="Q188">
        <v>187</v>
      </c>
    </row>
    <row r="189" spans="1:17" x14ac:dyDescent="0.35">
      <c r="A189" s="6" t="s">
        <v>431</v>
      </c>
      <c r="B189" s="6" t="s">
        <v>89</v>
      </c>
      <c r="C189" s="6" t="s">
        <v>189</v>
      </c>
      <c r="D189" s="6"/>
      <c r="E189" s="6" t="s">
        <v>432</v>
      </c>
      <c r="F189" s="7">
        <v>44645</v>
      </c>
      <c r="G189" s="7">
        <v>44652</v>
      </c>
      <c r="H189" s="6" t="s">
        <v>27</v>
      </c>
      <c r="I189" s="6" t="s">
        <v>91</v>
      </c>
      <c r="J189" s="6" t="s">
        <v>92</v>
      </c>
      <c r="K189" s="7">
        <v>44648</v>
      </c>
      <c r="L189" s="6" t="s">
        <v>24</v>
      </c>
      <c r="M189" t="b">
        <v>1</v>
      </c>
      <c r="N189" t="b">
        <v>1</v>
      </c>
      <c r="O189" t="b">
        <v>1</v>
      </c>
      <c r="Q189">
        <v>188</v>
      </c>
    </row>
    <row r="190" spans="1:17" x14ac:dyDescent="0.35">
      <c r="A190" s="6" t="s">
        <v>433</v>
      </c>
      <c r="B190" s="6" t="s">
        <v>89</v>
      </c>
      <c r="C190" s="6" t="s">
        <v>427</v>
      </c>
      <c r="D190" s="6"/>
      <c r="E190" s="6" t="s">
        <v>434</v>
      </c>
      <c r="F190" s="7">
        <v>44645</v>
      </c>
      <c r="G190" s="7">
        <v>44652</v>
      </c>
      <c r="H190" s="6" t="s">
        <v>27</v>
      </c>
      <c r="I190" s="6" t="s">
        <v>91</v>
      </c>
      <c r="J190" s="6" t="s">
        <v>92</v>
      </c>
      <c r="K190" s="7">
        <v>44648</v>
      </c>
      <c r="L190" s="6" t="s">
        <v>24</v>
      </c>
      <c r="M190" t="b">
        <v>1</v>
      </c>
      <c r="N190" t="b">
        <v>1</v>
      </c>
      <c r="O190" t="b">
        <v>1</v>
      </c>
      <c r="Q190">
        <v>189</v>
      </c>
    </row>
    <row r="191" spans="1:17" x14ac:dyDescent="0.35">
      <c r="A191" s="6" t="s">
        <v>435</v>
      </c>
      <c r="B191" s="6" t="s">
        <v>89</v>
      </c>
      <c r="C191" s="6" t="s">
        <v>427</v>
      </c>
      <c r="D191" s="6"/>
      <c r="E191" s="6" t="s">
        <v>436</v>
      </c>
      <c r="F191" s="7">
        <v>44645</v>
      </c>
      <c r="G191" s="7">
        <v>44652</v>
      </c>
      <c r="H191" s="6" t="s">
        <v>27</v>
      </c>
      <c r="I191" s="6" t="s">
        <v>91</v>
      </c>
      <c r="J191" s="6" t="s">
        <v>92</v>
      </c>
      <c r="K191" s="7">
        <v>44714</v>
      </c>
      <c r="L191" s="6" t="s">
        <v>24</v>
      </c>
      <c r="M191" t="b">
        <v>1</v>
      </c>
      <c r="N191" t="b">
        <v>1</v>
      </c>
      <c r="O191" t="b">
        <v>1</v>
      </c>
      <c r="Q191">
        <v>190</v>
      </c>
    </row>
    <row r="192" spans="1:17" x14ac:dyDescent="0.35">
      <c r="A192" s="6" t="s">
        <v>437</v>
      </c>
      <c r="B192" s="6" t="s">
        <v>19</v>
      </c>
      <c r="C192" s="6" t="s">
        <v>189</v>
      </c>
      <c r="D192" s="6"/>
      <c r="E192" s="6" t="s">
        <v>438</v>
      </c>
      <c r="F192" s="7">
        <v>44645</v>
      </c>
      <c r="G192" s="7">
        <v>44652</v>
      </c>
      <c r="H192" s="6" t="s">
        <v>27</v>
      </c>
      <c r="I192" s="6" t="s">
        <v>91</v>
      </c>
      <c r="J192" s="6" t="s">
        <v>184</v>
      </c>
      <c r="K192" s="7">
        <v>44645</v>
      </c>
      <c r="L192" s="6" t="s">
        <v>24</v>
      </c>
      <c r="M192" t="b">
        <v>1</v>
      </c>
      <c r="N192" t="b">
        <v>1</v>
      </c>
      <c r="Q192">
        <v>191</v>
      </c>
    </row>
    <row r="193" spans="1:17" x14ac:dyDescent="0.35">
      <c r="A193" s="6" t="s">
        <v>439</v>
      </c>
      <c r="B193" s="6" t="s">
        <v>89</v>
      </c>
      <c r="C193" s="6" t="s">
        <v>189</v>
      </c>
      <c r="D193" s="6"/>
      <c r="E193" s="6" t="s">
        <v>440</v>
      </c>
      <c r="F193" s="7">
        <v>44645</v>
      </c>
      <c r="G193" s="7">
        <v>44652</v>
      </c>
      <c r="H193" s="6" t="s">
        <v>27</v>
      </c>
      <c r="I193" s="6" t="s">
        <v>57</v>
      </c>
      <c r="J193" s="6" t="s">
        <v>58</v>
      </c>
      <c r="K193" s="7">
        <v>44664</v>
      </c>
      <c r="L193" s="6" t="s">
        <v>24</v>
      </c>
      <c r="M193" t="b">
        <v>1</v>
      </c>
      <c r="N193" t="b">
        <v>1</v>
      </c>
      <c r="O193" t="b">
        <v>1</v>
      </c>
      <c r="Q193">
        <v>192</v>
      </c>
    </row>
    <row r="194" spans="1:17" x14ac:dyDescent="0.35">
      <c r="A194" s="6" t="s">
        <v>441</v>
      </c>
      <c r="B194" s="6" t="s">
        <v>89</v>
      </c>
      <c r="C194" s="6" t="s">
        <v>189</v>
      </c>
      <c r="D194" s="6"/>
      <c r="E194" s="6" t="s">
        <v>442</v>
      </c>
      <c r="F194" s="7">
        <v>44645</v>
      </c>
      <c r="G194" s="7">
        <v>44652</v>
      </c>
      <c r="H194" s="6" t="s">
        <v>27</v>
      </c>
      <c r="I194" s="6" t="s">
        <v>57</v>
      </c>
      <c r="J194" s="6" t="s">
        <v>58</v>
      </c>
      <c r="K194" s="7">
        <v>44664</v>
      </c>
      <c r="L194" s="6" t="s">
        <v>24</v>
      </c>
      <c r="M194" t="b">
        <v>1</v>
      </c>
      <c r="N194" t="b">
        <v>1</v>
      </c>
      <c r="O194" t="b">
        <v>1</v>
      </c>
      <c r="Q194">
        <v>193</v>
      </c>
    </row>
    <row r="195" spans="1:17" x14ac:dyDescent="0.35">
      <c r="A195" s="6" t="s">
        <v>443</v>
      </c>
      <c r="B195" s="6" t="s">
        <v>19</v>
      </c>
      <c r="C195" s="6" t="s">
        <v>189</v>
      </c>
      <c r="D195" s="6"/>
      <c r="E195" s="6" t="s">
        <v>444</v>
      </c>
      <c r="F195" s="7">
        <v>44645</v>
      </c>
      <c r="G195" s="7">
        <v>44652</v>
      </c>
      <c r="H195" s="6" t="s">
        <v>27</v>
      </c>
      <c r="I195" s="6" t="s">
        <v>91</v>
      </c>
      <c r="J195" s="6" t="s">
        <v>184</v>
      </c>
      <c r="K195" s="7">
        <v>44645</v>
      </c>
      <c r="L195" s="6" t="s">
        <v>24</v>
      </c>
      <c r="M195" t="b">
        <v>1</v>
      </c>
      <c r="N195" t="b">
        <v>1</v>
      </c>
      <c r="O195" t="b">
        <v>1</v>
      </c>
      <c r="Q195">
        <v>194</v>
      </c>
    </row>
    <row r="196" spans="1:17" x14ac:dyDescent="0.35">
      <c r="A196" s="6" t="s">
        <v>445</v>
      </c>
      <c r="B196" s="6" t="s">
        <v>19</v>
      </c>
      <c r="C196" s="6" t="s">
        <v>189</v>
      </c>
      <c r="D196" s="6"/>
      <c r="E196" s="6" t="s">
        <v>446</v>
      </c>
      <c r="F196" s="7">
        <v>44645</v>
      </c>
      <c r="G196" s="7">
        <v>44652</v>
      </c>
      <c r="H196" s="6" t="s">
        <v>27</v>
      </c>
      <c r="I196" s="6" t="s">
        <v>91</v>
      </c>
      <c r="J196" s="6" t="s">
        <v>184</v>
      </c>
      <c r="K196" s="7">
        <v>44645</v>
      </c>
      <c r="L196" s="6" t="s">
        <v>24</v>
      </c>
      <c r="M196" t="b">
        <v>1</v>
      </c>
      <c r="N196" t="b">
        <v>1</v>
      </c>
      <c r="O196" t="b">
        <v>1</v>
      </c>
      <c r="Q196">
        <v>195</v>
      </c>
    </row>
    <row r="197" spans="1:17" x14ac:dyDescent="0.35">
      <c r="A197" s="6" t="s">
        <v>447</v>
      </c>
      <c r="B197" s="6" t="s">
        <v>19</v>
      </c>
      <c r="C197" s="6" t="s">
        <v>189</v>
      </c>
      <c r="D197" s="6"/>
      <c r="E197" s="6" t="s">
        <v>448</v>
      </c>
      <c r="F197" s="7">
        <v>44645</v>
      </c>
      <c r="G197" s="7">
        <v>44652</v>
      </c>
      <c r="H197" s="6" t="s">
        <v>27</v>
      </c>
      <c r="I197" s="6" t="s">
        <v>91</v>
      </c>
      <c r="J197" s="6" t="s">
        <v>184</v>
      </c>
      <c r="K197" s="7">
        <v>44645</v>
      </c>
      <c r="L197" s="6" t="s">
        <v>24</v>
      </c>
      <c r="M197" t="b">
        <v>1</v>
      </c>
      <c r="N197" t="b">
        <v>1</v>
      </c>
      <c r="Q197">
        <v>196</v>
      </c>
    </row>
    <row r="198" spans="1:17" x14ac:dyDescent="0.35">
      <c r="A198" s="6" t="s">
        <v>449</v>
      </c>
      <c r="B198" s="6" t="s">
        <v>19</v>
      </c>
      <c r="C198" s="6" t="s">
        <v>189</v>
      </c>
      <c r="D198" s="6"/>
      <c r="E198" s="6" t="s">
        <v>450</v>
      </c>
      <c r="F198" s="7">
        <v>44645</v>
      </c>
      <c r="G198" s="7">
        <v>44652</v>
      </c>
      <c r="H198" s="6" t="s">
        <v>27</v>
      </c>
      <c r="I198" s="6" t="s">
        <v>91</v>
      </c>
      <c r="J198" s="6" t="s">
        <v>184</v>
      </c>
      <c r="K198" s="7">
        <v>44645</v>
      </c>
      <c r="L198" s="6" t="s">
        <v>24</v>
      </c>
      <c r="M198" t="b">
        <v>1</v>
      </c>
      <c r="N198" t="b">
        <v>1</v>
      </c>
      <c r="O198" t="b">
        <v>1</v>
      </c>
      <c r="Q198">
        <v>197</v>
      </c>
    </row>
    <row r="199" spans="1:17" x14ac:dyDescent="0.35">
      <c r="A199" s="6" t="s">
        <v>451</v>
      </c>
      <c r="B199" s="6" t="s">
        <v>89</v>
      </c>
      <c r="C199" s="6" t="s">
        <v>189</v>
      </c>
      <c r="D199" s="6"/>
      <c r="E199" s="6" t="s">
        <v>452</v>
      </c>
      <c r="F199" s="7">
        <v>44645</v>
      </c>
      <c r="G199" s="7">
        <v>44652</v>
      </c>
      <c r="H199" s="6" t="s">
        <v>27</v>
      </c>
      <c r="I199" s="6" t="s">
        <v>91</v>
      </c>
      <c r="J199" s="6" t="s">
        <v>92</v>
      </c>
      <c r="K199" s="7">
        <v>44648</v>
      </c>
      <c r="L199" s="6" t="s">
        <v>24</v>
      </c>
      <c r="M199" t="b">
        <v>1</v>
      </c>
      <c r="N199" t="b">
        <v>1</v>
      </c>
      <c r="O199" t="b">
        <v>1</v>
      </c>
      <c r="Q199">
        <v>198</v>
      </c>
    </row>
    <row r="200" spans="1:17" x14ac:dyDescent="0.35">
      <c r="A200" s="6" t="s">
        <v>453</v>
      </c>
      <c r="B200" s="6" t="s">
        <v>19</v>
      </c>
      <c r="C200" s="6" t="s">
        <v>189</v>
      </c>
      <c r="D200" s="6"/>
      <c r="E200" s="6" t="s">
        <v>454</v>
      </c>
      <c r="F200" s="7">
        <v>44645</v>
      </c>
      <c r="G200" s="7">
        <v>44652</v>
      </c>
      <c r="H200" s="6" t="s">
        <v>27</v>
      </c>
      <c r="I200" s="6" t="s">
        <v>91</v>
      </c>
      <c r="J200" s="6" t="s">
        <v>184</v>
      </c>
      <c r="K200" s="7">
        <v>44645</v>
      </c>
      <c r="L200" s="6" t="s">
        <v>24</v>
      </c>
      <c r="M200" t="b">
        <v>1</v>
      </c>
      <c r="N200" t="b">
        <v>1</v>
      </c>
      <c r="Q200">
        <v>199</v>
      </c>
    </row>
    <row r="201" spans="1:17" x14ac:dyDescent="0.35">
      <c r="A201" s="6" t="s">
        <v>455</v>
      </c>
      <c r="B201" s="6" t="s">
        <v>19</v>
      </c>
      <c r="C201" s="6" t="s">
        <v>189</v>
      </c>
      <c r="D201" s="6"/>
      <c r="E201" s="6" t="s">
        <v>456</v>
      </c>
      <c r="F201" s="7">
        <v>44645</v>
      </c>
      <c r="G201" s="7">
        <v>44652</v>
      </c>
      <c r="H201" s="6" t="s">
        <v>27</v>
      </c>
      <c r="I201" s="6" t="s">
        <v>91</v>
      </c>
      <c r="J201" s="6" t="s">
        <v>92</v>
      </c>
      <c r="K201" s="7">
        <v>44645</v>
      </c>
      <c r="L201" s="6" t="s">
        <v>24</v>
      </c>
      <c r="M201" t="b">
        <v>1</v>
      </c>
      <c r="N201" t="b">
        <v>1</v>
      </c>
      <c r="Q201">
        <v>200</v>
      </c>
    </row>
    <row r="202" spans="1:17" x14ac:dyDescent="0.35">
      <c r="A202" s="6" t="s">
        <v>457</v>
      </c>
      <c r="B202" s="6" t="s">
        <v>19</v>
      </c>
      <c r="C202" s="6" t="s">
        <v>189</v>
      </c>
      <c r="D202" s="6"/>
      <c r="E202" s="6" t="s">
        <v>458</v>
      </c>
      <c r="F202" s="7">
        <v>44645</v>
      </c>
      <c r="G202" s="7">
        <v>44652</v>
      </c>
      <c r="H202" s="6" t="s">
        <v>27</v>
      </c>
      <c r="I202" s="6" t="s">
        <v>91</v>
      </c>
      <c r="J202" s="6" t="s">
        <v>184</v>
      </c>
      <c r="K202" s="7">
        <v>44645</v>
      </c>
      <c r="L202" s="6" t="s">
        <v>24</v>
      </c>
      <c r="M202" t="b">
        <v>1</v>
      </c>
      <c r="N202" t="b">
        <v>1</v>
      </c>
      <c r="Q202">
        <v>201</v>
      </c>
    </row>
    <row r="203" spans="1:17" x14ac:dyDescent="0.35">
      <c r="A203" s="6" t="s">
        <v>459</v>
      </c>
      <c r="B203" s="6" t="s">
        <v>19</v>
      </c>
      <c r="C203" s="6" t="s">
        <v>189</v>
      </c>
      <c r="D203" s="6"/>
      <c r="E203" s="6" t="s">
        <v>460</v>
      </c>
      <c r="F203" s="7">
        <v>44645</v>
      </c>
      <c r="G203" s="7">
        <v>44652</v>
      </c>
      <c r="H203" s="6" t="s">
        <v>27</v>
      </c>
      <c r="I203" s="6" t="s">
        <v>91</v>
      </c>
      <c r="J203" s="6" t="s">
        <v>184</v>
      </c>
      <c r="K203" s="7">
        <v>44645</v>
      </c>
      <c r="L203" s="6" t="s">
        <v>24</v>
      </c>
      <c r="M203" t="b">
        <v>1</v>
      </c>
      <c r="N203" t="b">
        <v>1</v>
      </c>
      <c r="Q203">
        <v>202</v>
      </c>
    </row>
    <row r="204" spans="1:17" x14ac:dyDescent="0.35">
      <c r="A204" s="6" t="s">
        <v>461</v>
      </c>
      <c r="B204" s="6" t="s">
        <v>19</v>
      </c>
      <c r="C204" s="6" t="s">
        <v>189</v>
      </c>
      <c r="D204" s="6"/>
      <c r="E204" s="6" t="s">
        <v>462</v>
      </c>
      <c r="F204" s="7">
        <v>44645</v>
      </c>
      <c r="G204" s="7">
        <v>44652</v>
      </c>
      <c r="H204" s="6" t="s">
        <v>27</v>
      </c>
      <c r="I204" s="6" t="s">
        <v>91</v>
      </c>
      <c r="J204" s="6" t="s">
        <v>184</v>
      </c>
      <c r="K204" s="7">
        <v>44645</v>
      </c>
      <c r="L204" s="6" t="s">
        <v>24</v>
      </c>
      <c r="M204" t="b">
        <v>1</v>
      </c>
      <c r="N204" t="b">
        <v>1</v>
      </c>
      <c r="Q204">
        <v>203</v>
      </c>
    </row>
    <row r="205" spans="1:17" x14ac:dyDescent="0.35">
      <c r="A205" s="6" t="s">
        <v>463</v>
      </c>
      <c r="B205" s="6" t="s">
        <v>19</v>
      </c>
      <c r="C205" s="6" t="s">
        <v>189</v>
      </c>
      <c r="D205" s="6"/>
      <c r="E205" s="6" t="s">
        <v>464</v>
      </c>
      <c r="F205" s="7">
        <v>44645</v>
      </c>
      <c r="G205" s="7">
        <v>44652</v>
      </c>
      <c r="H205" s="6" t="s">
        <v>27</v>
      </c>
      <c r="I205" s="6" t="s">
        <v>91</v>
      </c>
      <c r="J205" s="6" t="s">
        <v>184</v>
      </c>
      <c r="K205" s="7">
        <v>44645</v>
      </c>
      <c r="L205" s="6" t="s">
        <v>24</v>
      </c>
      <c r="M205" t="b">
        <v>1</v>
      </c>
      <c r="N205" t="b">
        <v>1</v>
      </c>
      <c r="O205" t="b">
        <v>1</v>
      </c>
      <c r="Q205">
        <v>204</v>
      </c>
    </row>
    <row r="206" spans="1:17" x14ac:dyDescent="0.35">
      <c r="A206" s="6" t="s">
        <v>465</v>
      </c>
      <c r="B206" s="6" t="s">
        <v>89</v>
      </c>
      <c r="C206" s="6" t="s">
        <v>189</v>
      </c>
      <c r="D206" s="6"/>
      <c r="E206" s="6" t="s">
        <v>466</v>
      </c>
      <c r="F206" s="7">
        <v>44645</v>
      </c>
      <c r="G206" s="7">
        <v>44652</v>
      </c>
      <c r="H206" s="6" t="s">
        <v>27</v>
      </c>
      <c r="I206" s="6" t="s">
        <v>91</v>
      </c>
      <c r="J206" s="6" t="s">
        <v>92</v>
      </c>
      <c r="K206" s="7">
        <v>44714</v>
      </c>
      <c r="L206" s="6" t="s">
        <v>24</v>
      </c>
      <c r="M206" t="b">
        <v>1</v>
      </c>
      <c r="N206" t="b">
        <v>1</v>
      </c>
      <c r="O206" t="b">
        <v>1</v>
      </c>
      <c r="Q206">
        <v>205</v>
      </c>
    </row>
    <row r="207" spans="1:17" x14ac:dyDescent="0.35">
      <c r="A207" s="6" t="s">
        <v>467</v>
      </c>
      <c r="B207" s="6" t="s">
        <v>134</v>
      </c>
      <c r="C207" s="6" t="s">
        <v>66</v>
      </c>
      <c r="D207" s="6" t="s">
        <v>940</v>
      </c>
      <c r="E207" s="6" t="s">
        <v>468</v>
      </c>
      <c r="F207" s="7">
        <v>44645</v>
      </c>
      <c r="G207" s="7">
        <v>44652</v>
      </c>
      <c r="H207" s="6" t="s">
        <v>70</v>
      </c>
      <c r="I207" s="6" t="s">
        <v>57</v>
      </c>
      <c r="J207" s="6" t="s">
        <v>58</v>
      </c>
      <c r="K207" s="7">
        <v>44677</v>
      </c>
      <c r="L207" s="6" t="s">
        <v>24</v>
      </c>
      <c r="M207" t="b">
        <v>0</v>
      </c>
      <c r="N207" t="b">
        <v>1</v>
      </c>
      <c r="O207" t="b">
        <v>1</v>
      </c>
      <c r="P207" t="b">
        <v>0</v>
      </c>
      <c r="Q207">
        <v>206</v>
      </c>
    </row>
    <row r="208" spans="1:17" x14ac:dyDescent="0.35">
      <c r="A208" s="6" t="s">
        <v>469</v>
      </c>
      <c r="B208" s="6" t="s">
        <v>134</v>
      </c>
      <c r="C208" s="6" t="s">
        <v>66</v>
      </c>
      <c r="D208" s="6" t="s">
        <v>952</v>
      </c>
      <c r="E208" s="6" t="s">
        <v>470</v>
      </c>
      <c r="F208" s="7">
        <v>44645</v>
      </c>
      <c r="G208" s="7">
        <v>44652</v>
      </c>
      <c r="H208" s="6" t="s">
        <v>70</v>
      </c>
      <c r="I208" s="6" t="s">
        <v>57</v>
      </c>
      <c r="J208" s="6" t="s">
        <v>58</v>
      </c>
      <c r="K208" s="7">
        <v>44666</v>
      </c>
      <c r="L208" s="6" t="s">
        <v>24</v>
      </c>
      <c r="M208" t="b">
        <v>0</v>
      </c>
      <c r="N208" t="b">
        <v>1</v>
      </c>
      <c r="O208" t="b">
        <v>0</v>
      </c>
      <c r="P208" t="b">
        <v>0</v>
      </c>
      <c r="Q208">
        <v>207</v>
      </c>
    </row>
    <row r="209" spans="1:17" x14ac:dyDescent="0.35">
      <c r="A209" s="6" t="s">
        <v>471</v>
      </c>
      <c r="B209" s="6" t="s">
        <v>19</v>
      </c>
      <c r="C209" s="6" t="s">
        <v>189</v>
      </c>
      <c r="D209" s="6" t="s">
        <v>953</v>
      </c>
      <c r="E209" s="6" t="s">
        <v>472</v>
      </c>
      <c r="F209" s="7">
        <v>44636</v>
      </c>
      <c r="G209" s="7">
        <v>44643</v>
      </c>
      <c r="H209" s="6" t="s">
        <v>81</v>
      </c>
      <c r="I209" s="6" t="s">
        <v>91</v>
      </c>
      <c r="J209" s="6" t="s">
        <v>92</v>
      </c>
      <c r="K209" s="7">
        <v>44636</v>
      </c>
      <c r="L209" s="6" t="s">
        <v>24</v>
      </c>
      <c r="M209" t="b">
        <v>1</v>
      </c>
      <c r="N209" t="b">
        <v>1</v>
      </c>
      <c r="O209" t="b">
        <v>0</v>
      </c>
      <c r="P209" t="b">
        <v>0</v>
      </c>
      <c r="Q209">
        <v>208</v>
      </c>
    </row>
    <row r="210" spans="1:17" x14ac:dyDescent="0.35">
      <c r="A210" s="6" t="s">
        <v>473</v>
      </c>
      <c r="B210" s="6" t="s">
        <v>134</v>
      </c>
      <c r="C210" s="6" t="s">
        <v>474</v>
      </c>
      <c r="D210" s="6"/>
      <c r="E210" s="6" t="s">
        <v>475</v>
      </c>
      <c r="F210" s="7">
        <v>44635</v>
      </c>
      <c r="G210" s="7">
        <v>44642</v>
      </c>
      <c r="H210" s="6" t="s">
        <v>70</v>
      </c>
      <c r="I210" s="6" t="s">
        <v>57</v>
      </c>
      <c r="J210" s="6" t="s">
        <v>58</v>
      </c>
      <c r="K210" s="7">
        <v>44784</v>
      </c>
      <c r="L210" s="6" t="s">
        <v>24</v>
      </c>
      <c r="M210" t="b">
        <v>0</v>
      </c>
      <c r="O210" t="b">
        <v>1</v>
      </c>
      <c r="Q210">
        <v>209</v>
      </c>
    </row>
    <row r="211" spans="1:17" x14ac:dyDescent="0.35">
      <c r="A211" s="6" t="s">
        <v>476</v>
      </c>
      <c r="B211" s="6" t="s">
        <v>89</v>
      </c>
      <c r="C211" s="6" t="s">
        <v>189</v>
      </c>
      <c r="D211" s="6" t="s">
        <v>900</v>
      </c>
      <c r="E211" s="6" t="s">
        <v>477</v>
      </c>
      <c r="F211" s="7">
        <v>44623</v>
      </c>
      <c r="G211" s="7">
        <v>44630</v>
      </c>
      <c r="H211" s="6" t="s">
        <v>81</v>
      </c>
      <c r="I211" s="6" t="s">
        <v>195</v>
      </c>
      <c r="J211" s="6" t="s">
        <v>196</v>
      </c>
      <c r="K211" s="7">
        <v>44651</v>
      </c>
      <c r="L211" s="6" t="s">
        <v>24</v>
      </c>
      <c r="M211" t="b">
        <v>1</v>
      </c>
      <c r="N211" t="b">
        <v>0</v>
      </c>
      <c r="O211" t="b">
        <v>0</v>
      </c>
      <c r="P211" t="b">
        <v>0</v>
      </c>
      <c r="Q211">
        <v>210</v>
      </c>
    </row>
    <row r="212" spans="1:17" x14ac:dyDescent="0.35">
      <c r="A212" s="6" t="s">
        <v>478</v>
      </c>
      <c r="B212" s="6" t="s">
        <v>19</v>
      </c>
      <c r="C212" s="6" t="s">
        <v>102</v>
      </c>
      <c r="D212" s="6" t="s">
        <v>954</v>
      </c>
      <c r="E212" s="6" t="s">
        <v>479</v>
      </c>
      <c r="F212" s="7">
        <v>44620</v>
      </c>
      <c r="G212" s="7">
        <v>44627</v>
      </c>
      <c r="H212" s="6" t="s">
        <v>81</v>
      </c>
      <c r="I212" s="6" t="s">
        <v>195</v>
      </c>
      <c r="J212" s="6" t="s">
        <v>196</v>
      </c>
      <c r="K212" s="7">
        <v>44620</v>
      </c>
      <c r="L212" s="6" t="s">
        <v>24</v>
      </c>
      <c r="M212" t="b">
        <v>1</v>
      </c>
      <c r="N212" t="b">
        <v>1</v>
      </c>
      <c r="O212" t="b">
        <v>1</v>
      </c>
      <c r="P212" t="b">
        <v>0</v>
      </c>
      <c r="Q212">
        <v>211</v>
      </c>
    </row>
    <row r="213" spans="1:17" x14ac:dyDescent="0.35">
      <c r="A213" s="6" t="s">
        <v>480</v>
      </c>
      <c r="B213" s="6" t="s">
        <v>134</v>
      </c>
      <c r="C213" s="6" t="s">
        <v>107</v>
      </c>
      <c r="D213" s="6"/>
      <c r="E213" s="6" t="s">
        <v>481</v>
      </c>
      <c r="F213" s="7">
        <v>44619</v>
      </c>
      <c r="G213" s="7">
        <v>44625</v>
      </c>
      <c r="H213" s="6" t="s">
        <v>81</v>
      </c>
      <c r="I213" s="6" t="s">
        <v>57</v>
      </c>
      <c r="J213" s="6" t="s">
        <v>58</v>
      </c>
      <c r="K213" s="7">
        <v>44784</v>
      </c>
      <c r="L213" s="6" t="s">
        <v>24</v>
      </c>
      <c r="M213" t="b">
        <v>0</v>
      </c>
      <c r="O213" t="b">
        <v>1</v>
      </c>
      <c r="Q213">
        <v>212</v>
      </c>
    </row>
    <row r="214" spans="1:17" x14ac:dyDescent="0.35">
      <c r="A214" s="6" t="s">
        <v>482</v>
      </c>
      <c r="B214" s="6" t="s">
        <v>19</v>
      </c>
      <c r="C214" s="6" t="s">
        <v>474</v>
      </c>
      <c r="D214" s="6"/>
      <c r="E214" s="6" t="s">
        <v>483</v>
      </c>
      <c r="F214" s="7">
        <v>44616</v>
      </c>
      <c r="G214" s="7">
        <v>44623</v>
      </c>
      <c r="H214" s="6" t="s">
        <v>27</v>
      </c>
      <c r="I214" s="6" t="s">
        <v>91</v>
      </c>
      <c r="J214" s="6" t="s">
        <v>184</v>
      </c>
      <c r="K214" s="7">
        <v>44616</v>
      </c>
      <c r="L214" s="6" t="s">
        <v>24</v>
      </c>
      <c r="M214" t="b">
        <v>1</v>
      </c>
      <c r="O214" t="b">
        <v>1</v>
      </c>
      <c r="Q214">
        <v>213</v>
      </c>
    </row>
    <row r="215" spans="1:17" x14ac:dyDescent="0.35">
      <c r="A215" s="6" t="s">
        <v>484</v>
      </c>
      <c r="B215" s="6" t="s">
        <v>19</v>
      </c>
      <c r="C215" s="6" t="s">
        <v>474</v>
      </c>
      <c r="D215" s="6"/>
      <c r="E215" s="6" t="s">
        <v>485</v>
      </c>
      <c r="F215" s="7">
        <v>44616</v>
      </c>
      <c r="G215" s="7">
        <v>44623</v>
      </c>
      <c r="H215" s="6" t="s">
        <v>27</v>
      </c>
      <c r="I215" s="6" t="s">
        <v>91</v>
      </c>
      <c r="J215" s="6" t="s">
        <v>92</v>
      </c>
      <c r="K215" s="7">
        <v>44616</v>
      </c>
      <c r="L215" s="6" t="s">
        <v>24</v>
      </c>
      <c r="M215" t="b">
        <v>1</v>
      </c>
      <c r="O215" t="b">
        <v>1</v>
      </c>
      <c r="Q215">
        <v>214</v>
      </c>
    </row>
    <row r="216" spans="1:17" x14ac:dyDescent="0.35">
      <c r="A216" s="6" t="s">
        <v>486</v>
      </c>
      <c r="B216" s="6" t="s">
        <v>19</v>
      </c>
      <c r="C216" s="6" t="s">
        <v>474</v>
      </c>
      <c r="D216" s="6"/>
      <c r="E216" s="6" t="s">
        <v>487</v>
      </c>
      <c r="F216" s="7">
        <v>44616</v>
      </c>
      <c r="G216" s="7">
        <v>44623</v>
      </c>
      <c r="H216" s="6" t="s">
        <v>27</v>
      </c>
      <c r="I216" s="6" t="s">
        <v>91</v>
      </c>
      <c r="J216" s="6" t="s">
        <v>184</v>
      </c>
      <c r="K216" s="7">
        <v>44616</v>
      </c>
      <c r="L216" s="6" t="s">
        <v>24</v>
      </c>
      <c r="M216" t="b">
        <v>1</v>
      </c>
      <c r="N216" t="b">
        <v>1</v>
      </c>
      <c r="Q216">
        <v>215</v>
      </c>
    </row>
    <row r="217" spans="1:17" x14ac:dyDescent="0.35">
      <c r="A217" s="6" t="s">
        <v>488</v>
      </c>
      <c r="B217" s="6" t="s">
        <v>19</v>
      </c>
      <c r="C217" s="6" t="s">
        <v>427</v>
      </c>
      <c r="D217" s="6"/>
      <c r="E217" s="6" t="s">
        <v>489</v>
      </c>
      <c r="F217" s="7">
        <v>44616</v>
      </c>
      <c r="G217" s="7">
        <v>44623</v>
      </c>
      <c r="H217" s="6" t="s">
        <v>27</v>
      </c>
      <c r="I217" s="6" t="s">
        <v>91</v>
      </c>
      <c r="J217" s="6" t="s">
        <v>184</v>
      </c>
      <c r="K217" s="7">
        <v>44616</v>
      </c>
      <c r="L217" s="6" t="s">
        <v>24</v>
      </c>
      <c r="M217" t="b">
        <v>1</v>
      </c>
      <c r="N217" t="b">
        <v>1</v>
      </c>
      <c r="Q217">
        <v>216</v>
      </c>
    </row>
    <row r="218" spans="1:17" x14ac:dyDescent="0.35">
      <c r="A218" s="6" t="s">
        <v>490</v>
      </c>
      <c r="B218" s="6" t="s">
        <v>19</v>
      </c>
      <c r="C218" s="6" t="s">
        <v>474</v>
      </c>
      <c r="D218" s="6"/>
      <c r="E218" s="6" t="s">
        <v>491</v>
      </c>
      <c r="F218" s="7">
        <v>44616</v>
      </c>
      <c r="G218" s="7">
        <v>44623</v>
      </c>
      <c r="H218" s="6" t="s">
        <v>27</v>
      </c>
      <c r="I218" s="6" t="s">
        <v>91</v>
      </c>
      <c r="J218" s="6" t="s">
        <v>184</v>
      </c>
      <c r="K218" s="7">
        <v>44616</v>
      </c>
      <c r="L218" s="6" t="s">
        <v>24</v>
      </c>
      <c r="M218" t="b">
        <v>1</v>
      </c>
      <c r="N218" t="b">
        <v>1</v>
      </c>
      <c r="Q218">
        <v>217</v>
      </c>
    </row>
    <row r="219" spans="1:17" x14ac:dyDescent="0.35">
      <c r="A219" s="6" t="s">
        <v>492</v>
      </c>
      <c r="B219" s="6" t="s">
        <v>19</v>
      </c>
      <c r="C219" s="6" t="s">
        <v>107</v>
      </c>
      <c r="D219" s="6"/>
      <c r="E219" s="6" t="s">
        <v>493</v>
      </c>
      <c r="F219" s="7">
        <v>44582</v>
      </c>
      <c r="G219" s="7">
        <v>44589</v>
      </c>
      <c r="H219" s="6" t="s">
        <v>27</v>
      </c>
      <c r="I219" s="6" t="s">
        <v>91</v>
      </c>
      <c r="J219" s="6" t="s">
        <v>184</v>
      </c>
      <c r="K219" s="7">
        <v>44582</v>
      </c>
      <c r="L219" s="6" t="s">
        <v>24</v>
      </c>
      <c r="M219" t="b">
        <v>1</v>
      </c>
      <c r="N219" t="b">
        <v>1</v>
      </c>
      <c r="Q219">
        <v>218</v>
      </c>
    </row>
    <row r="220" spans="1:17" x14ac:dyDescent="0.35">
      <c r="A220" s="6" t="s">
        <v>494</v>
      </c>
      <c r="B220" s="6" t="s">
        <v>19</v>
      </c>
      <c r="C220" s="6" t="s">
        <v>189</v>
      </c>
      <c r="D220" s="6"/>
      <c r="E220" s="6" t="s">
        <v>495</v>
      </c>
      <c r="F220" s="7">
        <v>44582</v>
      </c>
      <c r="G220" s="7">
        <v>44589</v>
      </c>
      <c r="H220" s="6" t="s">
        <v>27</v>
      </c>
      <c r="I220" s="6" t="s">
        <v>91</v>
      </c>
      <c r="J220" s="6" t="s">
        <v>92</v>
      </c>
      <c r="K220" s="7">
        <v>44582</v>
      </c>
      <c r="L220" s="6" t="s">
        <v>24</v>
      </c>
      <c r="M220" t="b">
        <v>1</v>
      </c>
      <c r="N220" t="b">
        <v>1</v>
      </c>
      <c r="Q220">
        <v>219</v>
      </c>
    </row>
    <row r="221" spans="1:17" x14ac:dyDescent="0.35">
      <c r="A221" s="6" t="s">
        <v>496</v>
      </c>
      <c r="B221" s="6" t="s">
        <v>89</v>
      </c>
      <c r="C221" s="6" t="s">
        <v>427</v>
      </c>
      <c r="D221" s="6"/>
      <c r="E221" s="6" t="s">
        <v>497</v>
      </c>
      <c r="F221" s="7">
        <v>44582</v>
      </c>
      <c r="G221" s="7">
        <v>44589</v>
      </c>
      <c r="H221" s="6" t="s">
        <v>27</v>
      </c>
      <c r="I221" s="6" t="s">
        <v>91</v>
      </c>
      <c r="J221" s="6" t="s">
        <v>92</v>
      </c>
      <c r="K221" s="7">
        <v>44616</v>
      </c>
      <c r="L221" s="6" t="s">
        <v>24</v>
      </c>
      <c r="M221" t="b">
        <v>1</v>
      </c>
      <c r="N221" t="b">
        <v>1</v>
      </c>
      <c r="O221" t="b">
        <v>1</v>
      </c>
      <c r="Q221">
        <v>220</v>
      </c>
    </row>
    <row r="222" spans="1:17" x14ac:dyDescent="0.35">
      <c r="A222" s="6" t="s">
        <v>498</v>
      </c>
      <c r="B222" s="6" t="s">
        <v>89</v>
      </c>
      <c r="C222" s="6" t="s">
        <v>189</v>
      </c>
      <c r="D222" s="6"/>
      <c r="E222" s="6" t="s">
        <v>499</v>
      </c>
      <c r="F222" s="7">
        <v>44532</v>
      </c>
      <c r="G222" s="7">
        <v>44539</v>
      </c>
      <c r="H222" s="6" t="s">
        <v>27</v>
      </c>
      <c r="I222" s="6" t="s">
        <v>91</v>
      </c>
      <c r="J222" s="6" t="s">
        <v>92</v>
      </c>
      <c r="K222" s="7">
        <v>44532</v>
      </c>
      <c r="L222" s="6" t="s">
        <v>24</v>
      </c>
      <c r="M222" t="b">
        <v>1</v>
      </c>
      <c r="O222" t="b">
        <v>1</v>
      </c>
      <c r="Q222">
        <v>221</v>
      </c>
    </row>
    <row r="223" spans="1:17" x14ac:dyDescent="0.35">
      <c r="A223" s="6" t="s">
        <v>500</v>
      </c>
      <c r="B223" s="6" t="s">
        <v>89</v>
      </c>
      <c r="C223" s="6" t="s">
        <v>189</v>
      </c>
      <c r="D223" s="6"/>
      <c r="E223" s="6" t="s">
        <v>501</v>
      </c>
      <c r="F223" s="7">
        <v>44532</v>
      </c>
      <c r="G223" s="7">
        <v>44539</v>
      </c>
      <c r="H223" s="6" t="s">
        <v>27</v>
      </c>
      <c r="I223" s="6" t="s">
        <v>91</v>
      </c>
      <c r="J223" s="6" t="s">
        <v>92</v>
      </c>
      <c r="K223" s="7">
        <v>44533</v>
      </c>
      <c r="L223" s="6" t="s">
        <v>24</v>
      </c>
      <c r="M223" t="b">
        <v>1</v>
      </c>
      <c r="N223" t="b">
        <v>1</v>
      </c>
      <c r="O223" t="b">
        <v>1</v>
      </c>
      <c r="Q223">
        <v>222</v>
      </c>
    </row>
    <row r="224" spans="1:17" x14ac:dyDescent="0.35">
      <c r="A224" s="6" t="s">
        <v>502</v>
      </c>
      <c r="B224" s="6" t="s">
        <v>89</v>
      </c>
      <c r="C224" s="6" t="s">
        <v>427</v>
      </c>
      <c r="D224" s="6"/>
      <c r="E224" s="6" t="s">
        <v>503</v>
      </c>
      <c r="F224" s="7">
        <v>44532</v>
      </c>
      <c r="G224" s="7">
        <v>44539</v>
      </c>
      <c r="H224" s="6" t="s">
        <v>27</v>
      </c>
      <c r="I224" s="6" t="s">
        <v>91</v>
      </c>
      <c r="J224" s="6" t="s">
        <v>92</v>
      </c>
      <c r="K224" s="7">
        <v>44532</v>
      </c>
      <c r="L224" s="6" t="s">
        <v>24</v>
      </c>
      <c r="M224" t="b">
        <v>1</v>
      </c>
      <c r="N224" t="b">
        <v>1</v>
      </c>
      <c r="O224" t="b">
        <v>1</v>
      </c>
      <c r="Q224">
        <v>223</v>
      </c>
    </row>
    <row r="225" spans="1:17" x14ac:dyDescent="0.35">
      <c r="A225" s="6" t="s">
        <v>504</v>
      </c>
      <c r="B225" s="6" t="s">
        <v>89</v>
      </c>
      <c r="C225" s="6" t="s">
        <v>189</v>
      </c>
      <c r="D225" s="6"/>
      <c r="E225" s="6" t="s">
        <v>505</v>
      </c>
      <c r="F225" s="7">
        <v>44532</v>
      </c>
      <c r="G225" s="7">
        <v>44539</v>
      </c>
      <c r="H225" s="6" t="s">
        <v>27</v>
      </c>
      <c r="I225" s="6" t="s">
        <v>91</v>
      </c>
      <c r="J225" s="6" t="s">
        <v>184</v>
      </c>
      <c r="K225" s="7">
        <v>44533</v>
      </c>
      <c r="L225" s="6" t="s">
        <v>24</v>
      </c>
      <c r="M225" t="b">
        <v>1</v>
      </c>
      <c r="N225" t="b">
        <v>1</v>
      </c>
      <c r="O225" t="b">
        <v>1</v>
      </c>
      <c r="Q225">
        <v>224</v>
      </c>
    </row>
    <row r="226" spans="1:17" x14ac:dyDescent="0.35">
      <c r="A226" s="6" t="s">
        <v>506</v>
      </c>
      <c r="B226" s="6" t="s">
        <v>89</v>
      </c>
      <c r="C226" s="6" t="s">
        <v>189</v>
      </c>
      <c r="D226" s="6"/>
      <c r="E226" s="6" t="s">
        <v>507</v>
      </c>
      <c r="F226" s="7">
        <v>44532</v>
      </c>
      <c r="G226" s="7">
        <v>44539</v>
      </c>
      <c r="H226" s="6" t="s">
        <v>27</v>
      </c>
      <c r="I226" s="6" t="s">
        <v>91</v>
      </c>
      <c r="J226" s="6" t="s">
        <v>92</v>
      </c>
      <c r="K226" s="7">
        <v>44683</v>
      </c>
      <c r="L226" s="6" t="s">
        <v>24</v>
      </c>
      <c r="M226" t="b">
        <v>1</v>
      </c>
      <c r="N226" t="b">
        <v>1</v>
      </c>
      <c r="O226" t="b">
        <v>1</v>
      </c>
      <c r="Q226">
        <v>225</v>
      </c>
    </row>
    <row r="227" spans="1:17" x14ac:dyDescent="0.35">
      <c r="A227" s="6" t="s">
        <v>508</v>
      </c>
      <c r="B227" s="6" t="s">
        <v>19</v>
      </c>
      <c r="C227" s="6" t="s">
        <v>189</v>
      </c>
      <c r="D227" s="6"/>
      <c r="E227" s="6" t="s">
        <v>509</v>
      </c>
      <c r="F227" s="7">
        <v>44532</v>
      </c>
      <c r="G227" s="7">
        <v>44539</v>
      </c>
      <c r="H227" s="6" t="s">
        <v>27</v>
      </c>
      <c r="I227" s="6" t="s">
        <v>91</v>
      </c>
      <c r="J227" s="6" t="s">
        <v>184</v>
      </c>
      <c r="K227" s="7">
        <v>44532</v>
      </c>
      <c r="L227" s="6" t="s">
        <v>24</v>
      </c>
      <c r="M227" t="b">
        <v>1</v>
      </c>
      <c r="N227" t="b">
        <v>1</v>
      </c>
      <c r="Q227">
        <v>226</v>
      </c>
    </row>
    <row r="228" spans="1:17" x14ac:dyDescent="0.35">
      <c r="A228" s="6" t="s">
        <v>510</v>
      </c>
      <c r="B228" s="6" t="s">
        <v>134</v>
      </c>
      <c r="C228" s="6" t="s">
        <v>228</v>
      </c>
      <c r="D228" s="6" t="s">
        <v>955</v>
      </c>
      <c r="E228" s="6" t="s">
        <v>511</v>
      </c>
      <c r="F228" s="7">
        <v>44494</v>
      </c>
      <c r="G228" s="7">
        <v>44501</v>
      </c>
      <c r="H228" s="6" t="s">
        <v>81</v>
      </c>
      <c r="I228" s="6" t="s">
        <v>57</v>
      </c>
      <c r="J228" s="6" t="s">
        <v>58</v>
      </c>
      <c r="K228" s="7">
        <v>44652</v>
      </c>
      <c r="L228" s="6" t="s">
        <v>24</v>
      </c>
      <c r="M228" t="b">
        <v>0</v>
      </c>
      <c r="N228" t="b">
        <v>1</v>
      </c>
      <c r="O228" t="b">
        <v>0</v>
      </c>
      <c r="P228" t="b">
        <v>0</v>
      </c>
      <c r="Q228">
        <v>227</v>
      </c>
    </row>
    <row r="229" spans="1:17" x14ac:dyDescent="0.35">
      <c r="A229" s="6" t="s">
        <v>512</v>
      </c>
      <c r="B229" s="6" t="s">
        <v>89</v>
      </c>
      <c r="C229" s="6" t="s">
        <v>228</v>
      </c>
      <c r="D229" s="6" t="s">
        <v>956</v>
      </c>
      <c r="E229" s="6" t="s">
        <v>513</v>
      </c>
      <c r="F229" s="7">
        <v>44491</v>
      </c>
      <c r="G229" s="7">
        <v>44498</v>
      </c>
      <c r="H229" s="6" t="s">
        <v>81</v>
      </c>
      <c r="I229" s="6" t="s">
        <v>91</v>
      </c>
      <c r="J229" s="6" t="s">
        <v>92</v>
      </c>
      <c r="K229" s="7">
        <v>44648</v>
      </c>
      <c r="L229" s="6" t="s">
        <v>24</v>
      </c>
      <c r="M229" t="b">
        <v>1</v>
      </c>
      <c r="N229" t="b">
        <v>1</v>
      </c>
      <c r="O229" t="b">
        <v>1</v>
      </c>
      <c r="P229" t="b">
        <v>0</v>
      </c>
      <c r="Q229">
        <v>228</v>
      </c>
    </row>
    <row r="230" spans="1:17" x14ac:dyDescent="0.35">
      <c r="A230" s="6" t="s">
        <v>514</v>
      </c>
      <c r="B230" s="6" t="s">
        <v>134</v>
      </c>
      <c r="C230" s="6" t="s">
        <v>228</v>
      </c>
      <c r="D230" s="6" t="s">
        <v>957</v>
      </c>
      <c r="E230" s="6" t="s">
        <v>515</v>
      </c>
      <c r="F230" s="7">
        <v>44491</v>
      </c>
      <c r="G230" s="7">
        <v>44498</v>
      </c>
      <c r="H230" s="6" t="s">
        <v>81</v>
      </c>
      <c r="I230" s="6" t="s">
        <v>57</v>
      </c>
      <c r="J230" s="6" t="s">
        <v>58</v>
      </c>
      <c r="K230" s="7">
        <v>44784</v>
      </c>
      <c r="L230" s="6" t="s">
        <v>24</v>
      </c>
      <c r="M230" t="b">
        <v>0</v>
      </c>
      <c r="N230" t="b">
        <v>1</v>
      </c>
      <c r="O230" t="b">
        <v>1</v>
      </c>
      <c r="P230" t="b">
        <v>0</v>
      </c>
      <c r="Q230">
        <v>229</v>
      </c>
    </row>
    <row r="231" spans="1:17" x14ac:dyDescent="0.35">
      <c r="A231" s="6" t="s">
        <v>516</v>
      </c>
      <c r="B231" s="6" t="s">
        <v>134</v>
      </c>
      <c r="C231" s="6" t="s">
        <v>228</v>
      </c>
      <c r="D231" s="6" t="s">
        <v>958</v>
      </c>
      <c r="E231" s="6" t="s">
        <v>517</v>
      </c>
      <c r="F231" s="7">
        <v>44491</v>
      </c>
      <c r="G231" s="7">
        <v>44498</v>
      </c>
      <c r="H231" s="6" t="s">
        <v>81</v>
      </c>
      <c r="I231" s="6" t="s">
        <v>57</v>
      </c>
      <c r="J231" s="6" t="s">
        <v>58</v>
      </c>
      <c r="K231" s="7">
        <v>44784</v>
      </c>
      <c r="L231" s="6" t="s">
        <v>24</v>
      </c>
      <c r="M231" t="b">
        <v>0</v>
      </c>
      <c r="N231" t="b">
        <v>0</v>
      </c>
      <c r="O231" t="b">
        <v>1</v>
      </c>
      <c r="P231" t="b">
        <v>0</v>
      </c>
      <c r="Q231">
        <v>230</v>
      </c>
    </row>
    <row r="232" spans="1:17" x14ac:dyDescent="0.35">
      <c r="A232" s="6" t="s">
        <v>518</v>
      </c>
      <c r="B232" s="6" t="s">
        <v>134</v>
      </c>
      <c r="C232" s="6" t="s">
        <v>228</v>
      </c>
      <c r="D232" s="6" t="s">
        <v>959</v>
      </c>
      <c r="E232" s="6" t="s">
        <v>519</v>
      </c>
      <c r="F232" s="7">
        <v>44491</v>
      </c>
      <c r="G232" s="7">
        <v>44498</v>
      </c>
      <c r="H232" s="6" t="s">
        <v>81</v>
      </c>
      <c r="I232" s="6" t="s">
        <v>57</v>
      </c>
      <c r="J232" s="6" t="s">
        <v>58</v>
      </c>
      <c r="K232" s="7">
        <v>44494</v>
      </c>
      <c r="L232" s="6" t="s">
        <v>24</v>
      </c>
      <c r="M232" t="b">
        <v>0</v>
      </c>
      <c r="N232" t="b">
        <v>0</v>
      </c>
      <c r="O232" t="b">
        <v>0</v>
      </c>
      <c r="P232" t="b">
        <v>0</v>
      </c>
      <c r="Q232">
        <v>231</v>
      </c>
    </row>
    <row r="233" spans="1:17" x14ac:dyDescent="0.35">
      <c r="A233" s="6" t="s">
        <v>520</v>
      </c>
      <c r="B233" s="6" t="s">
        <v>134</v>
      </c>
      <c r="C233" s="6" t="s">
        <v>228</v>
      </c>
      <c r="D233" s="6" t="s">
        <v>960</v>
      </c>
      <c r="E233" s="6" t="s">
        <v>521</v>
      </c>
      <c r="F233" s="7">
        <v>44491</v>
      </c>
      <c r="G233" s="7">
        <v>44498</v>
      </c>
      <c r="H233" s="6" t="s">
        <v>81</v>
      </c>
      <c r="I233" s="6" t="s">
        <v>195</v>
      </c>
      <c r="J233" s="6" t="s">
        <v>196</v>
      </c>
      <c r="K233" s="7">
        <v>44784</v>
      </c>
      <c r="L233" s="6" t="s">
        <v>24</v>
      </c>
      <c r="M233" t="b">
        <v>0</v>
      </c>
      <c r="N233" t="b">
        <v>0</v>
      </c>
      <c r="O233" t="b">
        <v>0</v>
      </c>
      <c r="P233" t="b">
        <v>0</v>
      </c>
      <c r="Q233">
        <v>232</v>
      </c>
    </row>
    <row r="234" spans="1:17" x14ac:dyDescent="0.35">
      <c r="A234" s="6" t="s">
        <v>522</v>
      </c>
      <c r="B234" s="6" t="s">
        <v>134</v>
      </c>
      <c r="C234" s="6" t="s">
        <v>107</v>
      </c>
      <c r="D234" s="6" t="s">
        <v>867</v>
      </c>
      <c r="E234" s="6" t="s">
        <v>523</v>
      </c>
      <c r="F234" s="7">
        <v>44491</v>
      </c>
      <c r="G234" s="7">
        <v>44498</v>
      </c>
      <c r="H234" s="6" t="s">
        <v>81</v>
      </c>
      <c r="I234" s="6" t="s">
        <v>34</v>
      </c>
      <c r="J234" s="6" t="s">
        <v>35</v>
      </c>
      <c r="K234" s="7">
        <v>44664</v>
      </c>
      <c r="L234" s="6" t="s">
        <v>24</v>
      </c>
      <c r="M234" t="b">
        <v>0</v>
      </c>
      <c r="N234" t="b">
        <v>1</v>
      </c>
      <c r="O234" t="b">
        <v>0</v>
      </c>
      <c r="P234" t="b">
        <v>0</v>
      </c>
      <c r="Q234">
        <v>233</v>
      </c>
    </row>
    <row r="235" spans="1:17" x14ac:dyDescent="0.35">
      <c r="A235" s="6" t="s">
        <v>524</v>
      </c>
      <c r="B235" s="6" t="s">
        <v>89</v>
      </c>
      <c r="C235" s="6" t="s">
        <v>107</v>
      </c>
      <c r="D235" s="6" t="s">
        <v>961</v>
      </c>
      <c r="E235" s="6" t="s">
        <v>525</v>
      </c>
      <c r="F235" s="7">
        <v>44491</v>
      </c>
      <c r="G235" s="7">
        <v>44498</v>
      </c>
      <c r="H235" s="6" t="s">
        <v>81</v>
      </c>
      <c r="I235" s="6" t="s">
        <v>91</v>
      </c>
      <c r="J235" s="6" t="s">
        <v>92</v>
      </c>
      <c r="K235" s="7">
        <v>44533</v>
      </c>
      <c r="L235" s="6" t="s">
        <v>24</v>
      </c>
      <c r="M235" t="b">
        <v>1</v>
      </c>
      <c r="N235" t="b">
        <v>1</v>
      </c>
      <c r="O235" t="b">
        <v>1</v>
      </c>
      <c r="P235" t="b">
        <v>0</v>
      </c>
      <c r="Q235">
        <v>234</v>
      </c>
    </row>
    <row r="236" spans="1:17" x14ac:dyDescent="0.35">
      <c r="A236" s="6" t="s">
        <v>526</v>
      </c>
      <c r="B236" s="6" t="s">
        <v>19</v>
      </c>
      <c r="C236" s="6" t="s">
        <v>107</v>
      </c>
      <c r="D236" s="6"/>
      <c r="E236" s="6" t="s">
        <v>527</v>
      </c>
      <c r="F236" s="7">
        <v>44488</v>
      </c>
      <c r="G236" s="7">
        <v>44495</v>
      </c>
      <c r="H236" s="6" t="s">
        <v>27</v>
      </c>
      <c r="I236" s="6" t="s">
        <v>91</v>
      </c>
      <c r="J236" s="6" t="s">
        <v>184</v>
      </c>
      <c r="K236" s="7">
        <v>44488</v>
      </c>
      <c r="L236" s="6" t="s">
        <v>24</v>
      </c>
      <c r="M236" t="b">
        <v>1</v>
      </c>
      <c r="Q236">
        <v>235</v>
      </c>
    </row>
    <row r="237" spans="1:17" x14ac:dyDescent="0.35">
      <c r="A237" s="6" t="s">
        <v>528</v>
      </c>
      <c r="B237" s="6" t="s">
        <v>19</v>
      </c>
      <c r="C237" s="6" t="s">
        <v>228</v>
      </c>
      <c r="D237" s="6"/>
      <c r="E237" s="6" t="s">
        <v>529</v>
      </c>
      <c r="F237" s="7">
        <v>44488</v>
      </c>
      <c r="G237" s="7">
        <v>44495</v>
      </c>
      <c r="H237" s="6" t="s">
        <v>27</v>
      </c>
      <c r="I237" s="6" t="s">
        <v>91</v>
      </c>
      <c r="J237" s="6" t="s">
        <v>184</v>
      </c>
      <c r="K237" s="7">
        <v>44488</v>
      </c>
      <c r="L237" s="6" t="s">
        <v>24</v>
      </c>
      <c r="M237" t="b">
        <v>1</v>
      </c>
      <c r="Q237">
        <v>236</v>
      </c>
    </row>
    <row r="238" spans="1:17" x14ac:dyDescent="0.35">
      <c r="A238" s="6" t="s">
        <v>530</v>
      </c>
      <c r="B238" s="6" t="s">
        <v>134</v>
      </c>
      <c r="C238" s="6" t="s">
        <v>107</v>
      </c>
      <c r="D238" s="6"/>
      <c r="E238" s="6" t="s">
        <v>531</v>
      </c>
      <c r="F238" s="7">
        <v>44488</v>
      </c>
      <c r="G238" s="7">
        <v>44495</v>
      </c>
      <c r="H238" s="6" t="s">
        <v>27</v>
      </c>
      <c r="I238" s="6" t="s">
        <v>91</v>
      </c>
      <c r="J238" s="6" t="s">
        <v>92</v>
      </c>
      <c r="K238" s="7">
        <v>44491</v>
      </c>
      <c r="L238" s="6" t="s">
        <v>24</v>
      </c>
      <c r="M238" t="b">
        <v>0</v>
      </c>
      <c r="N238" t="b">
        <v>1</v>
      </c>
      <c r="O238" t="b">
        <v>1</v>
      </c>
      <c r="Q238">
        <v>237</v>
      </c>
    </row>
    <row r="239" spans="1:17" x14ac:dyDescent="0.35">
      <c r="A239" s="6" t="s">
        <v>532</v>
      </c>
      <c r="B239" s="6" t="s">
        <v>134</v>
      </c>
      <c r="C239" s="6" t="s">
        <v>189</v>
      </c>
      <c r="D239" s="6"/>
      <c r="E239" s="6" t="s">
        <v>533</v>
      </c>
      <c r="F239" s="7">
        <v>44480</v>
      </c>
      <c r="G239" s="7">
        <v>44487</v>
      </c>
      <c r="H239" s="6" t="s">
        <v>81</v>
      </c>
      <c r="I239" s="6" t="s">
        <v>91</v>
      </c>
      <c r="J239" s="6" t="s">
        <v>184</v>
      </c>
      <c r="K239" s="7">
        <v>44491</v>
      </c>
      <c r="L239" s="6" t="s">
        <v>24</v>
      </c>
      <c r="M239" t="b">
        <v>0</v>
      </c>
      <c r="N239" t="b">
        <v>1</v>
      </c>
      <c r="O239" t="b">
        <v>0</v>
      </c>
      <c r="P239" t="b">
        <v>0</v>
      </c>
      <c r="Q239">
        <v>238</v>
      </c>
    </row>
    <row r="240" spans="1:17" x14ac:dyDescent="0.35">
      <c r="A240" s="6" t="s">
        <v>534</v>
      </c>
      <c r="B240" s="6" t="s">
        <v>19</v>
      </c>
      <c r="C240" s="6" t="s">
        <v>189</v>
      </c>
      <c r="D240" s="6" t="s">
        <v>921</v>
      </c>
      <c r="E240" s="6" t="s">
        <v>535</v>
      </c>
      <c r="F240" s="7">
        <v>44480</v>
      </c>
      <c r="G240" s="7">
        <v>44487</v>
      </c>
      <c r="H240" s="6" t="s">
        <v>81</v>
      </c>
      <c r="I240" s="6" t="s">
        <v>57</v>
      </c>
      <c r="J240" s="6" t="s">
        <v>58</v>
      </c>
      <c r="K240" s="7">
        <v>44480</v>
      </c>
      <c r="L240" s="6" t="s">
        <v>24</v>
      </c>
      <c r="M240" t="b">
        <v>1</v>
      </c>
      <c r="N240" t="b">
        <v>1</v>
      </c>
      <c r="O240" t="b">
        <v>0</v>
      </c>
      <c r="P240" t="b">
        <v>0</v>
      </c>
      <c r="Q240">
        <v>239</v>
      </c>
    </row>
    <row r="241" spans="1:17" x14ac:dyDescent="0.35">
      <c r="A241" s="6" t="s">
        <v>536</v>
      </c>
      <c r="B241" s="6" t="s">
        <v>134</v>
      </c>
      <c r="C241" s="6" t="s">
        <v>186</v>
      </c>
      <c r="D241" s="6"/>
      <c r="E241" s="6" t="s">
        <v>537</v>
      </c>
      <c r="F241" s="7">
        <v>44476</v>
      </c>
      <c r="G241" s="7">
        <v>44476</v>
      </c>
      <c r="H241" s="6" t="s">
        <v>27</v>
      </c>
      <c r="I241" s="6" t="s">
        <v>57</v>
      </c>
      <c r="J241" s="6" t="s">
        <v>58</v>
      </c>
      <c r="K241" s="7">
        <v>44784</v>
      </c>
      <c r="L241" s="6" t="s">
        <v>24</v>
      </c>
      <c r="M241" t="b">
        <v>0</v>
      </c>
      <c r="N241" t="b">
        <v>1</v>
      </c>
      <c r="O241" t="b">
        <v>1</v>
      </c>
      <c r="Q241">
        <v>240</v>
      </c>
    </row>
    <row r="242" spans="1:17" x14ac:dyDescent="0.35">
      <c r="A242" s="6" t="s">
        <v>538</v>
      </c>
      <c r="B242" s="6" t="s">
        <v>134</v>
      </c>
      <c r="C242" s="6" t="s">
        <v>107</v>
      </c>
      <c r="D242" s="6"/>
      <c r="E242" s="6" t="s">
        <v>539</v>
      </c>
      <c r="F242" s="7">
        <v>44476</v>
      </c>
      <c r="G242" s="7">
        <v>44476</v>
      </c>
      <c r="H242" s="6" t="s">
        <v>27</v>
      </c>
      <c r="I242" s="6" t="s">
        <v>57</v>
      </c>
      <c r="J242" s="6" t="s">
        <v>58</v>
      </c>
      <c r="K242" s="7">
        <v>44491</v>
      </c>
      <c r="L242" s="6" t="s">
        <v>24</v>
      </c>
      <c r="M242" t="b">
        <v>0</v>
      </c>
      <c r="N242" t="b">
        <v>1</v>
      </c>
      <c r="O242" t="b">
        <v>1</v>
      </c>
      <c r="Q242">
        <v>241</v>
      </c>
    </row>
    <row r="243" spans="1:17" x14ac:dyDescent="0.35">
      <c r="A243" s="6" t="s">
        <v>540</v>
      </c>
      <c r="B243" s="6" t="s">
        <v>134</v>
      </c>
      <c r="C243" s="6" t="s">
        <v>107</v>
      </c>
      <c r="D243" s="6"/>
      <c r="E243" s="6" t="s">
        <v>541</v>
      </c>
      <c r="F243" s="7">
        <v>44476</v>
      </c>
      <c r="G243" s="7">
        <v>44476</v>
      </c>
      <c r="H243" s="6" t="s">
        <v>27</v>
      </c>
      <c r="I243" s="6" t="s">
        <v>57</v>
      </c>
      <c r="J243" s="6" t="s">
        <v>58</v>
      </c>
      <c r="K243" s="7">
        <v>44491</v>
      </c>
      <c r="L243" s="6" t="s">
        <v>24</v>
      </c>
      <c r="M243" t="b">
        <v>0</v>
      </c>
      <c r="N243" t="b">
        <v>1</v>
      </c>
      <c r="O243" t="b">
        <v>1</v>
      </c>
      <c r="Q243">
        <v>242</v>
      </c>
    </row>
    <row r="244" spans="1:17" x14ac:dyDescent="0.35">
      <c r="A244" s="6" t="s">
        <v>542</v>
      </c>
      <c r="B244" s="6" t="s">
        <v>89</v>
      </c>
      <c r="C244" s="6" t="s">
        <v>107</v>
      </c>
      <c r="D244" s="6"/>
      <c r="E244" s="6" t="s">
        <v>543</v>
      </c>
      <c r="F244" s="7">
        <v>44476</v>
      </c>
      <c r="G244" s="7">
        <v>44476</v>
      </c>
      <c r="H244" s="6" t="s">
        <v>27</v>
      </c>
      <c r="I244" s="6" t="s">
        <v>57</v>
      </c>
      <c r="J244" s="6" t="s">
        <v>58</v>
      </c>
      <c r="K244" s="7">
        <v>44480</v>
      </c>
      <c r="L244" s="6" t="s">
        <v>24</v>
      </c>
      <c r="M244" t="b">
        <v>1</v>
      </c>
      <c r="N244" t="b">
        <v>1</v>
      </c>
      <c r="O244" t="b">
        <v>1</v>
      </c>
      <c r="Q244">
        <v>243</v>
      </c>
    </row>
    <row r="245" spans="1:17" x14ac:dyDescent="0.35">
      <c r="A245" s="6" t="s">
        <v>544</v>
      </c>
      <c r="B245" s="6" t="s">
        <v>89</v>
      </c>
      <c r="C245" s="6" t="s">
        <v>189</v>
      </c>
      <c r="D245" s="6"/>
      <c r="E245" s="6" t="s">
        <v>545</v>
      </c>
      <c r="F245" s="7">
        <v>44476</v>
      </c>
      <c r="G245" s="7">
        <v>44476</v>
      </c>
      <c r="H245" s="6" t="s">
        <v>27</v>
      </c>
      <c r="I245" s="6" t="s">
        <v>57</v>
      </c>
      <c r="J245" s="6" t="s">
        <v>58</v>
      </c>
      <c r="K245" s="7">
        <v>44494</v>
      </c>
      <c r="L245" s="6" t="s">
        <v>24</v>
      </c>
      <c r="M245" t="b">
        <v>1</v>
      </c>
      <c r="N245" t="b">
        <v>1</v>
      </c>
      <c r="O245" t="b">
        <v>1</v>
      </c>
      <c r="Q245">
        <v>244</v>
      </c>
    </row>
    <row r="246" spans="1:17" x14ac:dyDescent="0.35">
      <c r="A246" s="6" t="s">
        <v>546</v>
      </c>
      <c r="B246" s="6" t="s">
        <v>134</v>
      </c>
      <c r="C246" s="6" t="s">
        <v>189</v>
      </c>
      <c r="D246" s="6"/>
      <c r="E246" s="6" t="s">
        <v>547</v>
      </c>
      <c r="F246" s="7">
        <v>44476</v>
      </c>
      <c r="G246" s="7">
        <v>44476</v>
      </c>
      <c r="H246" s="6" t="s">
        <v>27</v>
      </c>
      <c r="I246" s="6" t="s">
        <v>57</v>
      </c>
      <c r="J246" s="6" t="s">
        <v>58</v>
      </c>
      <c r="K246" s="7">
        <v>44491</v>
      </c>
      <c r="L246" s="6" t="s">
        <v>24</v>
      </c>
      <c r="M246" t="b">
        <v>0</v>
      </c>
      <c r="N246" t="b">
        <v>1</v>
      </c>
      <c r="O246" t="b">
        <v>1</v>
      </c>
      <c r="Q246">
        <v>245</v>
      </c>
    </row>
    <row r="247" spans="1:17" x14ac:dyDescent="0.35">
      <c r="A247" s="6" t="s">
        <v>548</v>
      </c>
      <c r="B247" s="6" t="s">
        <v>134</v>
      </c>
      <c r="C247" s="6" t="s">
        <v>189</v>
      </c>
      <c r="D247" s="6"/>
      <c r="E247" s="6" t="s">
        <v>549</v>
      </c>
      <c r="F247" s="7">
        <v>44476</v>
      </c>
      <c r="G247" s="7">
        <v>44476</v>
      </c>
      <c r="H247" s="6" t="s">
        <v>27</v>
      </c>
      <c r="I247" s="6" t="s">
        <v>57</v>
      </c>
      <c r="J247" s="6" t="s">
        <v>58</v>
      </c>
      <c r="K247" s="7">
        <v>44784</v>
      </c>
      <c r="L247" s="6" t="s">
        <v>24</v>
      </c>
      <c r="M247" t="b">
        <v>0</v>
      </c>
      <c r="N247" t="b">
        <v>1</v>
      </c>
      <c r="O247" t="b">
        <v>1</v>
      </c>
      <c r="Q247">
        <v>246</v>
      </c>
    </row>
    <row r="248" spans="1:17" x14ac:dyDescent="0.35">
      <c r="A248" s="6" t="s">
        <v>550</v>
      </c>
      <c r="B248" s="6" t="s">
        <v>134</v>
      </c>
      <c r="C248" s="6" t="s">
        <v>189</v>
      </c>
      <c r="D248" s="6"/>
      <c r="E248" s="6" t="s">
        <v>551</v>
      </c>
      <c r="F248" s="7">
        <v>44476</v>
      </c>
      <c r="G248" s="7">
        <v>44476</v>
      </c>
      <c r="H248" s="6" t="s">
        <v>27</v>
      </c>
      <c r="I248" s="6" t="s">
        <v>57</v>
      </c>
      <c r="J248" s="6" t="s">
        <v>58</v>
      </c>
      <c r="K248" s="7">
        <v>44491</v>
      </c>
      <c r="L248" s="6" t="s">
        <v>24</v>
      </c>
      <c r="M248" t="b">
        <v>0</v>
      </c>
      <c r="N248" t="b">
        <v>1</v>
      </c>
      <c r="O248" t="b">
        <v>1</v>
      </c>
      <c r="Q248">
        <v>247</v>
      </c>
    </row>
    <row r="249" spans="1:17" x14ac:dyDescent="0.35">
      <c r="A249" s="6" t="s">
        <v>552</v>
      </c>
      <c r="B249" s="6" t="s">
        <v>134</v>
      </c>
      <c r="C249" s="6" t="s">
        <v>189</v>
      </c>
      <c r="D249" s="6"/>
      <c r="E249" s="6" t="s">
        <v>553</v>
      </c>
      <c r="F249" s="7">
        <v>44476</v>
      </c>
      <c r="G249" s="7">
        <v>44476</v>
      </c>
      <c r="H249" s="6" t="s">
        <v>27</v>
      </c>
      <c r="I249" s="6" t="s">
        <v>57</v>
      </c>
      <c r="J249" s="6" t="s">
        <v>58</v>
      </c>
      <c r="K249" s="7">
        <v>44491</v>
      </c>
      <c r="L249" s="6" t="s">
        <v>24</v>
      </c>
      <c r="M249" t="b">
        <v>0</v>
      </c>
      <c r="N249" t="b">
        <v>1</v>
      </c>
      <c r="O249" t="b">
        <v>1</v>
      </c>
      <c r="Q249">
        <v>248</v>
      </c>
    </row>
    <row r="250" spans="1:17" x14ac:dyDescent="0.35">
      <c r="A250" s="6" t="s">
        <v>554</v>
      </c>
      <c r="B250" s="6" t="s">
        <v>134</v>
      </c>
      <c r="C250" s="6" t="s">
        <v>189</v>
      </c>
      <c r="D250" s="6"/>
      <c r="E250" s="6" t="s">
        <v>555</v>
      </c>
      <c r="F250" s="7">
        <v>44476</v>
      </c>
      <c r="G250" s="7">
        <v>44476</v>
      </c>
      <c r="H250" s="6" t="s">
        <v>27</v>
      </c>
      <c r="I250" s="6" t="s">
        <v>57</v>
      </c>
      <c r="J250" s="6" t="s">
        <v>58</v>
      </c>
      <c r="K250" s="7">
        <v>44491</v>
      </c>
      <c r="L250" s="6" t="s">
        <v>24</v>
      </c>
      <c r="M250" t="b">
        <v>0</v>
      </c>
      <c r="N250" t="b">
        <v>1</v>
      </c>
      <c r="O250" t="b">
        <v>1</v>
      </c>
      <c r="Q250">
        <v>249</v>
      </c>
    </row>
    <row r="251" spans="1:17" x14ac:dyDescent="0.35">
      <c r="A251" s="6" t="s">
        <v>556</v>
      </c>
      <c r="B251" s="6" t="s">
        <v>134</v>
      </c>
      <c r="C251" s="6" t="s">
        <v>189</v>
      </c>
      <c r="D251" s="6" t="s">
        <v>949</v>
      </c>
      <c r="E251" s="6" t="s">
        <v>557</v>
      </c>
      <c r="F251" s="7">
        <v>44476</v>
      </c>
      <c r="G251" s="7">
        <v>44476</v>
      </c>
      <c r="H251" s="6" t="s">
        <v>27</v>
      </c>
      <c r="I251" s="6" t="s">
        <v>57</v>
      </c>
      <c r="J251" s="6" t="s">
        <v>58</v>
      </c>
      <c r="K251" s="7">
        <v>44491</v>
      </c>
      <c r="L251" s="6" t="s">
        <v>24</v>
      </c>
      <c r="M251" t="b">
        <v>0</v>
      </c>
      <c r="N251" t="b">
        <v>1</v>
      </c>
      <c r="O251" t="b">
        <v>1</v>
      </c>
      <c r="Q251">
        <v>250</v>
      </c>
    </row>
    <row r="252" spans="1:17" x14ac:dyDescent="0.35">
      <c r="A252" s="6" t="s">
        <v>558</v>
      </c>
      <c r="B252" s="6" t="s">
        <v>134</v>
      </c>
      <c r="C252" s="6" t="s">
        <v>189</v>
      </c>
      <c r="D252" s="6"/>
      <c r="E252" s="6" t="s">
        <v>559</v>
      </c>
      <c r="F252" s="7">
        <v>44476</v>
      </c>
      <c r="G252" s="7">
        <v>44476</v>
      </c>
      <c r="H252" s="6" t="s">
        <v>27</v>
      </c>
      <c r="I252" s="6" t="s">
        <v>57</v>
      </c>
      <c r="J252" s="6" t="s">
        <v>58</v>
      </c>
      <c r="K252" s="7">
        <v>44476</v>
      </c>
      <c r="L252" s="6" t="s">
        <v>24</v>
      </c>
      <c r="M252" t="b">
        <v>0</v>
      </c>
      <c r="Q252">
        <v>251</v>
      </c>
    </row>
    <row r="253" spans="1:17" x14ac:dyDescent="0.35">
      <c r="A253" s="6" t="s">
        <v>560</v>
      </c>
      <c r="B253" s="6" t="s">
        <v>89</v>
      </c>
      <c r="C253" s="6" t="s">
        <v>189</v>
      </c>
      <c r="D253" s="6"/>
      <c r="E253" s="6" t="s">
        <v>561</v>
      </c>
      <c r="F253" s="7">
        <v>44476</v>
      </c>
      <c r="G253" s="7">
        <v>44476</v>
      </c>
      <c r="H253" s="6" t="s">
        <v>27</v>
      </c>
      <c r="I253" s="6" t="s">
        <v>57</v>
      </c>
      <c r="J253" s="6" t="s">
        <v>58</v>
      </c>
      <c r="K253" s="7">
        <v>44480</v>
      </c>
      <c r="L253" s="6" t="s">
        <v>24</v>
      </c>
      <c r="M253" t="b">
        <v>1</v>
      </c>
      <c r="N253" t="b">
        <v>1</v>
      </c>
      <c r="O253" t="b">
        <v>1</v>
      </c>
      <c r="Q253">
        <v>252</v>
      </c>
    </row>
    <row r="254" spans="1:17" x14ac:dyDescent="0.35">
      <c r="A254" s="6" t="s">
        <v>562</v>
      </c>
      <c r="B254" s="6" t="s">
        <v>134</v>
      </c>
      <c r="C254" s="6" t="s">
        <v>189</v>
      </c>
      <c r="D254" s="6"/>
      <c r="E254" s="6" t="s">
        <v>563</v>
      </c>
      <c r="F254" s="7">
        <v>44476</v>
      </c>
      <c r="G254" s="7">
        <v>44462</v>
      </c>
      <c r="H254" s="6" t="s">
        <v>81</v>
      </c>
      <c r="I254" s="6" t="s">
        <v>57</v>
      </c>
      <c r="J254" s="6" t="s">
        <v>58</v>
      </c>
      <c r="K254" s="7">
        <v>44491</v>
      </c>
      <c r="L254" s="6" t="s">
        <v>24</v>
      </c>
      <c r="M254" t="b">
        <v>0</v>
      </c>
      <c r="N254" t="b">
        <v>1</v>
      </c>
      <c r="O254" t="b">
        <v>1</v>
      </c>
      <c r="P254" t="b">
        <v>1</v>
      </c>
      <c r="Q254">
        <v>253</v>
      </c>
    </row>
    <row r="255" spans="1:17" x14ac:dyDescent="0.35">
      <c r="A255" s="6" t="s">
        <v>564</v>
      </c>
      <c r="B255" s="6" t="s">
        <v>134</v>
      </c>
      <c r="C255" s="6" t="s">
        <v>186</v>
      </c>
      <c r="D255" s="6" t="s">
        <v>943</v>
      </c>
      <c r="E255" s="6" t="s">
        <v>565</v>
      </c>
      <c r="F255" s="7">
        <v>44474</v>
      </c>
      <c r="G255" s="7">
        <v>44477</v>
      </c>
      <c r="H255" s="6" t="s">
        <v>81</v>
      </c>
      <c r="I255" s="6" t="s">
        <v>195</v>
      </c>
      <c r="J255" s="6" t="s">
        <v>196</v>
      </c>
      <c r="K255" s="7">
        <v>44491</v>
      </c>
      <c r="L255" s="6" t="s">
        <v>24</v>
      </c>
      <c r="M255" t="b">
        <v>0</v>
      </c>
      <c r="N255" t="b">
        <v>1</v>
      </c>
      <c r="O255" t="b">
        <v>0</v>
      </c>
      <c r="P255" t="b">
        <v>0</v>
      </c>
      <c r="Q255">
        <v>254</v>
      </c>
    </row>
    <row r="256" spans="1:17" x14ac:dyDescent="0.35">
      <c r="A256" s="6" t="s">
        <v>566</v>
      </c>
      <c r="B256" s="6" t="s">
        <v>134</v>
      </c>
      <c r="C256" s="6" t="s">
        <v>186</v>
      </c>
      <c r="D256" s="6" t="s">
        <v>962</v>
      </c>
      <c r="E256" s="6" t="s">
        <v>567</v>
      </c>
      <c r="F256" s="7">
        <v>44453</v>
      </c>
      <c r="G256" s="7">
        <v>44460</v>
      </c>
      <c r="H256" s="6" t="s">
        <v>81</v>
      </c>
      <c r="I256" s="6" t="s">
        <v>91</v>
      </c>
      <c r="J256" s="6" t="s">
        <v>184</v>
      </c>
      <c r="K256" s="7">
        <v>44491</v>
      </c>
      <c r="L256" s="6" t="s">
        <v>24</v>
      </c>
      <c r="M256" t="b">
        <v>0</v>
      </c>
      <c r="N256" t="b">
        <v>0</v>
      </c>
      <c r="O256" t="b">
        <v>0</v>
      </c>
      <c r="P256" t="b">
        <v>0</v>
      </c>
      <c r="Q256">
        <v>255</v>
      </c>
    </row>
    <row r="257" spans="1:17" x14ac:dyDescent="0.35">
      <c r="A257" s="6" t="s">
        <v>568</v>
      </c>
      <c r="B257" s="6" t="s">
        <v>19</v>
      </c>
      <c r="C257" s="6" t="s">
        <v>73</v>
      </c>
      <c r="D257" s="6" t="s">
        <v>963</v>
      </c>
      <c r="E257" s="6" t="s">
        <v>569</v>
      </c>
      <c r="F257" s="7">
        <v>44440</v>
      </c>
      <c r="G257" s="7">
        <v>44454</v>
      </c>
      <c r="H257" s="6" t="s">
        <v>81</v>
      </c>
      <c r="I257" s="6" t="s">
        <v>195</v>
      </c>
      <c r="J257" s="6" t="s">
        <v>196</v>
      </c>
      <c r="K257" s="7">
        <v>44740</v>
      </c>
      <c r="L257" s="6" t="s">
        <v>24</v>
      </c>
      <c r="M257" t="b">
        <v>1</v>
      </c>
      <c r="N257" t="b">
        <v>0</v>
      </c>
      <c r="O257" t="b">
        <v>0</v>
      </c>
      <c r="P257" t="b">
        <v>0</v>
      </c>
      <c r="Q257">
        <v>256</v>
      </c>
    </row>
    <row r="258" spans="1:17" x14ac:dyDescent="0.35">
      <c r="A258" s="6" t="s">
        <v>570</v>
      </c>
      <c r="B258" s="6" t="s">
        <v>19</v>
      </c>
      <c r="C258" s="6" t="s">
        <v>73</v>
      </c>
      <c r="D258" s="6" t="s">
        <v>963</v>
      </c>
      <c r="E258" s="6" t="s">
        <v>569</v>
      </c>
      <c r="F258" s="7">
        <v>44440</v>
      </c>
      <c r="G258" s="7">
        <v>44447</v>
      </c>
      <c r="H258" s="6" t="s">
        <v>81</v>
      </c>
      <c r="I258" s="6" t="s">
        <v>195</v>
      </c>
      <c r="J258" s="6" t="s">
        <v>196</v>
      </c>
      <c r="K258" s="7">
        <v>44740</v>
      </c>
      <c r="L258" s="6" t="s">
        <v>24</v>
      </c>
      <c r="M258" t="b">
        <v>1</v>
      </c>
      <c r="N258" t="b">
        <v>1</v>
      </c>
      <c r="O258" t="b">
        <v>0</v>
      </c>
      <c r="P258" t="b">
        <v>0</v>
      </c>
      <c r="Q258">
        <v>257</v>
      </c>
    </row>
    <row r="259" spans="1:17" x14ac:dyDescent="0.35">
      <c r="A259" s="6" t="s">
        <v>571</v>
      </c>
      <c r="B259" s="6" t="s">
        <v>134</v>
      </c>
      <c r="C259" s="6" t="s">
        <v>73</v>
      </c>
      <c r="D259" s="6" t="s">
        <v>964</v>
      </c>
      <c r="E259" s="6" t="s">
        <v>572</v>
      </c>
      <c r="F259" s="7">
        <v>44440</v>
      </c>
      <c r="G259" s="7">
        <v>44447</v>
      </c>
      <c r="H259" s="6" t="s">
        <v>81</v>
      </c>
      <c r="I259" s="6" t="s">
        <v>57</v>
      </c>
      <c r="J259" s="6" t="s">
        <v>58</v>
      </c>
      <c r="K259" s="7">
        <v>44491</v>
      </c>
      <c r="L259" s="6" t="s">
        <v>24</v>
      </c>
      <c r="M259" t="b">
        <v>0</v>
      </c>
      <c r="N259" t="b">
        <v>1</v>
      </c>
      <c r="O259" t="b">
        <v>1</v>
      </c>
      <c r="P259" t="b">
        <v>0</v>
      </c>
      <c r="Q259">
        <v>258</v>
      </c>
    </row>
    <row r="260" spans="1:17" x14ac:dyDescent="0.35">
      <c r="A260" s="6" t="s">
        <v>573</v>
      </c>
      <c r="B260" s="6" t="s">
        <v>134</v>
      </c>
      <c r="C260" s="6" t="s">
        <v>73</v>
      </c>
      <c r="D260" s="6" t="s">
        <v>865</v>
      </c>
      <c r="E260" s="6" t="s">
        <v>574</v>
      </c>
      <c r="F260" s="7">
        <v>44440</v>
      </c>
      <c r="G260" s="7">
        <v>44447</v>
      </c>
      <c r="H260" s="6" t="s">
        <v>81</v>
      </c>
      <c r="I260" s="6" t="s">
        <v>195</v>
      </c>
      <c r="J260" s="6" t="s">
        <v>196</v>
      </c>
      <c r="K260" s="7">
        <v>44664</v>
      </c>
      <c r="L260" s="6" t="s">
        <v>24</v>
      </c>
      <c r="M260" t="b">
        <v>0</v>
      </c>
      <c r="N260" t="b">
        <v>1</v>
      </c>
      <c r="O260" t="b">
        <v>0</v>
      </c>
      <c r="P260" t="b">
        <v>0</v>
      </c>
      <c r="Q260">
        <v>259</v>
      </c>
    </row>
    <row r="261" spans="1:17" x14ac:dyDescent="0.35">
      <c r="A261" s="6" t="s">
        <v>575</v>
      </c>
      <c r="B261" s="6" t="s">
        <v>134</v>
      </c>
      <c r="C261" s="6" t="s">
        <v>73</v>
      </c>
      <c r="D261" s="6" t="s">
        <v>865</v>
      </c>
      <c r="E261" s="6" t="s">
        <v>576</v>
      </c>
      <c r="F261" s="7">
        <v>44440</v>
      </c>
      <c r="G261" s="7">
        <v>44454</v>
      </c>
      <c r="H261" s="6" t="s">
        <v>81</v>
      </c>
      <c r="I261" s="6" t="s">
        <v>195</v>
      </c>
      <c r="J261" s="6" t="s">
        <v>196</v>
      </c>
      <c r="K261" s="7">
        <v>44491</v>
      </c>
      <c r="L261" s="6" t="s">
        <v>24</v>
      </c>
      <c r="M261" t="b">
        <v>0</v>
      </c>
      <c r="N261" t="b">
        <v>0</v>
      </c>
      <c r="O261" t="b">
        <v>1</v>
      </c>
      <c r="P261" t="b">
        <v>0</v>
      </c>
      <c r="Q261">
        <v>260</v>
      </c>
    </row>
    <row r="262" spans="1:17" x14ac:dyDescent="0.35">
      <c r="A262" s="6" t="s">
        <v>577</v>
      </c>
      <c r="B262" s="6" t="s">
        <v>134</v>
      </c>
      <c r="C262" s="6" t="s">
        <v>73</v>
      </c>
      <c r="D262" s="6" t="s">
        <v>865</v>
      </c>
      <c r="E262" s="6" t="s">
        <v>578</v>
      </c>
      <c r="F262" s="7">
        <v>44440</v>
      </c>
      <c r="G262" s="7">
        <v>44448</v>
      </c>
      <c r="H262" s="6" t="s">
        <v>81</v>
      </c>
      <c r="I262" s="6" t="s">
        <v>195</v>
      </c>
      <c r="J262" s="6" t="s">
        <v>196</v>
      </c>
      <c r="K262" s="7">
        <v>44491</v>
      </c>
      <c r="L262" s="6" t="s">
        <v>24</v>
      </c>
      <c r="M262" t="b">
        <v>0</v>
      </c>
      <c r="N262" t="b">
        <v>0</v>
      </c>
      <c r="O262" t="b">
        <v>0</v>
      </c>
      <c r="P262" t="b">
        <v>0</v>
      </c>
      <c r="Q262">
        <v>261</v>
      </c>
    </row>
    <row r="263" spans="1:17" x14ac:dyDescent="0.35">
      <c r="A263" s="6" t="s">
        <v>579</v>
      </c>
      <c r="B263" s="6" t="s">
        <v>134</v>
      </c>
      <c r="C263" s="6" t="s">
        <v>73</v>
      </c>
      <c r="D263" s="6" t="s">
        <v>865</v>
      </c>
      <c r="E263" s="6" t="s">
        <v>580</v>
      </c>
      <c r="F263" s="7">
        <v>44440</v>
      </c>
      <c r="G263" s="7">
        <v>44447</v>
      </c>
      <c r="H263" s="6" t="s">
        <v>81</v>
      </c>
      <c r="I263" s="6" t="s">
        <v>57</v>
      </c>
      <c r="J263" s="6" t="s">
        <v>58</v>
      </c>
      <c r="K263" s="7">
        <v>44491</v>
      </c>
      <c r="L263" s="6" t="s">
        <v>24</v>
      </c>
      <c r="M263" t="b">
        <v>0</v>
      </c>
      <c r="N263" t="b">
        <v>0</v>
      </c>
      <c r="O263" t="b">
        <v>1</v>
      </c>
      <c r="P263" t="b">
        <v>0</v>
      </c>
      <c r="Q263">
        <v>262</v>
      </c>
    </row>
    <row r="264" spans="1:17" x14ac:dyDescent="0.35">
      <c r="A264" s="6" t="s">
        <v>581</v>
      </c>
      <c r="B264" s="6" t="s">
        <v>134</v>
      </c>
      <c r="C264" s="6" t="s">
        <v>107</v>
      </c>
      <c r="D264" s="6" t="s">
        <v>881</v>
      </c>
      <c r="E264" s="6" t="s">
        <v>582</v>
      </c>
      <c r="F264" s="7">
        <v>44431</v>
      </c>
      <c r="G264" s="7">
        <v>44432</v>
      </c>
      <c r="H264" s="6" t="s">
        <v>81</v>
      </c>
      <c r="I264" s="6" t="s">
        <v>57</v>
      </c>
      <c r="J264" s="6" t="s">
        <v>58</v>
      </c>
      <c r="K264" s="7">
        <v>44491</v>
      </c>
      <c r="L264" s="6" t="s">
        <v>24</v>
      </c>
      <c r="M264" t="b">
        <v>0</v>
      </c>
      <c r="N264" t="b">
        <v>1</v>
      </c>
      <c r="O264" t="b">
        <v>1</v>
      </c>
      <c r="P264" t="b">
        <v>0</v>
      </c>
      <c r="Q264">
        <v>263</v>
      </c>
    </row>
    <row r="265" spans="1:17" x14ac:dyDescent="0.35">
      <c r="A265" s="6" t="s">
        <v>583</v>
      </c>
      <c r="B265" s="6" t="s">
        <v>19</v>
      </c>
      <c r="C265" s="6" t="s">
        <v>107</v>
      </c>
      <c r="D265" s="6"/>
      <c r="E265" s="6" t="s">
        <v>584</v>
      </c>
      <c r="F265" s="7">
        <v>44383</v>
      </c>
      <c r="G265" s="7">
        <v>44390</v>
      </c>
      <c r="H265" s="6" t="s">
        <v>27</v>
      </c>
      <c r="I265" s="6" t="s">
        <v>585</v>
      </c>
      <c r="J265" s="6" t="s">
        <v>586</v>
      </c>
      <c r="K265" s="7">
        <v>44383</v>
      </c>
      <c r="L265" s="6" t="s">
        <v>24</v>
      </c>
      <c r="M265" t="b">
        <v>1</v>
      </c>
      <c r="N265" t="b">
        <v>1</v>
      </c>
      <c r="Q265">
        <v>264</v>
      </c>
    </row>
    <row r="266" spans="1:17" x14ac:dyDescent="0.35">
      <c r="A266" s="6" t="s">
        <v>587</v>
      </c>
      <c r="B266" s="6" t="s">
        <v>89</v>
      </c>
      <c r="C266" s="6" t="s">
        <v>107</v>
      </c>
      <c r="D266" s="6"/>
      <c r="E266" s="6" t="s">
        <v>588</v>
      </c>
      <c r="F266" s="7">
        <v>44383</v>
      </c>
      <c r="G266" s="7">
        <v>44390</v>
      </c>
      <c r="H266" s="6" t="s">
        <v>27</v>
      </c>
      <c r="I266" s="6" t="s">
        <v>34</v>
      </c>
      <c r="J266" s="6" t="s">
        <v>35</v>
      </c>
      <c r="K266" s="7">
        <v>44672</v>
      </c>
      <c r="L266" s="6" t="s">
        <v>24</v>
      </c>
      <c r="M266" t="b">
        <v>1</v>
      </c>
      <c r="Q266">
        <v>265</v>
      </c>
    </row>
    <row r="267" spans="1:17" x14ac:dyDescent="0.35">
      <c r="A267" s="6" t="s">
        <v>589</v>
      </c>
      <c r="B267" s="6" t="s">
        <v>19</v>
      </c>
      <c r="C267" s="6" t="s">
        <v>107</v>
      </c>
      <c r="D267" s="6"/>
      <c r="E267" s="6" t="s">
        <v>590</v>
      </c>
      <c r="F267" s="7">
        <v>44383</v>
      </c>
      <c r="G267" s="7">
        <v>44390</v>
      </c>
      <c r="H267" s="6" t="s">
        <v>27</v>
      </c>
      <c r="I267" s="6" t="s">
        <v>44</v>
      </c>
      <c r="J267" s="6" t="s">
        <v>45</v>
      </c>
      <c r="K267" s="7">
        <v>44383</v>
      </c>
      <c r="L267" s="6" t="s">
        <v>24</v>
      </c>
      <c r="M267" t="b">
        <v>1</v>
      </c>
      <c r="Q267">
        <v>266</v>
      </c>
    </row>
    <row r="268" spans="1:17" x14ac:dyDescent="0.35">
      <c r="A268" s="6" t="s">
        <v>591</v>
      </c>
      <c r="B268" s="6" t="s">
        <v>19</v>
      </c>
      <c r="C268" s="6" t="s">
        <v>107</v>
      </c>
      <c r="D268" s="6"/>
      <c r="E268" s="6" t="s">
        <v>592</v>
      </c>
      <c r="F268" s="7">
        <v>44383</v>
      </c>
      <c r="G268" s="7">
        <v>44390</v>
      </c>
      <c r="H268" s="6" t="s">
        <v>27</v>
      </c>
      <c r="I268" s="6" t="s">
        <v>34</v>
      </c>
      <c r="J268" s="6" t="s">
        <v>35</v>
      </c>
      <c r="K268" s="7">
        <v>44383</v>
      </c>
      <c r="L268" s="6" t="s">
        <v>24</v>
      </c>
      <c r="M268" t="b">
        <v>1</v>
      </c>
      <c r="N268" t="b">
        <v>1</v>
      </c>
      <c r="Q268">
        <v>267</v>
      </c>
    </row>
    <row r="269" spans="1:17" x14ac:dyDescent="0.35">
      <c r="A269" s="6" t="s">
        <v>593</v>
      </c>
      <c r="B269" s="6" t="s">
        <v>19</v>
      </c>
      <c r="C269" s="6" t="s">
        <v>427</v>
      </c>
      <c r="D269" s="6"/>
      <c r="E269" s="6" t="s">
        <v>594</v>
      </c>
      <c r="F269" s="7">
        <v>44383</v>
      </c>
      <c r="G269" s="7">
        <v>44390</v>
      </c>
      <c r="H269" s="6" t="s">
        <v>27</v>
      </c>
      <c r="I269" s="6" t="s">
        <v>595</v>
      </c>
      <c r="J269" s="6" t="s">
        <v>596</v>
      </c>
      <c r="K269" s="7">
        <v>44383</v>
      </c>
      <c r="L269" s="6" t="s">
        <v>24</v>
      </c>
      <c r="M269" t="b">
        <v>1</v>
      </c>
      <c r="Q269">
        <v>268</v>
      </c>
    </row>
    <row r="270" spans="1:17" x14ac:dyDescent="0.35">
      <c r="A270" s="6" t="s">
        <v>597</v>
      </c>
      <c r="B270" s="6" t="s">
        <v>19</v>
      </c>
      <c r="C270" s="6" t="s">
        <v>228</v>
      </c>
      <c r="D270" s="6"/>
      <c r="E270" s="6" t="s">
        <v>598</v>
      </c>
      <c r="F270" s="7">
        <v>44383</v>
      </c>
      <c r="G270" s="7">
        <v>44390</v>
      </c>
      <c r="H270" s="6" t="s">
        <v>27</v>
      </c>
      <c r="I270" s="6" t="s">
        <v>599</v>
      </c>
      <c r="J270" s="6" t="s">
        <v>600</v>
      </c>
      <c r="K270" s="7">
        <v>44383</v>
      </c>
      <c r="L270" s="6" t="s">
        <v>24</v>
      </c>
      <c r="M270" t="b">
        <v>1</v>
      </c>
      <c r="Q270">
        <v>269</v>
      </c>
    </row>
    <row r="271" spans="1:17" x14ac:dyDescent="0.35">
      <c r="A271" s="6" t="s">
        <v>601</v>
      </c>
      <c r="B271" s="6" t="s">
        <v>19</v>
      </c>
      <c r="C271" s="6" t="s">
        <v>228</v>
      </c>
      <c r="D271" s="6"/>
      <c r="E271" s="6" t="s">
        <v>602</v>
      </c>
      <c r="F271" s="7">
        <v>44383</v>
      </c>
      <c r="G271" s="7">
        <v>44390</v>
      </c>
      <c r="H271" s="6" t="s">
        <v>27</v>
      </c>
      <c r="I271" s="6" t="s">
        <v>599</v>
      </c>
      <c r="J271" s="6" t="s">
        <v>600</v>
      </c>
      <c r="K271" s="7">
        <v>44383</v>
      </c>
      <c r="L271" s="6" t="s">
        <v>24</v>
      </c>
      <c r="M271" t="b">
        <v>1</v>
      </c>
      <c r="N271" t="b">
        <v>1</v>
      </c>
      <c r="Q271">
        <v>270</v>
      </c>
    </row>
    <row r="272" spans="1:17" x14ac:dyDescent="0.35">
      <c r="A272" s="6" t="s">
        <v>603</v>
      </c>
      <c r="B272" s="6" t="s">
        <v>19</v>
      </c>
      <c r="C272" s="6" t="s">
        <v>102</v>
      </c>
      <c r="D272" s="6"/>
      <c r="E272" s="6" t="s">
        <v>604</v>
      </c>
      <c r="F272" s="7">
        <v>44383</v>
      </c>
      <c r="G272" s="7">
        <v>44390</v>
      </c>
      <c r="H272" s="6" t="s">
        <v>27</v>
      </c>
      <c r="I272" s="6" t="s">
        <v>599</v>
      </c>
      <c r="J272" s="6" t="s">
        <v>600</v>
      </c>
      <c r="K272" s="7">
        <v>44383</v>
      </c>
      <c r="L272" s="6" t="s">
        <v>24</v>
      </c>
      <c r="M272" t="b">
        <v>1</v>
      </c>
      <c r="N272" t="b">
        <v>1</v>
      </c>
      <c r="Q272">
        <v>271</v>
      </c>
    </row>
    <row r="273" spans="1:17" x14ac:dyDescent="0.35">
      <c r="A273" s="6" t="s">
        <v>605</v>
      </c>
      <c r="B273" s="6" t="s">
        <v>19</v>
      </c>
      <c r="C273" s="6" t="s">
        <v>186</v>
      </c>
      <c r="D273" s="6"/>
      <c r="E273" s="6" t="s">
        <v>606</v>
      </c>
      <c r="F273" s="7">
        <v>44383</v>
      </c>
      <c r="G273" s="7">
        <v>44390</v>
      </c>
      <c r="H273" s="6" t="s">
        <v>27</v>
      </c>
      <c r="I273" s="6" t="s">
        <v>599</v>
      </c>
      <c r="J273" s="6" t="s">
        <v>600</v>
      </c>
      <c r="K273" s="7">
        <v>44383</v>
      </c>
      <c r="L273" s="6" t="s">
        <v>24</v>
      </c>
      <c r="M273" t="b">
        <v>1</v>
      </c>
      <c r="N273" t="b">
        <v>1</v>
      </c>
      <c r="Q273">
        <v>272</v>
      </c>
    </row>
    <row r="274" spans="1:17" x14ac:dyDescent="0.35">
      <c r="A274" s="6" t="s">
        <v>607</v>
      </c>
      <c r="B274" s="6" t="s">
        <v>134</v>
      </c>
      <c r="C274" s="6" t="s">
        <v>107</v>
      </c>
      <c r="D274" s="6" t="s">
        <v>950</v>
      </c>
      <c r="E274" s="6" t="s">
        <v>608</v>
      </c>
      <c r="F274" s="7">
        <v>44379</v>
      </c>
      <c r="G274" s="7">
        <v>44382</v>
      </c>
      <c r="H274" s="6" t="s">
        <v>81</v>
      </c>
      <c r="I274" s="6" t="s">
        <v>195</v>
      </c>
      <c r="J274" s="6" t="s">
        <v>196</v>
      </c>
      <c r="K274" s="7">
        <v>44491</v>
      </c>
      <c r="L274" s="6" t="s">
        <v>24</v>
      </c>
      <c r="M274" t="b">
        <v>0</v>
      </c>
      <c r="N274" t="b">
        <v>1</v>
      </c>
      <c r="O274" t="b">
        <v>0</v>
      </c>
      <c r="P274" t="b">
        <v>0</v>
      </c>
      <c r="Q274">
        <v>273</v>
      </c>
    </row>
    <row r="275" spans="1:17" x14ac:dyDescent="0.35">
      <c r="A275" s="6" t="s">
        <v>609</v>
      </c>
      <c r="B275" s="6" t="s">
        <v>134</v>
      </c>
      <c r="C275" s="6" t="s">
        <v>189</v>
      </c>
      <c r="D275" s="6"/>
      <c r="E275" s="6" t="s">
        <v>610</v>
      </c>
      <c r="F275" s="7">
        <v>44370</v>
      </c>
      <c r="G275" s="7">
        <v>44376</v>
      </c>
      <c r="H275" s="6" t="s">
        <v>81</v>
      </c>
      <c r="I275" s="6" t="s">
        <v>34</v>
      </c>
      <c r="J275" s="6" t="s">
        <v>35</v>
      </c>
      <c r="K275" s="7">
        <v>44672</v>
      </c>
      <c r="L275" s="6" t="s">
        <v>24</v>
      </c>
      <c r="M275" t="b">
        <v>0</v>
      </c>
      <c r="N275" t="b">
        <v>1</v>
      </c>
      <c r="Q275">
        <v>274</v>
      </c>
    </row>
    <row r="276" spans="1:17" x14ac:dyDescent="0.35">
      <c r="A276" s="6" t="s">
        <v>611</v>
      </c>
      <c r="B276" s="6" t="s">
        <v>19</v>
      </c>
      <c r="C276" s="6" t="s">
        <v>66</v>
      </c>
      <c r="D276" s="6"/>
      <c r="E276" s="6" t="s">
        <v>612</v>
      </c>
      <c r="F276" s="7">
        <v>44369</v>
      </c>
      <c r="G276" s="7">
        <v>44376</v>
      </c>
      <c r="H276" s="6" t="s">
        <v>27</v>
      </c>
      <c r="I276" s="6" t="s">
        <v>44</v>
      </c>
      <c r="J276" s="6" t="s">
        <v>45</v>
      </c>
      <c r="K276" s="7">
        <v>44369</v>
      </c>
      <c r="L276" s="6" t="s">
        <v>24</v>
      </c>
      <c r="M276" t="b">
        <v>1</v>
      </c>
      <c r="N276" t="b">
        <v>1</v>
      </c>
      <c r="Q276">
        <v>275</v>
      </c>
    </row>
    <row r="277" spans="1:17" x14ac:dyDescent="0.35">
      <c r="A277" s="6" t="s">
        <v>613</v>
      </c>
      <c r="B277" s="6" t="s">
        <v>19</v>
      </c>
      <c r="C277" s="6" t="s">
        <v>186</v>
      </c>
      <c r="D277" s="6"/>
      <c r="E277" s="6" t="s">
        <v>614</v>
      </c>
      <c r="F277" s="7">
        <v>44369</v>
      </c>
      <c r="G277" s="7">
        <v>44376</v>
      </c>
      <c r="H277" s="6" t="s">
        <v>27</v>
      </c>
      <c r="I277" s="6" t="s">
        <v>34</v>
      </c>
      <c r="J277" s="6" t="s">
        <v>35</v>
      </c>
      <c r="K277" s="7">
        <v>44369</v>
      </c>
      <c r="L277" s="6" t="s">
        <v>24</v>
      </c>
      <c r="M277" t="b">
        <v>1</v>
      </c>
      <c r="Q277">
        <v>276</v>
      </c>
    </row>
    <row r="278" spans="1:17" x14ac:dyDescent="0.35">
      <c r="A278" s="6" t="s">
        <v>615</v>
      </c>
      <c r="B278" s="6" t="s">
        <v>19</v>
      </c>
      <c r="C278" s="6" t="s">
        <v>186</v>
      </c>
      <c r="D278" s="6"/>
      <c r="E278" s="6" t="s">
        <v>616</v>
      </c>
      <c r="F278" s="7">
        <v>44369</v>
      </c>
      <c r="G278" s="7">
        <v>44376</v>
      </c>
      <c r="H278" s="6" t="s">
        <v>27</v>
      </c>
      <c r="I278" s="6" t="s">
        <v>595</v>
      </c>
      <c r="J278" s="6" t="s">
        <v>596</v>
      </c>
      <c r="K278" s="7">
        <v>44369</v>
      </c>
      <c r="L278" s="6" t="s">
        <v>24</v>
      </c>
      <c r="M278" t="b">
        <v>1</v>
      </c>
      <c r="N278" t="b">
        <v>1</v>
      </c>
      <c r="Q278">
        <v>277</v>
      </c>
    </row>
    <row r="279" spans="1:17" x14ac:dyDescent="0.35">
      <c r="A279" s="6" t="s">
        <v>617</v>
      </c>
      <c r="B279" s="6" t="s">
        <v>19</v>
      </c>
      <c r="C279" s="6" t="s">
        <v>66</v>
      </c>
      <c r="D279" s="6"/>
      <c r="E279" s="6" t="s">
        <v>618</v>
      </c>
      <c r="F279" s="7">
        <v>44369</v>
      </c>
      <c r="G279" s="7">
        <v>44376</v>
      </c>
      <c r="H279" s="6" t="s">
        <v>27</v>
      </c>
      <c r="I279" s="6" t="s">
        <v>595</v>
      </c>
      <c r="J279" s="6" t="s">
        <v>596</v>
      </c>
      <c r="K279" s="7">
        <v>44369</v>
      </c>
      <c r="L279" s="6" t="s">
        <v>24</v>
      </c>
      <c r="M279" t="b">
        <v>1</v>
      </c>
      <c r="N279" t="b">
        <v>1</v>
      </c>
      <c r="Q279">
        <v>278</v>
      </c>
    </row>
    <row r="280" spans="1:17" x14ac:dyDescent="0.35">
      <c r="A280" s="6" t="s">
        <v>619</v>
      </c>
      <c r="B280" s="6" t="s">
        <v>19</v>
      </c>
      <c r="C280" s="6" t="s">
        <v>66</v>
      </c>
      <c r="D280" s="6"/>
      <c r="E280" s="6" t="s">
        <v>620</v>
      </c>
      <c r="F280" s="7">
        <v>44369</v>
      </c>
      <c r="G280" s="7">
        <v>44376</v>
      </c>
      <c r="H280" s="6" t="s">
        <v>27</v>
      </c>
      <c r="I280" s="6" t="s">
        <v>595</v>
      </c>
      <c r="J280" s="6" t="s">
        <v>596</v>
      </c>
      <c r="K280" s="7">
        <v>44369</v>
      </c>
      <c r="L280" s="6" t="s">
        <v>24</v>
      </c>
      <c r="M280" t="b">
        <v>1</v>
      </c>
      <c r="Q280">
        <v>279</v>
      </c>
    </row>
    <row r="281" spans="1:17" x14ac:dyDescent="0.35">
      <c r="A281" s="6" t="s">
        <v>621</v>
      </c>
      <c r="B281" s="6" t="s">
        <v>19</v>
      </c>
      <c r="C281" s="6" t="s">
        <v>66</v>
      </c>
      <c r="D281" s="6"/>
      <c r="E281" s="6" t="s">
        <v>622</v>
      </c>
      <c r="F281" s="7">
        <v>44369</v>
      </c>
      <c r="G281" s="7">
        <v>44376</v>
      </c>
      <c r="H281" s="6" t="s">
        <v>27</v>
      </c>
      <c r="I281" s="6" t="s">
        <v>595</v>
      </c>
      <c r="J281" s="6" t="s">
        <v>596</v>
      </c>
      <c r="K281" s="7">
        <v>44369</v>
      </c>
      <c r="L281" s="6" t="s">
        <v>24</v>
      </c>
      <c r="M281" t="b">
        <v>1</v>
      </c>
      <c r="Q281">
        <v>280</v>
      </c>
    </row>
    <row r="282" spans="1:17" x14ac:dyDescent="0.35">
      <c r="A282" s="6" t="s">
        <v>623</v>
      </c>
      <c r="B282" s="6" t="s">
        <v>19</v>
      </c>
      <c r="C282" s="6" t="s">
        <v>66</v>
      </c>
      <c r="D282" s="6"/>
      <c r="E282" s="6" t="s">
        <v>624</v>
      </c>
      <c r="F282" s="7">
        <v>44369</v>
      </c>
      <c r="G282" s="7">
        <v>44376</v>
      </c>
      <c r="H282" s="6" t="s">
        <v>27</v>
      </c>
      <c r="I282" s="6" t="s">
        <v>595</v>
      </c>
      <c r="J282" s="6" t="s">
        <v>596</v>
      </c>
      <c r="K282" s="7">
        <v>44369</v>
      </c>
      <c r="L282" s="6" t="s">
        <v>24</v>
      </c>
      <c r="M282" t="b">
        <v>1</v>
      </c>
      <c r="N282" t="b">
        <v>1</v>
      </c>
      <c r="Q282">
        <v>281</v>
      </c>
    </row>
    <row r="283" spans="1:17" x14ac:dyDescent="0.35">
      <c r="A283" s="6" t="s">
        <v>625</v>
      </c>
      <c r="B283" s="6" t="s">
        <v>19</v>
      </c>
      <c r="C283" s="6" t="s">
        <v>66</v>
      </c>
      <c r="D283" s="6"/>
      <c r="E283" s="6" t="s">
        <v>626</v>
      </c>
      <c r="F283" s="7">
        <v>44369</v>
      </c>
      <c r="G283" s="7">
        <v>44376</v>
      </c>
      <c r="H283" s="6" t="s">
        <v>27</v>
      </c>
      <c r="I283" s="6" t="s">
        <v>595</v>
      </c>
      <c r="J283" s="6" t="s">
        <v>596</v>
      </c>
      <c r="K283" s="7">
        <v>44369</v>
      </c>
      <c r="L283" s="6" t="s">
        <v>24</v>
      </c>
      <c r="M283" t="b">
        <v>1</v>
      </c>
      <c r="N283" t="b">
        <v>1</v>
      </c>
      <c r="Q283">
        <v>282</v>
      </c>
    </row>
    <row r="284" spans="1:17" x14ac:dyDescent="0.35">
      <c r="A284" s="6" t="s">
        <v>627</v>
      </c>
      <c r="B284" s="6" t="s">
        <v>19</v>
      </c>
      <c r="C284" s="6" t="s">
        <v>157</v>
      </c>
      <c r="D284" s="6"/>
      <c r="E284" s="6" t="s">
        <v>628</v>
      </c>
      <c r="F284" s="7">
        <v>44369</v>
      </c>
      <c r="G284" s="7">
        <v>44376</v>
      </c>
      <c r="H284" s="6" t="s">
        <v>27</v>
      </c>
      <c r="I284" s="6" t="s">
        <v>595</v>
      </c>
      <c r="J284" s="6" t="s">
        <v>596</v>
      </c>
      <c r="K284" s="7">
        <v>44369</v>
      </c>
      <c r="L284" s="6" t="s">
        <v>24</v>
      </c>
      <c r="M284" t="b">
        <v>1</v>
      </c>
      <c r="N284" t="b">
        <v>1</v>
      </c>
      <c r="Q284">
        <v>283</v>
      </c>
    </row>
    <row r="285" spans="1:17" x14ac:dyDescent="0.35">
      <c r="A285" s="6" t="s">
        <v>629</v>
      </c>
      <c r="B285" s="6" t="s">
        <v>89</v>
      </c>
      <c r="C285" s="6" t="s">
        <v>107</v>
      </c>
      <c r="D285" s="6"/>
      <c r="E285" s="6" t="s">
        <v>630</v>
      </c>
      <c r="F285" s="7">
        <v>44369</v>
      </c>
      <c r="G285" s="7">
        <v>44376</v>
      </c>
      <c r="H285" s="6" t="s">
        <v>27</v>
      </c>
      <c r="I285" s="6" t="s">
        <v>44</v>
      </c>
      <c r="J285" s="6" t="s">
        <v>45</v>
      </c>
      <c r="K285" s="7">
        <v>44672</v>
      </c>
      <c r="L285" s="6" t="s">
        <v>24</v>
      </c>
      <c r="M285" t="b">
        <v>1</v>
      </c>
      <c r="N285" t="b">
        <v>1</v>
      </c>
      <c r="Q285">
        <v>284</v>
      </c>
    </row>
    <row r="286" spans="1:17" x14ac:dyDescent="0.35">
      <c r="A286" s="6" t="s">
        <v>631</v>
      </c>
      <c r="B286" s="6" t="s">
        <v>89</v>
      </c>
      <c r="C286" s="6" t="s">
        <v>107</v>
      </c>
      <c r="D286" s="6"/>
      <c r="E286" s="6" t="s">
        <v>632</v>
      </c>
      <c r="F286" s="7">
        <v>44369</v>
      </c>
      <c r="G286" s="7">
        <v>44376</v>
      </c>
      <c r="H286" s="6" t="s">
        <v>27</v>
      </c>
      <c r="I286" s="6" t="s">
        <v>44</v>
      </c>
      <c r="J286" s="6" t="s">
        <v>45</v>
      </c>
      <c r="K286" s="7">
        <v>44672</v>
      </c>
      <c r="L286" s="6" t="s">
        <v>24</v>
      </c>
      <c r="M286" t="b">
        <v>1</v>
      </c>
      <c r="N286" t="b">
        <v>1</v>
      </c>
      <c r="Q286">
        <v>285</v>
      </c>
    </row>
    <row r="287" spans="1:17" x14ac:dyDescent="0.35">
      <c r="A287" s="6" t="s">
        <v>633</v>
      </c>
      <c r="B287" s="6" t="s">
        <v>19</v>
      </c>
      <c r="C287" s="6" t="s">
        <v>186</v>
      </c>
      <c r="D287" s="6"/>
      <c r="E287" s="6" t="s">
        <v>634</v>
      </c>
      <c r="F287" s="7">
        <v>44369</v>
      </c>
      <c r="G287" s="7">
        <v>44376</v>
      </c>
      <c r="H287" s="6" t="s">
        <v>27</v>
      </c>
      <c r="I287" s="6" t="s">
        <v>44</v>
      </c>
      <c r="J287" s="6" t="s">
        <v>45</v>
      </c>
      <c r="K287" s="7">
        <v>44369</v>
      </c>
      <c r="L287" s="6" t="s">
        <v>24</v>
      </c>
      <c r="M287" t="b">
        <v>1</v>
      </c>
      <c r="N287" t="b">
        <v>1</v>
      </c>
      <c r="Q287">
        <v>286</v>
      </c>
    </row>
    <row r="288" spans="1:17" x14ac:dyDescent="0.35">
      <c r="A288" s="6" t="s">
        <v>635</v>
      </c>
      <c r="B288" s="6" t="s">
        <v>19</v>
      </c>
      <c r="C288" s="6" t="s">
        <v>186</v>
      </c>
      <c r="D288" s="6"/>
      <c r="E288" s="6" t="s">
        <v>636</v>
      </c>
      <c r="F288" s="7">
        <v>44369</v>
      </c>
      <c r="G288" s="7">
        <v>44376</v>
      </c>
      <c r="H288" s="6" t="s">
        <v>27</v>
      </c>
      <c r="I288" s="6" t="s">
        <v>599</v>
      </c>
      <c r="J288" s="6" t="s">
        <v>600</v>
      </c>
      <c r="K288" s="7">
        <v>44369</v>
      </c>
      <c r="L288" s="6" t="s">
        <v>24</v>
      </c>
      <c r="M288" t="b">
        <v>1</v>
      </c>
      <c r="N288" t="b">
        <v>1</v>
      </c>
      <c r="Q288">
        <v>287</v>
      </c>
    </row>
    <row r="289" spans="1:17" x14ac:dyDescent="0.35">
      <c r="A289" s="6" t="s">
        <v>637</v>
      </c>
      <c r="B289" s="6" t="s">
        <v>19</v>
      </c>
      <c r="C289" s="6" t="s">
        <v>66</v>
      </c>
      <c r="D289" s="6"/>
      <c r="E289" s="6" t="s">
        <v>638</v>
      </c>
      <c r="F289" s="7">
        <v>44369</v>
      </c>
      <c r="G289" s="7">
        <v>44376</v>
      </c>
      <c r="H289" s="6" t="s">
        <v>27</v>
      </c>
      <c r="I289" s="6" t="s">
        <v>599</v>
      </c>
      <c r="J289" s="6" t="s">
        <v>600</v>
      </c>
      <c r="K289" s="7">
        <v>44369</v>
      </c>
      <c r="L289" s="6" t="s">
        <v>24</v>
      </c>
      <c r="M289" t="b">
        <v>1</v>
      </c>
      <c r="N289" t="b">
        <v>1</v>
      </c>
      <c r="Q289">
        <v>288</v>
      </c>
    </row>
    <row r="290" spans="1:17" x14ac:dyDescent="0.35">
      <c r="A290" s="6" t="s">
        <v>639</v>
      </c>
      <c r="B290" s="6" t="s">
        <v>19</v>
      </c>
      <c r="C290" s="6" t="s">
        <v>66</v>
      </c>
      <c r="D290" s="6"/>
      <c r="E290" s="6" t="s">
        <v>640</v>
      </c>
      <c r="F290" s="7">
        <v>44369</v>
      </c>
      <c r="G290" s="7">
        <v>44376</v>
      </c>
      <c r="H290" s="6" t="s">
        <v>27</v>
      </c>
      <c r="I290" s="6" t="s">
        <v>44</v>
      </c>
      <c r="J290" s="6" t="s">
        <v>45</v>
      </c>
      <c r="K290" s="7">
        <v>44369</v>
      </c>
      <c r="L290" s="6" t="s">
        <v>24</v>
      </c>
      <c r="M290" t="b">
        <v>1</v>
      </c>
      <c r="N290" t="b">
        <v>1</v>
      </c>
      <c r="Q290">
        <v>289</v>
      </c>
    </row>
    <row r="291" spans="1:17" x14ac:dyDescent="0.35">
      <c r="A291" s="6" t="s">
        <v>641</v>
      </c>
      <c r="B291" s="6" t="s">
        <v>19</v>
      </c>
      <c r="C291" s="6" t="s">
        <v>107</v>
      </c>
      <c r="D291" s="6"/>
      <c r="E291" s="6" t="s">
        <v>642</v>
      </c>
      <c r="F291" s="7">
        <v>44369</v>
      </c>
      <c r="G291" s="7">
        <v>44376</v>
      </c>
      <c r="H291" s="6" t="s">
        <v>27</v>
      </c>
      <c r="I291" s="6" t="s">
        <v>44</v>
      </c>
      <c r="J291" s="6" t="s">
        <v>45</v>
      </c>
      <c r="K291" s="7">
        <v>44369</v>
      </c>
      <c r="L291" s="6" t="s">
        <v>24</v>
      </c>
      <c r="M291" t="b">
        <v>1</v>
      </c>
      <c r="N291" t="b">
        <v>1</v>
      </c>
      <c r="Q291">
        <v>290</v>
      </c>
    </row>
    <row r="292" spans="1:17" x14ac:dyDescent="0.35">
      <c r="A292" s="6" t="s">
        <v>643</v>
      </c>
      <c r="B292" s="6" t="s">
        <v>19</v>
      </c>
      <c r="C292" s="6" t="s">
        <v>427</v>
      </c>
      <c r="D292" s="6"/>
      <c r="E292" s="6" t="s">
        <v>644</v>
      </c>
      <c r="F292" s="7">
        <v>44369</v>
      </c>
      <c r="G292" s="7">
        <v>44376</v>
      </c>
      <c r="H292" s="6" t="s">
        <v>27</v>
      </c>
      <c r="I292" s="6" t="s">
        <v>44</v>
      </c>
      <c r="J292" s="6" t="s">
        <v>45</v>
      </c>
      <c r="K292" s="7">
        <v>44369</v>
      </c>
      <c r="L292" s="6" t="s">
        <v>24</v>
      </c>
      <c r="M292" t="b">
        <v>1</v>
      </c>
      <c r="N292" t="b">
        <v>1</v>
      </c>
      <c r="Q292">
        <v>291</v>
      </c>
    </row>
    <row r="293" spans="1:17" x14ac:dyDescent="0.35">
      <c r="A293" s="6" t="s">
        <v>645</v>
      </c>
      <c r="B293" s="6" t="s">
        <v>19</v>
      </c>
      <c r="C293" s="6" t="s">
        <v>66</v>
      </c>
      <c r="D293" s="6"/>
      <c r="E293" s="6" t="s">
        <v>646</v>
      </c>
      <c r="F293" s="7">
        <v>44369</v>
      </c>
      <c r="G293" s="7">
        <v>44376</v>
      </c>
      <c r="H293" s="6" t="s">
        <v>27</v>
      </c>
      <c r="I293" s="6" t="s">
        <v>44</v>
      </c>
      <c r="J293" s="6" t="s">
        <v>45</v>
      </c>
      <c r="K293" s="7">
        <v>44369</v>
      </c>
      <c r="L293" s="6" t="s">
        <v>24</v>
      </c>
      <c r="M293" t="b">
        <v>1</v>
      </c>
      <c r="N293" t="b">
        <v>1</v>
      </c>
      <c r="Q293">
        <v>292</v>
      </c>
    </row>
    <row r="294" spans="1:17" x14ac:dyDescent="0.35">
      <c r="A294" s="6" t="s">
        <v>647</v>
      </c>
      <c r="B294" s="6" t="s">
        <v>19</v>
      </c>
      <c r="C294" s="6" t="s">
        <v>186</v>
      </c>
      <c r="D294" s="6"/>
      <c r="E294" s="6" t="s">
        <v>648</v>
      </c>
      <c r="F294" s="7">
        <v>44369</v>
      </c>
      <c r="G294" s="7">
        <v>44376</v>
      </c>
      <c r="H294" s="6" t="s">
        <v>27</v>
      </c>
      <c r="I294" s="6" t="s">
        <v>599</v>
      </c>
      <c r="J294" s="6" t="s">
        <v>600</v>
      </c>
      <c r="K294" s="7">
        <v>44369</v>
      </c>
      <c r="L294" s="6" t="s">
        <v>24</v>
      </c>
      <c r="M294" t="b">
        <v>1</v>
      </c>
      <c r="N294" t="b">
        <v>1</v>
      </c>
      <c r="Q294">
        <v>293</v>
      </c>
    </row>
    <row r="295" spans="1:17" x14ac:dyDescent="0.35">
      <c r="A295" s="6" t="s">
        <v>649</v>
      </c>
      <c r="B295" s="6" t="s">
        <v>19</v>
      </c>
      <c r="C295" s="6" t="s">
        <v>107</v>
      </c>
      <c r="D295" s="6"/>
      <c r="E295" s="6" t="s">
        <v>650</v>
      </c>
      <c r="F295" s="7">
        <v>44369</v>
      </c>
      <c r="G295" s="7">
        <v>44376</v>
      </c>
      <c r="H295" s="6" t="s">
        <v>27</v>
      </c>
      <c r="I295" s="6" t="s">
        <v>34</v>
      </c>
      <c r="J295" s="6" t="s">
        <v>35</v>
      </c>
      <c r="K295" s="7">
        <v>44369</v>
      </c>
      <c r="L295" s="6" t="s">
        <v>24</v>
      </c>
      <c r="M295" t="b">
        <v>1</v>
      </c>
      <c r="N295" t="b">
        <v>1</v>
      </c>
      <c r="Q295">
        <v>294</v>
      </c>
    </row>
    <row r="296" spans="1:17" x14ac:dyDescent="0.35">
      <c r="A296" s="6" t="s">
        <v>651</v>
      </c>
      <c r="B296" s="6" t="s">
        <v>19</v>
      </c>
      <c r="C296" s="6" t="s">
        <v>228</v>
      </c>
      <c r="D296" s="6"/>
      <c r="E296" s="6" t="s">
        <v>652</v>
      </c>
      <c r="F296" s="7">
        <v>44369</v>
      </c>
      <c r="G296" s="7">
        <v>44376</v>
      </c>
      <c r="H296" s="6" t="s">
        <v>27</v>
      </c>
      <c r="I296" s="6" t="s">
        <v>44</v>
      </c>
      <c r="J296" s="6" t="s">
        <v>45</v>
      </c>
      <c r="K296" s="7">
        <v>44369</v>
      </c>
      <c r="L296" s="6" t="s">
        <v>24</v>
      </c>
      <c r="M296" t="b">
        <v>1</v>
      </c>
      <c r="N296" t="b">
        <v>1</v>
      </c>
      <c r="Q296">
        <v>295</v>
      </c>
    </row>
    <row r="297" spans="1:17" x14ac:dyDescent="0.35">
      <c r="A297" s="6" t="s">
        <v>653</v>
      </c>
      <c r="B297" s="6" t="s">
        <v>19</v>
      </c>
      <c r="C297" s="6" t="s">
        <v>107</v>
      </c>
      <c r="D297" s="6"/>
      <c r="E297" s="6" t="s">
        <v>654</v>
      </c>
      <c r="F297" s="7">
        <v>44369</v>
      </c>
      <c r="G297" s="7">
        <v>44376</v>
      </c>
      <c r="H297" s="6" t="s">
        <v>27</v>
      </c>
      <c r="I297" s="6" t="s">
        <v>44</v>
      </c>
      <c r="J297" s="6" t="s">
        <v>45</v>
      </c>
      <c r="K297" s="7">
        <v>44369</v>
      </c>
      <c r="L297" s="6" t="s">
        <v>24</v>
      </c>
      <c r="M297" t="b">
        <v>1</v>
      </c>
      <c r="Q297">
        <v>296</v>
      </c>
    </row>
    <row r="298" spans="1:17" x14ac:dyDescent="0.35">
      <c r="A298" s="6" t="s">
        <v>655</v>
      </c>
      <c r="B298" s="6" t="s">
        <v>19</v>
      </c>
      <c r="C298" s="6" t="s">
        <v>186</v>
      </c>
      <c r="D298" s="6"/>
      <c r="E298" s="6" t="s">
        <v>656</v>
      </c>
      <c r="F298" s="7">
        <v>44369</v>
      </c>
      <c r="G298" s="7">
        <v>44376</v>
      </c>
      <c r="H298" s="6" t="s">
        <v>27</v>
      </c>
      <c r="I298" s="6" t="s">
        <v>599</v>
      </c>
      <c r="J298" s="6" t="s">
        <v>600</v>
      </c>
      <c r="K298" s="7">
        <v>44369</v>
      </c>
      <c r="L298" s="6" t="s">
        <v>24</v>
      </c>
      <c r="M298" t="b">
        <v>1</v>
      </c>
      <c r="N298" t="b">
        <v>1</v>
      </c>
      <c r="Q298">
        <v>297</v>
      </c>
    </row>
    <row r="299" spans="1:17" x14ac:dyDescent="0.35">
      <c r="A299" s="6" t="s">
        <v>657</v>
      </c>
      <c r="B299" s="6" t="s">
        <v>19</v>
      </c>
      <c r="C299" s="6" t="s">
        <v>186</v>
      </c>
      <c r="D299" s="6"/>
      <c r="E299" s="6" t="s">
        <v>658</v>
      </c>
      <c r="F299" s="7">
        <v>44369</v>
      </c>
      <c r="G299" s="7">
        <v>44376</v>
      </c>
      <c r="H299" s="6" t="s">
        <v>27</v>
      </c>
      <c r="I299" s="6" t="s">
        <v>595</v>
      </c>
      <c r="J299" s="6" t="s">
        <v>596</v>
      </c>
      <c r="K299" s="7">
        <v>44369</v>
      </c>
      <c r="L299" s="6" t="s">
        <v>24</v>
      </c>
      <c r="M299" t="b">
        <v>1</v>
      </c>
      <c r="N299" t="b">
        <v>1</v>
      </c>
      <c r="Q299">
        <v>298</v>
      </c>
    </row>
    <row r="300" spans="1:17" x14ac:dyDescent="0.35">
      <c r="A300" s="6" t="s">
        <v>659</v>
      </c>
      <c r="B300" s="6" t="s">
        <v>19</v>
      </c>
      <c r="C300" s="6" t="s">
        <v>186</v>
      </c>
      <c r="D300" s="6"/>
      <c r="E300" s="6" t="s">
        <v>660</v>
      </c>
      <c r="F300" s="7">
        <v>44369</v>
      </c>
      <c r="G300" s="7">
        <v>44376</v>
      </c>
      <c r="H300" s="6" t="s">
        <v>27</v>
      </c>
      <c r="I300" s="6" t="s">
        <v>595</v>
      </c>
      <c r="J300" s="6" t="s">
        <v>596</v>
      </c>
      <c r="K300" s="7">
        <v>44369</v>
      </c>
      <c r="L300" s="6" t="s">
        <v>24</v>
      </c>
      <c r="M300" t="b">
        <v>1</v>
      </c>
      <c r="N300" t="b">
        <v>1</v>
      </c>
      <c r="Q300">
        <v>299</v>
      </c>
    </row>
    <row r="301" spans="1:17" x14ac:dyDescent="0.35">
      <c r="A301" s="6" t="s">
        <v>661</v>
      </c>
      <c r="B301" s="6" t="s">
        <v>89</v>
      </c>
      <c r="C301" s="6" t="s">
        <v>66</v>
      </c>
      <c r="D301" s="6"/>
      <c r="E301" s="6" t="s">
        <v>662</v>
      </c>
      <c r="F301" s="7">
        <v>44369</v>
      </c>
      <c r="G301" s="7">
        <v>44376</v>
      </c>
      <c r="H301" s="6" t="s">
        <v>27</v>
      </c>
      <c r="I301" s="6" t="s">
        <v>44</v>
      </c>
      <c r="J301" s="6" t="s">
        <v>45</v>
      </c>
      <c r="K301" s="7">
        <v>44672</v>
      </c>
      <c r="L301" s="6" t="s">
        <v>24</v>
      </c>
      <c r="M301" t="b">
        <v>1</v>
      </c>
      <c r="N301" t="b">
        <v>1</v>
      </c>
      <c r="Q301">
        <v>300</v>
      </c>
    </row>
    <row r="302" spans="1:17" x14ac:dyDescent="0.35">
      <c r="A302" s="6" t="s">
        <v>663</v>
      </c>
      <c r="B302" s="6" t="s">
        <v>19</v>
      </c>
      <c r="C302" s="6" t="s">
        <v>186</v>
      </c>
      <c r="D302" s="6"/>
      <c r="E302" s="6" t="s">
        <v>664</v>
      </c>
      <c r="F302" s="7">
        <v>44369</v>
      </c>
      <c r="G302" s="7">
        <v>44376</v>
      </c>
      <c r="H302" s="6" t="s">
        <v>27</v>
      </c>
      <c r="I302" s="6" t="s">
        <v>599</v>
      </c>
      <c r="J302" s="6" t="s">
        <v>600</v>
      </c>
      <c r="K302" s="7">
        <v>44369</v>
      </c>
      <c r="L302" s="6" t="s">
        <v>24</v>
      </c>
      <c r="M302" t="b">
        <v>1</v>
      </c>
      <c r="N302" t="b">
        <v>1</v>
      </c>
      <c r="Q302">
        <v>301</v>
      </c>
    </row>
    <row r="303" spans="1:17" x14ac:dyDescent="0.35">
      <c r="A303" s="6" t="s">
        <v>665</v>
      </c>
      <c r="B303" s="6" t="s">
        <v>19</v>
      </c>
      <c r="C303" s="6" t="s">
        <v>107</v>
      </c>
      <c r="D303" s="6"/>
      <c r="E303" s="6" t="s">
        <v>666</v>
      </c>
      <c r="F303" s="7">
        <v>44369</v>
      </c>
      <c r="G303" s="7">
        <v>44376</v>
      </c>
      <c r="H303" s="6" t="s">
        <v>27</v>
      </c>
      <c r="I303" s="6" t="s">
        <v>44</v>
      </c>
      <c r="J303" s="6" t="s">
        <v>45</v>
      </c>
      <c r="K303" s="7">
        <v>44369</v>
      </c>
      <c r="L303" s="6" t="s">
        <v>24</v>
      </c>
      <c r="M303" t="b">
        <v>1</v>
      </c>
      <c r="N303" t="b">
        <v>1</v>
      </c>
      <c r="Q303">
        <v>302</v>
      </c>
    </row>
    <row r="304" spans="1:17" x14ac:dyDescent="0.35">
      <c r="A304" s="6" t="s">
        <v>667</v>
      </c>
      <c r="B304" s="6" t="s">
        <v>19</v>
      </c>
      <c r="C304" s="6" t="s">
        <v>186</v>
      </c>
      <c r="D304" s="6"/>
      <c r="E304" s="6" t="s">
        <v>668</v>
      </c>
      <c r="F304" s="7">
        <v>44369</v>
      </c>
      <c r="G304" s="7">
        <v>44376</v>
      </c>
      <c r="H304" s="6" t="s">
        <v>27</v>
      </c>
      <c r="I304" s="6" t="s">
        <v>595</v>
      </c>
      <c r="J304" s="6" t="s">
        <v>596</v>
      </c>
      <c r="K304" s="7">
        <v>44369</v>
      </c>
      <c r="L304" s="6" t="s">
        <v>24</v>
      </c>
      <c r="M304" t="b">
        <v>1</v>
      </c>
      <c r="N304" t="b">
        <v>1</v>
      </c>
      <c r="Q304">
        <v>303</v>
      </c>
    </row>
    <row r="305" spans="1:17" x14ac:dyDescent="0.35">
      <c r="A305" s="6" t="s">
        <v>669</v>
      </c>
      <c r="B305" s="6" t="s">
        <v>19</v>
      </c>
      <c r="C305" s="6" t="s">
        <v>66</v>
      </c>
      <c r="D305" s="6"/>
      <c r="E305" s="6" t="s">
        <v>670</v>
      </c>
      <c r="F305" s="7">
        <v>44369</v>
      </c>
      <c r="G305" s="7">
        <v>44376</v>
      </c>
      <c r="H305" s="6" t="s">
        <v>27</v>
      </c>
      <c r="I305" s="6" t="s">
        <v>44</v>
      </c>
      <c r="J305" s="6" t="s">
        <v>45</v>
      </c>
      <c r="K305" s="7">
        <v>44369</v>
      </c>
      <c r="L305" s="6" t="s">
        <v>24</v>
      </c>
      <c r="M305" t="b">
        <v>1</v>
      </c>
      <c r="N305" t="b">
        <v>1</v>
      </c>
      <c r="P305" t="b">
        <v>1</v>
      </c>
      <c r="Q305">
        <v>304</v>
      </c>
    </row>
    <row r="306" spans="1:17" x14ac:dyDescent="0.35">
      <c r="A306" s="6" t="s">
        <v>671</v>
      </c>
      <c r="B306" s="6" t="s">
        <v>134</v>
      </c>
      <c r="C306" s="6" t="s">
        <v>107</v>
      </c>
      <c r="D306" s="6" t="s">
        <v>895</v>
      </c>
      <c r="E306" s="6" t="s">
        <v>672</v>
      </c>
      <c r="F306" s="7">
        <v>44341</v>
      </c>
      <c r="G306" s="7">
        <v>44348</v>
      </c>
      <c r="H306" s="6" t="s">
        <v>81</v>
      </c>
      <c r="I306" s="6" t="s">
        <v>57</v>
      </c>
      <c r="J306" s="6" t="s">
        <v>58</v>
      </c>
      <c r="K306" s="7">
        <v>44784</v>
      </c>
      <c r="L306" s="6" t="s">
        <v>24</v>
      </c>
      <c r="M306" t="b">
        <v>0</v>
      </c>
      <c r="N306" t="b">
        <v>0</v>
      </c>
      <c r="O306" t="b">
        <v>1</v>
      </c>
      <c r="P306" t="b">
        <v>0</v>
      </c>
      <c r="Q306">
        <v>305</v>
      </c>
    </row>
    <row r="307" spans="1:17" x14ac:dyDescent="0.35">
      <c r="A307" s="6" t="s">
        <v>673</v>
      </c>
      <c r="B307" s="6" t="s">
        <v>134</v>
      </c>
      <c r="C307" s="6" t="s">
        <v>107</v>
      </c>
      <c r="D307" s="6" t="s">
        <v>895</v>
      </c>
      <c r="E307" s="6" t="s">
        <v>674</v>
      </c>
      <c r="F307" s="7">
        <v>44341</v>
      </c>
      <c r="G307" s="7">
        <v>44348</v>
      </c>
      <c r="H307" s="6" t="s">
        <v>81</v>
      </c>
      <c r="I307" s="6" t="s">
        <v>195</v>
      </c>
      <c r="J307" s="6" t="s">
        <v>196</v>
      </c>
      <c r="K307" s="7">
        <v>44491</v>
      </c>
      <c r="L307" s="6" t="s">
        <v>24</v>
      </c>
      <c r="M307" t="b">
        <v>0</v>
      </c>
      <c r="N307" t="b">
        <v>0</v>
      </c>
      <c r="O307" t="b">
        <v>0</v>
      </c>
      <c r="P307" t="b">
        <v>0</v>
      </c>
      <c r="Q307">
        <v>306</v>
      </c>
    </row>
    <row r="308" spans="1:17" x14ac:dyDescent="0.35">
      <c r="A308" s="6" t="s">
        <v>675</v>
      </c>
      <c r="B308" s="6" t="s">
        <v>134</v>
      </c>
      <c r="C308" s="6" t="s">
        <v>107</v>
      </c>
      <c r="D308" s="6" t="s">
        <v>895</v>
      </c>
      <c r="E308" s="6" t="s">
        <v>676</v>
      </c>
      <c r="F308" s="7">
        <v>44341</v>
      </c>
      <c r="G308" s="7">
        <v>44348</v>
      </c>
      <c r="H308" s="6" t="s">
        <v>81</v>
      </c>
      <c r="I308" s="6" t="s">
        <v>57</v>
      </c>
      <c r="J308" s="6" t="s">
        <v>58</v>
      </c>
      <c r="K308" s="7">
        <v>44491</v>
      </c>
      <c r="L308" s="6" t="s">
        <v>24</v>
      </c>
      <c r="M308" t="b">
        <v>0</v>
      </c>
      <c r="N308" t="b">
        <v>0</v>
      </c>
      <c r="O308" t="b">
        <v>1</v>
      </c>
      <c r="P308" t="b">
        <v>0</v>
      </c>
      <c r="Q308">
        <v>307</v>
      </c>
    </row>
    <row r="309" spans="1:17" x14ac:dyDescent="0.35">
      <c r="A309" s="6" t="s">
        <v>677</v>
      </c>
      <c r="B309" s="6" t="s">
        <v>134</v>
      </c>
      <c r="C309" s="6" t="s">
        <v>107</v>
      </c>
      <c r="D309" s="6" t="s">
        <v>886</v>
      </c>
      <c r="E309" s="6" t="s">
        <v>678</v>
      </c>
      <c r="F309" s="7">
        <v>44341</v>
      </c>
      <c r="G309" s="7">
        <v>44348</v>
      </c>
      <c r="H309" s="6" t="s">
        <v>81</v>
      </c>
      <c r="I309" s="6" t="s">
        <v>57</v>
      </c>
      <c r="J309" s="6" t="s">
        <v>58</v>
      </c>
      <c r="K309" s="7">
        <v>44784</v>
      </c>
      <c r="L309" s="6" t="s">
        <v>24</v>
      </c>
      <c r="M309" t="b">
        <v>0</v>
      </c>
      <c r="N309" t="b">
        <v>0</v>
      </c>
      <c r="O309" t="b">
        <v>1</v>
      </c>
      <c r="P309" t="b">
        <v>0</v>
      </c>
      <c r="Q309">
        <v>308</v>
      </c>
    </row>
    <row r="310" spans="1:17" x14ac:dyDescent="0.35">
      <c r="A310" s="6" t="s">
        <v>679</v>
      </c>
      <c r="B310" s="6" t="s">
        <v>134</v>
      </c>
      <c r="C310" s="6" t="s">
        <v>107</v>
      </c>
      <c r="D310" s="6" t="s">
        <v>886</v>
      </c>
      <c r="E310" s="6" t="s">
        <v>680</v>
      </c>
      <c r="F310" s="7">
        <v>44341</v>
      </c>
      <c r="G310" s="7">
        <v>44348</v>
      </c>
      <c r="H310" s="6" t="s">
        <v>81</v>
      </c>
      <c r="I310" s="6" t="s">
        <v>195</v>
      </c>
      <c r="J310" s="6" t="s">
        <v>196</v>
      </c>
      <c r="K310" s="7">
        <v>44491</v>
      </c>
      <c r="L310" s="6" t="s">
        <v>24</v>
      </c>
      <c r="M310" t="b">
        <v>0</v>
      </c>
      <c r="N310" t="b">
        <v>0</v>
      </c>
      <c r="O310" t="b">
        <v>0</v>
      </c>
      <c r="P310" t="b">
        <v>0</v>
      </c>
      <c r="Q310">
        <v>309</v>
      </c>
    </row>
    <row r="311" spans="1:17" x14ac:dyDescent="0.35">
      <c r="A311" s="6" t="s">
        <v>681</v>
      </c>
      <c r="B311" s="6" t="s">
        <v>134</v>
      </c>
      <c r="C311" s="6" t="s">
        <v>107</v>
      </c>
      <c r="D311" s="6" t="s">
        <v>938</v>
      </c>
      <c r="E311" s="6" t="s">
        <v>682</v>
      </c>
      <c r="F311" s="7">
        <v>44341</v>
      </c>
      <c r="G311" s="7">
        <v>44348</v>
      </c>
      <c r="H311" s="6" t="s">
        <v>81</v>
      </c>
      <c r="I311" s="6" t="s">
        <v>195</v>
      </c>
      <c r="J311" s="6" t="s">
        <v>196</v>
      </c>
      <c r="K311" s="7">
        <v>44491</v>
      </c>
      <c r="L311" s="6" t="s">
        <v>24</v>
      </c>
      <c r="M311" t="b">
        <v>0</v>
      </c>
      <c r="N311" t="b">
        <v>0</v>
      </c>
      <c r="O311" t="b">
        <v>0</v>
      </c>
      <c r="P311" t="b">
        <v>0</v>
      </c>
      <c r="Q311">
        <v>310</v>
      </c>
    </row>
    <row r="312" spans="1:17" x14ac:dyDescent="0.35">
      <c r="A312" s="6" t="s">
        <v>683</v>
      </c>
      <c r="B312" s="6" t="s">
        <v>134</v>
      </c>
      <c r="C312" s="6" t="s">
        <v>107</v>
      </c>
      <c r="D312" s="6" t="s">
        <v>938</v>
      </c>
      <c r="E312" s="6" t="s">
        <v>684</v>
      </c>
      <c r="F312" s="7">
        <v>44341</v>
      </c>
      <c r="G312" s="7">
        <v>44357</v>
      </c>
      <c r="H312" s="6" t="s">
        <v>81</v>
      </c>
      <c r="I312" s="6" t="s">
        <v>57</v>
      </c>
      <c r="J312" s="6" t="s">
        <v>58</v>
      </c>
      <c r="K312" s="7">
        <v>44491</v>
      </c>
      <c r="L312" s="6" t="s">
        <v>24</v>
      </c>
      <c r="M312" t="b">
        <v>0</v>
      </c>
      <c r="N312" t="b">
        <v>0</v>
      </c>
      <c r="O312" t="b">
        <v>1</v>
      </c>
      <c r="P312" t="b">
        <v>0</v>
      </c>
      <c r="Q312">
        <v>311</v>
      </c>
    </row>
    <row r="313" spans="1:17" x14ac:dyDescent="0.35">
      <c r="A313" s="6" t="s">
        <v>685</v>
      </c>
      <c r="B313" s="6" t="s">
        <v>134</v>
      </c>
      <c r="C313" s="6" t="s">
        <v>107</v>
      </c>
      <c r="D313" s="6" t="s">
        <v>965</v>
      </c>
      <c r="E313" s="6" t="s">
        <v>686</v>
      </c>
      <c r="F313" s="7">
        <v>44336</v>
      </c>
      <c r="G313" s="7">
        <v>44343</v>
      </c>
      <c r="H313" s="6" t="s">
        <v>81</v>
      </c>
      <c r="I313" s="6" t="s">
        <v>57</v>
      </c>
      <c r="J313" s="6" t="s">
        <v>58</v>
      </c>
      <c r="K313" s="7">
        <v>44491</v>
      </c>
      <c r="L313" s="6" t="s">
        <v>24</v>
      </c>
      <c r="M313" t="b">
        <v>0</v>
      </c>
      <c r="N313" t="b">
        <v>0</v>
      </c>
      <c r="O313" t="b">
        <v>1</v>
      </c>
      <c r="P313" t="b">
        <v>0</v>
      </c>
      <c r="Q313">
        <v>312</v>
      </c>
    </row>
    <row r="314" spans="1:17" x14ac:dyDescent="0.35">
      <c r="A314" s="6" t="s">
        <v>687</v>
      </c>
      <c r="B314" s="6" t="s">
        <v>19</v>
      </c>
      <c r="C314" s="6" t="s">
        <v>102</v>
      </c>
      <c r="D314" s="6"/>
      <c r="E314" s="6" t="s">
        <v>688</v>
      </c>
      <c r="F314" s="7">
        <v>44334</v>
      </c>
      <c r="G314" s="7">
        <v>44341</v>
      </c>
      <c r="H314" s="6" t="s">
        <v>27</v>
      </c>
      <c r="I314" s="6" t="s">
        <v>28</v>
      </c>
      <c r="J314" s="6" t="s">
        <v>29</v>
      </c>
      <c r="K314" s="7">
        <v>44334</v>
      </c>
      <c r="L314" s="6" t="s">
        <v>24</v>
      </c>
      <c r="M314" t="b">
        <v>1</v>
      </c>
      <c r="Q314">
        <v>313</v>
      </c>
    </row>
    <row r="315" spans="1:17" x14ac:dyDescent="0.35">
      <c r="A315" s="6" t="s">
        <v>689</v>
      </c>
      <c r="B315" s="6" t="s">
        <v>19</v>
      </c>
      <c r="C315" s="6" t="s">
        <v>189</v>
      </c>
      <c r="D315" s="6"/>
      <c r="E315" s="6" t="s">
        <v>690</v>
      </c>
      <c r="F315" s="7">
        <v>44334</v>
      </c>
      <c r="G315" s="7">
        <v>44341</v>
      </c>
      <c r="H315" s="6" t="s">
        <v>27</v>
      </c>
      <c r="I315" s="6" t="s">
        <v>28</v>
      </c>
      <c r="J315" s="6" t="s">
        <v>29</v>
      </c>
      <c r="K315" s="7">
        <v>44334</v>
      </c>
      <c r="L315" s="6" t="s">
        <v>24</v>
      </c>
      <c r="M315" t="b">
        <v>1</v>
      </c>
      <c r="Q315">
        <v>314</v>
      </c>
    </row>
    <row r="316" spans="1:17" x14ac:dyDescent="0.35">
      <c r="A316" s="6" t="s">
        <v>691</v>
      </c>
      <c r="B316" s="6" t="s">
        <v>134</v>
      </c>
      <c r="C316" s="6" t="s">
        <v>107</v>
      </c>
      <c r="D316" s="6"/>
      <c r="E316" s="6" t="s">
        <v>692</v>
      </c>
      <c r="F316" s="7">
        <v>44334</v>
      </c>
      <c r="G316" s="7">
        <v>44341</v>
      </c>
      <c r="H316" s="6" t="s">
        <v>27</v>
      </c>
      <c r="I316" s="6" t="s">
        <v>57</v>
      </c>
      <c r="J316" s="6" t="s">
        <v>58</v>
      </c>
      <c r="K316" s="7">
        <v>44491</v>
      </c>
      <c r="L316" s="6" t="s">
        <v>24</v>
      </c>
      <c r="M316" t="b">
        <v>0</v>
      </c>
      <c r="O316" t="b">
        <v>1</v>
      </c>
      <c r="P316" t="b">
        <v>1</v>
      </c>
      <c r="Q316">
        <v>315</v>
      </c>
    </row>
    <row r="317" spans="1:17" x14ac:dyDescent="0.35">
      <c r="A317" s="6" t="s">
        <v>693</v>
      </c>
      <c r="B317" s="6" t="s">
        <v>19</v>
      </c>
      <c r="C317" s="6" t="s">
        <v>186</v>
      </c>
      <c r="D317" s="6"/>
      <c r="E317" s="6" t="s">
        <v>694</v>
      </c>
      <c r="F317" s="7">
        <v>44323</v>
      </c>
      <c r="G317" s="7">
        <v>44330</v>
      </c>
      <c r="H317" s="6" t="s">
        <v>27</v>
      </c>
      <c r="I317" s="6" t="s">
        <v>44</v>
      </c>
      <c r="J317" s="6" t="s">
        <v>45</v>
      </c>
      <c r="K317" s="7">
        <v>44323</v>
      </c>
      <c r="L317" s="6" t="s">
        <v>24</v>
      </c>
      <c r="M317" t="b">
        <v>1</v>
      </c>
      <c r="N317" t="b">
        <v>1</v>
      </c>
      <c r="Q317">
        <v>316</v>
      </c>
    </row>
    <row r="318" spans="1:17" x14ac:dyDescent="0.35">
      <c r="A318" s="6" t="s">
        <v>695</v>
      </c>
      <c r="B318" s="6" t="s">
        <v>19</v>
      </c>
      <c r="C318" s="6" t="s">
        <v>73</v>
      </c>
      <c r="D318" s="6"/>
      <c r="E318" s="6" t="s">
        <v>694</v>
      </c>
      <c r="F318" s="7">
        <v>44323</v>
      </c>
      <c r="G318" s="7">
        <v>44330</v>
      </c>
      <c r="H318" s="6" t="s">
        <v>27</v>
      </c>
      <c r="I318" s="6" t="s">
        <v>595</v>
      </c>
      <c r="J318" s="6" t="s">
        <v>596</v>
      </c>
      <c r="K318" s="7">
        <v>44323</v>
      </c>
      <c r="L318" s="6" t="s">
        <v>24</v>
      </c>
      <c r="M318" t="b">
        <v>1</v>
      </c>
      <c r="N318" t="b">
        <v>1</v>
      </c>
      <c r="Q318">
        <v>317</v>
      </c>
    </row>
    <row r="319" spans="1:17" x14ac:dyDescent="0.35">
      <c r="A319" s="6" t="s">
        <v>696</v>
      </c>
      <c r="B319" s="6" t="s">
        <v>19</v>
      </c>
      <c r="C319" s="6" t="s">
        <v>73</v>
      </c>
      <c r="D319" s="6"/>
      <c r="E319" s="6" t="s">
        <v>697</v>
      </c>
      <c r="F319" s="7">
        <v>44323</v>
      </c>
      <c r="G319" s="7">
        <v>44330</v>
      </c>
      <c r="H319" s="6" t="s">
        <v>27</v>
      </c>
      <c r="I319" s="6" t="s">
        <v>44</v>
      </c>
      <c r="J319" s="6" t="s">
        <v>45</v>
      </c>
      <c r="K319" s="7">
        <v>44323</v>
      </c>
      <c r="L319" s="6" t="s">
        <v>24</v>
      </c>
      <c r="M319" t="b">
        <v>1</v>
      </c>
      <c r="N319" t="b">
        <v>1</v>
      </c>
      <c r="Q319">
        <v>318</v>
      </c>
    </row>
    <row r="320" spans="1:17" x14ac:dyDescent="0.35">
      <c r="A320" s="6" t="s">
        <v>698</v>
      </c>
      <c r="B320" s="6" t="s">
        <v>19</v>
      </c>
      <c r="C320" s="6" t="s">
        <v>186</v>
      </c>
      <c r="D320" s="6"/>
      <c r="E320" s="6" t="s">
        <v>699</v>
      </c>
      <c r="F320" s="7">
        <v>44323</v>
      </c>
      <c r="G320" s="7">
        <v>44330</v>
      </c>
      <c r="H320" s="6" t="s">
        <v>27</v>
      </c>
      <c r="I320" s="6" t="s">
        <v>595</v>
      </c>
      <c r="J320" s="6" t="s">
        <v>596</v>
      </c>
      <c r="K320" s="7">
        <v>44323</v>
      </c>
      <c r="L320" s="6" t="s">
        <v>24</v>
      </c>
      <c r="M320" t="b">
        <v>1</v>
      </c>
      <c r="N320" t="b">
        <v>1</v>
      </c>
      <c r="Q320">
        <v>319</v>
      </c>
    </row>
    <row r="321" spans="1:17" x14ac:dyDescent="0.35">
      <c r="A321" s="6" t="s">
        <v>700</v>
      </c>
      <c r="B321" s="6" t="s">
        <v>19</v>
      </c>
      <c r="C321" s="6" t="s">
        <v>228</v>
      </c>
      <c r="D321" s="6"/>
      <c r="E321" s="6" t="s">
        <v>701</v>
      </c>
      <c r="F321" s="7">
        <v>44323</v>
      </c>
      <c r="G321" s="7">
        <v>44330</v>
      </c>
      <c r="H321" s="6" t="s">
        <v>27</v>
      </c>
      <c r="I321" s="6" t="s">
        <v>44</v>
      </c>
      <c r="J321" s="6" t="s">
        <v>45</v>
      </c>
      <c r="K321" s="7">
        <v>44323</v>
      </c>
      <c r="L321" s="6" t="s">
        <v>24</v>
      </c>
      <c r="M321" t="b">
        <v>1</v>
      </c>
      <c r="N321" t="b">
        <v>1</v>
      </c>
      <c r="Q321">
        <v>320</v>
      </c>
    </row>
    <row r="322" spans="1:17" x14ac:dyDescent="0.35">
      <c r="A322" s="6" t="s">
        <v>702</v>
      </c>
      <c r="B322" s="6" t="s">
        <v>19</v>
      </c>
      <c r="C322" s="6" t="s">
        <v>228</v>
      </c>
      <c r="D322" s="6"/>
      <c r="E322" s="6" t="s">
        <v>703</v>
      </c>
      <c r="F322" s="7">
        <v>44323</v>
      </c>
      <c r="G322" s="7">
        <v>44330</v>
      </c>
      <c r="H322" s="6" t="s">
        <v>27</v>
      </c>
      <c r="I322" s="6" t="s">
        <v>44</v>
      </c>
      <c r="J322" s="6" t="s">
        <v>45</v>
      </c>
      <c r="K322" s="7">
        <v>44323</v>
      </c>
      <c r="L322" s="6" t="s">
        <v>24</v>
      </c>
      <c r="M322" t="b">
        <v>1</v>
      </c>
      <c r="N322" t="b">
        <v>1</v>
      </c>
      <c r="Q322">
        <v>321</v>
      </c>
    </row>
    <row r="323" spans="1:17" x14ac:dyDescent="0.35">
      <c r="A323" s="6" t="s">
        <v>704</v>
      </c>
      <c r="B323" s="6" t="s">
        <v>19</v>
      </c>
      <c r="C323" s="6" t="s">
        <v>705</v>
      </c>
      <c r="D323" s="6"/>
      <c r="E323" s="6" t="s">
        <v>706</v>
      </c>
      <c r="F323" s="7">
        <v>44323</v>
      </c>
      <c r="G323" s="7">
        <v>44330</v>
      </c>
      <c r="H323" s="6" t="s">
        <v>27</v>
      </c>
      <c r="I323" s="6" t="s">
        <v>34</v>
      </c>
      <c r="J323" s="6" t="s">
        <v>35</v>
      </c>
      <c r="K323" s="7">
        <v>44323</v>
      </c>
      <c r="L323" s="6" t="s">
        <v>24</v>
      </c>
      <c r="M323" t="b">
        <v>1</v>
      </c>
      <c r="Q323">
        <v>322</v>
      </c>
    </row>
    <row r="324" spans="1:17" x14ac:dyDescent="0.35">
      <c r="A324" s="6" t="s">
        <v>707</v>
      </c>
      <c r="B324" s="6" t="s">
        <v>19</v>
      </c>
      <c r="C324" s="6" t="s">
        <v>228</v>
      </c>
      <c r="D324" s="6"/>
      <c r="E324" s="6" t="s">
        <v>708</v>
      </c>
      <c r="F324" s="7">
        <v>44323</v>
      </c>
      <c r="G324" s="7">
        <v>44330</v>
      </c>
      <c r="H324" s="6" t="s">
        <v>27</v>
      </c>
      <c r="I324" s="6" t="s">
        <v>44</v>
      </c>
      <c r="J324" s="6" t="s">
        <v>45</v>
      </c>
      <c r="K324" s="7">
        <v>44323</v>
      </c>
      <c r="L324" s="6" t="s">
        <v>24</v>
      </c>
      <c r="M324" t="b">
        <v>1</v>
      </c>
      <c r="N324" t="b">
        <v>1</v>
      </c>
      <c r="Q324">
        <v>323</v>
      </c>
    </row>
    <row r="325" spans="1:17" x14ac:dyDescent="0.35">
      <c r="A325" s="6" t="s">
        <v>709</v>
      </c>
      <c r="B325" s="6" t="s">
        <v>19</v>
      </c>
      <c r="C325" s="6" t="s">
        <v>228</v>
      </c>
      <c r="D325" s="6"/>
      <c r="E325" s="6" t="s">
        <v>710</v>
      </c>
      <c r="F325" s="7">
        <v>44323</v>
      </c>
      <c r="G325" s="7">
        <v>44330</v>
      </c>
      <c r="H325" s="6" t="s">
        <v>27</v>
      </c>
      <c r="I325" s="6" t="s">
        <v>44</v>
      </c>
      <c r="J325" s="6" t="s">
        <v>45</v>
      </c>
      <c r="K325" s="7">
        <v>44323</v>
      </c>
      <c r="L325" s="6" t="s">
        <v>24</v>
      </c>
      <c r="M325" t="b">
        <v>1</v>
      </c>
      <c r="N325" t="b">
        <v>1</v>
      </c>
      <c r="Q325">
        <v>324</v>
      </c>
    </row>
    <row r="326" spans="1:17" x14ac:dyDescent="0.35">
      <c r="A326" s="6" t="s">
        <v>711</v>
      </c>
      <c r="B326" s="6" t="s">
        <v>19</v>
      </c>
      <c r="C326" s="6" t="s">
        <v>186</v>
      </c>
      <c r="D326" s="6"/>
      <c r="E326" s="6" t="s">
        <v>712</v>
      </c>
      <c r="F326" s="7">
        <v>44323</v>
      </c>
      <c r="G326" s="7">
        <v>44330</v>
      </c>
      <c r="H326" s="6" t="s">
        <v>27</v>
      </c>
      <c r="I326" s="6" t="s">
        <v>599</v>
      </c>
      <c r="J326" s="6" t="s">
        <v>600</v>
      </c>
      <c r="K326" s="7">
        <v>44323</v>
      </c>
      <c r="L326" s="6" t="s">
        <v>24</v>
      </c>
      <c r="M326" t="b">
        <v>1</v>
      </c>
      <c r="N326" t="b">
        <v>1</v>
      </c>
      <c r="Q326">
        <v>325</v>
      </c>
    </row>
    <row r="327" spans="1:17" x14ac:dyDescent="0.35">
      <c r="A327" s="6" t="s">
        <v>713</v>
      </c>
      <c r="B327" s="6" t="s">
        <v>19</v>
      </c>
      <c r="C327" s="6" t="s">
        <v>186</v>
      </c>
      <c r="D327" s="6"/>
      <c r="E327" s="6" t="s">
        <v>714</v>
      </c>
      <c r="F327" s="7">
        <v>44323</v>
      </c>
      <c r="G327" s="7">
        <v>44330</v>
      </c>
      <c r="H327" s="6" t="s">
        <v>27</v>
      </c>
      <c r="I327" s="6" t="s">
        <v>595</v>
      </c>
      <c r="J327" s="6" t="s">
        <v>596</v>
      </c>
      <c r="K327" s="7">
        <v>44323</v>
      </c>
      <c r="L327" s="6" t="s">
        <v>24</v>
      </c>
      <c r="M327" t="b">
        <v>1</v>
      </c>
      <c r="N327" t="b">
        <v>1</v>
      </c>
      <c r="Q327">
        <v>326</v>
      </c>
    </row>
    <row r="328" spans="1:17" x14ac:dyDescent="0.35">
      <c r="A328" s="6" t="s">
        <v>715</v>
      </c>
      <c r="B328" s="6" t="s">
        <v>19</v>
      </c>
      <c r="C328" s="6" t="s">
        <v>186</v>
      </c>
      <c r="D328" s="6"/>
      <c r="E328" s="6" t="s">
        <v>716</v>
      </c>
      <c r="F328" s="7">
        <v>44323</v>
      </c>
      <c r="G328" s="7">
        <v>44330</v>
      </c>
      <c r="H328" s="6" t="s">
        <v>27</v>
      </c>
      <c r="I328" s="6" t="s">
        <v>599</v>
      </c>
      <c r="J328" s="6" t="s">
        <v>600</v>
      </c>
      <c r="K328" s="7">
        <v>44323</v>
      </c>
      <c r="L328" s="6" t="s">
        <v>24</v>
      </c>
      <c r="M328" t="b">
        <v>1</v>
      </c>
      <c r="N328" t="b">
        <v>1</v>
      </c>
      <c r="Q328">
        <v>327</v>
      </c>
    </row>
    <row r="329" spans="1:17" x14ac:dyDescent="0.35">
      <c r="A329" s="6" t="s">
        <v>717</v>
      </c>
      <c r="B329" s="6" t="s">
        <v>19</v>
      </c>
      <c r="C329" s="6" t="s">
        <v>228</v>
      </c>
      <c r="D329" s="6"/>
      <c r="E329" s="6" t="s">
        <v>718</v>
      </c>
      <c r="F329" s="7">
        <v>44323</v>
      </c>
      <c r="G329" s="7">
        <v>44330</v>
      </c>
      <c r="H329" s="6" t="s">
        <v>27</v>
      </c>
      <c r="I329" s="6" t="s">
        <v>595</v>
      </c>
      <c r="J329" s="6" t="s">
        <v>596</v>
      </c>
      <c r="K329" s="7">
        <v>44323</v>
      </c>
      <c r="L329" s="6" t="s">
        <v>24</v>
      </c>
      <c r="M329" t="b">
        <v>1</v>
      </c>
      <c r="Q329">
        <v>328</v>
      </c>
    </row>
    <row r="330" spans="1:17" x14ac:dyDescent="0.35">
      <c r="A330" s="6" t="s">
        <v>719</v>
      </c>
      <c r="B330" s="6" t="s">
        <v>19</v>
      </c>
      <c r="C330" s="6" t="s">
        <v>228</v>
      </c>
      <c r="D330" s="6"/>
      <c r="E330" s="6" t="s">
        <v>720</v>
      </c>
      <c r="F330" s="7">
        <v>44323</v>
      </c>
      <c r="G330" s="7">
        <v>44330</v>
      </c>
      <c r="H330" s="6" t="s">
        <v>27</v>
      </c>
      <c r="I330" s="6" t="s">
        <v>599</v>
      </c>
      <c r="J330" s="6" t="s">
        <v>600</v>
      </c>
      <c r="K330" s="7">
        <v>44323</v>
      </c>
      <c r="L330" s="6" t="s">
        <v>24</v>
      </c>
      <c r="M330" t="b">
        <v>1</v>
      </c>
      <c r="N330" t="b">
        <v>1</v>
      </c>
      <c r="Q330">
        <v>329</v>
      </c>
    </row>
    <row r="331" spans="1:17" x14ac:dyDescent="0.35">
      <c r="A331" s="6" t="s">
        <v>721</v>
      </c>
      <c r="B331" s="6" t="s">
        <v>19</v>
      </c>
      <c r="C331" s="6" t="s">
        <v>228</v>
      </c>
      <c r="D331" s="6"/>
      <c r="E331" s="6" t="s">
        <v>722</v>
      </c>
      <c r="F331" s="7">
        <v>44323</v>
      </c>
      <c r="G331" s="7">
        <v>44330</v>
      </c>
      <c r="H331" s="6" t="s">
        <v>27</v>
      </c>
      <c r="I331" s="6" t="s">
        <v>44</v>
      </c>
      <c r="J331" s="6" t="s">
        <v>45</v>
      </c>
      <c r="K331" s="7">
        <v>44323</v>
      </c>
      <c r="L331" s="6" t="s">
        <v>24</v>
      </c>
      <c r="M331" t="b">
        <v>1</v>
      </c>
      <c r="N331" t="b">
        <v>1</v>
      </c>
      <c r="Q331">
        <v>330</v>
      </c>
    </row>
    <row r="332" spans="1:17" x14ac:dyDescent="0.35">
      <c r="A332" s="6" t="s">
        <v>723</v>
      </c>
      <c r="B332" s="6" t="s">
        <v>19</v>
      </c>
      <c r="C332" s="6" t="s">
        <v>228</v>
      </c>
      <c r="D332" s="6"/>
      <c r="E332" s="6" t="s">
        <v>724</v>
      </c>
      <c r="F332" s="7">
        <v>44323</v>
      </c>
      <c r="G332" s="7">
        <v>44329</v>
      </c>
      <c r="H332" s="6" t="s">
        <v>27</v>
      </c>
      <c r="I332" s="6" t="s">
        <v>595</v>
      </c>
      <c r="J332" s="6" t="s">
        <v>596</v>
      </c>
      <c r="K332" s="7">
        <v>44323</v>
      </c>
      <c r="L332" s="6" t="s">
        <v>24</v>
      </c>
      <c r="M332" t="b">
        <v>1</v>
      </c>
      <c r="N332" t="b">
        <v>1</v>
      </c>
      <c r="Q332">
        <v>331</v>
      </c>
    </row>
    <row r="333" spans="1:17" x14ac:dyDescent="0.35">
      <c r="A333" s="6" t="s">
        <v>725</v>
      </c>
      <c r="B333" s="6" t="s">
        <v>19</v>
      </c>
      <c r="C333" s="6" t="s">
        <v>73</v>
      </c>
      <c r="D333" s="6"/>
      <c r="E333" s="6" t="s">
        <v>726</v>
      </c>
      <c r="F333" s="7">
        <v>44323</v>
      </c>
      <c r="G333" s="7">
        <v>44329</v>
      </c>
      <c r="H333" s="6" t="s">
        <v>27</v>
      </c>
      <c r="I333" s="6" t="s">
        <v>44</v>
      </c>
      <c r="J333" s="6" t="s">
        <v>45</v>
      </c>
      <c r="K333" s="7">
        <v>44323</v>
      </c>
      <c r="L333" s="6" t="s">
        <v>24</v>
      </c>
      <c r="M333" t="b">
        <v>1</v>
      </c>
      <c r="N333" t="b">
        <v>1</v>
      </c>
      <c r="Q333">
        <v>332</v>
      </c>
    </row>
    <row r="334" spans="1:17" x14ac:dyDescent="0.35">
      <c r="A334" s="6" t="s">
        <v>727</v>
      </c>
      <c r="B334" s="6" t="s">
        <v>19</v>
      </c>
      <c r="C334" s="6" t="s">
        <v>228</v>
      </c>
      <c r="D334" s="6"/>
      <c r="E334" s="6" t="s">
        <v>728</v>
      </c>
      <c r="F334" s="7">
        <v>44323</v>
      </c>
      <c r="G334" s="7">
        <v>44329</v>
      </c>
      <c r="H334" s="6" t="s">
        <v>27</v>
      </c>
      <c r="I334" s="6" t="s">
        <v>44</v>
      </c>
      <c r="J334" s="6" t="s">
        <v>45</v>
      </c>
      <c r="K334" s="7">
        <v>44323</v>
      </c>
      <c r="L334" s="6" t="s">
        <v>24</v>
      </c>
      <c r="M334" t="b">
        <v>1</v>
      </c>
      <c r="N334" t="b">
        <v>1</v>
      </c>
      <c r="O334" t="b">
        <v>1</v>
      </c>
      <c r="Q334">
        <v>333</v>
      </c>
    </row>
    <row r="335" spans="1:17" x14ac:dyDescent="0.35">
      <c r="A335" s="6" t="s">
        <v>729</v>
      </c>
      <c r="B335" s="6" t="s">
        <v>19</v>
      </c>
      <c r="C335" s="6" t="s">
        <v>228</v>
      </c>
      <c r="D335" s="6"/>
      <c r="E335" s="6" t="s">
        <v>730</v>
      </c>
      <c r="F335" s="7">
        <v>44323</v>
      </c>
      <c r="G335" s="7">
        <v>44329</v>
      </c>
      <c r="H335" s="6" t="s">
        <v>27</v>
      </c>
      <c r="I335" s="6" t="s">
        <v>599</v>
      </c>
      <c r="J335" s="6" t="s">
        <v>600</v>
      </c>
      <c r="K335" s="7">
        <v>44323</v>
      </c>
      <c r="L335" s="6" t="s">
        <v>24</v>
      </c>
      <c r="M335" t="b">
        <v>1</v>
      </c>
      <c r="N335" t="b">
        <v>1</v>
      </c>
      <c r="Q335">
        <v>334</v>
      </c>
    </row>
    <row r="336" spans="1:17" x14ac:dyDescent="0.35">
      <c r="A336" s="6" t="s">
        <v>731</v>
      </c>
      <c r="B336" s="6" t="s">
        <v>19</v>
      </c>
      <c r="C336" s="6" t="s">
        <v>228</v>
      </c>
      <c r="D336" s="6"/>
      <c r="E336" s="6" t="s">
        <v>732</v>
      </c>
      <c r="F336" s="7">
        <v>44323</v>
      </c>
      <c r="G336" s="7">
        <v>44329</v>
      </c>
      <c r="H336" s="6" t="s">
        <v>27</v>
      </c>
      <c r="I336" s="6" t="s">
        <v>595</v>
      </c>
      <c r="J336" s="6" t="s">
        <v>596</v>
      </c>
      <c r="K336" s="7">
        <v>44323</v>
      </c>
      <c r="L336" s="6" t="s">
        <v>24</v>
      </c>
      <c r="M336" t="b">
        <v>1</v>
      </c>
      <c r="N336" t="b">
        <v>1</v>
      </c>
      <c r="Q336">
        <v>335</v>
      </c>
    </row>
    <row r="337" spans="1:17" x14ac:dyDescent="0.35">
      <c r="A337" s="6" t="s">
        <v>733</v>
      </c>
      <c r="B337" s="6" t="s">
        <v>19</v>
      </c>
      <c r="C337" s="6" t="s">
        <v>228</v>
      </c>
      <c r="D337" s="6"/>
      <c r="E337" s="6" t="s">
        <v>734</v>
      </c>
      <c r="F337" s="7">
        <v>44323</v>
      </c>
      <c r="G337" s="7">
        <v>44329</v>
      </c>
      <c r="H337" s="6" t="s">
        <v>27</v>
      </c>
      <c r="I337" s="6" t="s">
        <v>595</v>
      </c>
      <c r="J337" s="6" t="s">
        <v>596</v>
      </c>
      <c r="K337" s="7">
        <v>44323</v>
      </c>
      <c r="L337" s="6" t="s">
        <v>24</v>
      </c>
      <c r="M337" t="b">
        <v>1</v>
      </c>
      <c r="N337" t="b">
        <v>1</v>
      </c>
      <c r="O337" t="b">
        <v>1</v>
      </c>
      <c r="Q337">
        <v>336</v>
      </c>
    </row>
    <row r="338" spans="1:17" x14ac:dyDescent="0.35">
      <c r="A338" s="6" t="s">
        <v>735</v>
      </c>
      <c r="B338" s="6" t="s">
        <v>19</v>
      </c>
      <c r="C338" s="6" t="s">
        <v>228</v>
      </c>
      <c r="D338" s="6"/>
      <c r="E338" s="6" t="s">
        <v>736</v>
      </c>
      <c r="F338" s="7">
        <v>44323</v>
      </c>
      <c r="G338" s="7">
        <v>44329</v>
      </c>
      <c r="H338" s="6" t="s">
        <v>27</v>
      </c>
      <c r="I338" s="6" t="s">
        <v>595</v>
      </c>
      <c r="J338" s="6" t="s">
        <v>596</v>
      </c>
      <c r="K338" s="7">
        <v>44323</v>
      </c>
      <c r="L338" s="6" t="s">
        <v>24</v>
      </c>
      <c r="M338" t="b">
        <v>1</v>
      </c>
      <c r="N338" t="b">
        <v>1</v>
      </c>
      <c r="Q338">
        <v>337</v>
      </c>
    </row>
    <row r="339" spans="1:17" x14ac:dyDescent="0.35">
      <c r="A339" s="6" t="s">
        <v>737</v>
      </c>
      <c r="B339" s="6" t="s">
        <v>19</v>
      </c>
      <c r="C339" s="6" t="s">
        <v>228</v>
      </c>
      <c r="D339" s="6"/>
      <c r="E339" s="6" t="s">
        <v>738</v>
      </c>
      <c r="F339" s="7">
        <v>44323</v>
      </c>
      <c r="G339" s="7">
        <v>44329</v>
      </c>
      <c r="H339" s="6" t="s">
        <v>27</v>
      </c>
      <c r="I339" s="6" t="s">
        <v>44</v>
      </c>
      <c r="J339" s="6" t="s">
        <v>45</v>
      </c>
      <c r="K339" s="7">
        <v>44323</v>
      </c>
      <c r="L339" s="6" t="s">
        <v>24</v>
      </c>
      <c r="M339" t="b">
        <v>1</v>
      </c>
      <c r="N339" t="b">
        <v>1</v>
      </c>
      <c r="Q339">
        <v>338</v>
      </c>
    </row>
    <row r="340" spans="1:17" x14ac:dyDescent="0.35">
      <c r="A340" s="6" t="s">
        <v>739</v>
      </c>
      <c r="B340" s="6" t="s">
        <v>19</v>
      </c>
      <c r="C340" s="6" t="s">
        <v>228</v>
      </c>
      <c r="D340" s="6"/>
      <c r="E340" s="6" t="s">
        <v>740</v>
      </c>
      <c r="F340" s="7">
        <v>44323</v>
      </c>
      <c r="G340" s="7">
        <v>44329</v>
      </c>
      <c r="H340" s="6" t="s">
        <v>27</v>
      </c>
      <c r="I340" s="6" t="s">
        <v>44</v>
      </c>
      <c r="J340" s="6" t="s">
        <v>45</v>
      </c>
      <c r="K340" s="7">
        <v>44323</v>
      </c>
      <c r="L340" s="6" t="s">
        <v>24</v>
      </c>
      <c r="M340" t="b">
        <v>1</v>
      </c>
      <c r="N340" t="b">
        <v>1</v>
      </c>
      <c r="Q340">
        <v>339</v>
      </c>
    </row>
    <row r="341" spans="1:17" x14ac:dyDescent="0.35">
      <c r="A341" s="6" t="s">
        <v>741</v>
      </c>
      <c r="B341" s="6" t="s">
        <v>19</v>
      </c>
      <c r="C341" s="6" t="s">
        <v>186</v>
      </c>
      <c r="D341" s="6" t="s">
        <v>880</v>
      </c>
      <c r="E341" s="6" t="s">
        <v>742</v>
      </c>
      <c r="F341" s="7">
        <v>44323</v>
      </c>
      <c r="G341" s="7">
        <v>44329</v>
      </c>
      <c r="H341" s="6" t="s">
        <v>27</v>
      </c>
      <c r="I341" s="6" t="s">
        <v>599</v>
      </c>
      <c r="J341" s="6" t="s">
        <v>600</v>
      </c>
      <c r="K341" s="7">
        <v>44323</v>
      </c>
      <c r="L341" s="6" t="s">
        <v>24</v>
      </c>
      <c r="M341" t="b">
        <v>1</v>
      </c>
      <c r="N341" t="b">
        <v>1</v>
      </c>
      <c r="Q341">
        <v>340</v>
      </c>
    </row>
    <row r="342" spans="1:17" x14ac:dyDescent="0.35">
      <c r="A342" s="6" t="s">
        <v>743</v>
      </c>
      <c r="B342" s="6" t="s">
        <v>19</v>
      </c>
      <c r="C342" s="6" t="s">
        <v>66</v>
      </c>
      <c r="D342" s="6"/>
      <c r="E342" s="6" t="s">
        <v>744</v>
      </c>
      <c r="F342" s="7">
        <v>44323</v>
      </c>
      <c r="G342" s="7">
        <v>44329</v>
      </c>
      <c r="H342" s="6" t="s">
        <v>27</v>
      </c>
      <c r="I342" s="6" t="s">
        <v>44</v>
      </c>
      <c r="J342" s="6" t="s">
        <v>45</v>
      </c>
      <c r="K342" s="7">
        <v>44323</v>
      </c>
      <c r="L342" s="6" t="s">
        <v>24</v>
      </c>
      <c r="M342" t="b">
        <v>1</v>
      </c>
      <c r="N342" t="b">
        <v>1</v>
      </c>
      <c r="Q342">
        <v>341</v>
      </c>
    </row>
    <row r="343" spans="1:17" x14ac:dyDescent="0.35">
      <c r="A343" s="6" t="s">
        <v>745</v>
      </c>
      <c r="B343" s="6" t="s">
        <v>134</v>
      </c>
      <c r="C343" s="6" t="s">
        <v>102</v>
      </c>
      <c r="D343" s="6"/>
      <c r="E343" s="6" t="s">
        <v>746</v>
      </c>
      <c r="F343" s="7">
        <v>44315</v>
      </c>
      <c r="G343" s="7">
        <v>44322</v>
      </c>
      <c r="H343" s="6" t="s">
        <v>27</v>
      </c>
      <c r="I343" s="6" t="s">
        <v>57</v>
      </c>
      <c r="J343" s="6" t="s">
        <v>58</v>
      </c>
      <c r="K343" s="7">
        <v>44784</v>
      </c>
      <c r="L343" s="6" t="s">
        <v>24</v>
      </c>
      <c r="M343" t="b">
        <v>0</v>
      </c>
      <c r="N343" t="b">
        <v>1</v>
      </c>
      <c r="O343" t="b">
        <v>1</v>
      </c>
      <c r="Q343">
        <v>342</v>
      </c>
    </row>
    <row r="344" spans="1:17" x14ac:dyDescent="0.35">
      <c r="A344" s="6" t="s">
        <v>747</v>
      </c>
      <c r="B344" s="6" t="s">
        <v>134</v>
      </c>
      <c r="C344" s="6" t="s">
        <v>102</v>
      </c>
      <c r="D344" s="6"/>
      <c r="E344" s="6" t="s">
        <v>748</v>
      </c>
      <c r="F344" s="7">
        <v>44315</v>
      </c>
      <c r="G344" s="7">
        <v>44322</v>
      </c>
      <c r="H344" s="6" t="s">
        <v>27</v>
      </c>
      <c r="I344" s="6" t="s">
        <v>57</v>
      </c>
      <c r="J344" s="6" t="s">
        <v>58</v>
      </c>
      <c r="K344" s="7">
        <v>44784</v>
      </c>
      <c r="L344" s="6" t="s">
        <v>24</v>
      </c>
      <c r="M344" t="b">
        <v>0</v>
      </c>
      <c r="N344" t="b">
        <v>1</v>
      </c>
      <c r="O344" t="b">
        <v>1</v>
      </c>
      <c r="Q344">
        <v>343</v>
      </c>
    </row>
    <row r="345" spans="1:17" x14ac:dyDescent="0.35">
      <c r="A345" s="6" t="s">
        <v>749</v>
      </c>
      <c r="B345" s="6" t="s">
        <v>134</v>
      </c>
      <c r="C345" s="6" t="s">
        <v>427</v>
      </c>
      <c r="D345" s="6"/>
      <c r="E345" s="6" t="s">
        <v>750</v>
      </c>
      <c r="F345" s="7">
        <v>44315</v>
      </c>
      <c r="G345" s="7">
        <v>44322</v>
      </c>
      <c r="H345" s="6" t="s">
        <v>27</v>
      </c>
      <c r="I345" s="6" t="s">
        <v>57</v>
      </c>
      <c r="J345" s="6" t="s">
        <v>58</v>
      </c>
      <c r="K345" s="7">
        <v>44784</v>
      </c>
      <c r="L345" s="6" t="s">
        <v>24</v>
      </c>
      <c r="M345" t="b">
        <v>0</v>
      </c>
      <c r="N345" t="b">
        <v>1</v>
      </c>
      <c r="O345" t="b">
        <v>1</v>
      </c>
      <c r="Q345">
        <v>344</v>
      </c>
    </row>
    <row r="346" spans="1:17" x14ac:dyDescent="0.35">
      <c r="A346" s="6" t="s">
        <v>751</v>
      </c>
      <c r="B346" s="6" t="s">
        <v>134</v>
      </c>
      <c r="C346" s="6" t="s">
        <v>107</v>
      </c>
      <c r="D346" s="6"/>
      <c r="E346" s="6" t="s">
        <v>752</v>
      </c>
      <c r="F346" s="7">
        <v>44315</v>
      </c>
      <c r="G346" s="7">
        <v>44322</v>
      </c>
      <c r="H346" s="6" t="s">
        <v>27</v>
      </c>
      <c r="I346" s="6" t="s">
        <v>57</v>
      </c>
      <c r="J346" s="6" t="s">
        <v>58</v>
      </c>
      <c r="K346" s="7">
        <v>44784</v>
      </c>
      <c r="L346" s="6" t="s">
        <v>24</v>
      </c>
      <c r="M346" t="b">
        <v>0</v>
      </c>
      <c r="N346" t="b">
        <v>1</v>
      </c>
      <c r="O346" t="b">
        <v>1</v>
      </c>
      <c r="Q346">
        <v>345</v>
      </c>
    </row>
    <row r="347" spans="1:17" x14ac:dyDescent="0.35">
      <c r="A347" s="6" t="s">
        <v>753</v>
      </c>
      <c r="B347" s="6" t="s">
        <v>134</v>
      </c>
      <c r="C347" s="6" t="s">
        <v>107</v>
      </c>
      <c r="D347" s="6"/>
      <c r="E347" s="6" t="s">
        <v>754</v>
      </c>
      <c r="F347" s="7">
        <v>44315</v>
      </c>
      <c r="G347" s="7">
        <v>44322</v>
      </c>
      <c r="H347" s="6" t="s">
        <v>27</v>
      </c>
      <c r="I347" s="6" t="s">
        <v>57</v>
      </c>
      <c r="J347" s="6" t="s">
        <v>58</v>
      </c>
      <c r="K347" s="7">
        <v>44784</v>
      </c>
      <c r="L347" s="6" t="s">
        <v>24</v>
      </c>
      <c r="M347" t="b">
        <v>0</v>
      </c>
      <c r="N347" t="b">
        <v>1</v>
      </c>
      <c r="O347" t="b">
        <v>1</v>
      </c>
      <c r="Q347">
        <v>346</v>
      </c>
    </row>
    <row r="348" spans="1:17" x14ac:dyDescent="0.35">
      <c r="A348" s="6" t="s">
        <v>755</v>
      </c>
      <c r="B348" s="6" t="s">
        <v>134</v>
      </c>
      <c r="C348" s="6" t="s">
        <v>189</v>
      </c>
      <c r="D348" s="6"/>
      <c r="E348" s="6" t="s">
        <v>756</v>
      </c>
      <c r="F348" s="7">
        <v>44315</v>
      </c>
      <c r="G348" s="7">
        <v>44322</v>
      </c>
      <c r="H348" s="6" t="s">
        <v>27</v>
      </c>
      <c r="I348" s="6" t="s">
        <v>57</v>
      </c>
      <c r="J348" s="6" t="s">
        <v>58</v>
      </c>
      <c r="K348" s="7">
        <v>44784</v>
      </c>
      <c r="L348" s="6" t="s">
        <v>24</v>
      </c>
      <c r="M348" t="b">
        <v>0</v>
      </c>
      <c r="N348" t="b">
        <v>1</v>
      </c>
      <c r="O348" t="b">
        <v>1</v>
      </c>
      <c r="Q348">
        <v>347</v>
      </c>
    </row>
    <row r="349" spans="1:17" x14ac:dyDescent="0.35">
      <c r="A349" s="6" t="s">
        <v>757</v>
      </c>
      <c r="B349" s="6" t="s">
        <v>134</v>
      </c>
      <c r="C349" s="6" t="s">
        <v>189</v>
      </c>
      <c r="D349" s="6"/>
      <c r="E349" s="6" t="s">
        <v>758</v>
      </c>
      <c r="F349" s="7">
        <v>44315</v>
      </c>
      <c r="G349" s="7">
        <v>44322</v>
      </c>
      <c r="H349" s="6" t="s">
        <v>27</v>
      </c>
      <c r="I349" s="6" t="s">
        <v>57</v>
      </c>
      <c r="J349" s="6" t="s">
        <v>58</v>
      </c>
      <c r="K349" s="7">
        <v>44784</v>
      </c>
      <c r="L349" s="6" t="s">
        <v>24</v>
      </c>
      <c r="M349" t="b">
        <v>0</v>
      </c>
      <c r="N349" t="b">
        <v>1</v>
      </c>
      <c r="O349" t="b">
        <v>1</v>
      </c>
      <c r="Q349">
        <v>348</v>
      </c>
    </row>
    <row r="350" spans="1:17" x14ac:dyDescent="0.35">
      <c r="A350" s="6" t="s">
        <v>759</v>
      </c>
      <c r="B350" s="6" t="s">
        <v>134</v>
      </c>
      <c r="C350" s="6" t="s">
        <v>189</v>
      </c>
      <c r="D350" s="6"/>
      <c r="E350" s="6" t="s">
        <v>760</v>
      </c>
      <c r="F350" s="7">
        <v>44315</v>
      </c>
      <c r="G350" s="7">
        <v>44322</v>
      </c>
      <c r="H350" s="6" t="s">
        <v>27</v>
      </c>
      <c r="I350" s="6" t="s">
        <v>57</v>
      </c>
      <c r="J350" s="6" t="s">
        <v>58</v>
      </c>
      <c r="K350" s="7">
        <v>44784</v>
      </c>
      <c r="L350" s="6" t="s">
        <v>24</v>
      </c>
      <c r="M350" t="b">
        <v>0</v>
      </c>
      <c r="N350" t="b">
        <v>1</v>
      </c>
      <c r="O350" t="b">
        <v>1</v>
      </c>
      <c r="Q350">
        <v>349</v>
      </c>
    </row>
    <row r="351" spans="1:17" x14ac:dyDescent="0.35">
      <c r="A351" s="6" t="s">
        <v>761</v>
      </c>
      <c r="B351" s="6" t="s">
        <v>89</v>
      </c>
      <c r="C351" s="6" t="s">
        <v>189</v>
      </c>
      <c r="D351" s="6"/>
      <c r="E351" s="6" t="s">
        <v>762</v>
      </c>
      <c r="F351" s="7">
        <v>44315</v>
      </c>
      <c r="G351" s="7">
        <v>44322</v>
      </c>
      <c r="H351" s="6" t="s">
        <v>27</v>
      </c>
      <c r="I351" s="6" t="s">
        <v>57</v>
      </c>
      <c r="J351" s="6" t="s">
        <v>58</v>
      </c>
      <c r="K351" s="7">
        <v>44439</v>
      </c>
      <c r="L351" s="6" t="s">
        <v>24</v>
      </c>
      <c r="M351" t="b">
        <v>1</v>
      </c>
      <c r="N351" t="b">
        <v>1</v>
      </c>
      <c r="O351" t="b">
        <v>1</v>
      </c>
      <c r="P351" t="b">
        <v>0</v>
      </c>
      <c r="Q351">
        <v>350</v>
      </c>
    </row>
    <row r="352" spans="1:17" x14ac:dyDescent="0.35">
      <c r="A352" s="6" t="s">
        <v>763</v>
      </c>
      <c r="B352" s="6" t="s">
        <v>134</v>
      </c>
      <c r="C352" s="6" t="s">
        <v>107</v>
      </c>
      <c r="D352" s="6"/>
      <c r="E352" s="6" t="s">
        <v>764</v>
      </c>
      <c r="F352" s="7">
        <v>44309</v>
      </c>
      <c r="G352" s="7">
        <v>44302</v>
      </c>
      <c r="H352" s="6" t="s">
        <v>81</v>
      </c>
      <c r="I352" s="6" t="s">
        <v>57</v>
      </c>
      <c r="J352" s="6" t="s">
        <v>58</v>
      </c>
      <c r="K352" s="7">
        <v>44784</v>
      </c>
      <c r="L352" s="6" t="s">
        <v>765</v>
      </c>
      <c r="M352" t="b">
        <v>0</v>
      </c>
      <c r="N352" t="b">
        <v>1</v>
      </c>
      <c r="O352" t="b">
        <v>1</v>
      </c>
      <c r="P352" t="b">
        <v>0</v>
      </c>
      <c r="Q352">
        <v>351</v>
      </c>
    </row>
    <row r="353" spans="1:17" x14ac:dyDescent="0.35">
      <c r="A353" s="6" t="s">
        <v>766</v>
      </c>
      <c r="B353" s="6" t="s">
        <v>134</v>
      </c>
      <c r="C353" s="6" t="s">
        <v>107</v>
      </c>
      <c r="D353" s="6" t="s">
        <v>867</v>
      </c>
      <c r="E353" s="6" t="s">
        <v>767</v>
      </c>
      <c r="F353" s="7">
        <v>44308</v>
      </c>
      <c r="G353" s="7">
        <v>44311</v>
      </c>
      <c r="H353" s="6" t="s">
        <v>81</v>
      </c>
      <c r="I353" s="6" t="s">
        <v>91</v>
      </c>
      <c r="J353" s="6" t="s">
        <v>184</v>
      </c>
      <c r="K353" s="7">
        <v>44491</v>
      </c>
      <c r="L353" s="6" t="s">
        <v>24</v>
      </c>
      <c r="M353" t="b">
        <v>0</v>
      </c>
      <c r="N353" t="b">
        <v>0</v>
      </c>
      <c r="O353" t="b">
        <v>0</v>
      </c>
      <c r="P353" t="b">
        <v>0</v>
      </c>
      <c r="Q353">
        <v>352</v>
      </c>
    </row>
    <row r="354" spans="1:17" x14ac:dyDescent="0.35">
      <c r="A354" s="6" t="s">
        <v>768</v>
      </c>
      <c r="B354" s="6" t="s">
        <v>19</v>
      </c>
      <c r="C354" s="6" t="s">
        <v>73</v>
      </c>
      <c r="D354" s="6"/>
      <c r="E354" s="6" t="s">
        <v>769</v>
      </c>
      <c r="F354" s="7">
        <v>44305</v>
      </c>
      <c r="G354" s="7">
        <v>44312</v>
      </c>
      <c r="H354" s="6" t="s">
        <v>81</v>
      </c>
      <c r="I354" s="6" t="s">
        <v>22</v>
      </c>
      <c r="J354" s="6" t="s">
        <v>23</v>
      </c>
      <c r="K354" s="7">
        <v>44305</v>
      </c>
      <c r="L354" s="6" t="s">
        <v>24</v>
      </c>
      <c r="M354" t="b">
        <v>1</v>
      </c>
      <c r="P354" t="b">
        <v>1</v>
      </c>
      <c r="Q354">
        <v>353</v>
      </c>
    </row>
    <row r="355" spans="1:17" x14ac:dyDescent="0.35">
      <c r="A355" s="6" t="s">
        <v>770</v>
      </c>
      <c r="B355" s="6" t="s">
        <v>89</v>
      </c>
      <c r="C355" s="6" t="s">
        <v>73</v>
      </c>
      <c r="D355" s="6"/>
      <c r="E355" s="6" t="s">
        <v>771</v>
      </c>
      <c r="F355" s="7">
        <v>44305</v>
      </c>
      <c r="G355" s="7">
        <v>44312</v>
      </c>
      <c r="H355" s="6" t="s">
        <v>81</v>
      </c>
      <c r="I355" s="6" t="s">
        <v>595</v>
      </c>
      <c r="J355" s="6" t="s">
        <v>596</v>
      </c>
      <c r="K355" s="7">
        <v>44480</v>
      </c>
      <c r="L355" s="6" t="s">
        <v>24</v>
      </c>
      <c r="M355" t="b">
        <v>1</v>
      </c>
      <c r="N355" t="b">
        <v>0</v>
      </c>
      <c r="O355" t="b">
        <v>1</v>
      </c>
      <c r="P355" t="b">
        <v>1</v>
      </c>
      <c r="Q355">
        <v>354</v>
      </c>
    </row>
    <row r="356" spans="1:17" x14ac:dyDescent="0.35">
      <c r="A356" s="6" t="s">
        <v>772</v>
      </c>
      <c r="B356" s="6" t="s">
        <v>134</v>
      </c>
      <c r="C356" s="6" t="s">
        <v>705</v>
      </c>
      <c r="D356" s="6" t="s">
        <v>864</v>
      </c>
      <c r="E356" s="6" t="s">
        <v>773</v>
      </c>
      <c r="F356" s="7">
        <v>44298</v>
      </c>
      <c r="G356" s="7">
        <v>44300</v>
      </c>
      <c r="H356" s="6" t="s">
        <v>81</v>
      </c>
      <c r="I356" s="6" t="s">
        <v>195</v>
      </c>
      <c r="J356" s="6" t="s">
        <v>196</v>
      </c>
      <c r="K356" s="7">
        <v>44336</v>
      </c>
      <c r="L356" s="6" t="s">
        <v>24</v>
      </c>
      <c r="M356" t="b">
        <v>0</v>
      </c>
      <c r="N356" t="b">
        <v>1</v>
      </c>
      <c r="O356" t="b">
        <v>1</v>
      </c>
      <c r="P356" t="b">
        <v>0</v>
      </c>
      <c r="Q356">
        <v>355</v>
      </c>
    </row>
    <row r="357" spans="1:17" x14ac:dyDescent="0.35">
      <c r="A357" s="6" t="s">
        <v>774</v>
      </c>
      <c r="B357" s="6" t="s">
        <v>134</v>
      </c>
      <c r="C357" s="6" t="s">
        <v>705</v>
      </c>
      <c r="D357" s="6" t="s">
        <v>864</v>
      </c>
      <c r="E357" s="6" t="s">
        <v>775</v>
      </c>
      <c r="F357" s="7">
        <v>44298</v>
      </c>
      <c r="G357" s="7">
        <v>44302</v>
      </c>
      <c r="H357" s="6" t="s">
        <v>81</v>
      </c>
      <c r="I357" s="6" t="s">
        <v>57</v>
      </c>
      <c r="J357" s="6" t="s">
        <v>58</v>
      </c>
      <c r="K357" s="7">
        <v>44491</v>
      </c>
      <c r="L357" s="6" t="s">
        <v>24</v>
      </c>
      <c r="M357" t="b">
        <v>0</v>
      </c>
      <c r="N357" t="b">
        <v>0</v>
      </c>
      <c r="O357" t="b">
        <v>1</v>
      </c>
      <c r="P357" t="b">
        <v>0</v>
      </c>
      <c r="Q357">
        <v>356</v>
      </c>
    </row>
    <row r="358" spans="1:17" x14ac:dyDescent="0.35">
      <c r="A358" s="6" t="s">
        <v>776</v>
      </c>
      <c r="B358" s="6" t="s">
        <v>134</v>
      </c>
      <c r="C358" s="6" t="s">
        <v>705</v>
      </c>
      <c r="D358" s="6" t="s">
        <v>927</v>
      </c>
      <c r="E358" s="6" t="s">
        <v>777</v>
      </c>
      <c r="F358" s="7">
        <v>44298</v>
      </c>
      <c r="G358" s="7">
        <v>44305</v>
      </c>
      <c r="H358" s="6" t="s">
        <v>81</v>
      </c>
      <c r="I358" s="6" t="s">
        <v>91</v>
      </c>
      <c r="J358" s="6" t="s">
        <v>92</v>
      </c>
      <c r="K358" s="7">
        <v>44344</v>
      </c>
      <c r="L358" s="6" t="s">
        <v>24</v>
      </c>
      <c r="M358" t="b">
        <v>0</v>
      </c>
      <c r="N358" t="b">
        <v>0</v>
      </c>
      <c r="O358" t="b">
        <v>0</v>
      </c>
      <c r="P358" t="b">
        <v>0</v>
      </c>
      <c r="Q358">
        <v>357</v>
      </c>
    </row>
    <row r="359" spans="1:17" x14ac:dyDescent="0.35">
      <c r="A359" s="6" t="s">
        <v>778</v>
      </c>
      <c r="B359" s="6" t="s">
        <v>19</v>
      </c>
      <c r="C359" s="6" t="s">
        <v>705</v>
      </c>
      <c r="D359" s="6" t="s">
        <v>927</v>
      </c>
      <c r="E359" s="6" t="s">
        <v>779</v>
      </c>
      <c r="F359" s="7">
        <v>44298</v>
      </c>
      <c r="G359" s="7">
        <v>44305</v>
      </c>
      <c r="H359" s="6" t="s">
        <v>81</v>
      </c>
      <c r="I359" s="6" t="s">
        <v>91</v>
      </c>
      <c r="J359" s="6" t="s">
        <v>92</v>
      </c>
      <c r="K359" s="7">
        <v>44491</v>
      </c>
      <c r="L359" s="6" t="s">
        <v>24</v>
      </c>
      <c r="M359" t="b">
        <v>1</v>
      </c>
      <c r="N359" t="b">
        <v>0</v>
      </c>
      <c r="O359" t="b">
        <v>1</v>
      </c>
      <c r="P359" t="b">
        <v>0</v>
      </c>
      <c r="Q359">
        <v>358</v>
      </c>
    </row>
    <row r="360" spans="1:17" x14ac:dyDescent="0.35">
      <c r="A360" s="6" t="s">
        <v>780</v>
      </c>
      <c r="B360" s="6" t="s">
        <v>134</v>
      </c>
      <c r="C360" s="6" t="s">
        <v>705</v>
      </c>
      <c r="D360" s="6" t="s">
        <v>927</v>
      </c>
      <c r="E360" s="6" t="s">
        <v>781</v>
      </c>
      <c r="F360" s="7">
        <v>44298</v>
      </c>
      <c r="G360" s="7">
        <v>44302</v>
      </c>
      <c r="H360" s="6" t="s">
        <v>81</v>
      </c>
      <c r="I360" s="6" t="s">
        <v>57</v>
      </c>
      <c r="J360" s="6" t="s">
        <v>58</v>
      </c>
      <c r="K360" s="7">
        <v>44491</v>
      </c>
      <c r="L360" s="6" t="s">
        <v>24</v>
      </c>
      <c r="M360" t="b">
        <v>0</v>
      </c>
      <c r="N360" t="b">
        <v>0</v>
      </c>
      <c r="O360" t="b">
        <v>0</v>
      </c>
      <c r="P360" t="b">
        <v>0</v>
      </c>
      <c r="Q360">
        <v>359</v>
      </c>
    </row>
    <row r="361" spans="1:17" x14ac:dyDescent="0.35">
      <c r="A361" s="6" t="s">
        <v>782</v>
      </c>
      <c r="B361" s="6" t="s">
        <v>134</v>
      </c>
      <c r="C361" s="6" t="s">
        <v>705</v>
      </c>
      <c r="D361" s="6" t="s">
        <v>927</v>
      </c>
      <c r="E361" s="6" t="s">
        <v>783</v>
      </c>
      <c r="F361" s="7">
        <v>44298</v>
      </c>
      <c r="G361" s="7">
        <v>44302</v>
      </c>
      <c r="H361" s="6" t="s">
        <v>81</v>
      </c>
      <c r="I361" s="6" t="s">
        <v>57</v>
      </c>
      <c r="J361" s="6" t="s">
        <v>58</v>
      </c>
      <c r="K361" s="7">
        <v>44337</v>
      </c>
      <c r="L361" s="6" t="s">
        <v>24</v>
      </c>
      <c r="M361" t="b">
        <v>0</v>
      </c>
      <c r="N361" t="b">
        <v>0</v>
      </c>
      <c r="O361" t="b">
        <v>0</v>
      </c>
      <c r="P361" t="b">
        <v>0</v>
      </c>
      <c r="Q361">
        <v>360</v>
      </c>
    </row>
    <row r="362" spans="1:17" x14ac:dyDescent="0.35">
      <c r="A362" s="6" t="s">
        <v>784</v>
      </c>
      <c r="B362" s="6" t="s">
        <v>134</v>
      </c>
      <c r="C362" s="6" t="s">
        <v>705</v>
      </c>
      <c r="D362" s="6" t="s">
        <v>927</v>
      </c>
      <c r="E362" s="6" t="s">
        <v>783</v>
      </c>
      <c r="F362" s="7">
        <v>44298</v>
      </c>
      <c r="G362" s="7">
        <v>44302</v>
      </c>
      <c r="H362" s="6" t="s">
        <v>81</v>
      </c>
      <c r="I362" s="6" t="s">
        <v>57</v>
      </c>
      <c r="J362" s="6" t="s">
        <v>58</v>
      </c>
      <c r="K362" s="7">
        <v>44298</v>
      </c>
      <c r="L362" s="6" t="s">
        <v>24</v>
      </c>
      <c r="M362" t="b">
        <v>0</v>
      </c>
      <c r="N362" t="b">
        <v>0</v>
      </c>
      <c r="O362" t="b">
        <v>1</v>
      </c>
      <c r="P362" t="b">
        <v>0</v>
      </c>
      <c r="Q362">
        <v>361</v>
      </c>
    </row>
    <row r="363" spans="1:17" x14ac:dyDescent="0.35">
      <c r="A363" s="6" t="s">
        <v>785</v>
      </c>
      <c r="B363" s="6" t="s">
        <v>134</v>
      </c>
      <c r="C363" s="6" t="s">
        <v>705</v>
      </c>
      <c r="D363" s="6" t="s">
        <v>927</v>
      </c>
      <c r="E363" s="6" t="s">
        <v>786</v>
      </c>
      <c r="F363" s="7">
        <v>44298</v>
      </c>
      <c r="G363" s="7">
        <v>44300</v>
      </c>
      <c r="H363" s="6" t="s">
        <v>81</v>
      </c>
      <c r="I363" s="6" t="s">
        <v>195</v>
      </c>
      <c r="J363" s="6" t="s">
        <v>196</v>
      </c>
      <c r="K363" s="7">
        <v>44336</v>
      </c>
      <c r="L363" s="6" t="s">
        <v>24</v>
      </c>
      <c r="M363" t="b">
        <v>0</v>
      </c>
      <c r="N363" t="b">
        <v>0</v>
      </c>
      <c r="O363" t="b">
        <v>1</v>
      </c>
      <c r="P363" t="b">
        <v>0</v>
      </c>
      <c r="Q363">
        <v>362</v>
      </c>
    </row>
    <row r="364" spans="1:17" x14ac:dyDescent="0.35">
      <c r="A364" s="6" t="s">
        <v>787</v>
      </c>
      <c r="B364" s="6" t="s">
        <v>134</v>
      </c>
      <c r="C364" s="6" t="s">
        <v>705</v>
      </c>
      <c r="D364" s="6" t="s">
        <v>927</v>
      </c>
      <c r="E364" s="6" t="s">
        <v>788</v>
      </c>
      <c r="F364" s="7">
        <v>44298</v>
      </c>
      <c r="G364" s="7">
        <v>44300</v>
      </c>
      <c r="H364" s="6" t="s">
        <v>81</v>
      </c>
      <c r="I364" s="6" t="s">
        <v>57</v>
      </c>
      <c r="J364" s="6" t="s">
        <v>58</v>
      </c>
      <c r="K364" s="7">
        <v>44491</v>
      </c>
      <c r="L364" s="6" t="s">
        <v>24</v>
      </c>
      <c r="M364" t="b">
        <v>0</v>
      </c>
      <c r="N364" t="b">
        <v>0</v>
      </c>
      <c r="O364" t="b">
        <v>0</v>
      </c>
      <c r="P364" t="b">
        <v>0</v>
      </c>
      <c r="Q364">
        <v>363</v>
      </c>
    </row>
    <row r="365" spans="1:17" x14ac:dyDescent="0.35">
      <c r="A365" s="6" t="s">
        <v>789</v>
      </c>
      <c r="B365" s="6" t="s">
        <v>134</v>
      </c>
      <c r="C365" s="6" t="s">
        <v>705</v>
      </c>
      <c r="D365" s="6" t="s">
        <v>927</v>
      </c>
      <c r="E365" s="6" t="s">
        <v>790</v>
      </c>
      <c r="F365" s="7">
        <v>44298</v>
      </c>
      <c r="G365" s="7">
        <v>44305</v>
      </c>
      <c r="H365" s="6" t="s">
        <v>81</v>
      </c>
      <c r="I365" s="6" t="s">
        <v>57</v>
      </c>
      <c r="J365" s="6" t="s">
        <v>58</v>
      </c>
      <c r="K365" s="7">
        <v>44491</v>
      </c>
      <c r="L365" s="6" t="s">
        <v>24</v>
      </c>
      <c r="M365" t="b">
        <v>0</v>
      </c>
      <c r="N365" t="b">
        <v>0</v>
      </c>
      <c r="O365" t="b">
        <v>0</v>
      </c>
      <c r="P365" t="b">
        <v>0</v>
      </c>
      <c r="Q365">
        <v>364</v>
      </c>
    </row>
    <row r="366" spans="1:17" x14ac:dyDescent="0.35">
      <c r="A366" s="6" t="s">
        <v>791</v>
      </c>
      <c r="B366" s="6" t="s">
        <v>134</v>
      </c>
      <c r="C366" s="6" t="s">
        <v>705</v>
      </c>
      <c r="D366" s="6" t="s">
        <v>966</v>
      </c>
      <c r="E366" s="6" t="s">
        <v>773</v>
      </c>
      <c r="F366" s="7">
        <v>44298</v>
      </c>
      <c r="G366" s="7">
        <v>44302</v>
      </c>
      <c r="H366" s="6" t="s">
        <v>81</v>
      </c>
      <c r="I366" s="6" t="s">
        <v>195</v>
      </c>
      <c r="J366" s="6" t="s">
        <v>196</v>
      </c>
      <c r="K366" s="7">
        <v>44336</v>
      </c>
      <c r="L366" s="6" t="s">
        <v>24</v>
      </c>
      <c r="M366" t="b">
        <v>0</v>
      </c>
      <c r="N366" t="b">
        <v>1</v>
      </c>
      <c r="O366" t="b">
        <v>0</v>
      </c>
      <c r="P366" t="b">
        <v>0</v>
      </c>
      <c r="Q366">
        <v>365</v>
      </c>
    </row>
    <row r="367" spans="1:17" x14ac:dyDescent="0.35">
      <c r="A367" s="6" t="s">
        <v>792</v>
      </c>
      <c r="B367" s="6" t="s">
        <v>134</v>
      </c>
      <c r="C367" s="6" t="s">
        <v>705</v>
      </c>
      <c r="D367" s="6" t="s">
        <v>927</v>
      </c>
      <c r="E367" s="6" t="s">
        <v>793</v>
      </c>
      <c r="F367" s="7">
        <v>44298</v>
      </c>
      <c r="G367" s="7">
        <v>44302</v>
      </c>
      <c r="H367" s="6" t="s">
        <v>81</v>
      </c>
      <c r="I367" s="6" t="s">
        <v>91</v>
      </c>
      <c r="J367" s="6" t="s">
        <v>92</v>
      </c>
      <c r="K367" s="7">
        <v>44491</v>
      </c>
      <c r="L367" s="6" t="s">
        <v>24</v>
      </c>
      <c r="M367" t="b">
        <v>0</v>
      </c>
      <c r="N367" t="b">
        <v>0</v>
      </c>
      <c r="O367" t="b">
        <v>0</v>
      </c>
      <c r="P367" t="b">
        <v>0</v>
      </c>
      <c r="Q367">
        <v>366</v>
      </c>
    </row>
    <row r="368" spans="1:17" x14ac:dyDescent="0.35">
      <c r="A368" s="6" t="s">
        <v>794</v>
      </c>
      <c r="B368" s="6" t="s">
        <v>134</v>
      </c>
      <c r="C368" s="6" t="s">
        <v>107</v>
      </c>
      <c r="D368" s="6" t="s">
        <v>967</v>
      </c>
      <c r="E368" s="6" t="s">
        <v>795</v>
      </c>
      <c r="F368" s="7">
        <v>44295</v>
      </c>
      <c r="G368" s="7">
        <v>44302</v>
      </c>
      <c r="H368" s="6" t="s">
        <v>81</v>
      </c>
      <c r="I368" s="6" t="s">
        <v>57</v>
      </c>
      <c r="J368" s="6" t="s">
        <v>58</v>
      </c>
      <c r="K368" s="7">
        <v>44491</v>
      </c>
      <c r="L368" s="6" t="s">
        <v>24</v>
      </c>
      <c r="M368" t="b">
        <v>0</v>
      </c>
      <c r="N368" t="b">
        <v>0</v>
      </c>
      <c r="O368" t="b">
        <v>0</v>
      </c>
      <c r="P368" t="b">
        <v>0</v>
      </c>
      <c r="Q368">
        <v>367</v>
      </c>
    </row>
    <row r="369" spans="1:17" x14ac:dyDescent="0.35">
      <c r="A369" s="6" t="s">
        <v>796</v>
      </c>
      <c r="B369" s="6" t="s">
        <v>134</v>
      </c>
      <c r="C369" s="6" t="s">
        <v>107</v>
      </c>
      <c r="D369" s="6"/>
      <c r="E369" s="6" t="s">
        <v>797</v>
      </c>
      <c r="F369" s="7">
        <v>44272</v>
      </c>
      <c r="G369" s="7">
        <v>44284</v>
      </c>
      <c r="H369" s="6" t="s">
        <v>81</v>
      </c>
      <c r="I369" s="6" t="s">
        <v>57</v>
      </c>
      <c r="J369" s="6" t="s">
        <v>58</v>
      </c>
      <c r="K369" s="7">
        <v>44491</v>
      </c>
      <c r="L369" s="6" t="s">
        <v>24</v>
      </c>
      <c r="M369" t="b">
        <v>0</v>
      </c>
      <c r="N369" t="b">
        <v>1</v>
      </c>
      <c r="O369" t="b">
        <v>1</v>
      </c>
      <c r="P369" t="b">
        <v>0</v>
      </c>
      <c r="Q369">
        <v>368</v>
      </c>
    </row>
    <row r="370" spans="1:17" x14ac:dyDescent="0.35">
      <c r="A370" s="6" t="s">
        <v>798</v>
      </c>
      <c r="B370" s="6" t="s">
        <v>134</v>
      </c>
      <c r="C370" s="6" t="s">
        <v>107</v>
      </c>
      <c r="D370" s="6" t="s">
        <v>968</v>
      </c>
      <c r="E370" s="6" t="s">
        <v>799</v>
      </c>
      <c r="F370" s="7">
        <v>44260</v>
      </c>
      <c r="G370" s="7">
        <v>44264</v>
      </c>
      <c r="H370" s="6" t="s">
        <v>81</v>
      </c>
      <c r="I370" s="6" t="s">
        <v>57</v>
      </c>
      <c r="J370" s="6" t="s">
        <v>58</v>
      </c>
      <c r="K370" s="7">
        <v>44784</v>
      </c>
      <c r="L370" s="6" t="s">
        <v>24</v>
      </c>
      <c r="M370" t="b">
        <v>0</v>
      </c>
      <c r="N370" t="b">
        <v>0</v>
      </c>
      <c r="O370" t="b">
        <v>1</v>
      </c>
      <c r="P370" t="b">
        <v>0</v>
      </c>
      <c r="Q370">
        <v>369</v>
      </c>
    </row>
    <row r="371" spans="1:17" x14ac:dyDescent="0.35">
      <c r="A371" s="6" t="s">
        <v>800</v>
      </c>
      <c r="B371" s="6" t="s">
        <v>134</v>
      </c>
      <c r="C371" s="6" t="s">
        <v>107</v>
      </c>
      <c r="D371" s="6" t="s">
        <v>969</v>
      </c>
      <c r="E371" s="6" t="s">
        <v>801</v>
      </c>
      <c r="F371" s="7">
        <v>44260</v>
      </c>
      <c r="G371" s="7">
        <v>44265</v>
      </c>
      <c r="H371" s="6" t="s">
        <v>81</v>
      </c>
      <c r="I371" s="6" t="s">
        <v>57</v>
      </c>
      <c r="J371" s="6" t="s">
        <v>58</v>
      </c>
      <c r="K371" s="7">
        <v>44784</v>
      </c>
      <c r="L371" s="6" t="s">
        <v>24</v>
      </c>
      <c r="M371" t="b">
        <v>0</v>
      </c>
      <c r="N371" t="b">
        <v>1</v>
      </c>
      <c r="O371" t="b">
        <v>1</v>
      </c>
      <c r="P371" t="b">
        <v>0</v>
      </c>
      <c r="Q371">
        <v>370</v>
      </c>
    </row>
    <row r="372" spans="1:17" x14ac:dyDescent="0.35">
      <c r="A372" s="6" t="s">
        <v>802</v>
      </c>
      <c r="B372" s="6" t="s">
        <v>134</v>
      </c>
      <c r="C372" s="6" t="s">
        <v>107</v>
      </c>
      <c r="D372" s="6" t="s">
        <v>970</v>
      </c>
      <c r="E372" s="6" t="s">
        <v>803</v>
      </c>
      <c r="F372" s="7">
        <v>44260</v>
      </c>
      <c r="G372" s="7">
        <v>44264</v>
      </c>
      <c r="H372" s="6" t="s">
        <v>81</v>
      </c>
      <c r="I372" s="6" t="s">
        <v>57</v>
      </c>
      <c r="J372" s="6" t="s">
        <v>58</v>
      </c>
      <c r="K372" s="7">
        <v>44491</v>
      </c>
      <c r="L372" s="6" t="s">
        <v>24</v>
      </c>
      <c r="M372" t="b">
        <v>0</v>
      </c>
      <c r="N372" t="b">
        <v>0</v>
      </c>
      <c r="O372" t="b">
        <v>0</v>
      </c>
      <c r="P372" t="b">
        <v>0</v>
      </c>
      <c r="Q372">
        <v>371</v>
      </c>
    </row>
    <row r="373" spans="1:17" x14ac:dyDescent="0.35">
      <c r="A373" s="6" t="s">
        <v>804</v>
      </c>
      <c r="B373" s="6" t="s">
        <v>134</v>
      </c>
      <c r="C373" s="6" t="s">
        <v>107</v>
      </c>
      <c r="D373" s="6" t="s">
        <v>970</v>
      </c>
      <c r="E373" s="6" t="s">
        <v>805</v>
      </c>
      <c r="F373" s="7">
        <v>44260</v>
      </c>
      <c r="G373" s="7">
        <v>44264</v>
      </c>
      <c r="H373" s="6" t="s">
        <v>81</v>
      </c>
      <c r="I373" s="6" t="s">
        <v>57</v>
      </c>
      <c r="J373" s="6" t="s">
        <v>58</v>
      </c>
      <c r="K373" s="7">
        <v>44491</v>
      </c>
      <c r="L373" s="6" t="s">
        <v>24</v>
      </c>
      <c r="M373" t="b">
        <v>0</v>
      </c>
      <c r="N373" t="b">
        <v>1</v>
      </c>
      <c r="O373" t="b">
        <v>1</v>
      </c>
      <c r="P373" t="b">
        <v>0</v>
      </c>
      <c r="Q373">
        <v>372</v>
      </c>
    </row>
    <row r="374" spans="1:17" x14ac:dyDescent="0.35">
      <c r="A374" s="6" t="s">
        <v>806</v>
      </c>
      <c r="B374" s="6" t="s">
        <v>89</v>
      </c>
      <c r="C374" s="6" t="s">
        <v>107</v>
      </c>
      <c r="D374" s="6" t="s">
        <v>971</v>
      </c>
      <c r="E374" s="6" t="s">
        <v>807</v>
      </c>
      <c r="F374" s="7">
        <v>44260</v>
      </c>
      <c r="G374" s="7">
        <v>44265</v>
      </c>
      <c r="H374" s="6" t="s">
        <v>81</v>
      </c>
      <c r="I374" s="6" t="s">
        <v>91</v>
      </c>
      <c r="J374" s="6" t="s">
        <v>92</v>
      </c>
      <c r="K374" s="7">
        <v>44533</v>
      </c>
      <c r="L374" s="6" t="s">
        <v>24</v>
      </c>
      <c r="M374" t="b">
        <v>1</v>
      </c>
      <c r="N374" t="b">
        <v>0</v>
      </c>
      <c r="O374" t="b">
        <v>1</v>
      </c>
      <c r="P374" t="b">
        <v>0</v>
      </c>
      <c r="Q374">
        <v>373</v>
      </c>
    </row>
    <row r="375" spans="1:17" x14ac:dyDescent="0.35">
      <c r="A375" s="6" t="s">
        <v>808</v>
      </c>
      <c r="B375" s="6" t="s">
        <v>134</v>
      </c>
      <c r="C375" s="6" t="s">
        <v>107</v>
      </c>
      <c r="D375" s="6" t="s">
        <v>950</v>
      </c>
      <c r="E375" s="6" t="s">
        <v>809</v>
      </c>
      <c r="F375" s="7">
        <v>44260</v>
      </c>
      <c r="G375" s="7">
        <v>44265</v>
      </c>
      <c r="H375" s="6" t="s">
        <v>81</v>
      </c>
      <c r="I375" s="6" t="s">
        <v>57</v>
      </c>
      <c r="J375" s="6" t="s">
        <v>58</v>
      </c>
      <c r="K375" s="7">
        <v>44491</v>
      </c>
      <c r="L375" s="6" t="s">
        <v>24</v>
      </c>
      <c r="M375" t="b">
        <v>0</v>
      </c>
      <c r="N375" t="b">
        <v>1</v>
      </c>
      <c r="O375" t="b">
        <v>1</v>
      </c>
      <c r="P375" t="b">
        <v>0</v>
      </c>
      <c r="Q375">
        <v>374</v>
      </c>
    </row>
    <row r="376" spans="1:17" x14ac:dyDescent="0.35">
      <c r="A376" s="6" t="s">
        <v>810</v>
      </c>
      <c r="B376" s="6" t="s">
        <v>134</v>
      </c>
      <c r="C376" s="6" t="s">
        <v>107</v>
      </c>
      <c r="D376" s="6" t="s">
        <v>961</v>
      </c>
      <c r="E376" s="6" t="s">
        <v>811</v>
      </c>
      <c r="F376" s="7">
        <v>44258</v>
      </c>
      <c r="G376" s="7">
        <v>44260</v>
      </c>
      <c r="H376" s="6" t="s">
        <v>81</v>
      </c>
      <c r="I376" s="6" t="s">
        <v>57</v>
      </c>
      <c r="J376" s="6" t="s">
        <v>58</v>
      </c>
      <c r="K376" s="7">
        <v>44491</v>
      </c>
      <c r="L376" s="6" t="s">
        <v>24</v>
      </c>
      <c r="M376" t="b">
        <v>0</v>
      </c>
      <c r="N376" t="b">
        <v>0</v>
      </c>
      <c r="O376" t="b">
        <v>1</v>
      </c>
      <c r="P376" t="b">
        <v>0</v>
      </c>
      <c r="Q376">
        <v>375</v>
      </c>
    </row>
    <row r="377" spans="1:17" x14ac:dyDescent="0.35">
      <c r="A377" s="6" t="s">
        <v>812</v>
      </c>
      <c r="B377" s="6" t="s">
        <v>89</v>
      </c>
      <c r="C377" s="6" t="s">
        <v>107</v>
      </c>
      <c r="D377" s="6" t="s">
        <v>961</v>
      </c>
      <c r="E377" s="6" t="s">
        <v>813</v>
      </c>
      <c r="F377" s="7">
        <v>44258</v>
      </c>
      <c r="G377" s="7">
        <v>44259</v>
      </c>
      <c r="H377" s="6" t="s">
        <v>81</v>
      </c>
      <c r="I377" s="6" t="s">
        <v>57</v>
      </c>
      <c r="J377" s="6" t="s">
        <v>58</v>
      </c>
      <c r="K377" s="7">
        <v>44438</v>
      </c>
      <c r="L377" s="6" t="s">
        <v>24</v>
      </c>
      <c r="M377" t="b">
        <v>1</v>
      </c>
      <c r="N377" t="b">
        <v>0</v>
      </c>
      <c r="O377" t="b">
        <v>1</v>
      </c>
      <c r="P377" t="b">
        <v>0</v>
      </c>
      <c r="Q377">
        <v>376</v>
      </c>
    </row>
    <row r="378" spans="1:17" x14ac:dyDescent="0.35">
      <c r="A378" s="6" t="s">
        <v>814</v>
      </c>
      <c r="B378" s="6" t="s">
        <v>89</v>
      </c>
      <c r="C378" s="6" t="s">
        <v>107</v>
      </c>
      <c r="D378" s="6" t="s">
        <v>961</v>
      </c>
      <c r="E378" s="6" t="s">
        <v>764</v>
      </c>
      <c r="F378" s="7">
        <v>44258</v>
      </c>
      <c r="G378" s="7">
        <v>44259</v>
      </c>
      <c r="H378" s="6" t="s">
        <v>81</v>
      </c>
      <c r="I378" s="6" t="s">
        <v>57</v>
      </c>
      <c r="J378" s="6" t="s">
        <v>58</v>
      </c>
      <c r="K378" s="7">
        <v>44624</v>
      </c>
      <c r="L378" s="6" t="s">
        <v>815</v>
      </c>
      <c r="M378" t="b">
        <v>1</v>
      </c>
      <c r="N378" t="b">
        <v>1</v>
      </c>
      <c r="O378" t="b">
        <v>1</v>
      </c>
      <c r="P378" t="b">
        <v>0</v>
      </c>
      <c r="Q378">
        <v>377</v>
      </c>
    </row>
    <row r="379" spans="1:17" x14ac:dyDescent="0.35">
      <c r="A379" s="6" t="s">
        <v>816</v>
      </c>
      <c r="B379" s="6" t="s">
        <v>134</v>
      </c>
      <c r="C379" s="6" t="s">
        <v>107</v>
      </c>
      <c r="D379" s="6" t="s">
        <v>961</v>
      </c>
      <c r="E379" s="6" t="s">
        <v>817</v>
      </c>
      <c r="F379" s="7">
        <v>44258</v>
      </c>
      <c r="G379" s="7">
        <v>44265</v>
      </c>
      <c r="H379" s="6" t="s">
        <v>81</v>
      </c>
      <c r="I379" s="6" t="s">
        <v>57</v>
      </c>
      <c r="J379" s="6" t="s">
        <v>58</v>
      </c>
      <c r="K379" s="7">
        <v>44784</v>
      </c>
      <c r="L379" s="6" t="s">
        <v>24</v>
      </c>
      <c r="M379" t="b">
        <v>0</v>
      </c>
      <c r="N379" t="b">
        <v>1</v>
      </c>
      <c r="O379" t="b">
        <v>1</v>
      </c>
      <c r="P379" t="b">
        <v>0</v>
      </c>
      <c r="Q379">
        <v>378</v>
      </c>
    </row>
    <row r="380" spans="1:17" x14ac:dyDescent="0.35">
      <c r="A380" s="6" t="s">
        <v>818</v>
      </c>
      <c r="B380" s="6" t="s">
        <v>89</v>
      </c>
      <c r="C380" s="6" t="s">
        <v>107</v>
      </c>
      <c r="D380" s="6" t="s">
        <v>972</v>
      </c>
      <c r="E380" s="6" t="s">
        <v>819</v>
      </c>
      <c r="F380" s="7">
        <v>44258</v>
      </c>
      <c r="G380" s="7">
        <v>44259</v>
      </c>
      <c r="H380" s="6" t="s">
        <v>81</v>
      </c>
      <c r="I380" s="6" t="s">
        <v>57</v>
      </c>
      <c r="J380" s="6" t="s">
        <v>58</v>
      </c>
      <c r="K380" s="7">
        <v>44624</v>
      </c>
      <c r="L380" s="6" t="s">
        <v>24</v>
      </c>
      <c r="M380" t="b">
        <v>1</v>
      </c>
      <c r="N380" t="b">
        <v>0</v>
      </c>
      <c r="O380" t="b">
        <v>1</v>
      </c>
      <c r="P380" t="b">
        <v>0</v>
      </c>
      <c r="Q380">
        <v>379</v>
      </c>
    </row>
    <row r="381" spans="1:17" x14ac:dyDescent="0.35">
      <c r="A381" s="6" t="s">
        <v>820</v>
      </c>
      <c r="B381" s="6" t="s">
        <v>134</v>
      </c>
      <c r="C381" s="6" t="s">
        <v>107</v>
      </c>
      <c r="D381" s="6" t="s">
        <v>902</v>
      </c>
      <c r="E381" s="6" t="s">
        <v>821</v>
      </c>
      <c r="F381" s="7">
        <v>44256</v>
      </c>
      <c r="G381" s="7">
        <v>44263</v>
      </c>
      <c r="H381" s="6" t="s">
        <v>81</v>
      </c>
      <c r="I381" s="6" t="s">
        <v>57</v>
      </c>
      <c r="J381" s="6" t="s">
        <v>58</v>
      </c>
      <c r="K381" s="7">
        <v>44491</v>
      </c>
      <c r="L381" s="6" t="s">
        <v>24</v>
      </c>
      <c r="M381" t="b">
        <v>0</v>
      </c>
      <c r="N381" t="b">
        <v>0</v>
      </c>
      <c r="O381" t="b">
        <v>0</v>
      </c>
      <c r="P381" t="b">
        <v>0</v>
      </c>
      <c r="Q381">
        <v>380</v>
      </c>
    </row>
    <row r="382" spans="1:17" x14ac:dyDescent="0.35">
      <c r="A382" s="6" t="s">
        <v>822</v>
      </c>
      <c r="B382" s="6" t="s">
        <v>134</v>
      </c>
      <c r="C382" s="6" t="s">
        <v>107</v>
      </c>
      <c r="D382" s="6" t="s">
        <v>902</v>
      </c>
      <c r="E382" s="6" t="s">
        <v>823</v>
      </c>
      <c r="F382" s="7">
        <v>44256</v>
      </c>
      <c r="G382" s="7">
        <v>44258</v>
      </c>
      <c r="H382" s="6" t="s">
        <v>81</v>
      </c>
      <c r="I382" s="6" t="s">
        <v>57</v>
      </c>
      <c r="J382" s="6" t="s">
        <v>58</v>
      </c>
      <c r="K382" s="7">
        <v>44491</v>
      </c>
      <c r="L382" s="6" t="s">
        <v>24</v>
      </c>
      <c r="M382" t="b">
        <v>0</v>
      </c>
      <c r="N382" t="b">
        <v>0</v>
      </c>
      <c r="O382" t="b">
        <v>0</v>
      </c>
      <c r="P382" t="b">
        <v>0</v>
      </c>
      <c r="Q382">
        <v>381</v>
      </c>
    </row>
    <row r="383" spans="1:17" x14ac:dyDescent="0.35">
      <c r="A383" s="6" t="s">
        <v>824</v>
      </c>
      <c r="B383" s="6" t="s">
        <v>134</v>
      </c>
      <c r="C383" s="6" t="s">
        <v>107</v>
      </c>
      <c r="D383" s="6" t="s">
        <v>868</v>
      </c>
      <c r="E383" s="6" t="s">
        <v>825</v>
      </c>
      <c r="F383" s="7">
        <v>44256</v>
      </c>
      <c r="G383" s="7">
        <v>44258</v>
      </c>
      <c r="H383" s="6" t="s">
        <v>81</v>
      </c>
      <c r="I383" s="6" t="s">
        <v>57</v>
      </c>
      <c r="J383" s="6" t="s">
        <v>58</v>
      </c>
      <c r="K383" s="7">
        <v>44491</v>
      </c>
      <c r="L383" s="6" t="s">
        <v>24</v>
      </c>
      <c r="M383" t="b">
        <v>0</v>
      </c>
      <c r="N383" t="b">
        <v>1</v>
      </c>
      <c r="O383" t="b">
        <v>0</v>
      </c>
      <c r="P383" t="b">
        <v>0</v>
      </c>
      <c r="Q383">
        <v>382</v>
      </c>
    </row>
    <row r="384" spans="1:17" x14ac:dyDescent="0.35">
      <c r="A384" s="6" t="s">
        <v>826</v>
      </c>
      <c r="B384" s="6" t="s">
        <v>134</v>
      </c>
      <c r="C384" s="6" t="s">
        <v>107</v>
      </c>
      <c r="D384" s="6" t="s">
        <v>886</v>
      </c>
      <c r="E384" s="6" t="s">
        <v>827</v>
      </c>
      <c r="F384" s="7">
        <v>44256</v>
      </c>
      <c r="G384" s="7">
        <v>44263</v>
      </c>
      <c r="H384" s="6" t="s">
        <v>81</v>
      </c>
      <c r="I384" s="6" t="s">
        <v>34</v>
      </c>
      <c r="J384" s="6" t="s">
        <v>35</v>
      </c>
      <c r="K384" s="7">
        <v>44491</v>
      </c>
      <c r="L384" s="6" t="s">
        <v>24</v>
      </c>
      <c r="M384" t="b">
        <v>0</v>
      </c>
      <c r="N384" t="b">
        <v>1</v>
      </c>
      <c r="O384" t="b">
        <v>0</v>
      </c>
      <c r="P384" t="b">
        <v>0</v>
      </c>
      <c r="Q384">
        <v>383</v>
      </c>
    </row>
    <row r="385" spans="1:17" x14ac:dyDescent="0.35">
      <c r="A385" s="6" t="s">
        <v>828</v>
      </c>
      <c r="B385" s="6" t="s">
        <v>134</v>
      </c>
      <c r="C385" s="6" t="s">
        <v>107</v>
      </c>
      <c r="D385" s="6" t="s">
        <v>973</v>
      </c>
      <c r="E385" s="6" t="s">
        <v>829</v>
      </c>
      <c r="F385" s="7">
        <v>44256</v>
      </c>
      <c r="G385" s="7">
        <v>44258</v>
      </c>
      <c r="H385" s="6" t="s">
        <v>81</v>
      </c>
      <c r="I385" s="6" t="s">
        <v>91</v>
      </c>
      <c r="J385" s="6" t="s">
        <v>92</v>
      </c>
      <c r="K385" s="7">
        <v>44491</v>
      </c>
      <c r="L385" s="6" t="s">
        <v>24</v>
      </c>
      <c r="M385" t="b">
        <v>0</v>
      </c>
      <c r="N385" t="b">
        <v>1</v>
      </c>
      <c r="O385" t="b">
        <v>1</v>
      </c>
      <c r="P385" t="b">
        <v>0</v>
      </c>
      <c r="Q385">
        <v>384</v>
      </c>
    </row>
    <row r="386" spans="1:17" x14ac:dyDescent="0.35">
      <c r="A386" s="6" t="s">
        <v>830</v>
      </c>
      <c r="B386" s="6" t="s">
        <v>134</v>
      </c>
      <c r="C386" s="6" t="s">
        <v>107</v>
      </c>
      <c r="D386" s="6" t="s">
        <v>974</v>
      </c>
      <c r="E386" s="6" t="s">
        <v>831</v>
      </c>
      <c r="F386" s="7">
        <v>44256</v>
      </c>
      <c r="G386" s="7">
        <v>44258</v>
      </c>
      <c r="H386" s="6" t="s">
        <v>81</v>
      </c>
      <c r="I386" s="6" t="s">
        <v>57</v>
      </c>
      <c r="J386" s="6" t="s">
        <v>58</v>
      </c>
      <c r="K386" s="7">
        <v>44491</v>
      </c>
      <c r="L386" s="6" t="s">
        <v>24</v>
      </c>
      <c r="M386" t="b">
        <v>0</v>
      </c>
      <c r="N386" t="b">
        <v>1</v>
      </c>
      <c r="O386" t="b">
        <v>1</v>
      </c>
      <c r="P386" t="b">
        <v>0</v>
      </c>
      <c r="Q386">
        <v>385</v>
      </c>
    </row>
    <row r="387" spans="1:17" x14ac:dyDescent="0.35">
      <c r="A387" s="6" t="s">
        <v>832</v>
      </c>
      <c r="B387" s="6" t="s">
        <v>134</v>
      </c>
      <c r="C387" s="6" t="s">
        <v>107</v>
      </c>
      <c r="D387" s="6" t="s">
        <v>975</v>
      </c>
      <c r="E387" s="6" t="s">
        <v>833</v>
      </c>
      <c r="F387" s="7">
        <v>44252</v>
      </c>
      <c r="G387" s="7">
        <v>44257</v>
      </c>
      <c r="H387" s="6" t="s">
        <v>81</v>
      </c>
      <c r="I387" s="6" t="s">
        <v>57</v>
      </c>
      <c r="J387" s="6" t="s">
        <v>58</v>
      </c>
      <c r="K387" s="7">
        <v>44491</v>
      </c>
      <c r="L387" s="6" t="s">
        <v>24</v>
      </c>
      <c r="M387" t="b">
        <v>0</v>
      </c>
      <c r="N387" t="b">
        <v>0</v>
      </c>
      <c r="O387" t="b">
        <v>0</v>
      </c>
      <c r="P387" t="b">
        <v>0</v>
      </c>
      <c r="Q387">
        <v>386</v>
      </c>
    </row>
    <row r="388" spans="1:17" x14ac:dyDescent="0.35">
      <c r="A388" s="6" t="s">
        <v>834</v>
      </c>
      <c r="B388" s="6" t="s">
        <v>134</v>
      </c>
      <c r="C388" s="6" t="s">
        <v>107</v>
      </c>
      <c r="D388" s="6" t="s">
        <v>975</v>
      </c>
      <c r="E388" s="6" t="s">
        <v>835</v>
      </c>
      <c r="F388" s="7">
        <v>44252</v>
      </c>
      <c r="G388" s="7">
        <v>44259</v>
      </c>
      <c r="H388" s="6" t="s">
        <v>81</v>
      </c>
      <c r="I388" s="6" t="s">
        <v>57</v>
      </c>
      <c r="J388" s="6" t="s">
        <v>58</v>
      </c>
      <c r="K388" s="7">
        <v>44491</v>
      </c>
      <c r="L388" s="6" t="s">
        <v>24</v>
      </c>
      <c r="M388" t="b">
        <v>0</v>
      </c>
      <c r="N388" t="b">
        <v>0</v>
      </c>
      <c r="O388" t="b">
        <v>0</v>
      </c>
      <c r="P388" t="b">
        <v>0</v>
      </c>
      <c r="Q388">
        <v>387</v>
      </c>
    </row>
    <row r="389" spans="1:17" x14ac:dyDescent="0.35">
      <c r="A389" s="6" t="s">
        <v>836</v>
      </c>
      <c r="B389" s="6" t="s">
        <v>134</v>
      </c>
      <c r="C389" s="6" t="s">
        <v>107</v>
      </c>
      <c r="D389" s="6" t="s">
        <v>975</v>
      </c>
      <c r="E389" s="6" t="s">
        <v>837</v>
      </c>
      <c r="F389" s="7">
        <v>44252</v>
      </c>
      <c r="G389" s="7">
        <v>44259</v>
      </c>
      <c r="H389" s="6" t="s">
        <v>81</v>
      </c>
      <c r="I389" s="6" t="s">
        <v>57</v>
      </c>
      <c r="J389" s="6" t="s">
        <v>58</v>
      </c>
      <c r="K389" s="7">
        <v>44491</v>
      </c>
      <c r="L389" s="6" t="s">
        <v>24</v>
      </c>
      <c r="M389" t="b">
        <v>0</v>
      </c>
      <c r="N389" t="b">
        <v>0</v>
      </c>
      <c r="O389" t="b">
        <v>1</v>
      </c>
      <c r="P389" t="b">
        <v>0</v>
      </c>
      <c r="Q389">
        <v>388</v>
      </c>
    </row>
    <row r="390" spans="1:17" x14ac:dyDescent="0.35">
      <c r="A390" s="6" t="s">
        <v>838</v>
      </c>
      <c r="B390" s="6" t="s">
        <v>134</v>
      </c>
      <c r="C390" s="6" t="s">
        <v>107</v>
      </c>
      <c r="D390" s="6" t="s">
        <v>873</v>
      </c>
      <c r="E390" s="6" t="s">
        <v>837</v>
      </c>
      <c r="F390" s="7">
        <v>44252</v>
      </c>
      <c r="G390" s="7">
        <v>44259</v>
      </c>
      <c r="H390" s="6" t="s">
        <v>81</v>
      </c>
      <c r="I390" s="6" t="s">
        <v>57</v>
      </c>
      <c r="J390" s="6" t="s">
        <v>58</v>
      </c>
      <c r="K390" s="7">
        <v>44491</v>
      </c>
      <c r="L390" s="6" t="s">
        <v>24</v>
      </c>
      <c r="M390" t="b">
        <v>0</v>
      </c>
      <c r="N390" t="b">
        <v>0</v>
      </c>
      <c r="O390" t="b">
        <v>1</v>
      </c>
      <c r="P390" t="b">
        <v>0</v>
      </c>
      <c r="Q390">
        <v>389</v>
      </c>
    </row>
    <row r="391" spans="1:17" x14ac:dyDescent="0.35">
      <c r="A391" s="6" t="s">
        <v>839</v>
      </c>
      <c r="B391" s="6" t="s">
        <v>134</v>
      </c>
      <c r="C391" s="6" t="s">
        <v>107</v>
      </c>
      <c r="D391" s="6" t="s">
        <v>975</v>
      </c>
      <c r="E391" s="6" t="s">
        <v>840</v>
      </c>
      <c r="F391" s="7">
        <v>44252</v>
      </c>
      <c r="G391" s="7">
        <v>44256</v>
      </c>
      <c r="H391" s="6" t="s">
        <v>81</v>
      </c>
      <c r="I391" s="6" t="s">
        <v>91</v>
      </c>
      <c r="J391" s="6" t="s">
        <v>184</v>
      </c>
      <c r="K391" s="7">
        <v>44491</v>
      </c>
      <c r="L391" s="6" t="s">
        <v>24</v>
      </c>
      <c r="M391" t="b">
        <v>0</v>
      </c>
      <c r="N391" t="b">
        <v>1</v>
      </c>
      <c r="O391" t="b">
        <v>1</v>
      </c>
      <c r="P391" t="b">
        <v>0</v>
      </c>
      <c r="Q391">
        <v>390</v>
      </c>
    </row>
    <row r="392" spans="1:17" x14ac:dyDescent="0.35">
      <c r="A392" s="6" t="s">
        <v>841</v>
      </c>
      <c r="B392" s="6" t="s">
        <v>134</v>
      </c>
      <c r="C392" s="6" t="s">
        <v>107</v>
      </c>
      <c r="D392" s="6" t="s">
        <v>873</v>
      </c>
      <c r="E392" s="6" t="s">
        <v>842</v>
      </c>
      <c r="F392" s="7">
        <v>44252</v>
      </c>
      <c r="G392" s="7">
        <v>44253</v>
      </c>
      <c r="H392" s="6" t="s">
        <v>81</v>
      </c>
      <c r="I392" s="6" t="s">
        <v>57</v>
      </c>
      <c r="J392" s="6" t="s">
        <v>58</v>
      </c>
      <c r="K392" s="7">
        <v>44491</v>
      </c>
      <c r="L392" s="6" t="s">
        <v>24</v>
      </c>
      <c r="M392" t="b">
        <v>0</v>
      </c>
      <c r="N392" t="b">
        <v>0</v>
      </c>
      <c r="O392" t="b">
        <v>1</v>
      </c>
      <c r="P392" t="b">
        <v>0</v>
      </c>
      <c r="Q392">
        <v>391</v>
      </c>
    </row>
    <row r="393" spans="1:17" x14ac:dyDescent="0.35">
      <c r="A393" s="6" t="s">
        <v>843</v>
      </c>
      <c r="B393" s="6" t="s">
        <v>134</v>
      </c>
      <c r="C393" s="6" t="s">
        <v>107</v>
      </c>
      <c r="D393" s="6" t="s">
        <v>873</v>
      </c>
      <c r="E393" s="6" t="s">
        <v>844</v>
      </c>
      <c r="F393" s="7">
        <v>44252</v>
      </c>
      <c r="G393" s="7">
        <v>44259</v>
      </c>
      <c r="H393" s="6" t="s">
        <v>81</v>
      </c>
      <c r="I393" s="6" t="s">
        <v>57</v>
      </c>
      <c r="J393" s="6" t="s">
        <v>58</v>
      </c>
      <c r="K393" s="7">
        <v>44491</v>
      </c>
      <c r="L393" s="6" t="s">
        <v>24</v>
      </c>
      <c r="M393" t="b">
        <v>0</v>
      </c>
      <c r="N393" t="b">
        <v>0</v>
      </c>
      <c r="O393" t="b">
        <v>0</v>
      </c>
      <c r="P393" t="b">
        <v>0</v>
      </c>
      <c r="Q393">
        <v>392</v>
      </c>
    </row>
    <row r="394" spans="1:17" x14ac:dyDescent="0.35">
      <c r="A394" s="6" t="s">
        <v>845</v>
      </c>
      <c r="B394" s="6" t="s">
        <v>134</v>
      </c>
      <c r="C394" s="6" t="s">
        <v>107</v>
      </c>
      <c r="D394" s="6" t="s">
        <v>873</v>
      </c>
      <c r="E394" s="6" t="s">
        <v>844</v>
      </c>
      <c r="F394" s="7">
        <v>44252</v>
      </c>
      <c r="G394" s="7">
        <v>44281</v>
      </c>
      <c r="H394" s="6" t="s">
        <v>81</v>
      </c>
      <c r="I394" s="6" t="s">
        <v>57</v>
      </c>
      <c r="J394" s="6" t="s">
        <v>58</v>
      </c>
      <c r="K394" s="7">
        <v>44491</v>
      </c>
      <c r="L394" s="6" t="s">
        <v>24</v>
      </c>
      <c r="M394" t="b">
        <v>0</v>
      </c>
      <c r="N394" t="b">
        <v>0</v>
      </c>
      <c r="O394" t="b">
        <v>0</v>
      </c>
      <c r="P394" t="b">
        <v>0</v>
      </c>
      <c r="Q394">
        <v>393</v>
      </c>
    </row>
    <row r="395" spans="1:17" x14ac:dyDescent="0.35">
      <c r="A395" s="6" t="s">
        <v>846</v>
      </c>
      <c r="B395" s="6" t="s">
        <v>134</v>
      </c>
      <c r="C395" s="6" t="s">
        <v>107</v>
      </c>
      <c r="D395" s="6" t="s">
        <v>873</v>
      </c>
      <c r="E395" s="6" t="s">
        <v>847</v>
      </c>
      <c r="F395" s="7">
        <v>44252</v>
      </c>
      <c r="G395" s="7">
        <v>44260</v>
      </c>
      <c r="H395" s="6" t="s">
        <v>81</v>
      </c>
      <c r="I395" s="6" t="s">
        <v>57</v>
      </c>
      <c r="J395" s="6" t="s">
        <v>58</v>
      </c>
      <c r="K395" s="7">
        <v>44491</v>
      </c>
      <c r="L395" s="6" t="s">
        <v>24</v>
      </c>
      <c r="M395" t="b">
        <v>0</v>
      </c>
      <c r="N395" t="b">
        <v>1</v>
      </c>
      <c r="O395" t="b">
        <v>0</v>
      </c>
      <c r="P395" t="b">
        <v>0</v>
      </c>
      <c r="Q395">
        <v>394</v>
      </c>
    </row>
    <row r="396" spans="1:17" x14ac:dyDescent="0.35">
      <c r="A396" s="6" t="s">
        <v>848</v>
      </c>
      <c r="B396" s="6" t="s">
        <v>134</v>
      </c>
      <c r="C396" s="6" t="s">
        <v>107</v>
      </c>
      <c r="D396" s="6" t="s">
        <v>873</v>
      </c>
      <c r="E396" s="6" t="s">
        <v>849</v>
      </c>
      <c r="F396" s="7">
        <v>44252</v>
      </c>
      <c r="G396" s="7">
        <v>44259</v>
      </c>
      <c r="H396" s="6" t="s">
        <v>81</v>
      </c>
      <c r="I396" s="6" t="s">
        <v>57</v>
      </c>
      <c r="J396" s="6" t="s">
        <v>58</v>
      </c>
      <c r="K396" s="7">
        <v>44491</v>
      </c>
      <c r="L396" s="6" t="s">
        <v>24</v>
      </c>
      <c r="M396" t="b">
        <v>0</v>
      </c>
      <c r="N396" t="b">
        <v>0</v>
      </c>
      <c r="O396" t="b">
        <v>0</v>
      </c>
      <c r="P396" t="b">
        <v>0</v>
      </c>
      <c r="Q396">
        <v>395</v>
      </c>
    </row>
    <row r="397" spans="1:17" x14ac:dyDescent="0.35">
      <c r="A397" s="6" t="s">
        <v>850</v>
      </c>
      <c r="B397" s="6" t="s">
        <v>134</v>
      </c>
      <c r="C397" s="6" t="s">
        <v>107</v>
      </c>
      <c r="D397" s="6" t="s">
        <v>873</v>
      </c>
      <c r="E397" s="6" t="s">
        <v>851</v>
      </c>
      <c r="F397" s="7">
        <v>44252</v>
      </c>
      <c r="G397" s="7">
        <v>44259</v>
      </c>
      <c r="H397" s="6" t="s">
        <v>81</v>
      </c>
      <c r="I397" s="6" t="s">
        <v>57</v>
      </c>
      <c r="J397" s="6" t="s">
        <v>58</v>
      </c>
      <c r="K397" s="7">
        <v>44491</v>
      </c>
      <c r="L397" s="6" t="s">
        <v>24</v>
      </c>
      <c r="M397" t="b">
        <v>0</v>
      </c>
      <c r="N397" t="b">
        <v>1</v>
      </c>
      <c r="O397" t="b">
        <v>1</v>
      </c>
      <c r="P397" t="b">
        <v>0</v>
      </c>
      <c r="Q397">
        <v>396</v>
      </c>
    </row>
    <row r="398" spans="1:17" x14ac:dyDescent="0.35">
      <c r="A398" s="6" t="s">
        <v>852</v>
      </c>
      <c r="B398" s="6" t="s">
        <v>134</v>
      </c>
      <c r="C398" s="6" t="s">
        <v>107</v>
      </c>
      <c r="D398" s="6" t="s">
        <v>873</v>
      </c>
      <c r="E398" s="6" t="s">
        <v>853</v>
      </c>
      <c r="F398" s="7">
        <v>44252</v>
      </c>
      <c r="G398" s="7">
        <v>44256</v>
      </c>
      <c r="H398" s="6" t="s">
        <v>81</v>
      </c>
      <c r="I398" s="6" t="s">
        <v>57</v>
      </c>
      <c r="J398" s="6" t="s">
        <v>58</v>
      </c>
      <c r="K398" s="7">
        <v>44491</v>
      </c>
      <c r="L398" s="6" t="s">
        <v>24</v>
      </c>
      <c r="M398" t="b">
        <v>0</v>
      </c>
      <c r="N398" t="b">
        <v>0</v>
      </c>
      <c r="O398" t="b">
        <v>1</v>
      </c>
      <c r="P398" t="b">
        <v>0</v>
      </c>
      <c r="Q398">
        <v>397</v>
      </c>
    </row>
    <row r="399" spans="1:17" x14ac:dyDescent="0.35">
      <c r="A399" s="6" t="s">
        <v>854</v>
      </c>
      <c r="B399" s="6" t="s">
        <v>134</v>
      </c>
      <c r="C399" s="6" t="s">
        <v>107</v>
      </c>
      <c r="D399" s="6" t="s">
        <v>873</v>
      </c>
      <c r="E399" s="6" t="s">
        <v>855</v>
      </c>
      <c r="F399" s="7">
        <v>44252</v>
      </c>
      <c r="G399" s="7">
        <v>44256</v>
      </c>
      <c r="H399" s="6" t="s">
        <v>81</v>
      </c>
      <c r="I399" s="6" t="s">
        <v>91</v>
      </c>
      <c r="J399" s="6" t="s">
        <v>92</v>
      </c>
      <c r="K399" s="7">
        <v>44491</v>
      </c>
      <c r="L399" s="6" t="s">
        <v>24</v>
      </c>
      <c r="M399" t="b">
        <v>0</v>
      </c>
      <c r="N399" t="b">
        <v>0</v>
      </c>
      <c r="O399" t="b">
        <v>0</v>
      </c>
      <c r="P399" t="b">
        <v>0</v>
      </c>
      <c r="Q399">
        <v>398</v>
      </c>
    </row>
    <row r="400" spans="1:17" x14ac:dyDescent="0.35">
      <c r="A400" s="6" t="s">
        <v>856</v>
      </c>
      <c r="B400" s="6" t="s">
        <v>134</v>
      </c>
      <c r="C400" s="6" t="s">
        <v>107</v>
      </c>
      <c r="D400" s="6" t="s">
        <v>873</v>
      </c>
      <c r="E400" s="6" t="s">
        <v>853</v>
      </c>
      <c r="F400" s="7">
        <v>44252</v>
      </c>
      <c r="G400" s="7">
        <v>44256</v>
      </c>
      <c r="H400" s="6" t="s">
        <v>81</v>
      </c>
      <c r="I400" s="6" t="s">
        <v>57</v>
      </c>
      <c r="J400" s="6" t="s">
        <v>58</v>
      </c>
      <c r="K400" s="7">
        <v>44491</v>
      </c>
      <c r="L400" s="6" t="s">
        <v>24</v>
      </c>
      <c r="M400" t="b">
        <v>0</v>
      </c>
      <c r="N400" t="b">
        <v>1</v>
      </c>
      <c r="O400" t="b">
        <v>0</v>
      </c>
      <c r="P400" t="b">
        <v>0</v>
      </c>
      <c r="Q400">
        <v>399</v>
      </c>
    </row>
    <row r="401" spans="1:17" x14ac:dyDescent="0.35">
      <c r="A401" s="6" t="s">
        <v>857</v>
      </c>
      <c r="B401" s="6" t="s">
        <v>134</v>
      </c>
      <c r="C401" s="6" t="s">
        <v>107</v>
      </c>
      <c r="D401" s="6" t="s">
        <v>873</v>
      </c>
      <c r="E401" s="6" t="s">
        <v>855</v>
      </c>
      <c r="F401" s="7">
        <v>44252</v>
      </c>
      <c r="G401" s="7">
        <v>44253</v>
      </c>
      <c r="H401" s="6" t="s">
        <v>81</v>
      </c>
      <c r="I401" s="6" t="s">
        <v>91</v>
      </c>
      <c r="J401" s="6" t="s">
        <v>92</v>
      </c>
      <c r="K401" s="7">
        <v>44491</v>
      </c>
      <c r="L401" s="6" t="s">
        <v>24</v>
      </c>
      <c r="M401" t="b">
        <v>0</v>
      </c>
      <c r="N401" t="b">
        <v>0</v>
      </c>
      <c r="O401" t="b">
        <v>0</v>
      </c>
      <c r="P401" t="b">
        <v>0</v>
      </c>
      <c r="Q401">
        <v>400</v>
      </c>
    </row>
  </sheetData>
  <phoneticPr fontId="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Home</vt:lpstr>
      <vt:lpstr>Task_Summary</vt:lpstr>
      <vt:lpstr>Settings</vt:lpstr>
      <vt:lpstr>Tables</vt:lpstr>
      <vt:lpstr>Tasks_Import</vt:lpstr>
      <vt:lpstr>Dev_Mode</vt:lpstr>
      <vt:lpstr>Edit_URL</vt:lpstr>
      <vt:lpstr>Logging</vt:lpstr>
      <vt:lpstr>Project_Name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2022-08-22T23:23:39Z</cp:lastPrinted>
  <dcterms:created xsi:type="dcterms:W3CDTF">2019-04-09T17:53:55Z</dcterms:created>
  <dcterms:modified xsi:type="dcterms:W3CDTF">2022-08-23T15:45:26Z</dcterms:modified>
</cp:coreProperties>
</file>